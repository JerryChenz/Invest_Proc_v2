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/>
  <xr:revisionPtr revIDLastSave="0" documentId="13_ncr:1_{DE0D0D4F-AF7D-404B-B7C7-6D671E181868}" xr6:coauthVersionLast="47" xr6:coauthVersionMax="47" xr10:uidLastSave="{00000000-0000-0000-0000-000000000000}"/>
  <bookViews>
    <workbookView xWindow="31365" yWindow="4650" windowWidth="19185" windowHeight="10185" activeTab="4" xr2:uid="{00000000-000D-0000-FFFF-FFFF00000000}"/>
  </bookViews>
  <sheets>
    <sheet name="HK" sheetId="4" r:id="rId1"/>
    <sheet name="CN" sheetId="5" r:id="rId2"/>
    <sheet name="NASDAQ" sheetId="6" r:id="rId3"/>
    <sheet name="NYSE" sheetId="9" r:id="rId4"/>
    <sheet name="AMEX" sheetId="10" r:id="rId5"/>
    <sheet name="JP" sheetId="8" r:id="rId6"/>
    <sheet name="Screening" sheetId="1" r:id="rId7"/>
    <sheet name="Screen Criteria" sheetId="2" r:id="rId8"/>
  </sheets>
  <functionGroups builtInGroupCount="19"/>
  <definedNames>
    <definedName name="_xlnm._FilterDatabase" localSheetId="6" hidden="1">Screening!$A$8:$M$213</definedName>
    <definedName name="_xlnm.Print_Titles" localSheetId="7">'Screen Criteria'!$1:$3</definedName>
    <definedName name="_xlnm.Print_Titles" localSheetId="6">Screening!$1:$3</definedName>
  </definedNames>
  <calcPr calcId="181029"/>
  <fileRecoveryPr autoRecover="0"/>
</workbook>
</file>

<file path=xl/calcChain.xml><?xml version="1.0" encoding="utf-8"?>
<calcChain xmlns="http://schemas.openxmlformats.org/spreadsheetml/2006/main"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" i="8"/>
  <c r="A807" i="5"/>
  <c r="A808" i="5"/>
  <c r="A809" i="5"/>
  <c r="A810" i="5"/>
  <c r="C810" i="5" s="1"/>
  <c r="A811" i="5"/>
  <c r="A812" i="5"/>
  <c r="A813" i="5"/>
  <c r="A814" i="5"/>
  <c r="A815" i="5"/>
  <c r="A816" i="5"/>
  <c r="A817" i="5"/>
  <c r="A818" i="5"/>
  <c r="C818" i="5" s="1"/>
  <c r="A819" i="5"/>
  <c r="A820" i="5"/>
  <c r="A821" i="5"/>
  <c r="A822" i="5"/>
  <c r="C822" i="5" s="1"/>
  <c r="A823" i="5"/>
  <c r="A824" i="5"/>
  <c r="A825" i="5"/>
  <c r="A826" i="5"/>
  <c r="C826" i="5" s="1"/>
  <c r="A827" i="5"/>
  <c r="A828" i="5"/>
  <c r="A829" i="5"/>
  <c r="A830" i="5"/>
  <c r="C830" i="5" s="1"/>
  <c r="A831" i="5"/>
  <c r="A832" i="5"/>
  <c r="A833" i="5"/>
  <c r="A834" i="5"/>
  <c r="A835" i="5"/>
  <c r="A836" i="5"/>
  <c r="A837" i="5"/>
  <c r="A838" i="5"/>
  <c r="C838" i="5" s="1"/>
  <c r="A839" i="5"/>
  <c r="A840" i="5"/>
  <c r="A841" i="5"/>
  <c r="A842" i="5"/>
  <c r="C842" i="5" s="1"/>
  <c r="A843" i="5"/>
  <c r="A844" i="5"/>
  <c r="A845" i="5"/>
  <c r="A846" i="5"/>
  <c r="A847" i="5"/>
  <c r="A848" i="5"/>
  <c r="A849" i="5"/>
  <c r="A850" i="5"/>
  <c r="C850" i="5" s="1"/>
  <c r="A851" i="5"/>
  <c r="A852" i="5"/>
  <c r="A853" i="5"/>
  <c r="A854" i="5"/>
  <c r="C854" i="5" s="1"/>
  <c r="A855" i="5"/>
  <c r="A856" i="5"/>
  <c r="A806" i="5"/>
  <c r="C806" i="5" s="1"/>
  <c r="C813" i="5"/>
  <c r="C821" i="5"/>
  <c r="C829" i="5"/>
  <c r="C837" i="5"/>
  <c r="C845" i="5"/>
  <c r="C853" i="5"/>
  <c r="C809" i="5"/>
  <c r="C814" i="5"/>
  <c r="C817" i="5"/>
  <c r="C825" i="5"/>
  <c r="C833" i="5"/>
  <c r="C834" i="5"/>
  <c r="C841" i="5"/>
  <c r="C846" i="5"/>
  <c r="C849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7" i="5"/>
  <c r="C808" i="5"/>
  <c r="C811" i="5"/>
  <c r="C812" i="5"/>
  <c r="C815" i="5"/>
  <c r="C816" i="5"/>
  <c r="C819" i="5"/>
  <c r="C820" i="5"/>
  <c r="C823" i="5"/>
  <c r="C824" i="5"/>
  <c r="C827" i="5"/>
  <c r="C828" i="5"/>
  <c r="C831" i="5"/>
  <c r="C832" i="5"/>
  <c r="C835" i="5"/>
  <c r="C836" i="5"/>
  <c r="C839" i="5"/>
  <c r="C840" i="5"/>
  <c r="C843" i="5"/>
  <c r="C844" i="5"/>
  <c r="C847" i="5"/>
  <c r="C848" i="5"/>
  <c r="C851" i="5"/>
  <c r="C852" i="5"/>
  <c r="C855" i="5"/>
  <c r="C856" i="5"/>
  <c r="B793" i="5"/>
  <c r="C793" i="5" s="1"/>
  <c r="B792" i="5"/>
  <c r="C792" i="5" s="1"/>
  <c r="B791" i="5"/>
  <c r="C791" i="5" s="1"/>
  <c r="B790" i="5"/>
  <c r="C790" i="5" s="1"/>
  <c r="B789" i="5"/>
  <c r="C789" i="5" s="1"/>
  <c r="B788" i="5"/>
  <c r="C788" i="5" s="1"/>
  <c r="B787" i="5"/>
  <c r="C787" i="5" s="1"/>
  <c r="B786" i="5"/>
  <c r="C786" i="5" s="1"/>
  <c r="B785" i="5"/>
  <c r="C785" i="5" s="1"/>
  <c r="B784" i="5"/>
  <c r="C784" i="5" s="1"/>
  <c r="B783" i="5"/>
  <c r="C783" i="5" s="1"/>
  <c r="B782" i="5"/>
  <c r="C782" i="5" s="1"/>
  <c r="B781" i="5"/>
  <c r="C781" i="5" s="1"/>
  <c r="B780" i="5"/>
  <c r="C780" i="5" s="1"/>
  <c r="B779" i="5"/>
  <c r="C779" i="5" s="1"/>
  <c r="B778" i="5"/>
  <c r="C778" i="5" s="1"/>
  <c r="B777" i="5"/>
  <c r="C777" i="5" s="1"/>
  <c r="B776" i="5"/>
  <c r="C776" i="5" s="1"/>
  <c r="B775" i="5"/>
  <c r="C775" i="5" s="1"/>
  <c r="B774" i="5"/>
  <c r="C774" i="5" s="1"/>
  <c r="B773" i="5"/>
  <c r="C773" i="5" s="1"/>
  <c r="B772" i="5"/>
  <c r="C772" i="5" s="1"/>
  <c r="B771" i="5"/>
  <c r="C771" i="5" s="1"/>
  <c r="B770" i="5"/>
  <c r="C770" i="5" s="1"/>
  <c r="B769" i="5"/>
  <c r="C769" i="5" s="1"/>
  <c r="B768" i="5"/>
  <c r="C768" i="5" s="1"/>
  <c r="B767" i="5"/>
  <c r="C767" i="5" s="1"/>
  <c r="B766" i="5"/>
  <c r="C766" i="5" s="1"/>
  <c r="B765" i="5"/>
  <c r="C765" i="5" s="1"/>
  <c r="B764" i="5"/>
  <c r="C764" i="5" s="1"/>
  <c r="B763" i="5"/>
  <c r="C763" i="5" s="1"/>
  <c r="B762" i="5"/>
  <c r="C762" i="5" s="1"/>
  <c r="B761" i="5"/>
  <c r="C761" i="5" s="1"/>
  <c r="B760" i="5"/>
  <c r="C760" i="5" s="1"/>
  <c r="B759" i="5"/>
  <c r="C759" i="5" s="1"/>
  <c r="B758" i="5"/>
  <c r="C758" i="5" s="1"/>
  <c r="B757" i="5"/>
  <c r="C757" i="5" s="1"/>
  <c r="B756" i="5"/>
  <c r="C756" i="5" s="1"/>
  <c r="B755" i="5"/>
  <c r="C755" i="5" s="1"/>
  <c r="B754" i="5"/>
  <c r="C754" i="5" s="1"/>
  <c r="B753" i="5"/>
  <c r="C753" i="5" s="1"/>
  <c r="B752" i="5"/>
  <c r="C752" i="5" s="1"/>
  <c r="B751" i="5"/>
  <c r="C751" i="5" s="1"/>
  <c r="B750" i="5"/>
  <c r="C750" i="5" s="1"/>
  <c r="B749" i="5"/>
  <c r="C749" i="5" s="1"/>
  <c r="B748" i="5"/>
  <c r="C748" i="5" s="1"/>
  <c r="B747" i="5"/>
  <c r="C747" i="5" s="1"/>
  <c r="B746" i="5"/>
  <c r="C746" i="5" s="1"/>
  <c r="B745" i="5"/>
  <c r="C745" i="5" s="1"/>
  <c r="B744" i="5"/>
  <c r="C744" i="5" s="1"/>
  <c r="B743" i="5"/>
  <c r="C743" i="5" s="1"/>
  <c r="B742" i="5"/>
  <c r="C742" i="5" s="1"/>
  <c r="B741" i="5"/>
  <c r="C741" i="5" s="1"/>
  <c r="B740" i="5"/>
  <c r="C740" i="5" s="1"/>
  <c r="B739" i="5"/>
  <c r="C739" i="5" s="1"/>
  <c r="B738" i="5"/>
  <c r="C738" i="5" s="1"/>
  <c r="B737" i="5"/>
  <c r="C737" i="5" s="1"/>
  <c r="B736" i="5"/>
  <c r="C736" i="5" s="1"/>
  <c r="B735" i="5"/>
  <c r="C735" i="5" s="1"/>
  <c r="B734" i="5"/>
  <c r="C734" i="5" s="1"/>
  <c r="B733" i="5"/>
  <c r="C733" i="5" s="1"/>
  <c r="B732" i="5"/>
  <c r="C732" i="5" s="1"/>
  <c r="B731" i="5"/>
  <c r="C731" i="5" s="1"/>
  <c r="B730" i="5"/>
  <c r="C730" i="5" s="1"/>
  <c r="B729" i="5"/>
  <c r="C729" i="5" s="1"/>
  <c r="B728" i="5"/>
  <c r="C728" i="5" s="1"/>
  <c r="B727" i="5"/>
  <c r="C727" i="5" s="1"/>
  <c r="B726" i="5"/>
  <c r="C726" i="5" s="1"/>
  <c r="B725" i="5"/>
  <c r="C725" i="5" s="1"/>
  <c r="B724" i="5"/>
  <c r="C724" i="5" s="1"/>
  <c r="B723" i="5"/>
  <c r="C723" i="5" s="1"/>
  <c r="B722" i="5"/>
  <c r="C722" i="5" s="1"/>
  <c r="B721" i="5"/>
  <c r="C721" i="5" s="1"/>
  <c r="B720" i="5"/>
  <c r="C720" i="5" s="1"/>
  <c r="B719" i="5"/>
  <c r="C719" i="5" s="1"/>
  <c r="B718" i="5"/>
  <c r="C718" i="5" s="1"/>
  <c r="B717" i="5"/>
  <c r="C717" i="5" s="1"/>
  <c r="B716" i="5"/>
  <c r="C716" i="5" s="1"/>
  <c r="B715" i="5"/>
  <c r="C715" i="5" s="1"/>
  <c r="B714" i="5"/>
  <c r="C714" i="5" s="1"/>
  <c r="B713" i="5"/>
  <c r="C713" i="5" s="1"/>
  <c r="B712" i="5"/>
  <c r="C712" i="5" s="1"/>
  <c r="B711" i="5"/>
  <c r="C711" i="5" s="1"/>
  <c r="B710" i="5"/>
  <c r="C710" i="5" s="1"/>
  <c r="B709" i="5"/>
  <c r="C709" i="5" s="1"/>
  <c r="B708" i="5"/>
  <c r="C708" i="5" s="1"/>
  <c r="B707" i="5"/>
  <c r="C707" i="5" s="1"/>
  <c r="B706" i="5"/>
  <c r="C706" i="5" s="1"/>
  <c r="B705" i="5"/>
  <c r="C705" i="5" s="1"/>
  <c r="B704" i="5"/>
  <c r="C704" i="5" s="1"/>
  <c r="B703" i="5"/>
  <c r="C703" i="5" s="1"/>
  <c r="B702" i="5"/>
  <c r="C702" i="5" s="1"/>
  <c r="B701" i="5"/>
  <c r="C701" i="5" s="1"/>
  <c r="B700" i="5"/>
  <c r="C700" i="5" s="1"/>
  <c r="B699" i="5"/>
  <c r="C699" i="5" s="1"/>
  <c r="B698" i="5"/>
  <c r="C698" i="5" s="1"/>
  <c r="B697" i="5"/>
  <c r="C697" i="5" s="1"/>
  <c r="B696" i="5"/>
  <c r="C696" i="5" s="1"/>
  <c r="B695" i="5"/>
  <c r="C695" i="5" s="1"/>
  <c r="B694" i="5"/>
  <c r="C694" i="5" s="1"/>
  <c r="B693" i="5"/>
  <c r="C693" i="5" s="1"/>
  <c r="B692" i="5"/>
  <c r="C692" i="5" s="1"/>
  <c r="B691" i="5"/>
  <c r="C691" i="5" s="1"/>
  <c r="B690" i="5"/>
  <c r="C690" i="5" s="1"/>
  <c r="B689" i="5"/>
  <c r="C689" i="5" s="1"/>
  <c r="B688" i="5"/>
  <c r="C688" i="5" s="1"/>
  <c r="B687" i="5"/>
  <c r="C687" i="5" s="1"/>
  <c r="B686" i="5"/>
  <c r="C686" i="5" s="1"/>
  <c r="B685" i="5"/>
  <c r="C685" i="5" s="1"/>
  <c r="B684" i="5"/>
  <c r="C684" i="5" s="1"/>
  <c r="B683" i="5"/>
  <c r="C683" i="5" s="1"/>
  <c r="B682" i="5"/>
  <c r="C682" i="5" s="1"/>
  <c r="B681" i="5"/>
  <c r="C681" i="5" s="1"/>
  <c r="B680" i="5"/>
  <c r="C680" i="5" s="1"/>
  <c r="B679" i="5"/>
  <c r="C679" i="5" s="1"/>
  <c r="B678" i="5"/>
  <c r="C678" i="5" s="1"/>
  <c r="B677" i="5"/>
  <c r="C677" i="5" s="1"/>
  <c r="B676" i="5"/>
  <c r="C676" i="5" s="1"/>
  <c r="B675" i="5"/>
  <c r="C675" i="5" s="1"/>
  <c r="B674" i="5"/>
  <c r="C674" i="5" s="1"/>
  <c r="B673" i="5"/>
  <c r="C673" i="5" s="1"/>
  <c r="B672" i="5"/>
  <c r="C672" i="5" s="1"/>
  <c r="B671" i="5"/>
  <c r="C671" i="5" s="1"/>
  <c r="B670" i="5"/>
  <c r="C670" i="5" s="1"/>
  <c r="B669" i="5"/>
  <c r="C669" i="5" s="1"/>
  <c r="B668" i="5"/>
  <c r="C668" i="5" s="1"/>
  <c r="B667" i="5"/>
  <c r="C667" i="5" s="1"/>
  <c r="B666" i="5"/>
  <c r="C666" i="5" s="1"/>
  <c r="B665" i="5"/>
  <c r="C665" i="5" s="1"/>
  <c r="B664" i="5"/>
  <c r="C664" i="5" s="1"/>
  <c r="B663" i="5"/>
  <c r="C663" i="5" s="1"/>
  <c r="B662" i="5"/>
  <c r="C662" i="5" s="1"/>
  <c r="B661" i="5"/>
  <c r="C661" i="5" s="1"/>
  <c r="B660" i="5"/>
  <c r="C660" i="5" s="1"/>
  <c r="B659" i="5"/>
  <c r="C659" i="5" s="1"/>
  <c r="B658" i="5"/>
  <c r="C658" i="5" s="1"/>
  <c r="B657" i="5"/>
  <c r="C657" i="5" s="1"/>
  <c r="B656" i="5"/>
  <c r="C656" i="5" s="1"/>
  <c r="B655" i="5"/>
  <c r="C655" i="5" s="1"/>
  <c r="B654" i="5"/>
  <c r="C654" i="5" s="1"/>
  <c r="B653" i="5"/>
  <c r="C653" i="5" s="1"/>
  <c r="B652" i="5"/>
  <c r="C652" i="5" s="1"/>
  <c r="B651" i="5"/>
  <c r="C651" i="5" s="1"/>
  <c r="B650" i="5"/>
  <c r="C650" i="5" s="1"/>
  <c r="B649" i="5"/>
  <c r="C649" i="5" s="1"/>
  <c r="B648" i="5"/>
  <c r="C648" i="5" s="1"/>
  <c r="B647" i="5"/>
  <c r="C647" i="5" s="1"/>
  <c r="B646" i="5"/>
  <c r="C646" i="5" s="1"/>
  <c r="B645" i="5"/>
  <c r="C645" i="5" s="1"/>
  <c r="B644" i="5"/>
  <c r="C644" i="5" s="1"/>
  <c r="B643" i="5"/>
  <c r="C643" i="5" s="1"/>
  <c r="B642" i="5"/>
  <c r="C642" i="5" s="1"/>
  <c r="B641" i="5"/>
  <c r="C641" i="5" s="1"/>
  <c r="B640" i="5"/>
  <c r="C640" i="5" s="1"/>
  <c r="B639" i="5"/>
  <c r="C639" i="5" s="1"/>
  <c r="B638" i="5"/>
  <c r="C638" i="5" s="1"/>
  <c r="B637" i="5"/>
  <c r="C637" i="5" s="1"/>
  <c r="B636" i="5"/>
  <c r="C636" i="5" s="1"/>
  <c r="B635" i="5"/>
  <c r="C635" i="5" s="1"/>
  <c r="B634" i="5"/>
  <c r="C634" i="5" s="1"/>
  <c r="B633" i="5"/>
  <c r="C633" i="5" s="1"/>
  <c r="B632" i="5"/>
  <c r="C632" i="5" s="1"/>
  <c r="B631" i="5"/>
  <c r="C631" i="5" s="1"/>
  <c r="B630" i="5"/>
  <c r="C630" i="5" s="1"/>
  <c r="B629" i="5"/>
  <c r="C629" i="5" s="1"/>
  <c r="B628" i="5"/>
  <c r="C628" i="5" s="1"/>
  <c r="B627" i="5"/>
  <c r="C627" i="5" s="1"/>
  <c r="B626" i="5"/>
  <c r="C626" i="5" s="1"/>
  <c r="B625" i="5"/>
  <c r="C625" i="5" s="1"/>
  <c r="B624" i="5"/>
  <c r="C624" i="5" s="1"/>
  <c r="B623" i="5"/>
  <c r="C623" i="5" s="1"/>
  <c r="B622" i="5"/>
  <c r="C622" i="5" s="1"/>
  <c r="B621" i="5"/>
  <c r="C621" i="5" s="1"/>
  <c r="B620" i="5"/>
  <c r="C620" i="5" s="1"/>
  <c r="B619" i="5"/>
  <c r="C619" i="5" s="1"/>
  <c r="B618" i="5"/>
  <c r="C618" i="5" s="1"/>
  <c r="B617" i="5"/>
  <c r="C617" i="5" s="1"/>
  <c r="B616" i="5"/>
  <c r="C616" i="5" s="1"/>
  <c r="B615" i="5"/>
  <c r="C615" i="5" s="1"/>
  <c r="B614" i="5"/>
  <c r="C614" i="5" s="1"/>
  <c r="B613" i="5"/>
  <c r="C613" i="5" s="1"/>
  <c r="B612" i="5"/>
  <c r="C612" i="5" s="1"/>
  <c r="B611" i="5"/>
  <c r="C611" i="5" s="1"/>
  <c r="B610" i="5"/>
  <c r="C610" i="5" s="1"/>
  <c r="B609" i="5"/>
  <c r="C609" i="5" s="1"/>
  <c r="B608" i="5"/>
  <c r="C608" i="5" s="1"/>
  <c r="B607" i="5"/>
  <c r="C607" i="5" s="1"/>
  <c r="B606" i="5"/>
  <c r="C606" i="5" s="1"/>
  <c r="B605" i="5"/>
  <c r="C605" i="5" s="1"/>
  <c r="B604" i="5"/>
  <c r="C604" i="5" s="1"/>
  <c r="B603" i="5"/>
  <c r="C603" i="5" s="1"/>
  <c r="B602" i="5"/>
  <c r="C602" i="5" s="1"/>
  <c r="B601" i="5"/>
  <c r="C601" i="5" s="1"/>
  <c r="B600" i="5"/>
  <c r="C600" i="5" s="1"/>
  <c r="B599" i="5"/>
  <c r="C599" i="5" s="1"/>
  <c r="B598" i="5"/>
  <c r="C598" i="5" s="1"/>
  <c r="B597" i="5"/>
  <c r="C597" i="5" s="1"/>
  <c r="B596" i="5"/>
  <c r="C596" i="5" s="1"/>
  <c r="B595" i="5"/>
  <c r="C595" i="5" s="1"/>
  <c r="B594" i="5"/>
  <c r="C594" i="5" s="1"/>
  <c r="B593" i="5"/>
  <c r="C593" i="5" s="1"/>
  <c r="B592" i="5"/>
  <c r="C592" i="5" s="1"/>
  <c r="B591" i="5"/>
  <c r="C591" i="5" s="1"/>
  <c r="B590" i="5"/>
  <c r="C590" i="5" s="1"/>
  <c r="B589" i="5"/>
  <c r="C589" i="5" s="1"/>
  <c r="B588" i="5"/>
  <c r="C588" i="5" s="1"/>
  <c r="B587" i="5"/>
  <c r="C587" i="5" s="1"/>
  <c r="B586" i="5"/>
  <c r="C586" i="5" s="1"/>
  <c r="B585" i="5"/>
  <c r="C585" i="5" s="1"/>
  <c r="B584" i="5"/>
  <c r="C584" i="5" s="1"/>
  <c r="B583" i="5"/>
  <c r="C583" i="5" s="1"/>
  <c r="B582" i="5"/>
  <c r="C582" i="5" s="1"/>
  <c r="B581" i="5"/>
  <c r="C581" i="5" s="1"/>
  <c r="B580" i="5"/>
  <c r="C580" i="5" s="1"/>
  <c r="B579" i="5"/>
  <c r="C579" i="5" s="1"/>
  <c r="B578" i="5"/>
  <c r="C578" i="5" s="1"/>
  <c r="B577" i="5"/>
  <c r="C577" i="5" s="1"/>
  <c r="B576" i="5"/>
  <c r="C576" i="5" s="1"/>
  <c r="B575" i="5"/>
  <c r="C575" i="5" s="1"/>
  <c r="B574" i="5"/>
  <c r="C574" i="5" s="1"/>
  <c r="B573" i="5"/>
  <c r="C573" i="5" s="1"/>
  <c r="B572" i="5"/>
  <c r="C572" i="5" s="1"/>
  <c r="B571" i="5"/>
  <c r="C571" i="5" s="1"/>
  <c r="B570" i="5"/>
  <c r="C570" i="5" s="1"/>
  <c r="B569" i="5"/>
  <c r="C569" i="5" s="1"/>
  <c r="B568" i="5"/>
  <c r="C568" i="5" s="1"/>
  <c r="B567" i="5"/>
  <c r="C567" i="5" s="1"/>
  <c r="B566" i="5"/>
  <c r="C566" i="5" s="1"/>
  <c r="B565" i="5"/>
  <c r="C565" i="5" s="1"/>
  <c r="B564" i="5"/>
  <c r="C564" i="5" s="1"/>
  <c r="B563" i="5"/>
  <c r="C563" i="5" s="1"/>
  <c r="B562" i="5"/>
  <c r="C562" i="5" s="1"/>
  <c r="B561" i="5"/>
  <c r="C561" i="5" s="1"/>
  <c r="B560" i="5"/>
  <c r="C560" i="5" s="1"/>
  <c r="B559" i="5"/>
  <c r="C559" i="5" s="1"/>
  <c r="B558" i="5"/>
  <c r="C558" i="5" s="1"/>
  <c r="B557" i="5"/>
  <c r="C557" i="5" s="1"/>
  <c r="B556" i="5"/>
  <c r="C556" i="5" s="1"/>
  <c r="B555" i="5"/>
  <c r="C555" i="5" s="1"/>
  <c r="B554" i="5"/>
  <c r="C554" i="5" s="1"/>
  <c r="B553" i="5"/>
  <c r="C553" i="5" s="1"/>
  <c r="B552" i="5"/>
  <c r="C552" i="5" s="1"/>
  <c r="B551" i="5"/>
  <c r="C551" i="5" s="1"/>
  <c r="B550" i="5"/>
  <c r="C550" i="5" s="1"/>
  <c r="B549" i="5"/>
  <c r="C549" i="5" s="1"/>
  <c r="B548" i="5"/>
  <c r="C548" i="5" s="1"/>
  <c r="B547" i="5"/>
  <c r="C547" i="5" s="1"/>
  <c r="B546" i="5"/>
  <c r="C546" i="5" s="1"/>
  <c r="B545" i="5"/>
  <c r="C545" i="5" s="1"/>
  <c r="B544" i="5"/>
  <c r="C544" i="5" s="1"/>
  <c r="B543" i="5"/>
  <c r="C543" i="5" s="1"/>
  <c r="B542" i="5"/>
  <c r="C542" i="5" s="1"/>
  <c r="B541" i="5"/>
  <c r="C541" i="5" s="1"/>
  <c r="B540" i="5"/>
  <c r="C540" i="5" s="1"/>
  <c r="B539" i="5"/>
  <c r="C539" i="5" s="1"/>
  <c r="B538" i="5"/>
  <c r="C538" i="5" s="1"/>
  <c r="B537" i="5"/>
  <c r="C537" i="5" s="1"/>
  <c r="B536" i="5"/>
  <c r="C536" i="5" s="1"/>
  <c r="B535" i="5"/>
  <c r="C535" i="5" s="1"/>
  <c r="B534" i="5"/>
  <c r="C534" i="5" s="1"/>
  <c r="B533" i="5"/>
  <c r="C533" i="5" s="1"/>
  <c r="B532" i="5"/>
  <c r="C532" i="5" s="1"/>
  <c r="B531" i="5"/>
  <c r="C531" i="5" s="1"/>
  <c r="B530" i="5"/>
  <c r="C530" i="5" s="1"/>
  <c r="B529" i="5"/>
  <c r="C529" i="5" s="1"/>
  <c r="B528" i="5"/>
  <c r="C528" i="5" s="1"/>
  <c r="B527" i="5"/>
  <c r="C527" i="5" s="1"/>
  <c r="B526" i="5"/>
  <c r="C526" i="5" s="1"/>
  <c r="B525" i="5"/>
  <c r="C525" i="5" s="1"/>
  <c r="B524" i="5"/>
  <c r="C524" i="5" s="1"/>
  <c r="B523" i="5"/>
  <c r="C523" i="5" s="1"/>
  <c r="B522" i="5"/>
  <c r="C522" i="5" s="1"/>
  <c r="B521" i="5"/>
  <c r="C521" i="5" s="1"/>
  <c r="B520" i="5"/>
  <c r="C520" i="5" s="1"/>
  <c r="B519" i="5"/>
  <c r="C519" i="5" s="1"/>
  <c r="B518" i="5"/>
  <c r="C518" i="5" s="1"/>
  <c r="B517" i="5"/>
  <c r="C517" i="5" s="1"/>
  <c r="B516" i="5"/>
  <c r="C516" i="5" s="1"/>
  <c r="B515" i="5"/>
  <c r="C515" i="5" s="1"/>
  <c r="B514" i="5"/>
  <c r="C514" i="5" s="1"/>
  <c r="B513" i="5"/>
  <c r="C513" i="5" s="1"/>
  <c r="B512" i="5"/>
  <c r="C512" i="5" s="1"/>
  <c r="B511" i="5"/>
  <c r="C511" i="5" s="1"/>
  <c r="B510" i="5"/>
  <c r="C510" i="5" s="1"/>
  <c r="B509" i="5"/>
  <c r="C509" i="5" s="1"/>
  <c r="B508" i="5"/>
  <c r="C508" i="5" s="1"/>
  <c r="B507" i="5"/>
  <c r="C507" i="5" s="1"/>
  <c r="B506" i="5"/>
  <c r="C506" i="5" s="1"/>
  <c r="B505" i="5"/>
  <c r="C505" i="5" s="1"/>
  <c r="B504" i="5"/>
  <c r="C504" i="5" s="1"/>
  <c r="B503" i="5"/>
  <c r="C503" i="5" s="1"/>
  <c r="B502" i="5"/>
  <c r="C502" i="5" s="1"/>
  <c r="B501" i="5"/>
  <c r="C501" i="5" s="1"/>
  <c r="B500" i="5"/>
  <c r="C500" i="5" s="1"/>
  <c r="B499" i="5"/>
  <c r="C499" i="5" s="1"/>
  <c r="B498" i="5"/>
  <c r="C498" i="5" s="1"/>
  <c r="B497" i="5"/>
  <c r="C497" i="5" s="1"/>
  <c r="B496" i="5"/>
  <c r="C496" i="5" s="1"/>
  <c r="B495" i="5"/>
  <c r="C495" i="5" s="1"/>
  <c r="B494" i="5"/>
  <c r="C494" i="5" s="1"/>
  <c r="B493" i="5"/>
  <c r="C493" i="5" s="1"/>
  <c r="B492" i="5"/>
  <c r="C492" i="5" s="1"/>
  <c r="B491" i="5"/>
  <c r="C491" i="5" s="1"/>
  <c r="B490" i="5"/>
  <c r="C490" i="5" s="1"/>
  <c r="B489" i="5"/>
  <c r="C489" i="5" s="1"/>
  <c r="B488" i="5"/>
  <c r="C488" i="5" s="1"/>
  <c r="B487" i="5"/>
  <c r="C487" i="5" s="1"/>
  <c r="B486" i="5"/>
  <c r="C486" i="5" s="1"/>
  <c r="B485" i="5"/>
  <c r="C485" i="5" s="1"/>
  <c r="B484" i="5"/>
  <c r="C484" i="5" s="1"/>
  <c r="B483" i="5"/>
  <c r="C483" i="5" s="1"/>
  <c r="B482" i="5"/>
  <c r="C482" i="5" s="1"/>
  <c r="B481" i="5"/>
  <c r="C481" i="5" s="1"/>
  <c r="B480" i="5"/>
  <c r="C480" i="5" s="1"/>
  <c r="B479" i="5"/>
  <c r="C479" i="5" s="1"/>
  <c r="B478" i="5"/>
  <c r="C478" i="5" s="1"/>
  <c r="B477" i="5"/>
  <c r="C477" i="5" s="1"/>
  <c r="B476" i="5"/>
  <c r="C476" i="5" s="1"/>
  <c r="B475" i="5"/>
  <c r="C475" i="5" s="1"/>
  <c r="B474" i="5"/>
  <c r="C474" i="5" s="1"/>
  <c r="B473" i="5"/>
  <c r="C473" i="5" s="1"/>
  <c r="B472" i="5"/>
  <c r="C472" i="5" s="1"/>
  <c r="B471" i="5"/>
  <c r="C471" i="5" s="1"/>
  <c r="B470" i="5"/>
  <c r="C470" i="5" s="1"/>
  <c r="B469" i="5"/>
  <c r="C469" i="5" s="1"/>
  <c r="B468" i="5"/>
  <c r="C468" i="5" s="1"/>
  <c r="B467" i="5"/>
  <c r="C467" i="5" s="1"/>
  <c r="B466" i="5"/>
  <c r="C466" i="5" s="1"/>
  <c r="B465" i="5"/>
  <c r="C465" i="5" s="1"/>
  <c r="B464" i="5"/>
  <c r="C464" i="5" s="1"/>
  <c r="B463" i="5"/>
  <c r="C463" i="5" s="1"/>
  <c r="B462" i="5"/>
  <c r="C462" i="5" s="1"/>
  <c r="B461" i="5"/>
  <c r="C461" i="5" s="1"/>
  <c r="B460" i="5"/>
  <c r="C460" i="5" s="1"/>
  <c r="B459" i="5"/>
  <c r="C459" i="5" s="1"/>
  <c r="B458" i="5"/>
  <c r="C458" i="5" s="1"/>
  <c r="B457" i="5"/>
  <c r="C457" i="5" s="1"/>
  <c r="B456" i="5"/>
  <c r="C456" i="5" s="1"/>
  <c r="B455" i="5"/>
  <c r="C455" i="5" s="1"/>
  <c r="B454" i="5"/>
  <c r="C454" i="5" s="1"/>
  <c r="B453" i="5"/>
  <c r="C453" i="5" s="1"/>
  <c r="B452" i="5"/>
  <c r="C452" i="5" s="1"/>
  <c r="B451" i="5"/>
  <c r="C451" i="5" s="1"/>
  <c r="B450" i="5"/>
  <c r="C450" i="5" s="1"/>
  <c r="B449" i="5"/>
  <c r="C449" i="5" s="1"/>
  <c r="B448" i="5"/>
  <c r="C448" i="5" s="1"/>
  <c r="B447" i="5"/>
  <c r="C447" i="5" s="1"/>
  <c r="B446" i="5"/>
  <c r="C446" i="5" s="1"/>
  <c r="B445" i="5"/>
  <c r="C445" i="5" s="1"/>
  <c r="B444" i="5"/>
  <c r="C444" i="5" s="1"/>
  <c r="B443" i="5"/>
  <c r="C443" i="5" s="1"/>
  <c r="B442" i="5"/>
  <c r="C442" i="5" s="1"/>
  <c r="B441" i="5"/>
  <c r="C441" i="5" s="1"/>
  <c r="B440" i="5"/>
  <c r="C440" i="5" s="1"/>
  <c r="B439" i="5"/>
  <c r="C439" i="5" s="1"/>
  <c r="B438" i="5"/>
  <c r="C438" i="5" s="1"/>
  <c r="B437" i="5"/>
  <c r="C437" i="5" s="1"/>
  <c r="B436" i="5"/>
  <c r="C436" i="5" s="1"/>
  <c r="B435" i="5"/>
  <c r="C435" i="5" s="1"/>
  <c r="B434" i="5"/>
  <c r="C434" i="5" s="1"/>
  <c r="B433" i="5"/>
  <c r="C433" i="5" s="1"/>
  <c r="B432" i="5"/>
  <c r="C432" i="5" s="1"/>
  <c r="B431" i="5"/>
  <c r="C431" i="5" s="1"/>
  <c r="B430" i="5"/>
  <c r="C430" i="5" s="1"/>
  <c r="B429" i="5"/>
  <c r="C429" i="5" s="1"/>
  <c r="B428" i="5"/>
  <c r="C428" i="5" s="1"/>
  <c r="B427" i="5"/>
  <c r="C427" i="5" s="1"/>
  <c r="B426" i="5"/>
  <c r="C426" i="5" s="1"/>
  <c r="B425" i="5"/>
  <c r="C425" i="5" s="1"/>
  <c r="B424" i="5"/>
  <c r="C424" i="5" s="1"/>
  <c r="B423" i="5"/>
  <c r="C423" i="5" s="1"/>
  <c r="B422" i="5"/>
  <c r="C422" i="5" s="1"/>
  <c r="B421" i="5"/>
  <c r="C421" i="5" s="1"/>
  <c r="B420" i="5"/>
  <c r="C420" i="5" s="1"/>
  <c r="B419" i="5"/>
  <c r="C419" i="5" s="1"/>
  <c r="B418" i="5"/>
  <c r="C418" i="5" s="1"/>
  <c r="B417" i="5"/>
  <c r="C417" i="5" s="1"/>
  <c r="B416" i="5"/>
  <c r="C416" i="5" s="1"/>
  <c r="B415" i="5"/>
  <c r="C415" i="5" s="1"/>
  <c r="B414" i="5"/>
  <c r="C414" i="5" s="1"/>
  <c r="B413" i="5"/>
  <c r="C413" i="5" s="1"/>
  <c r="B412" i="5"/>
  <c r="C412" i="5" s="1"/>
  <c r="B411" i="5"/>
  <c r="C411" i="5" s="1"/>
  <c r="B410" i="5"/>
  <c r="C410" i="5" s="1"/>
  <c r="B409" i="5"/>
  <c r="C409" i="5" s="1"/>
  <c r="B408" i="5"/>
  <c r="C408" i="5" s="1"/>
  <c r="B407" i="5"/>
  <c r="C407" i="5" s="1"/>
  <c r="B406" i="5"/>
  <c r="C406" i="5" s="1"/>
  <c r="B405" i="5"/>
  <c r="C405" i="5" s="1"/>
  <c r="B404" i="5"/>
  <c r="C404" i="5" s="1"/>
  <c r="B403" i="5"/>
  <c r="C403" i="5" s="1"/>
  <c r="B402" i="5"/>
  <c r="C402" i="5" s="1"/>
  <c r="B401" i="5"/>
  <c r="C401" i="5" s="1"/>
  <c r="B400" i="5"/>
  <c r="C400" i="5" s="1"/>
  <c r="B399" i="5"/>
  <c r="C399" i="5" s="1"/>
  <c r="B398" i="5"/>
  <c r="C398" i="5" s="1"/>
  <c r="B397" i="5"/>
  <c r="C397" i="5" s="1"/>
  <c r="B396" i="5"/>
  <c r="C396" i="5" s="1"/>
  <c r="B395" i="5"/>
  <c r="C395" i="5" s="1"/>
  <c r="B394" i="5"/>
  <c r="C394" i="5" s="1"/>
  <c r="B393" i="5"/>
  <c r="C393" i="5" s="1"/>
  <c r="B392" i="5"/>
  <c r="C392" i="5" s="1"/>
  <c r="B391" i="5"/>
  <c r="C391" i="5" s="1"/>
  <c r="B390" i="5"/>
  <c r="C390" i="5" s="1"/>
  <c r="B389" i="5"/>
  <c r="C389" i="5" s="1"/>
  <c r="B388" i="5"/>
  <c r="C388" i="5" s="1"/>
  <c r="B387" i="5"/>
  <c r="C387" i="5" s="1"/>
  <c r="B386" i="5"/>
  <c r="C386" i="5" s="1"/>
  <c r="B385" i="5"/>
  <c r="C385" i="5" s="1"/>
  <c r="B384" i="5"/>
  <c r="C384" i="5" s="1"/>
  <c r="B383" i="5"/>
  <c r="C383" i="5" s="1"/>
  <c r="B382" i="5"/>
  <c r="C382" i="5" s="1"/>
  <c r="B381" i="5"/>
  <c r="C381" i="5" s="1"/>
  <c r="B380" i="5"/>
  <c r="C380" i="5" s="1"/>
  <c r="B379" i="5"/>
  <c r="C379" i="5" s="1"/>
  <c r="B378" i="5"/>
  <c r="C378" i="5" s="1"/>
  <c r="B377" i="5"/>
  <c r="C377" i="5" s="1"/>
  <c r="B376" i="5"/>
  <c r="C376" i="5" s="1"/>
  <c r="B375" i="5"/>
  <c r="C375" i="5" s="1"/>
  <c r="B374" i="5"/>
  <c r="C374" i="5" s="1"/>
  <c r="B373" i="5"/>
  <c r="C373" i="5" s="1"/>
  <c r="B372" i="5"/>
  <c r="C372" i="5" s="1"/>
  <c r="B371" i="5"/>
  <c r="C371" i="5" s="1"/>
  <c r="B370" i="5"/>
  <c r="C370" i="5" s="1"/>
  <c r="B369" i="5"/>
  <c r="C369" i="5" s="1"/>
  <c r="B368" i="5"/>
  <c r="C368" i="5" s="1"/>
  <c r="B367" i="5"/>
  <c r="C367" i="5" s="1"/>
  <c r="B366" i="5"/>
  <c r="C366" i="5" s="1"/>
  <c r="B365" i="5"/>
  <c r="C365" i="5" s="1"/>
  <c r="B364" i="5"/>
  <c r="C364" i="5" s="1"/>
  <c r="B363" i="5"/>
  <c r="C363" i="5" s="1"/>
  <c r="B362" i="5"/>
  <c r="C362" i="5" s="1"/>
  <c r="B361" i="5"/>
  <c r="C361" i="5" s="1"/>
  <c r="B360" i="5"/>
  <c r="C360" i="5" s="1"/>
  <c r="B359" i="5"/>
  <c r="C359" i="5" s="1"/>
  <c r="B358" i="5"/>
  <c r="C358" i="5" s="1"/>
  <c r="B357" i="5"/>
  <c r="C357" i="5" s="1"/>
  <c r="B356" i="5"/>
  <c r="C356" i="5" s="1"/>
  <c r="B355" i="5"/>
  <c r="C355" i="5" s="1"/>
  <c r="B354" i="5"/>
  <c r="C354" i="5" s="1"/>
  <c r="B353" i="5"/>
  <c r="C353" i="5" s="1"/>
  <c r="B352" i="5"/>
  <c r="C352" i="5" s="1"/>
  <c r="B351" i="5"/>
  <c r="C351" i="5" s="1"/>
  <c r="B350" i="5"/>
  <c r="C350" i="5" s="1"/>
  <c r="B349" i="5"/>
  <c r="C349" i="5" s="1"/>
  <c r="B348" i="5"/>
  <c r="C348" i="5" s="1"/>
  <c r="B347" i="5"/>
  <c r="C347" i="5" s="1"/>
  <c r="B346" i="5"/>
  <c r="C346" i="5" s="1"/>
  <c r="B345" i="5"/>
  <c r="C345" i="5" s="1"/>
  <c r="B344" i="5"/>
  <c r="C344" i="5" s="1"/>
  <c r="B343" i="5"/>
  <c r="C343" i="5" s="1"/>
  <c r="B342" i="5"/>
  <c r="C342" i="5" s="1"/>
  <c r="B341" i="5"/>
  <c r="C341" i="5" s="1"/>
  <c r="B340" i="5"/>
  <c r="C340" i="5" s="1"/>
  <c r="B339" i="5"/>
  <c r="C339" i="5" s="1"/>
  <c r="B338" i="5"/>
  <c r="C338" i="5" s="1"/>
  <c r="B337" i="5"/>
  <c r="C337" i="5" s="1"/>
  <c r="B336" i="5"/>
  <c r="C336" i="5" s="1"/>
  <c r="B335" i="5"/>
  <c r="C335" i="5" s="1"/>
  <c r="B334" i="5"/>
  <c r="C334" i="5" s="1"/>
  <c r="B333" i="5"/>
  <c r="C333" i="5" s="1"/>
  <c r="B332" i="5"/>
  <c r="C332" i="5" s="1"/>
  <c r="B331" i="5"/>
  <c r="C331" i="5" s="1"/>
  <c r="B330" i="5"/>
  <c r="C330" i="5" s="1"/>
  <c r="B329" i="5"/>
  <c r="C329" i="5" s="1"/>
  <c r="B328" i="5"/>
  <c r="C328" i="5" s="1"/>
  <c r="B327" i="5"/>
  <c r="C327" i="5" s="1"/>
  <c r="B326" i="5"/>
  <c r="C326" i="5" s="1"/>
  <c r="B325" i="5"/>
  <c r="C325" i="5" s="1"/>
  <c r="B324" i="5"/>
  <c r="C324" i="5" s="1"/>
  <c r="B323" i="5"/>
  <c r="C323" i="5" s="1"/>
  <c r="B322" i="5"/>
  <c r="C322" i="5" s="1"/>
  <c r="B321" i="5"/>
  <c r="C321" i="5" s="1"/>
  <c r="B320" i="5"/>
  <c r="C320" i="5" s="1"/>
  <c r="B319" i="5"/>
  <c r="C319" i="5" s="1"/>
  <c r="B318" i="5"/>
  <c r="C318" i="5" s="1"/>
  <c r="B317" i="5"/>
  <c r="C317" i="5" s="1"/>
  <c r="B316" i="5"/>
  <c r="C316" i="5" s="1"/>
  <c r="B315" i="5"/>
  <c r="C315" i="5" s="1"/>
  <c r="B314" i="5"/>
  <c r="C314" i="5" s="1"/>
  <c r="B313" i="5"/>
  <c r="C313" i="5" s="1"/>
  <c r="B312" i="5"/>
  <c r="C312" i="5" s="1"/>
  <c r="B311" i="5"/>
  <c r="C311" i="5" s="1"/>
  <c r="B310" i="5"/>
  <c r="C310" i="5" s="1"/>
  <c r="B309" i="5"/>
  <c r="C309" i="5" s="1"/>
  <c r="B308" i="5"/>
  <c r="C308" i="5" s="1"/>
  <c r="B307" i="5"/>
  <c r="C307" i="5" s="1"/>
  <c r="B306" i="5"/>
  <c r="C306" i="5" s="1"/>
  <c r="B305" i="5"/>
  <c r="C305" i="5" s="1"/>
  <c r="B304" i="5"/>
  <c r="C304" i="5" s="1"/>
  <c r="B303" i="5"/>
  <c r="C303" i="5" s="1"/>
  <c r="B302" i="5"/>
  <c r="C302" i="5" s="1"/>
  <c r="B301" i="5"/>
  <c r="C301" i="5" s="1"/>
  <c r="B300" i="5"/>
  <c r="C300" i="5" s="1"/>
  <c r="B299" i="5"/>
  <c r="C299" i="5" s="1"/>
  <c r="B298" i="5"/>
  <c r="C298" i="5" s="1"/>
  <c r="B297" i="5"/>
  <c r="C297" i="5" s="1"/>
  <c r="B296" i="5"/>
  <c r="C296" i="5" s="1"/>
  <c r="B295" i="5"/>
  <c r="C295" i="5" s="1"/>
  <c r="B294" i="5"/>
  <c r="C294" i="5" s="1"/>
  <c r="B293" i="5"/>
  <c r="C293" i="5" s="1"/>
  <c r="B292" i="5"/>
  <c r="C292" i="5" s="1"/>
  <c r="B291" i="5"/>
  <c r="C291" i="5" s="1"/>
  <c r="B290" i="5"/>
  <c r="C290" i="5" s="1"/>
  <c r="B289" i="5"/>
  <c r="C289" i="5" s="1"/>
  <c r="B288" i="5"/>
  <c r="C288" i="5" s="1"/>
  <c r="B287" i="5"/>
  <c r="C287" i="5" s="1"/>
  <c r="B286" i="5"/>
  <c r="C286" i="5" s="1"/>
  <c r="B285" i="5"/>
  <c r="C285" i="5" s="1"/>
  <c r="B284" i="5"/>
  <c r="C284" i="5" s="1"/>
  <c r="B283" i="5"/>
  <c r="C283" i="5" s="1"/>
  <c r="B282" i="5"/>
  <c r="C282" i="5" s="1"/>
  <c r="B281" i="5"/>
  <c r="C281" i="5" s="1"/>
  <c r="B280" i="5"/>
  <c r="C280" i="5" s="1"/>
  <c r="B279" i="5"/>
  <c r="C279" i="5" s="1"/>
  <c r="B278" i="5"/>
  <c r="C278" i="5" s="1"/>
  <c r="B277" i="5"/>
  <c r="C277" i="5" s="1"/>
  <c r="B276" i="5"/>
  <c r="C276" i="5" s="1"/>
  <c r="B275" i="5"/>
  <c r="C275" i="5" s="1"/>
  <c r="B274" i="5"/>
  <c r="C274" i="5" s="1"/>
  <c r="B273" i="5"/>
  <c r="C273" i="5" s="1"/>
  <c r="B272" i="5"/>
  <c r="C272" i="5" s="1"/>
  <c r="B271" i="5"/>
  <c r="C271" i="5" s="1"/>
  <c r="B270" i="5"/>
  <c r="C270" i="5" s="1"/>
  <c r="B269" i="5"/>
  <c r="C269" i="5" s="1"/>
  <c r="B268" i="5"/>
  <c r="C268" i="5" s="1"/>
  <c r="B267" i="5"/>
  <c r="C267" i="5" s="1"/>
  <c r="B266" i="5"/>
  <c r="C266" i="5" s="1"/>
  <c r="B265" i="5"/>
  <c r="C265" i="5" s="1"/>
  <c r="B264" i="5"/>
  <c r="C264" i="5" s="1"/>
  <c r="B263" i="5"/>
  <c r="C263" i="5" s="1"/>
  <c r="B262" i="5"/>
  <c r="C262" i="5" s="1"/>
  <c r="B261" i="5"/>
  <c r="C261" i="5" s="1"/>
  <c r="B260" i="5"/>
  <c r="C260" i="5" s="1"/>
  <c r="B259" i="5"/>
  <c r="C259" i="5" s="1"/>
  <c r="B258" i="5"/>
  <c r="C258" i="5" s="1"/>
  <c r="B257" i="5"/>
  <c r="C257" i="5" s="1"/>
  <c r="B256" i="5"/>
  <c r="C256" i="5" s="1"/>
  <c r="B255" i="5"/>
  <c r="C255" i="5" s="1"/>
  <c r="B254" i="5"/>
  <c r="C254" i="5" s="1"/>
  <c r="B253" i="5"/>
  <c r="C253" i="5" s="1"/>
  <c r="B252" i="5"/>
  <c r="C252" i="5" s="1"/>
  <c r="B251" i="5"/>
  <c r="C251" i="5" s="1"/>
  <c r="B250" i="5"/>
  <c r="C250" i="5" s="1"/>
  <c r="B249" i="5"/>
  <c r="C249" i="5" s="1"/>
  <c r="B248" i="5"/>
  <c r="C248" i="5" s="1"/>
  <c r="B247" i="5"/>
  <c r="C247" i="5" s="1"/>
  <c r="B246" i="5"/>
  <c r="C246" i="5" s="1"/>
  <c r="B245" i="5"/>
  <c r="C245" i="5" s="1"/>
  <c r="B244" i="5"/>
  <c r="C244" i="5" s="1"/>
  <c r="B243" i="5"/>
  <c r="C243" i="5" s="1"/>
  <c r="B242" i="5"/>
  <c r="C242" i="5" s="1"/>
  <c r="B241" i="5"/>
  <c r="C241" i="5" s="1"/>
  <c r="B240" i="5"/>
  <c r="C240" i="5" s="1"/>
  <c r="B239" i="5"/>
  <c r="C239" i="5" s="1"/>
  <c r="B238" i="5"/>
  <c r="C238" i="5" s="1"/>
  <c r="B237" i="5"/>
  <c r="C237" i="5" s="1"/>
  <c r="B236" i="5"/>
  <c r="C236" i="5" s="1"/>
  <c r="B235" i="5"/>
  <c r="C235" i="5" s="1"/>
  <c r="B234" i="5"/>
  <c r="C234" i="5" s="1"/>
  <c r="B233" i="5"/>
  <c r="C233" i="5" s="1"/>
  <c r="B232" i="5"/>
  <c r="C232" i="5" s="1"/>
  <c r="B231" i="5"/>
  <c r="C231" i="5" s="1"/>
  <c r="B230" i="5"/>
  <c r="C230" i="5" s="1"/>
  <c r="B229" i="5"/>
  <c r="C229" i="5" s="1"/>
  <c r="B228" i="5"/>
  <c r="C228" i="5" s="1"/>
  <c r="B227" i="5"/>
  <c r="C227" i="5" s="1"/>
  <c r="B226" i="5"/>
  <c r="C226" i="5" s="1"/>
  <c r="B225" i="5"/>
  <c r="C225" i="5" s="1"/>
  <c r="B224" i="5"/>
  <c r="C224" i="5" s="1"/>
  <c r="B223" i="5"/>
  <c r="C223" i="5" s="1"/>
  <c r="B222" i="5"/>
  <c r="C222" i="5" s="1"/>
  <c r="B221" i="5"/>
  <c r="C221" i="5" s="1"/>
  <c r="B220" i="5"/>
  <c r="C220" i="5" s="1"/>
  <c r="B219" i="5"/>
  <c r="C219" i="5" s="1"/>
  <c r="B218" i="5"/>
  <c r="C218" i="5" s="1"/>
  <c r="B217" i="5"/>
  <c r="C217" i="5" s="1"/>
  <c r="B216" i="5"/>
  <c r="C216" i="5" s="1"/>
  <c r="B215" i="5"/>
  <c r="C215" i="5" s="1"/>
  <c r="B214" i="5"/>
  <c r="C214" i="5" s="1"/>
  <c r="B213" i="5"/>
  <c r="C213" i="5" s="1"/>
  <c r="B212" i="5"/>
  <c r="C212" i="5" s="1"/>
  <c r="B211" i="5"/>
  <c r="C211" i="5" s="1"/>
  <c r="B210" i="5"/>
  <c r="C210" i="5" s="1"/>
  <c r="B209" i="5"/>
  <c r="C209" i="5" s="1"/>
  <c r="B208" i="5"/>
  <c r="C208" i="5" s="1"/>
  <c r="B207" i="5"/>
  <c r="C207" i="5" s="1"/>
  <c r="B206" i="5"/>
  <c r="C206" i="5" s="1"/>
  <c r="B205" i="5"/>
  <c r="C205" i="5" s="1"/>
  <c r="B204" i="5"/>
  <c r="C204" i="5" s="1"/>
  <c r="B203" i="5"/>
  <c r="C203" i="5" s="1"/>
  <c r="B202" i="5"/>
  <c r="C202" i="5" s="1"/>
  <c r="B201" i="5"/>
  <c r="C201" i="5" s="1"/>
  <c r="B200" i="5"/>
  <c r="C200" i="5" s="1"/>
  <c r="B199" i="5"/>
  <c r="C199" i="5" s="1"/>
  <c r="B198" i="5"/>
  <c r="C198" i="5" s="1"/>
  <c r="B197" i="5"/>
  <c r="C197" i="5" s="1"/>
  <c r="B196" i="5"/>
  <c r="C196" i="5" s="1"/>
  <c r="B195" i="5"/>
  <c r="C195" i="5" s="1"/>
  <c r="B194" i="5"/>
  <c r="C194" i="5" s="1"/>
  <c r="B193" i="5"/>
  <c r="C193" i="5" s="1"/>
  <c r="B192" i="5"/>
  <c r="C192" i="5" s="1"/>
  <c r="B191" i="5"/>
  <c r="C191" i="5" s="1"/>
  <c r="B190" i="5"/>
  <c r="C190" i="5" s="1"/>
  <c r="B189" i="5"/>
  <c r="C189" i="5" s="1"/>
  <c r="B188" i="5"/>
  <c r="C188" i="5" s="1"/>
  <c r="B187" i="5"/>
  <c r="C187" i="5" s="1"/>
  <c r="B186" i="5"/>
  <c r="C186" i="5" s="1"/>
  <c r="B185" i="5"/>
  <c r="C185" i="5" s="1"/>
  <c r="B184" i="5"/>
  <c r="C184" i="5" s="1"/>
  <c r="B183" i="5"/>
  <c r="C183" i="5" s="1"/>
  <c r="B182" i="5"/>
  <c r="C182" i="5" s="1"/>
  <c r="B181" i="5"/>
  <c r="C181" i="5" s="1"/>
  <c r="B180" i="5"/>
  <c r="C180" i="5" s="1"/>
  <c r="B179" i="5"/>
  <c r="C179" i="5" s="1"/>
  <c r="B178" i="5"/>
  <c r="C178" i="5" s="1"/>
  <c r="B177" i="5"/>
  <c r="C177" i="5" s="1"/>
  <c r="B176" i="5"/>
  <c r="C176" i="5" s="1"/>
  <c r="B175" i="5"/>
  <c r="C175" i="5" s="1"/>
  <c r="B174" i="5"/>
  <c r="C174" i="5" s="1"/>
  <c r="B173" i="5"/>
  <c r="C173" i="5" s="1"/>
  <c r="B172" i="5"/>
  <c r="C172" i="5" s="1"/>
  <c r="B171" i="5"/>
  <c r="C171" i="5" s="1"/>
  <c r="B170" i="5"/>
  <c r="C170" i="5" s="1"/>
  <c r="B169" i="5"/>
  <c r="C169" i="5" s="1"/>
  <c r="B168" i="5"/>
  <c r="C168" i="5" s="1"/>
  <c r="B167" i="5"/>
  <c r="C167" i="5" s="1"/>
  <c r="B166" i="5"/>
  <c r="C166" i="5" s="1"/>
  <c r="B165" i="5"/>
  <c r="C165" i="5" s="1"/>
  <c r="B164" i="5"/>
  <c r="C164" i="5" s="1"/>
  <c r="B163" i="5"/>
  <c r="C163" i="5" s="1"/>
  <c r="B162" i="5"/>
  <c r="C162" i="5" s="1"/>
  <c r="B161" i="5"/>
  <c r="C161" i="5" s="1"/>
  <c r="B160" i="5"/>
  <c r="C160" i="5" s="1"/>
  <c r="B159" i="5"/>
  <c r="C159" i="5" s="1"/>
  <c r="B158" i="5"/>
  <c r="C158" i="5" s="1"/>
  <c r="B157" i="5"/>
  <c r="C157" i="5" s="1"/>
  <c r="B156" i="5"/>
  <c r="C156" i="5" s="1"/>
  <c r="B155" i="5"/>
  <c r="C155" i="5" s="1"/>
  <c r="B154" i="5"/>
  <c r="C154" i="5" s="1"/>
  <c r="B153" i="5"/>
  <c r="C153" i="5" s="1"/>
  <c r="B152" i="5"/>
  <c r="C152" i="5" s="1"/>
  <c r="B151" i="5"/>
  <c r="C151" i="5" s="1"/>
  <c r="B150" i="5"/>
  <c r="C150" i="5" s="1"/>
  <c r="B149" i="5"/>
  <c r="C149" i="5" s="1"/>
  <c r="B148" i="5"/>
  <c r="C148" i="5" s="1"/>
  <c r="B147" i="5"/>
  <c r="C147" i="5" s="1"/>
  <c r="B146" i="5"/>
  <c r="C146" i="5" s="1"/>
  <c r="B145" i="5"/>
  <c r="C145" i="5" s="1"/>
  <c r="B144" i="5"/>
  <c r="C144" i="5" s="1"/>
  <c r="B143" i="5"/>
  <c r="C143" i="5" s="1"/>
  <c r="B142" i="5"/>
  <c r="C142" i="5" s="1"/>
  <c r="B141" i="5"/>
  <c r="C141" i="5" s="1"/>
  <c r="B140" i="5"/>
  <c r="C140" i="5" s="1"/>
  <c r="B139" i="5"/>
  <c r="C139" i="5" s="1"/>
  <c r="B138" i="5"/>
  <c r="C138" i="5" s="1"/>
  <c r="B137" i="5"/>
  <c r="C137" i="5" s="1"/>
  <c r="B136" i="5"/>
  <c r="C136" i="5" s="1"/>
  <c r="B135" i="5"/>
  <c r="C135" i="5" s="1"/>
  <c r="B134" i="5"/>
  <c r="C134" i="5" s="1"/>
  <c r="B133" i="5"/>
  <c r="C133" i="5" s="1"/>
  <c r="B132" i="5"/>
  <c r="C132" i="5" s="1"/>
  <c r="B131" i="5"/>
  <c r="C131" i="5" s="1"/>
  <c r="B130" i="5"/>
  <c r="C130" i="5" s="1"/>
  <c r="B129" i="5"/>
  <c r="C129" i="5" s="1"/>
  <c r="B128" i="5"/>
  <c r="C128" i="5" s="1"/>
  <c r="B127" i="5"/>
  <c r="C127" i="5" s="1"/>
  <c r="B126" i="5"/>
  <c r="C126" i="5" s="1"/>
  <c r="B125" i="5"/>
  <c r="C125" i="5" s="1"/>
  <c r="B124" i="5"/>
  <c r="C124" i="5" s="1"/>
  <c r="B123" i="5"/>
  <c r="C123" i="5" s="1"/>
  <c r="B122" i="5"/>
  <c r="C122" i="5" s="1"/>
  <c r="B121" i="5"/>
  <c r="C121" i="5" s="1"/>
  <c r="B120" i="5"/>
  <c r="C120" i="5" s="1"/>
  <c r="B119" i="5"/>
  <c r="C119" i="5" s="1"/>
  <c r="B118" i="5"/>
  <c r="C118" i="5" s="1"/>
  <c r="B117" i="5"/>
  <c r="C117" i="5" s="1"/>
  <c r="B116" i="5"/>
  <c r="C116" i="5" s="1"/>
  <c r="B115" i="5"/>
  <c r="C115" i="5" s="1"/>
  <c r="B114" i="5"/>
  <c r="C114" i="5" s="1"/>
  <c r="B113" i="5"/>
  <c r="C113" i="5" s="1"/>
  <c r="B112" i="5"/>
  <c r="C112" i="5" s="1"/>
  <c r="B111" i="5"/>
  <c r="C111" i="5" s="1"/>
  <c r="B110" i="5"/>
  <c r="C110" i="5" s="1"/>
  <c r="B109" i="5"/>
  <c r="C109" i="5" s="1"/>
  <c r="B108" i="5"/>
  <c r="C108" i="5" s="1"/>
  <c r="B107" i="5"/>
  <c r="C107" i="5" s="1"/>
  <c r="B106" i="5"/>
  <c r="C106" i="5" s="1"/>
  <c r="B105" i="5"/>
  <c r="C105" i="5" s="1"/>
  <c r="B104" i="5"/>
  <c r="C104" i="5" s="1"/>
  <c r="B103" i="5"/>
  <c r="C103" i="5" s="1"/>
  <c r="B102" i="5"/>
  <c r="C102" i="5" s="1"/>
  <c r="B101" i="5"/>
  <c r="C101" i="5" s="1"/>
  <c r="B100" i="5"/>
  <c r="C100" i="5" s="1"/>
  <c r="B99" i="5"/>
  <c r="C99" i="5" s="1"/>
  <c r="B98" i="5"/>
  <c r="C98" i="5" s="1"/>
  <c r="B97" i="5"/>
  <c r="C97" i="5" s="1"/>
  <c r="B96" i="5"/>
  <c r="C96" i="5" s="1"/>
  <c r="B95" i="5"/>
  <c r="C95" i="5" s="1"/>
  <c r="B94" i="5"/>
  <c r="C94" i="5" s="1"/>
  <c r="B93" i="5"/>
  <c r="C93" i="5" s="1"/>
  <c r="B92" i="5"/>
  <c r="C92" i="5" s="1"/>
  <c r="B91" i="5"/>
  <c r="C91" i="5" s="1"/>
  <c r="B90" i="5"/>
  <c r="C90" i="5" s="1"/>
  <c r="B89" i="5"/>
  <c r="C89" i="5" s="1"/>
  <c r="B88" i="5"/>
  <c r="C88" i="5" s="1"/>
  <c r="B87" i="5"/>
  <c r="C87" i="5" s="1"/>
  <c r="B86" i="5"/>
  <c r="C86" i="5" s="1"/>
  <c r="B85" i="5"/>
  <c r="C85" i="5" s="1"/>
  <c r="B84" i="5"/>
  <c r="C84" i="5" s="1"/>
  <c r="B83" i="5"/>
  <c r="C83" i="5" s="1"/>
  <c r="B82" i="5"/>
  <c r="C82" i="5" s="1"/>
  <c r="B81" i="5"/>
  <c r="C81" i="5" s="1"/>
  <c r="B80" i="5"/>
  <c r="C80" i="5" s="1"/>
  <c r="B79" i="5"/>
  <c r="C79" i="5" s="1"/>
  <c r="B78" i="5"/>
  <c r="C78" i="5" s="1"/>
  <c r="B77" i="5"/>
  <c r="C77" i="5" s="1"/>
  <c r="B76" i="5"/>
  <c r="C76" i="5" s="1"/>
  <c r="B75" i="5"/>
  <c r="C75" i="5" s="1"/>
  <c r="B74" i="5"/>
  <c r="C74" i="5" s="1"/>
  <c r="B73" i="5"/>
  <c r="C73" i="5" s="1"/>
  <c r="B72" i="5"/>
  <c r="C72" i="5" s="1"/>
  <c r="B71" i="5"/>
  <c r="C71" i="5" s="1"/>
  <c r="B70" i="5"/>
  <c r="C70" i="5" s="1"/>
  <c r="B69" i="5"/>
  <c r="C69" i="5" s="1"/>
  <c r="B68" i="5"/>
  <c r="C68" i="5" s="1"/>
  <c r="B67" i="5"/>
  <c r="C67" i="5" s="1"/>
  <c r="B66" i="5"/>
  <c r="C66" i="5" s="1"/>
  <c r="B65" i="5"/>
  <c r="C65" i="5" s="1"/>
  <c r="B64" i="5"/>
  <c r="C64" i="5" s="1"/>
  <c r="B63" i="5"/>
  <c r="C63" i="5" s="1"/>
  <c r="B62" i="5"/>
  <c r="C62" i="5" s="1"/>
  <c r="B61" i="5"/>
  <c r="C61" i="5" s="1"/>
  <c r="B60" i="5"/>
  <c r="C60" i="5" s="1"/>
  <c r="B59" i="5"/>
  <c r="C59" i="5" s="1"/>
  <c r="B58" i="5"/>
  <c r="C58" i="5" s="1"/>
  <c r="B57" i="5"/>
  <c r="C57" i="5" s="1"/>
  <c r="B56" i="5"/>
  <c r="C56" i="5" s="1"/>
  <c r="B55" i="5"/>
  <c r="C55" i="5" s="1"/>
  <c r="B54" i="5"/>
  <c r="C54" i="5" s="1"/>
  <c r="B53" i="5"/>
  <c r="C53" i="5" s="1"/>
  <c r="B52" i="5"/>
  <c r="C52" i="5" s="1"/>
  <c r="B51" i="5"/>
  <c r="C51" i="5" s="1"/>
  <c r="B50" i="5"/>
  <c r="C50" i="5" s="1"/>
  <c r="B49" i="5"/>
  <c r="C49" i="5" s="1"/>
  <c r="B48" i="5"/>
  <c r="C48" i="5" s="1"/>
  <c r="B47" i="5"/>
  <c r="C47" i="5" s="1"/>
  <c r="B46" i="5"/>
  <c r="C46" i="5" s="1"/>
  <c r="B45" i="5"/>
  <c r="C45" i="5" s="1"/>
  <c r="B44" i="5"/>
  <c r="C44" i="5" s="1"/>
  <c r="B43" i="5"/>
  <c r="C43" i="5" s="1"/>
  <c r="B42" i="5"/>
  <c r="C42" i="5" s="1"/>
  <c r="B41" i="5"/>
  <c r="C41" i="5" s="1"/>
  <c r="B40" i="5"/>
  <c r="C40" i="5" s="1"/>
  <c r="B39" i="5"/>
  <c r="C39" i="5" s="1"/>
  <c r="B38" i="5"/>
  <c r="C38" i="5" s="1"/>
  <c r="B37" i="5"/>
  <c r="C37" i="5" s="1"/>
  <c r="B36" i="5"/>
  <c r="C36" i="5" s="1"/>
  <c r="B35" i="5"/>
  <c r="C35" i="5" s="1"/>
  <c r="B34" i="5"/>
  <c r="C34" i="5" s="1"/>
  <c r="B33" i="5"/>
  <c r="C33" i="5" s="1"/>
  <c r="B32" i="5"/>
  <c r="C32" i="5" s="1"/>
  <c r="B31" i="5"/>
  <c r="C31" i="5" s="1"/>
  <c r="B30" i="5"/>
  <c r="C30" i="5" s="1"/>
  <c r="B29" i="5"/>
  <c r="C29" i="5" s="1"/>
  <c r="B28" i="5"/>
  <c r="C28" i="5" s="1"/>
  <c r="B27" i="5"/>
  <c r="C27" i="5" s="1"/>
  <c r="B26" i="5"/>
  <c r="C26" i="5" s="1"/>
  <c r="B25" i="5"/>
  <c r="C25" i="5" s="1"/>
  <c r="B24" i="5"/>
  <c r="C24" i="5" s="1"/>
  <c r="B23" i="5"/>
  <c r="C23" i="5" s="1"/>
  <c r="B22" i="5"/>
  <c r="C22" i="5" s="1"/>
  <c r="B21" i="5"/>
  <c r="C21" i="5" s="1"/>
  <c r="B20" i="5"/>
  <c r="C20" i="5" s="1"/>
  <c r="B19" i="5"/>
  <c r="C19" i="5" s="1"/>
  <c r="B18" i="5"/>
  <c r="C18" i="5" s="1"/>
  <c r="B17" i="5"/>
  <c r="C17" i="5" s="1"/>
  <c r="B16" i="5"/>
  <c r="C16" i="5" s="1"/>
  <c r="B15" i="5"/>
  <c r="C15" i="5" s="1"/>
  <c r="B14" i="5"/>
  <c r="C14" i="5" s="1"/>
  <c r="B13" i="5"/>
  <c r="C13" i="5" s="1"/>
  <c r="B12" i="5"/>
  <c r="C12" i="5" s="1"/>
  <c r="B11" i="5"/>
  <c r="C11" i="5" s="1"/>
  <c r="B10" i="5"/>
  <c r="C10" i="5" s="1"/>
  <c r="B9" i="5"/>
  <c r="C9" i="5" s="1"/>
  <c r="B8" i="5"/>
  <c r="C8" i="5" s="1"/>
  <c r="B7" i="5"/>
  <c r="C7" i="5" s="1"/>
  <c r="B6" i="5"/>
  <c r="C6" i="5" s="1"/>
  <c r="B5" i="5"/>
  <c r="C5" i="5" s="1"/>
  <c r="B4" i="5"/>
  <c r="C4" i="5" s="1"/>
  <c r="B3" i="5"/>
  <c r="C3" i="5" s="1"/>
  <c r="B2" i="5"/>
  <c r="C2" i="5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2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C12" i="1"/>
  <c r="D12" i="1" s="1"/>
  <c r="C13" i="1"/>
  <c r="C14" i="1"/>
  <c r="C15" i="1"/>
  <c r="C16" i="1"/>
  <c r="C17" i="1"/>
  <c r="C18" i="1"/>
  <c r="C19" i="1"/>
  <c r="D19" i="1" s="1"/>
  <c r="C20" i="1"/>
  <c r="D20" i="1" s="1"/>
  <c r="C21" i="1"/>
  <c r="C22" i="1"/>
  <c r="C23" i="1"/>
  <c r="C24" i="1"/>
  <c r="C25" i="1"/>
  <c r="C26" i="1"/>
  <c r="C27" i="1"/>
  <c r="C28" i="1"/>
  <c r="D28" i="1" s="1"/>
  <c r="C29" i="1"/>
  <c r="D29" i="1" s="1"/>
  <c r="C30" i="1"/>
  <c r="C31" i="1"/>
  <c r="C32" i="1"/>
  <c r="C33" i="1"/>
  <c r="C34" i="1"/>
  <c r="C35" i="1"/>
  <c r="C36" i="1"/>
  <c r="D36" i="1" s="1"/>
  <c r="C37" i="1"/>
  <c r="D37" i="1" s="1"/>
  <c r="C38" i="1"/>
  <c r="C39" i="1"/>
  <c r="C40" i="1"/>
  <c r="C41" i="1"/>
  <c r="C42" i="1"/>
  <c r="C43" i="1"/>
  <c r="C44" i="1"/>
  <c r="D44" i="1" s="1"/>
  <c r="C45" i="1"/>
  <c r="D45" i="1" s="1"/>
  <c r="C46" i="1"/>
  <c r="C47" i="1"/>
  <c r="C48" i="1"/>
  <c r="C49" i="1"/>
  <c r="C50" i="1"/>
  <c r="C51" i="1"/>
  <c r="C52" i="1"/>
  <c r="D52" i="1" s="1"/>
  <c r="C53" i="1"/>
  <c r="D53" i="1" s="1"/>
  <c r="C54" i="1"/>
  <c r="C55" i="1"/>
  <c r="C56" i="1"/>
  <c r="C57" i="1"/>
  <c r="C58" i="1"/>
  <c r="C59" i="1"/>
  <c r="C60" i="1"/>
  <c r="D60" i="1" s="1"/>
  <c r="C61" i="1"/>
  <c r="D61" i="1" s="1"/>
  <c r="C62" i="1"/>
  <c r="C63" i="1"/>
  <c r="C64" i="1"/>
  <c r="C65" i="1"/>
  <c r="C66" i="1"/>
  <c r="C67" i="1"/>
  <c r="C68" i="1"/>
  <c r="D68" i="1" s="1"/>
  <c r="C69" i="1"/>
  <c r="D69" i="1" s="1"/>
  <c r="C70" i="1"/>
  <c r="C71" i="1"/>
  <c r="C72" i="1"/>
  <c r="C73" i="1"/>
  <c r="C74" i="1"/>
  <c r="C75" i="1"/>
  <c r="C76" i="1"/>
  <c r="D76" i="1" s="1"/>
  <c r="C77" i="1"/>
  <c r="C78" i="1"/>
  <c r="C79" i="1"/>
  <c r="C80" i="1"/>
  <c r="D80" i="1" s="1"/>
  <c r="C81" i="1"/>
  <c r="C82" i="1"/>
  <c r="C83" i="1"/>
  <c r="C84" i="1"/>
  <c r="C85" i="1"/>
  <c r="D85" i="1" s="1"/>
  <c r="C86" i="1"/>
  <c r="C87" i="1"/>
  <c r="C88" i="1"/>
  <c r="C89" i="1"/>
  <c r="D89" i="1" s="1"/>
  <c r="C90" i="1"/>
  <c r="C91" i="1"/>
  <c r="C92" i="1"/>
  <c r="C93" i="1"/>
  <c r="D93" i="1" s="1"/>
  <c r="C94" i="1"/>
  <c r="C95" i="1"/>
  <c r="C96" i="1"/>
  <c r="C97" i="1"/>
  <c r="D97" i="1" s="1"/>
  <c r="C98" i="1"/>
  <c r="C99" i="1"/>
  <c r="C100" i="1"/>
  <c r="C101" i="1"/>
  <c r="C102" i="1"/>
  <c r="D102" i="1" s="1"/>
  <c r="C103" i="1"/>
  <c r="C104" i="1"/>
  <c r="C105" i="1"/>
  <c r="C106" i="1"/>
  <c r="D106" i="1" s="1"/>
  <c r="C107" i="1"/>
  <c r="C108" i="1"/>
  <c r="C109" i="1"/>
  <c r="C110" i="1"/>
  <c r="D110" i="1" s="1"/>
  <c r="C111" i="1"/>
  <c r="C112" i="1"/>
  <c r="C113" i="1"/>
  <c r="C114" i="1"/>
  <c r="D114" i="1" s="1"/>
  <c r="C115" i="1"/>
  <c r="C116" i="1"/>
  <c r="C117" i="1"/>
  <c r="C118" i="1"/>
  <c r="D118" i="1" s="1"/>
  <c r="C119" i="1"/>
  <c r="C120" i="1"/>
  <c r="C121" i="1"/>
  <c r="C122" i="1"/>
  <c r="D122" i="1" s="1"/>
  <c r="C123" i="1"/>
  <c r="C124" i="1"/>
  <c r="C125" i="1"/>
  <c r="C126" i="1"/>
  <c r="D126" i="1" s="1"/>
  <c r="C127" i="1"/>
  <c r="C128" i="1"/>
  <c r="C129" i="1"/>
  <c r="C130" i="1"/>
  <c r="D130" i="1" s="1"/>
  <c r="C131" i="1"/>
  <c r="C132" i="1"/>
  <c r="C133" i="1"/>
  <c r="C134" i="1"/>
  <c r="D134" i="1" s="1"/>
  <c r="C135" i="1"/>
  <c r="C136" i="1"/>
  <c r="C137" i="1"/>
  <c r="C138" i="1"/>
  <c r="D138" i="1" s="1"/>
  <c r="C139" i="1"/>
  <c r="C140" i="1"/>
  <c r="C141" i="1"/>
  <c r="C142" i="1"/>
  <c r="D142" i="1" s="1"/>
  <c r="C143" i="1"/>
  <c r="C144" i="1"/>
  <c r="C145" i="1"/>
  <c r="C146" i="1"/>
  <c r="D146" i="1" s="1"/>
  <c r="C147" i="1"/>
  <c r="C148" i="1"/>
  <c r="C149" i="1"/>
  <c r="C150" i="1"/>
  <c r="D150" i="1" s="1"/>
  <c r="C151" i="1"/>
  <c r="C152" i="1"/>
  <c r="C153" i="1"/>
  <c r="C154" i="1"/>
  <c r="D154" i="1" s="1"/>
  <c r="C155" i="1"/>
  <c r="C156" i="1"/>
  <c r="C157" i="1"/>
  <c r="C158" i="1"/>
  <c r="D158" i="1" s="1"/>
  <c r="C159" i="1"/>
  <c r="C160" i="1"/>
  <c r="C161" i="1"/>
  <c r="C162" i="1"/>
  <c r="D162" i="1" s="1"/>
  <c r="C163" i="1"/>
  <c r="C164" i="1"/>
  <c r="C165" i="1"/>
  <c r="C166" i="1"/>
  <c r="D166" i="1" s="1"/>
  <c r="C167" i="1"/>
  <c r="C168" i="1"/>
  <c r="C169" i="1"/>
  <c r="C170" i="1"/>
  <c r="D170" i="1" s="1"/>
  <c r="C171" i="1"/>
  <c r="C172" i="1"/>
  <c r="C173" i="1"/>
  <c r="C174" i="1"/>
  <c r="D174" i="1" s="1"/>
  <c r="C175" i="1"/>
  <c r="C176" i="1"/>
  <c r="C177" i="1"/>
  <c r="C178" i="1"/>
  <c r="D178" i="1" s="1"/>
  <c r="C179" i="1"/>
  <c r="C180" i="1"/>
  <c r="C181" i="1"/>
  <c r="C182" i="1"/>
  <c r="D182" i="1" s="1"/>
  <c r="C183" i="1"/>
  <c r="C184" i="1"/>
  <c r="C185" i="1"/>
  <c r="C186" i="1"/>
  <c r="D186" i="1" s="1"/>
  <c r="C187" i="1"/>
  <c r="C188" i="1"/>
  <c r="C189" i="1"/>
  <c r="C190" i="1"/>
  <c r="D190" i="1" s="1"/>
  <c r="C191" i="1"/>
  <c r="C192" i="1"/>
  <c r="C193" i="1"/>
  <c r="C194" i="1"/>
  <c r="D194" i="1" s="1"/>
  <c r="C195" i="1"/>
  <c r="C196" i="1"/>
  <c r="C197" i="1"/>
  <c r="C198" i="1"/>
  <c r="D198" i="1" s="1"/>
  <c r="C199" i="1"/>
  <c r="C200" i="1"/>
  <c r="C201" i="1"/>
  <c r="C202" i="1"/>
  <c r="D202" i="1" s="1"/>
  <c r="C203" i="1"/>
  <c r="C204" i="1"/>
  <c r="C205" i="1"/>
  <c r="C206" i="1"/>
  <c r="D206" i="1" s="1"/>
  <c r="C207" i="1"/>
  <c r="C208" i="1"/>
  <c r="C209" i="1"/>
  <c r="C210" i="1"/>
  <c r="D210" i="1" s="1"/>
  <c r="C211" i="1"/>
  <c r="C212" i="1"/>
  <c r="C213" i="1"/>
  <c r="C10" i="1"/>
  <c r="C11" i="1"/>
  <c r="D11" i="1" s="1"/>
  <c r="C9" i="1"/>
  <c r="C229" i="8"/>
  <c r="C1150" i="4"/>
  <c r="C858" i="5"/>
  <c r="E215" i="1"/>
  <c r="D75" i="1" l="1"/>
  <c r="D10" i="1"/>
  <c r="D14" i="1"/>
  <c r="D18" i="1"/>
  <c r="D22" i="1"/>
  <c r="D27" i="1"/>
  <c r="D31" i="1"/>
  <c r="D35" i="1"/>
  <c r="D39" i="1"/>
  <c r="D43" i="1"/>
  <c r="D47" i="1"/>
  <c r="D51" i="1"/>
  <c r="D55" i="1"/>
  <c r="D59" i="1"/>
  <c r="D63" i="1"/>
  <c r="D67" i="1"/>
  <c r="D71" i="1"/>
  <c r="D77" i="1"/>
  <c r="D86" i="1"/>
  <c r="D94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3" i="1"/>
  <c r="D209" i="1"/>
  <c r="D205" i="1"/>
  <c r="D201" i="1"/>
  <c r="D197" i="1"/>
  <c r="D193" i="1"/>
  <c r="D189" i="1"/>
  <c r="D185" i="1"/>
  <c r="D181" i="1"/>
  <c r="D177" i="1"/>
  <c r="D173" i="1"/>
  <c r="D169" i="1"/>
  <c r="D165" i="1"/>
  <c r="D161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15" i="1"/>
  <c r="D24" i="1"/>
  <c r="D32" i="1"/>
  <c r="D40" i="1"/>
  <c r="D48" i="1"/>
  <c r="D56" i="1"/>
  <c r="D64" i="1"/>
  <c r="D72" i="1"/>
  <c r="D78" i="1"/>
  <c r="D87" i="1"/>
  <c r="D95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79" i="1"/>
  <c r="D96" i="1"/>
  <c r="D92" i="1"/>
  <c r="D88" i="1"/>
  <c r="D84" i="1"/>
  <c r="D16" i="1"/>
  <c r="D25" i="1"/>
  <c r="D33" i="1"/>
  <c r="D41" i="1"/>
  <c r="D49" i="1"/>
  <c r="D57" i="1"/>
  <c r="D65" i="1"/>
  <c r="D73" i="1"/>
  <c r="D82" i="1"/>
  <c r="D90" i="1"/>
  <c r="D98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9" i="1"/>
  <c r="D13" i="1"/>
  <c r="D17" i="1"/>
  <c r="D21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83" i="1"/>
  <c r="D91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</calcChain>
</file>

<file path=xl/sharedStrings.xml><?xml version="1.0" encoding="utf-8"?>
<sst xmlns="http://schemas.openxmlformats.org/spreadsheetml/2006/main" count="31771" uniqueCount="14649">
  <si>
    <t>Capital IQ Company Screening Report</t>
  </si>
  <si>
    <t>Company Name</t>
  </si>
  <si>
    <t>Exchange:Ticker</t>
  </si>
  <si>
    <t>Exchanges [Primary Listing]</t>
  </si>
  <si>
    <t>Exchanges [Secondary Listings]</t>
  </si>
  <si>
    <t>Quick Ratio [Latest Annual]</t>
  </si>
  <si>
    <t>Net Debt [Latest Annual] (HKDmm, Historical rate)</t>
  </si>
  <si>
    <t>Market Capitalization [Latest] (HKDmm, Historical rate)</t>
  </si>
  <si>
    <t>Total Liabilities/Total Assets % [Latest Annual]</t>
  </si>
  <si>
    <t>P/BV [Latest] (x)</t>
  </si>
  <si>
    <t>Industry Classifications</t>
  </si>
  <si>
    <t>IWS Group Holdings Limited (SEHK:6663)</t>
  </si>
  <si>
    <t>SEHK:6663</t>
  </si>
  <si>
    <t>The Stock Exchange of Hong Kong Ltd. (SEHK)</t>
  </si>
  <si>
    <t>-</t>
  </si>
  <si>
    <t>Commercial and Professional Services (Primary); Commercial Guard Services  (Primary); Commercial Security and Safety Services  (Primary); Commercial Services and Supplies (Primary); Industrials (Primary); Security and Alarm Services (Primary); Consumer Discretionary; Consumer Services; Diversified Consumer Services; Diversified Support Services; Facilities Support Management Services; General Management Services; Motor Vehicle Parking; Motor Vehicle Repair and Services; Motor Vehicle Services; Office Services and Supplies; Real Estate; Real Estate; Real Estate Management and Development; Real Estate Management Services; Real Estate Operating Companies; Residential and Personal Guard Services; Residential Building Care and Improvement Services ; Residential Security and Personal Safety Services; Specialized Consumer Services</t>
  </si>
  <si>
    <t>Huaxi Holdings Company Limited (SEHK:1689)</t>
  </si>
  <si>
    <t>SEHK:1689</t>
  </si>
  <si>
    <t>The Stock Exchange of Hong Kong Ltd. (SEHK)</t>
  </si>
  <si>
    <t>Containers and Packaging (Primary); Materials (Primary); Materials (Primary); Paper Packaging (Primary); Biotechnology; Biotechnology; Capital Goods; Commercial and Professional Services; Commercial Services and Supplies; Construction and Engineering; Construction and Engineering; Construction Support Services; Environmental and Facilities Services; Health Care; Health Care Distributors; Health Care Equipment and Services; Health Care Providers and Services; Healthcare Equipment Distribution; Industrials; Pharmaceuticals, Biotechnology and Life Sciences</t>
  </si>
  <si>
    <t>Zhou Hei Ya International Holdings Company Limited (SEHK:1458)</t>
  </si>
  <si>
    <t>SEHK:1458</t>
  </si>
  <si>
    <t>The Stock Exchange of Hong Kong Ltd. (SEHK)</t>
  </si>
  <si>
    <t>Consumer Staples (Primary); Food Products (Primary); Food, Beverage and Tobacco (Primary); Meats, Meat Processing And Meat Related Products (Primary); Packaged Foods and Meats (Primary); Poultry And Poultry Products (Primary); Commercial and Professional Services; Consumer Discretionary; Food and Staples Retailing; Food and Staples Retailing; Food Retail; Industrials; Internet and Direct Marketing Retail; Internet and Direct Marketing Retail; Online Food and Drug Retail; Online Food Retail; Professional Services; Real Estate; Real Estate; Real Estate Management and Development; Real Estate Management Services; Real Estate Operating Companies; Real Estate Operators And Lessors; Research and Consulting Services; Research, Development, and Testing Services; Retailing</t>
  </si>
  <si>
    <t>Justin Allen Holdings Limited (SEHK:1425)</t>
  </si>
  <si>
    <t>SEHK:1425</t>
  </si>
  <si>
    <t>The Stock Exchange of Hong Kong Ltd. (SEHK)</t>
  </si>
  <si>
    <t>Apparel (Primary); Apparel, Accessories and Luxury Goods (Primary); Consumer Discretionary (Primary); Consumer Durables and Apparel (Primary); Men's Apparel (Primary); Textiles, Apparel and Luxury Goods (Primary); Women's, Misses', and Juniors' Apparel (Primary); Fabrics; Textile Mill Products; Textiles</t>
  </si>
  <si>
    <t>Fu Shou Yuan International Group Limited (SEHK:1448)</t>
  </si>
  <si>
    <t>SEHK:1448</t>
  </si>
  <si>
    <t>The Stock Exchange of Hong Kong Ltd. (SEHK)</t>
  </si>
  <si>
    <t>Cemeteries (Primary); Cemeteries and Funeral Home Services (Primary); Consumer Discretionary (Primary); Consumer Services (Primary); Diversified Consumer Services (Primary); Funeral Homes and Crematories (Primary); Funeral Homes and Funeral Services (Primary); Specialized Consumer Services (Primary); Agricultural Services; Capital Goods; Cemetery Sub Dividers And Developers; Commercial and Professional Services; Commercial Services and Supplies; Environmental and Facilities Services; Industrial Machinery; Industrials; Land Sub Dividers And Developers; Landscape and Horticultural Services; Machinery; Real Estate; Real Estate; Real Estate Development; Real Estate Management and Development</t>
  </si>
  <si>
    <t>Nayuki Holdings Limited (SEHK:2150)</t>
  </si>
  <si>
    <t>SEHK:2150</t>
  </si>
  <si>
    <t>The Stock Exchange of Hong Kong Ltd. (SEHK)</t>
  </si>
  <si>
    <t>Beverage and Tobacco Bars (Primary); Consumer Discretionary (Primary); Consumer Services (Primary); Hotels, Restaurants and Leisure (Primary); Restaurants (Primary); Tea and Coffee Shops (Primary)</t>
  </si>
  <si>
    <t>Global New Material International Holdings Limited (SEHK:6616)</t>
  </si>
  <si>
    <t>SEHK:6616</t>
  </si>
  <si>
    <t>The Stock Exchange of Hong Kong Ltd. (SEHK)</t>
  </si>
  <si>
    <t>Chemicals (Primary); Materials (Primary); Materials (Primary); Organic Dyes And Pigments (Primary); Specialty Chemicals (Primary)</t>
  </si>
  <si>
    <t>Zero2IPO Holdings Inc. (SEHK:1945)</t>
  </si>
  <si>
    <t>SEHK:1945</t>
  </si>
  <si>
    <t>The Stock Exchange of Hong Kong Ltd. (SEHK)</t>
  </si>
  <si>
    <t>Capital Markets (Primary); Diversified Financials (Primary); Financial Exchanges and Data (Primary); Financials (Primary); Advertising; Asset Management and Custody Banks; Commercial and Professional Services; Communication Services; Consulting Services; Consumer Discretionary; Consumer Services; Diversified Consumer Services; Education Services; Industrials; Interactive Media and Services; Interactive Media and Services; Investment Advice; Investment Banking; Investment Banking and Brokerage; Marketing Services; Media; Media and Entertainment; Merger and Acquisition Advisory Services; Online Education Courses; Online Security Brokers and Dealers; Online Services; Online Trading Systems; Private Placement Advisory Services; Professional Services; Research and Consulting Services; Securities and Commodities Markets Services; Security Brokers and Dealers; Security Underwriting Services</t>
  </si>
  <si>
    <t>Nissin Foods Company Limited (SEHK:1475)</t>
  </si>
  <si>
    <t>SEHK:1475</t>
  </si>
  <si>
    <t>The Stock Exchange of Hong Kong Ltd. (SEHK)</t>
  </si>
  <si>
    <t>Consumer Staples (Primary); Food Products (Primary); Food, Beverage and Tobacco (Primary); Frozen Foods (Primary); Packaged Food Mixes (Primary); Packaged Foods and Meats (Primary); Prepared and Preserved Foods (Primary); Snack Food (Primary); Advertising; Beverage Distribution; Beverages; Commercial and Professional Services; Commercial Services and Supplies; Communication Services; Containers and Packaging; Diversified Support Services; Food and Staples Retailing; Food and Staples Retailing; Food Distributors; Industrials; Juices; Materials; Materials; Media; Media and Entertainment; Metal and Glass Containers; Non-Alcoholic Beverage Distribution; Plastic Packaging; Soft Drinks</t>
  </si>
  <si>
    <t>China Leon Inspection Holding Limited (SEHK:1586)</t>
  </si>
  <si>
    <t>SEHK:1586</t>
  </si>
  <si>
    <t>The Stock Exchange of Hong Kong Ltd. (SEHK)</t>
  </si>
  <si>
    <t>Energy (Primary); Energy (Primary); Energy Equipment and Services (Primary); Oil and Gas Equipment and Services (Primary); Application Software; Capital Goods; Chemical Distribution; Commercial and Professional Services; Electric Power By Solar Energy; Electric Power By Wind Energy; Electronic Equipment, Instruments and Components; Independent Power and Renewable Electricity Producers; Industrials; Information Technology; Materials; Materials; Metals and Mining; Nonmetallic Mineral Mining; Nonmetallic Mining Geophysical Surveying; Precious Metals and Minerals; Professional Services; Renewable Electricity; Research and Consulting Services; Research, Development, and Testing Services; Software; Software and Services; Technology Distributors; Technology Hardware and Equipment; Technology Hardware, Storage and Peripherals; Technology Hardware, Storage and Peripherals; Testing Laboratories; Trading Companies and Distributors; Trading Companies and Distributors; Utilities; Utilities</t>
  </si>
  <si>
    <t>Sun.King Technology Group Limited (SEHK:580)</t>
  </si>
  <si>
    <t>SEHK:580</t>
  </si>
  <si>
    <t>The Stock Exchange of Hong Kong Ltd. (SEHK)</t>
  </si>
  <si>
    <t>Capital Goods (Primary); Electrical Components and Equipment (Primary); Electrical Equipment (Primary); Industrials (Primary); Electronic Components; Electronic Components; Electronic Equipment and Instruments; Electronic Equipment, Instruments and Components; Heavy Electrical Equipment; Information Technology; Power Generation Equipment; Semiconductors; Semiconductors and Semiconductor Equipment; Semiconductors and Semiconductor Equipment; Technology Distributors; Technology Hardware and Equipment; Technology Hardware and Equipment Distribution; Trading Companies and Distributors; Trading Companies and Distributors; Transmission and Distribution Equipment</t>
  </si>
  <si>
    <t>JH Educational Technology INC. (SEHK:1935)</t>
  </si>
  <si>
    <t>SEHK:1935</t>
  </si>
  <si>
    <t>The Stock Exchange of Hong Kong Ltd. (SEHK)</t>
  </si>
  <si>
    <t>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Commercial and Professional Services; Consulting Services; Industrials; Management Consulting Services; Professional Services; Research and Consulting Services</t>
  </si>
  <si>
    <t>Cloud Music Inc. (SEHK:9899)</t>
  </si>
  <si>
    <t>SEHK:9899</t>
  </si>
  <si>
    <t>The Stock Exchange of Hong Kong Ltd. (SEHK)</t>
  </si>
  <si>
    <t>Communication Services (Primary); Entertainment (Primary); Entertainment Services (Primary); Entertainment Venues (Primary); Media and Entertainment (Primary); Motion Picture Post-Production Services (Primary); Movies and Entertainment (Primary); Multimedia Streaming Services (Primary); Music Publishing (Primary); Music Services (Primary); Online Entertainment (Primary); Advertising; Application Hosting Services; Application Service Providers (ASPs); Application Software; Information Technology; Media; Software; Software and Services</t>
  </si>
  <si>
    <t>Hangzhou SF Intra-city Industrial Co., Ltd. (SEHK:9699)</t>
  </si>
  <si>
    <t>SEHK:9699</t>
  </si>
  <si>
    <t>The Stock Exchange of Hong Kong Ltd. (SEHK)</t>
  </si>
  <si>
    <t>Air Freight and Logistics (Primary); Air Freight and Logistics (Primary); Ground Courier Services (Primary); Industrials (Primary); Local Ground Courier Services (Primary); Transportation (Primary); Communication Services; Development Consulting; Information Technology; Information Technology (IT) Consulting; Interactive Media and Services; Interactive Media and Services; IT Consulting and Other Services; IT Services; Media and Entertainment; Online Services; Services Outsourcing; Software and Services</t>
  </si>
  <si>
    <t>MINISO Group Holding Limited (NYSE:MNSO)</t>
  </si>
  <si>
    <t>NYSE:MNSO</t>
  </si>
  <si>
    <t>SEHK:9896
Company: MINISO Group Holding Limited
(IQT1783831757) - The Stock Exchange of Hong Kong Ltd. (SEHK)</t>
  </si>
  <si>
    <t>Consumer Discretionary (Primary); General Merchandise Stores (Primary); Multiline Retail (Primary); Retailing (Primary); Variety Stores (Primary); Accessory Stores; Apparel Retail; Appliance Stores; Beauty Care Product Stores; Computer and Electronics Retail; Cosmetics Stores; Gift and Novelty Stores; Greeting Card and Stationery Stores; Hobbies, Games and Toy Stores; Homefurnishing Retail; Internet and Direct Marketing Retail; Internet and Direct Marketing Retail; Leisure Equipment Stores; Online Accessory Retail; Online Apparel and Accessory Retail; Online Apparel Retail; Online Appliance Retail; Online Beauty Care Product Retail; Online Cosmetics Retail; Online Flowers, Gifts and Novelties; Online Food and Drug Retail; Online Food Retail; Online Hobbies, Games and Toy Retail; Online Home Furnishing Retail; Online Leisure Equipment Retail; Online Paper Product Retail; Online Personal Care Product Retail; Online Specialty Retail; Online Stationery Retail; Paper Product Stores; Personal Care Product Stores; Specialty Retail; Specialty Stores</t>
  </si>
  <si>
    <t>FriendTimes Inc. (SEHK:6820)</t>
  </si>
  <si>
    <t>SEHK:6820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</si>
  <si>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</si>
  <si>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Commercial and Professional Services; Consulting Services; Entertainment Production Companies; Industrials; Management Consulting Services; Motion Picture and Video Production Companies; Movies and Entertainment; Professional Services; Research and Consulting Services; Television Production Companies</t>
  </si>
  <si>
    <t>Viva China Holdings Limited (SEHK:8032)</t>
  </si>
  <si>
    <t>SEHK:8032</t>
  </si>
  <si>
    <t>The Stock Exchange of Hong Kong Ltd. (SEHK)</t>
  </si>
  <si>
    <t>Apparel, Accessories and Luxury Goods (Primary); Consumer Discretionary (Primary); Consumer Durables and Apparel (Primary); Textiles, Apparel and Luxury Goods (Primary); Advertising; Amusement And Recreation Services; Amusement Operations, Parks and Services; Communication Services; Consumer Services; Entertainment; Entertainment Services; Footwear; Health Care; Health Care Equipment and Services; Health Care Providers and Services; Health Care Services; Hotels, Restaurants and Leisure; Leisure Facilities; Marketing Services; Media; Media and Entertainment; Movies and Entertainment; Real Estate; Real Estate; Real Estate Development; Real Estate Management and Development; Real Estate Operating Companies; Real Estate Operators And Lessors; Real Estate Services; Rehabilitation Services; Sports and Related Services; Sports Services</t>
  </si>
  <si>
    <t>Orient Victory Smart urban Services Holding Limited (SEHK:265)</t>
  </si>
  <si>
    <t>SEHK:265</t>
  </si>
  <si>
    <t>The Stock Exchange of Hong Kong Ltd. (SEHK)</t>
  </si>
  <si>
    <t>Consumer Discretionary (Primary); Consumer Services (Primary); Hotels, Resorts and Cruise Lines (Primary); Hotels, Restaurants and Leisure (Primary); Lodging (Primary); Travel Agencies (Primary); Travel and Tourism Services (Primary); Capital Goods; Construction and Engineering; Construction and Engineering; Construction Support Services; Engineering and Surveying Services; Engineering Services; Industrials; Nonresidential Building Operators and Lessors; Nonresidential Property Managers; Real Estate; Real Estate; Real Estate Development; Real Estate Management and Development; Real Estate Management Services; Real Estate Operating Companies; Real Estate Operators And Lessors; Residential Building Operators and Lessors; Residential Property Managers</t>
  </si>
  <si>
    <t>Net-a-Go Technology Company Limited (SEHK:1483)</t>
  </si>
  <si>
    <t>SEHK:1483</t>
  </si>
  <si>
    <t>The Stock Exchange of Hong Kong Ltd. (SEHK)</t>
  </si>
  <si>
    <t>Commercial and Professional Services (Primary); Commercial Services and Supplies (Primary); Environmental and Facilities Services (Primary); Industrials (Primary); Sanitary Services (Primary); Capital Markets; Consumer Discretionary; Consumer Services; Diversified Financials; Financials; Hotels, Restaurants and Leisure; Investment Banking and Brokerage; Real Estate; Real Estate; Real Estate Management and Development; Real Estate Operating Companies; Real Estate Operators And Lessors; Restaurants; Securities and Commodities Markets Services; Security Brokers and Dealers</t>
  </si>
  <si>
    <t>CIFI Ever Sunshine Services Group Limited (SEHK:1995)</t>
  </si>
  <si>
    <t>SEHK:1995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</si>
  <si>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</si>
  <si>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Application Software; Asset Management and Custody Banks; Capital Goods; Capital Markets; Commercial and Professional Services; Commercial Services and Supplies; Construction and Engineering; Construction and Engineering; Diversified Financials; Diversified Support Services; Financials; Industrials; Information Technology; IT Consulting and Other Services; IT Services; Real Estate Agents And Brokers; Real Estate Services; Software; Software and Services</t>
  </si>
  <si>
    <t>Dashan Education Holdings Limited (SEHK:9986)</t>
  </si>
  <si>
    <t>SEHK:9986</t>
  </si>
  <si>
    <t>The Stock Exchange of Hong Kong Ltd. (SEHK)</t>
  </si>
  <si>
    <t>Consumer Discretionary (Primary); Consumer Services (Primary); Diversified Consumer Services (Primary); Education Services (Primary); Specialty Educational Services (Primary); Commercial and Professional Services; Consulting Services; Distributors; Distributors; Diversified Financial Services; Diversified Financials; Financials; Industrials; Investment Services and Holding Companies; Media Distribution; Multi-Sector Holdings; Patent Owners and Lessors; Printed Media Distribution; Professional Services; Research and Consulting Services; Retailing</t>
  </si>
  <si>
    <t>Fulu Holdings Limited (SEHK:2101)</t>
  </si>
  <si>
    <t>SEHK:2101</t>
  </si>
  <si>
    <t>The Stock Exchange of Hong Kong Ltd. (SEHK)</t>
  </si>
  <si>
    <t>Consumer Discretionary (Primary); Internet and Direct Marketing Retail (Primary); Internet and Direct Marketing Retail (Primary); Online Specialty Retail (Primary); Retailing (Primary)</t>
  </si>
  <si>
    <t>Hongcheng Environmental Technology Company Limited (SEHK:2265)</t>
  </si>
  <si>
    <t>SEHK:2265</t>
  </si>
  <si>
    <t>The Stock Exchange of Hong Kong Ltd. (SEHK)</t>
  </si>
  <si>
    <t>Commercial and Professional Services (Primary); Commercial Services and Supplies (Primary); Environmental and Facilities Services (Primary); Hazardous Waste Collection, Treatment and Disposal Services (Primary); Industrials (Primary); Recycling Facilities (Primary); Sanitary Services (Primary)</t>
  </si>
  <si>
    <t>Redsun Services Group Limited (SEHK:1971)</t>
  </si>
  <si>
    <t>SEHK:1971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</si>
  <si>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</si>
  <si>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Commercial and Professional Services; Commercial Design Services; Commercial Services and Supplies; Construction and Engineering; Construction and Engineering; Consumer Discretionary; Consumer Services; Development Consulting; Diversified Consumer Services; Diversified Support Services; Financials; Industrials; Information Technology; Information Technology (IT) Consulting; Insurance; Insurance; Insurance Brokers; IT Consulting and Other Services; IT Services; Real Estate Agents And Brokers; Real Estate Services; Residential Design Services ; Services Outsourcing; Software and Services; Specialized Consumer Services; Specialty Contract Work</t>
  </si>
  <si>
    <t>Yuexiu Services Group Limited (SEHK:6626)</t>
  </si>
  <si>
    <t>SEHK:6626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</si>
  <si>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</si>
  <si>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Building Care and Improvement Services; Commercial and Professional Services; Commercial Security and Safety Services ; Commercial Security Systems Services ; Commercial Services and Supplies; Consulting Services; Consumer Discretionary; Consumer Services; Diversified Consumer Services; Diversified Support Services; Industrials; Land Sub Dividers And Developers; Land Sub Dividers and Developers, except Cemetery; Motor Vehicle Parking; Motor Vehicle Repair and Services; Motor Vehicle Services; Professional Services; Real Estate Agents And Brokers; Real Estate Development; Real Estate Services; Research and Consulting Services; Security and Alarm Services; Specialized Consumer Services</t>
  </si>
  <si>
    <t>Tongdao Liepin Group (SEHK:6100)</t>
  </si>
  <si>
    <t>SEHK:6100</t>
  </si>
  <si>
    <t>The Stock Exchange of Hong Kong Ltd. (SEHK)</t>
  </si>
  <si>
    <t>Communication Services (Primary); Interactive Media and Services (Primary); Interactive Media and Services (Primary); Media and Entertainment (Primary); Online Services (Primary); Commercial and Professional Services; Consulting Services; Consumer Discretionary; Consumer Services; Diversified Consumer Services; Education Services; Human Resource and Employment Services; Industrials; Online Education Courses; Online Recruiting and Job Listing Services; Professional Services; Research and Consulting Services</t>
  </si>
  <si>
    <t>Kwung's Holdings Limited (SEHK:1925)</t>
  </si>
  <si>
    <t>SEHK:1925</t>
  </si>
  <si>
    <t>The Stock Exchange of Hong Kong Ltd. (SEHK)</t>
  </si>
  <si>
    <t>Candles and Candleholders (Primary); Consumer Discretionary (Primary); Consumer Durables and Apparel (Primary); Home Decor Accessories (Primary); Home Furnishings (Primary); Household Durables (Primary); Air Fresheners; Cleaning Products; Consumer Staples; Distributors; Distributors; Durable Goods Distribution; Household and Personal Products; Household Durables Distribution; Household Products; Household Products; Internet and Direct Marketing Retail; Internet and Direct Marketing Retail; Online Home Furnishing Retail; Online Specialty Retail; Retailing</t>
  </si>
  <si>
    <t>Guangdong Join-Share Financing Guarantee Investment Co., Ltd. (SEHK:1543)</t>
  </si>
  <si>
    <t>SEHK:1543</t>
  </si>
  <si>
    <t>The Stock Exchange of Hong Kong Ltd. (SEHK)</t>
  </si>
  <si>
    <t>Consumer Finance (Primary); Consumer Finance (Primary); Diversified Financials (Primary); Financials (Primary); Personal Credit Agencies (Primary); Asset Management and Custody Banks; Business Credit Agencies; Capital Markets; Commercial and Professional Services; Consulting Services; Credit Agencies; Diversified Financial Services; Industrials; Professional Services; Research and Consulting Services; Specialized Finance</t>
  </si>
  <si>
    <t>Central China New Life Limited (SEHK:9983)</t>
  </si>
  <si>
    <t>SEHK:9983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</si>
  <si>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</si>
  <si>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Capital Goods; Construction and Engineering; Construction and Engineering; Construction Support Services; Consumer Discretionary; Consumer Services; Diversified Consumer Services; Hotels; Hotels And Motels; Hotels, Resorts and Cruise Lines; Hotels, Restaurants and Leisure; Industrials; Internet and Direct Marketing Retail; Internet and Direct Marketing Retail; Lodging; Retailing; Specialized Consumer Services; Travel and Tourism Services</t>
  </si>
  <si>
    <t>Honma Golf Limited (SEHK:6858)</t>
  </si>
  <si>
    <t>SEHK:6858</t>
  </si>
  <si>
    <t>The Stock Exchange of Hong Kong Ltd. (SEHK)</t>
  </si>
  <si>
    <t>Consumer Discretionary (Primary); Consumer Durables and Apparel (Primary); Golf Equipment (Primary); Leisure Products (Primary); Leisure Products (Primary); Sporting and Recreational Goods (Primary); Sporting Goods (Primary); Accessories; Apparel; Apparel, Accessories and Luxury Goods; Athletic Footwear; Athletic Uniforms; Footwear; Gloves; Luggage and Handbags; Specialty Apparel; Textiles, Apparel and Luxury Goods</t>
  </si>
  <si>
    <t>IMAX China Holding, Inc. (SEHK:1970)</t>
  </si>
  <si>
    <t>SEHK:1970</t>
  </si>
  <si>
    <t>The Stock Exchange of Hong Kong Ltd. (SEHK)</t>
  </si>
  <si>
    <t>Communication Services (Primary); Entertainment (Primary); Entertainment Equipment  (Primary); Entertainment Services (Primary); Media and Entertainment (Primary); Movies and Entertainment (Primary); Ticket Agencies (Primary); Advertising; Capital Goods; Commercial and Professional Services; Commercial Services and Supplies; Conference Services; Diversified Support Services; Industrials; Information Technology; Information Technology (IT) Consulting; IT Consulting and Other Services; IT Services; Media; Professional Services; Research and Consulting Services; Software and Services; Trading Companies and Distributors; Trading Companies and Distributors</t>
  </si>
  <si>
    <t>IGG Inc (SEHK:799)</t>
  </si>
  <si>
    <t>SEHK:799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</si>
  <si>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</si>
  <si>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Casinos and Gaming; Commercial and Professional Services; Commercial Services and Supplies; Consumer Discretionary; Consumer Services; Diversified Financial Services; Diversified Financials; Financials; Gaming Operations; Hotels, Restaurants and Leisure; Industrials; Investment Services and Holding Companies; Multi-Sector Holdings; Office Services and Supplies; Online Customer Support; Online Gaming Operations; Outsourced Business Services; Outsourced Client Support and Customer Services; Patent Owners and Lessors</t>
  </si>
  <si>
    <t>E-Star Commercial Management Company Limited (SEHK:6668)</t>
  </si>
  <si>
    <t>SEHK:6668</t>
  </si>
  <si>
    <t>The Stock Exchange of Hong Kong Ltd. (SEHK)</t>
  </si>
  <si>
    <t>Nonresidential Building Operators and Lessors (Primary); Nonresidential Property Managers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Shopping Mall Operators and Lessors (Primary)</t>
  </si>
  <si>
    <t>Dongyue Group Limited (SEHK:189)</t>
  </si>
  <si>
    <t>SEHK:189</t>
  </si>
  <si>
    <t>The Stock Exchange of Hong Kong Ltd. (SEHK)</t>
  </si>
  <si>
    <t>Chemicals (Primary); Materials (Primary); Materials (Primary); Specialty Chemicals (Primary); Acids and Caustics; Alkalis And Chlorine; Capital Goods; Chemical Distribution; Commercial and Professional Services; Commercial Services and Supplies; Commodity Chemicals; Environmental and Facilities Services; Industrial Gases; Industrial Inorganic Chemicals; Industrial Organic Chemicals; Industrials; Petrochemicals; Plastic and Synthetic Resins; Plastic Products; Polymers; Real Estate; Real Estate; Real Estate Development; Real Estate Management and Development; Salts; Sewage Treatment Systems; Silicones; Synthetic Rubber; Trading Companies and Distributors; Trading Companies and Distributors; Utilities; Utilities; Water Utilities; Water Utilities</t>
  </si>
  <si>
    <t>SCE Intelligent Commercial Management Holdings Limited (SEHK:606)</t>
  </si>
  <si>
    <t>SEHK:606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</si>
  <si>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</si>
  <si>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</t>
  </si>
  <si>
    <t>Giordano International Limited (SEHK:709)</t>
  </si>
  <si>
    <t>SEHK:709</t>
  </si>
  <si>
    <t>The Stock Exchange of Hong Kong Ltd. (SEHK)</t>
  </si>
  <si>
    <t>Accessory Stores (Primary); Apparel Retail (Primary); Boys' Apparel Stores (Primary); Consumer Discretionary (Primary); Girls' Apparel Stores (Primary); Men's Apparel Stores (Primary); Retailing (Primary); Specialty Retail (Primary); Women's, Misses', and Juniors' Apparel Stores (Primary); Apparel and Textile Distribution; Distributors; Distributors; Diversified Financial Services; Diversified Financials; Durable Goods Distribution; Financials; Investment Services and Holding Companies; Multi-Sector Holdings; Patent Owners and Lessors</t>
  </si>
  <si>
    <t>Pacific Online Limited (SEHK:543)</t>
  </si>
  <si>
    <t>SEHK:543</t>
  </si>
  <si>
    <t>The Stock Exchange of Hong Kong Ltd. (SEHK)</t>
  </si>
  <si>
    <t>Communication Services (Primary); Interactive Media and Services (Primary); Interactive Media and Services (Primary); Media and Entertainment (Primary); Online Services (Primary); Advertising; Broadcast Advertising; Commercial Electronics Distribution; Consumer Discretionary; Consumer Electronics Distribution; Development Consulting; Distributors; Distributors; Durable Goods Distribution; Electronic Equipment, Instruments and Components; Health Care; Health Care Distributors; Health Care Equipment and Services; Health Care Providers and Services; Information Technology; Information Technology (IT) Consulting; Internet Advertising; IT Consulting and Other Services; IT Services; Media; Retailing; Services Outsourcing; Software and Services; Technology Distributors; Technology Hardware and Equipment</t>
  </si>
  <si>
    <t>New Hope Service Holdings Limited (SEHK:3658)</t>
  </si>
  <si>
    <t>SEHK:3658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</si>
  <si>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</si>
  <si>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Building Care and Improvement Services; Capital Goods; Commercial and Professional Services; Commercial Services and Supplies; Construction and Engineering; Construction and Engineering; Construction Management Services; Construction Support Services; Consumer Discretionary; Consumer Services; Diversified Consumer Services; Diversified Support Services; Industrials; Internet and Direct Marketing Retail; Internet and Direct Marketing Retail; Motor Vehicle Parking; Motor Vehicle Repair and Services; Motor Vehicle Services; Real Estate Agents And Brokers; Real Estate Services; Retailing; Specialized Consumer Services</t>
  </si>
  <si>
    <t>Huili Resources (Group) Limited (SEHK:1303)</t>
  </si>
  <si>
    <t>SEHK:1303</t>
  </si>
  <si>
    <t>The Stock Exchange of Hong Kong Ltd. (SEHK)</t>
  </si>
  <si>
    <t>Diversified Metal Ores (Primary); Diversified Metals and Mining (Primary); Lead Ores (Primary); Materials (Primary); Materials (Primary); Metals and Mining (Primary); Nickel Ores (Primary); Zinc Ores (Primary); Asset Management and Custody Banks; Capital Goods; Capital Markets; Commercial and Professional Services; Construction and Engineering; Construction and Engineering; Construction Support Services; Consulting Services; Copper; Copper Ores; Diversified Financial Services; Diversified Financials; Engineering and Surveying Services; Engineering Services; Financials; Gold; Gold Ores; Industrials; Management Consulting Services; Professional Services; Research and Consulting Services; Specialized Finance; Trading Companies and Distributors; Trading Companies and Distributors</t>
  </si>
  <si>
    <t>Precision Tsugami (China) Corporation Limited (SEHK:1651)</t>
  </si>
  <si>
    <t>SEHK:1651</t>
  </si>
  <si>
    <t>The Stock Exchange of Hong Kong Ltd. (SEHK)</t>
  </si>
  <si>
    <t>Capital Goods (Primary); Industrial Machinery (Primary); Industrials (Primary); Machinery (Primary); Machinery Components (Primary); Metalworking Machinery and Equipment (Primary)</t>
  </si>
  <si>
    <t>JTF International Holdings Limited (SEHK:8479)</t>
  </si>
  <si>
    <t>SEHK:8479</t>
  </si>
  <si>
    <t>The Stock Exchange of Hong Kong Ltd. (SEHK)</t>
  </si>
  <si>
    <t>Crude Petroleum and Natural Gas (Primary); Energy (Primary); Energy (Primary); Gasoline (Primary); Oil and Gas Refining and Marketing (Primary); Oil and Gas Refining and Marketing (Primary); Oil, Gas and Consumable Fuels (Primary); Petroleum and Petroleum Products (Primary); Petroleum Refining (Primary)</t>
  </si>
  <si>
    <t>ManpowerGroup Greater China Limited (SEHK:2180)</t>
  </si>
  <si>
    <t>SEHK:2180</t>
  </si>
  <si>
    <t>The Stock Exchange of Hong Kong Ltd. (SEHK)</t>
  </si>
  <si>
    <t>Commercial and Professional Services (Primary); Human Resource and Employment Services (Primary); Human Resources and Personnel Management (Primary); Industrials (Primary); Payroll Services (Primary); Professional and Management Development Training (Primary); Professional Services (Primary)</t>
  </si>
  <si>
    <t>Meitu, Inc. (SEHK:1357)</t>
  </si>
  <si>
    <t>SEHK:1357</t>
  </si>
  <si>
    <t>The Stock Exchange of Hong Kong Ltd. (SEHK)</t>
  </si>
  <si>
    <t>Communication Services (Primary); Interactive Media and Services (Primary); Interactive Media and Services (Primary); Media and Entertainment (Primary); Advertising; Application Software; Broadcast Advertising; Commercial and Professional Services; Communications Equipment; Communications Equipment; Human Resource and Employment Services; Industrials; Information Technology; Information Technology (IT) Consulting; Internet Advertising; IT Consulting and Other Services; IT Services; Media; Multimedia Software; Online Recruiting and Job Listing Services; Professional Services; Software; Software and Services; Technology Hardware and Equipment; Telephone and Telecommunications Equipment; Telephone Equipment</t>
  </si>
  <si>
    <t>Tsit Wing International Holdings Limited (SEHK:2119)</t>
  </si>
  <si>
    <t>SEHK:2119</t>
  </si>
  <si>
    <t>The Stock Exchange of Hong Kong Ltd. (SEHK)</t>
  </si>
  <si>
    <t>Coffee (Primary); Coffee And Tea (Primary); Consumer Staples (Primary); Food Products (Primary); Food, Beverage and Tobacco (Primary); Packaged Foods and Meats (Primary); Tea (Primary); Beverage and Tobacco Bars; Beverage Distribution; Capital Goods; Consumer Discretionary; Consumer Services; Diversified Consumer Services; Education Services; Food and Beverage Machinery Distribution; Food and Staples Retailing; Food and Staples Retailing; Food Distribution; Food Distributors; Food Retail; Hotels, Restaurants and Leisure; Industrials; Machinery Distribution; Machinery Rental and Leasing; Restaurants; Specialty Educational Services; Tea and Coffee Shops; Trading Companies and Distributors; Trading Companies and Distributors</t>
  </si>
  <si>
    <t>King's Flair International (Holdings) Limited (SEHK:6822)</t>
  </si>
  <si>
    <t>SEHK:6822</t>
  </si>
  <si>
    <t>The Stock Exchange of Hong Kong Ltd. (SEHK)</t>
  </si>
  <si>
    <t>Consumer Discretionary (Primary); Consumer Durables and Apparel (Primary); Household Durables (Primary); Housewares and Specialties (Primary); Kitchen Housewares (Primary); Distributors; Distributors; Durable Goods Distribution; Electronic Components; Electronic Components; Electronic Equipment, Instruments and Components; Household Durables Distribution; Housewares Stores; Information Technology; Nanotechnology; Retailing; Specialty Retail; Specialty Stores; Technology Hardware and Equipment</t>
  </si>
  <si>
    <t>Oriental Watch Holdings Limited (SEHK:398)</t>
  </si>
  <si>
    <t>SEHK:398</t>
  </si>
  <si>
    <t>The Stock Exchange of Hong Kong Ltd. (SEHK)</t>
  </si>
  <si>
    <t>Consumer Discretionary (Primary); Retailing (Primary); Specialty Retail (Primary); Specialty Stores (Primary); Apparel Retail; Distributors; Distributors; Durable Goods Distribution; Internet and Direct Marketing Retail; Internet and Direct Marketing Retail; Jewelry, Timepieces and Gemstone Product Distribution; Online Specialty Retail; Real Estate; Real Estate; Real Estate Management and Development; Real Estate Operating Companies; Real Estate Operators And Lessors; Watch and Timepiece Stores</t>
  </si>
  <si>
    <t>Carpenter Tan Holdings Limited (SEHK:837)</t>
  </si>
  <si>
    <t>SEHK:837</t>
  </si>
  <si>
    <t>The Stock Exchange of Hong Kong Ltd. (SEHK)</t>
  </si>
  <si>
    <t>Accessories (Primary); Apparel, Accessories and Luxury Goods (Primary); Consumer Discretionary (Primary); Consumer Durables and Apparel (Primary); Textiles, Apparel and Luxury Goods (Primary); Beauty Care Products; Consumer Staples; Diversified Financial Services; Diversified Financials; Financials; Hair Brushes, Combs and Hair Clips; Home Furnishings; Household and Personal Products; Household Durables; Internet and Direct Marketing Retail; Internet and Direct Marketing Retail; Investment Services and Holding Companies; Multi-Sector Holdings; Online Beauty Care Product Retail; Online Personal Care Product Retail; Online Specialty Retail; Patent Owners and Lessors; Personal Products; Personal Products; Real Estate; Real Estate; Real Estate Management and Development; Real Estate Operating Companies; Real Estate Operators And Lessors; Retailing; Specialty Retail; Specialty Stores; Wood Household Furniture</t>
  </si>
  <si>
    <t>NetDragon Websoft Holdings Limited (SEHK:777)</t>
  </si>
  <si>
    <t>SEHK:777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</si>
  <si>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</si>
  <si>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Advertising; Application Software; Casinos and Gaming; Consumer Discretionary; Consumer Services; Diversified Consumer Services; Diversified Financial Services; Diversified Financials; Education Services; Electronic Equipment, Instruments and Components; Financials; Gaming Operations; Hotels, Restaurants and Leisure; Information Technology; Investment Services and Holding Companies; Marketing Services; Media; Multi-Sector Holdings; Online Education Courses; Online Gaming Operations; Patent Owners and Lessors; Real Estate; Real Estate; Real Estate Development; Real Estate Management and Development; Software; Software and Services; Software Distribution; Technology Distributors; Technology Hardware and Equipment; Technology Hardware and Equipment Distribution</t>
  </si>
  <si>
    <t>Meilleure Health International Industry Group Limited (SEHK:2327)</t>
  </si>
  <si>
    <t>SEHK:2327</t>
  </si>
  <si>
    <t>The Stock Exchange of Hong Kong Ltd. (SEHK)</t>
  </si>
  <si>
    <t>Capital Goods (Primary); Construction Material Distribution (Primary); Industrials (Primary); Trading Companies and Distributors (Primary); Trading Companies and Distributors (Primary); Health Care; Health Care Distributors; Health Care Equipment and Services; Health Care Providers and Services; Health Care Services; Medicinal Chemicals and Botanical Products; Pharmaceutical Product Distribution; Pharmaceuticals; Pharmaceuticals; Pharmaceuticals, Biotechnology and Life Sciences; Real Estate; Real Estate; Real Estate Agents And Brokers; Real Estate Development; Real Estate Management and Development; Real Estate Operating Companies; Real Estate Operators And Lessors; Real Estate Services</t>
  </si>
  <si>
    <t>Sino-Ocean Service Holding Limited (SEHK:6677)</t>
  </si>
  <si>
    <t>SEHK:6677</t>
  </si>
  <si>
    <t>The Stock Exchange of Hong Kong Ltd. (SEHK)</t>
  </si>
  <si>
    <t>Commercial and Professional Services (Primary); Commercial Services and Supplies (Primary); Environmental and Facilities Services (Primary); Industrials (Primary); Nonresidential Property Managers; Real Estate; Real Estate; Real Estate Agents And Brokers; Real Estate Management and Development; Real Estate Management Services; Real Estate Operating Companies; Real Estate Services; Residential Property Managers</t>
  </si>
  <si>
    <t>Excellence Commercial Property &amp; Facilities Management Group Limited (SEHK:6989)</t>
  </si>
  <si>
    <t>SEHK:6989</t>
  </si>
  <si>
    <t>The Stock Exchange of Hong Kong Ltd. (SEHK)</t>
  </si>
  <si>
    <t>Apartment Building Operators and Lessors (Primary); Nonresidential Property Managers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Residential Property Managers (Primary); Commercial and Professional Services; Commercial Services and Supplies; Consumer Finance; Consumer Finance; Development Consulting; Diversified Financial Services; Diversified Financials; Diversified Support Services; Financials; Industrials; Information Technology; Information Technology (IT) Consulting; IT Consulting and Other Services; IT Services; Services Outsourcing; Software and Services; Specialized Finance</t>
  </si>
  <si>
    <t>China Lilang Limited (SEHK:1234)</t>
  </si>
  <si>
    <t>SEHK:1234</t>
  </si>
  <si>
    <t>The Stock Exchange of Hong Kong Ltd. (SEHK)</t>
  </si>
  <si>
    <t>Accessories (Primary); Apparel (Primary); Apparel, Accessories and Luxury Goods (Primary); Consumer Discretionary (Primary); Consumer Durables and Apparel (Primary); Men's Apparel (Primary); Textiles, Apparel and Luxury Goods (Primary); Commercial and Professional Services; Commercial Services and Supplies; General Management Services; Industrials; Office Services and Supplies</t>
  </si>
  <si>
    <t>Tiande Chemical Holdings Limited (SEHK:609)</t>
  </si>
  <si>
    <t>SEHK:609</t>
  </si>
  <si>
    <t>The Stock Exchange of Hong Kong Ltd. (SEHK)</t>
  </si>
  <si>
    <t>Chemicals (Primary); Materials (Primary); Materials (Primary); Specialty Chemicals (Primary); Acids and Caustics; Commodity Chemicals; Health Care; Health Care Equipment; Health Care Equipment and Services; Health Care Equipment and Supplies; Industrial Inorganic Chemicals; Industrial Organic Chemicals; Medical Equipment</t>
  </si>
  <si>
    <t>China General Education Group Limited (SEHK:2175)</t>
  </si>
  <si>
    <t>SEHK:2175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</si>
  <si>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</si>
  <si>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</t>
  </si>
  <si>
    <t>iShares Asia Trust - iShares Core S&amp;P BSE SENSEX India Index ETF (SEHK:9836)</t>
  </si>
  <si>
    <t>SEHK:9836</t>
  </si>
  <si>
    <t>The Stock Exchange of Hong Kong Ltd. (SEHK)</t>
  </si>
  <si>
    <t>SEHK:82836
Company: iShares Asia Trust - iShares Core S&amp;P BSE SENSEX India Index ETF
(IQT404717293) - The Stock Exchange of Hong Kong Ltd. (SEHK)
SEHK:2836
Company: iShares Asia Trust - iShares Core S&amp;P BSE SENSEX India Index ETF
(IQT99453780) - The Stock Exchange of Hong Kong Ltd. (SEHK)</t>
  </si>
  <si>
    <t>Asset Management and Custody Banks (Primary); Capital Markets (Primary); Diversified Financials (Primary); Financials (Primary); Investment Funds (Primary)</t>
  </si>
  <si>
    <t>Dynamic Holdings Limited (SEHK:29)</t>
  </si>
  <si>
    <t>SEHK:29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</si>
  <si>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</si>
  <si>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(Primary); Commercial and Professional Services; Commercial Services and Supplies; Consulting Services; Diversified Financial Services; Diversified Financials; Diversified Real Estate Activities; Financials; General Management Services; Industrials; Management Consulting Services; Office Services and Supplies; Professional Services; Real Estate Development; Research and Consulting Services; Specialized Finance</t>
  </si>
  <si>
    <t>New Times Energy Corporation Limited (SEHK:166)</t>
  </si>
  <si>
    <t>SEHK:166</t>
  </si>
  <si>
    <t>The Stock Exchange of Hong Kong Ltd. (SEHK)</t>
  </si>
  <si>
    <t>Capital Goods (Primary); Industrials (Primary); Trading Companies and Distributors (Primary); Trading Companies and Distributors (Primary); Energy; Energy; Oil and Gas Exploration and Production; Oil and Gas Production; Oil, Gas and Consumable Fuels</t>
  </si>
  <si>
    <t>Joy Spreader Group Inc. (SEHK:6988)</t>
  </si>
  <si>
    <t>SEHK:6988</t>
  </si>
  <si>
    <t>The Stock Exchange of Hong Kong Ltd. (SEHK)</t>
  </si>
  <si>
    <t>Advertising (Primary); Broadcast Advertising (Primary); Communication Services (Primary); Internet Advertising (Primary); Media (Primary); Media and Entertainment (Primary); Interactive Media and Services; Interactive Media and Services; Online Services</t>
  </si>
  <si>
    <t>Sunac Services Holdings Limited (SEHK:1516)</t>
  </si>
  <si>
    <t>SEHK:1516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</si>
  <si>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</si>
  <si>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Real Estate Agents And Brokers; Real Estate Services</t>
  </si>
  <si>
    <t>Kinetic Development Group Limited (SEHK:1277)</t>
  </si>
  <si>
    <t>SEHK:1277</t>
  </si>
  <si>
    <t>The Stock Exchange of Hong Kong Ltd. (SEHK)</t>
  </si>
  <si>
    <t>Coal and Consumable Fuels (Primary); Coal Products (Primary); Energy (Primary); Energy (Primary); Oil, Gas and Consumable Fuels (Primary); Agricultural Products; Agricultural Services; Animal Services; Beverages; Capital Goods; Commercial and Professional Services; Commercial Services and Supplies; Consumer Staples; Distillers and Vintners; Environmental and Facilities Services; Food Products; Food, Beverage and Tobacco; Fruits; Fruits, Vegetables, and Nuts; Grapes; Industrials; Livestock Services; Trading Companies and Distributors; Trading Companies and Distributors; Wine</t>
  </si>
  <si>
    <t>Nexteer Automotive Group Limited (SEHK:1316)</t>
  </si>
  <si>
    <t>SEHK:1316</t>
  </si>
  <si>
    <t>The Stock Exchange of Hong Kong Ltd. (SEHK)</t>
  </si>
  <si>
    <t>Auto Components (Primary); Auto Parts and Equipment (Primary); Automobiles and Components (Primary); Consumer Discretionary (Primary); Motor Vehicle Safety and Security Systems (Primary); Steering and Suspension System Components (Primary); Consumer Services; Diversified Consumer Services; Motor Vehicle Repair and Services; Specialized Consumer Services</t>
  </si>
  <si>
    <t>Alibaba Pictures Group Limited (SEHK:1060)</t>
  </si>
  <si>
    <t>SEHK:1060</t>
  </si>
  <si>
    <t>The Stock Exchange of Hong Kong Ltd. (SEHK)</t>
  </si>
  <si>
    <t>Communication Services (Primary); Entertainment (Primary); Entertainment Production Companies (Primary); Entertainment Services (Primary); Entertainment Venues (Primary); Media and Entertainment (Primary); Motion Picture and Video Production Companies (Primary); Motion Picture Distribution And Allied Services (Primary); Motion Picture Theaters (Primary); Movies and Entertainment (Primary); Talent Management and Talent Service Agencies (Primary); Television Production Companies (Primary); Ticket Agencies (Primary); Advertising; Asset Management and Custody Banks; Capital Markets; Conference Services; Consumer Discretionary; Consumer Durables and Apparel; Development Tools; Diversified Financial Services; Diversified Financials; Financials; Games and Toys; Hobbies, Toys and Games; Information Technology; Information Technology (IT) Consulting; Investment Services and Holding Companies; IT Consulting and Other Services; IT Services; Leisure Products; Leisure Products; Marketing Services; Media; Multi-Sector Holdings; Patent Owners and Lessors; Services Outsourcing; Software; Software and Services; Software Development; Sporting and Recreational Goods; Systems Software</t>
  </si>
  <si>
    <t>Homeland Interactive Technology Ltd. (SEHK:3798)</t>
  </si>
  <si>
    <t>SEHK:3798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</si>
  <si>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</si>
  <si>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</t>
  </si>
  <si>
    <t>Q P Group Holdings Limited (SEHK:1412)</t>
  </si>
  <si>
    <t>SEHK:1412</t>
  </si>
  <si>
    <t>The Stock Exchange of Hong Kong Ltd. (SEHK)</t>
  </si>
  <si>
    <t>Consumer Discretionary (Primary); Consumer Durables and Apparel (Primary); Household Durables (Primary); Housewares and Specialties (Primary); Commercial and Professional Services; Commercial Printing; Commercial Services and Supplies; Greeting Cards; Industrials; Information Technology; Internet and Direct Marketing Retail; Internet and Direct Marketing Retail; IT Consulting and Other Services; IT Services; Leisure Products; Leisure Products; Materials; Materials; Novelty Paper; Online Paper Product Retail; Online Specialty Retail; Paper and Forest Products; Paper Manufacturing; Paper Products; Printing Services; Professional Services; Real Estate; Real Estate; Real Estate Management and Development; Real Estate Operating Companies; Real Estate Operators And Lessors; Research and Consulting Services; Research, Development, and Testing Services; Retailing; Software and Services; Testing Laboratories</t>
  </si>
  <si>
    <t>Feiyu Technology International Company Ltd. (SEHK:1022)</t>
  </si>
  <si>
    <t>SEHK:1022</t>
  </si>
  <si>
    <t>The Stock Exchange of Hong Kong Ltd. (SEHK)</t>
  </si>
  <si>
    <t>Central China Management Company Limited (SEHK:9982)</t>
  </si>
  <si>
    <t>SEHK:9982</t>
  </si>
  <si>
    <t>The Stock Exchange of Hong Kong Ltd. (SEHK)</t>
  </si>
  <si>
    <t>Real Estate (Primary); Real Estate (Primary); Real Estate Development (Primary); Real Estate Management and Development (Primary); Real Estate Management Services; Real Estate Operating Companies</t>
  </si>
  <si>
    <t>Value Partners Group Limited (SEHK:806)</t>
  </si>
  <si>
    <t>SEHK:806</t>
  </si>
  <si>
    <t>The Stock Exchange of Hong Kong Ltd. (SEHK)</t>
  </si>
  <si>
    <t>Asset Management and Custody Banks (Primary); Capital Markets (Primary); Diversified Financials (Primary); Financials (Primary)</t>
  </si>
  <si>
    <t>361 Degrees International Limited (SEHK:1361)</t>
  </si>
  <si>
    <t>SEHK:1361</t>
  </si>
  <si>
    <t>The Stock Exchange of Hong Kong Ltd. (SEHK)</t>
  </si>
  <si>
    <t>Accessories (Primary); Apparel (Primary); Apparel, Accessories and Luxury Goods (Primary); Athletic Uniforms (Primary); Consumer Discretionary (Primary); Consumer Durables and Apparel (Primary); Specialty Apparel (Primary); Textiles, Apparel and Luxury Goods (Primary); Accessory Stores; Apparel and Textile Distribution; Apparel Retail; Athletic Footwear; Automotive Retail; Distributors; Distributors; Durable Goods Distribution; Footwear; Internet and Direct Marketing Retail; Internet and Direct Marketing Retail; Oil and Gas Retail; Online Apparel and Accessory Retail; Online Shoe Retail; Online Specialty Retail; Retailing; Shoe Accessories; Shoe Stores; Specialty Retail</t>
  </si>
  <si>
    <t>Zengame Technology Holding Limited (SEHK:2660)</t>
  </si>
  <si>
    <t>SEHK:2660</t>
  </si>
  <si>
    <t>The Stock Exchange of Hong Kong Ltd. (SEHK)</t>
  </si>
  <si>
    <t>Yashili International Holdings Ltd (SEHK:1230)</t>
  </si>
  <si>
    <t>SEHK:1230</t>
  </si>
  <si>
    <t>The Stock Exchange of Hong Kong Ltd. (SEHK)</t>
  </si>
  <si>
    <t>Cereal Breakfast Foods (Primary); Consumer Staples (Primary); Dairy Products (Primary); Dairy Products and Eggs (Primary); Dry, Condensed, And Evaporated Dairy Products (Primary); Flour (Primary); Food Products (Primary); Food, Beverage and Tobacco (Primary); Grain Mill Products (Primary); Packaged Foods and Meats (Primary); Food and Staples Retailing; Food and Staples Retailing; Food Distribution; Food Distributors; Food Retail</t>
  </si>
  <si>
    <t>Bairong Inc. (SEHK:6608)</t>
  </si>
  <si>
    <t>SEHK:6608</t>
  </si>
  <si>
    <t>The Stock Exchange of Hong Kong Ltd. (SEHK)</t>
  </si>
  <si>
    <t>Capital Markets (Primary); Diversified Financials (Primary); Financial Exchanges and Data (Primary); Financials (Primary); Advertising; Application Hosting Services; Application Service Providers (ASPs); Application Software; Communication Services; Data Processing and Outsourced Services; Diversified Financial Services; Information Technology; Insurance; Insurance; Insurance Brokers; IT Consulting and Other Services; IT Services; Marketing Services; Media; Media and Entertainment; Online Insurance Services; Reinsurance; Software; Software and Services; Specialized Finance</t>
  </si>
  <si>
    <t>Goldstream Investment Limited (SEHK:1328)</t>
  </si>
  <si>
    <t>SEHK:1328</t>
  </si>
  <si>
    <t>The Stock Exchange of Hong Kong Ltd. (SEHK)</t>
  </si>
  <si>
    <t>Commercial and Professional Services (Primary); Commercial Services and Supplies (Primary); Industrials (Primary); Office Services and Supplies (Primary); Asset Management and Custody Banks; Capital Markets; Diversified Financials; Financials; Information Technology; Information Technology (IT) Consulting; Investment Advice; Investment Banking and Brokerage; IT Consulting and Other Services; IT Services; Securities and Commodities Markets Services; Security Brokers; Security Brokers and Dealers; Software and Services</t>
  </si>
  <si>
    <t>Zhihu Inc. (NYSE:ZH)</t>
  </si>
  <si>
    <t>NYSE:ZH</t>
  </si>
  <si>
    <t>SEHK:2390
Company: Zhihu Inc.
(IQT1684172135) - 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</si>
  <si>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Commercial and Professional Services; Consulting Services; Consumer Discretionary; Consumer Services; Diversified Consumer Services; Diversified Financial Services; Diversified Financials; Education Services; Financials; Industrials; Information Technology; Internet Services and Infrastructure; Investment Services and Holding Companies; IT Consulting and Other Services; IT Services; Marketing Services; Media; Multi-Sector Holdings; Patent Owners and Lessors; Professional Services; Research and Consulting Services; Software and Services; Specialty Educational Services</t>
  </si>
  <si>
    <t>Yantai North Andre Juice Co.,Ltd. (SEHK:2218)</t>
  </si>
  <si>
    <t>SEHK:2218</t>
  </si>
  <si>
    <t>The Stock Exchange of Hong Kong Ltd. (SEHK)</t>
  </si>
  <si>
    <t>Animal Feed (Primary); Consumer Staples (Primary); Food Products (Primary); Food, Beverage and Tobacco (Primary); Packaged Foods and Meats (Primary); Beverages; Bottled Water; Commercial and Professional Services; Commercial Services and Supplies; Containers and Packaging; Diversified Support Services; Drink Mixes; Flavoring Syrup And Concentrate; Food and Staples Retailing; Food and Staples Retailing; Food Distributors; Industrials; Juices; Materials; Materials; Metal and Glass Containers; Metal Packaging; Soft Drinks; Warehousing and Storage</t>
  </si>
  <si>
    <t>Golden Throat Holdings Group Company Limited (SEHK:6896)</t>
  </si>
  <si>
    <t>SEHK:6896</t>
  </si>
  <si>
    <t>The Stock Exchange of Hong Kong Ltd. (SEHK)</t>
  </si>
  <si>
    <t>Consumer Staples (Primary); Household and Personal Products (Primary); Personal Products (Primary); Personal Products (Primary); Health Care; Non-Prescription Drugs; Pharmaceutical Products; Pharmaceuticals; Pharmaceuticals; Pharmaceuticals, Biotechnology and Life Sciences</t>
  </si>
  <si>
    <t>Shoucheng Holdings Limited (SEHK:697)</t>
  </si>
  <si>
    <t>SEHK:697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</si>
  <si>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</si>
  <si>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Markets; Consumer Discretionary; Consumer Services; Diversified Consumer Services; Diversified Financials; Financials; Motor Vehicle Parking; Motor Vehicle Repair and Services; Motor Vehicle Services; Nonresidential Property Managers; Real Estate Management Services; Real Estate Operating Companies; Real Estate Operators And Lessors; Specialized Consumer Services</t>
  </si>
  <si>
    <t>China Financial International Investments Limited (SEHK:721)</t>
  </si>
  <si>
    <t>SEHK:721</t>
  </si>
  <si>
    <t>The Stock Exchange of Hong Kong Ltd. (SEHK)</t>
  </si>
  <si>
    <t>D&amp;G Technology Holding Company Limited (SEHK:1301)</t>
  </si>
  <si>
    <t>SEHK:1301</t>
  </si>
  <si>
    <t>The Stock Exchange of Hong Kong Ltd. (SEHK)</t>
  </si>
  <si>
    <t>Capital Goods (Primary); Construction Machinery and Equipment (Primary); Construction Machinery and Heavy Trucks (Primary); Industrials (Primary); Machinery (Primary); Commercial and Professional Services; Commercial Services and Supplies; Construction Machinery Distribution; Construction Machinery Rental and Leasing; Diversified Support Services; Machinery Distribution; Machinery Rental and Leasing; Trading Companies and Distributors; Trading Companies and Distributors</t>
  </si>
  <si>
    <t>South China Vocational Education Group Company Limited (SEHK:6913)</t>
  </si>
  <si>
    <t>SEHK:6913</t>
  </si>
  <si>
    <t>The Stock Exchange of Hong Kong Ltd. (SEHK)</t>
  </si>
  <si>
    <t>Consumer Discretionary (Primary); Consumer Services (Primary); Diversified Consumer Services (Primary); Education Services (Primary); Schools (Primary); Vocational Schools (Primary)</t>
  </si>
  <si>
    <t>A-Living Smart City Services Co., Ltd. (SEHK:3319)</t>
  </si>
  <si>
    <t>SEHK:3319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</si>
  <si>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</si>
  <si>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Amusement And Recreation Services; Building Care and Improvement Services; Commercial and Professional Services; Commercial Services and Supplies; Communication Services; Consulting Services; Consumer Discretionary; Consumer Services; Diversified Consumer Services; Diversified Support Services; Environmental and Facilities Services; Hotels, Resorts and Cruise Lines; Hotels, Restaurants and Leisure; Industrials; Leisure Facilities; Media; Media and Entertainment; Motor Vehicle Parking; Motor Vehicle Repair and Services; Motor Vehicle Services; Professional Services; Real Estate Agents And Brokers; Real Estate Appraisers; Real Estate Services; Recreation Clubs; Research and Consulting Services; Residential Building Care and Improvement Services ; Residential Security and Personal Safety Services; Specialized Consumer Services; Travel Agencies; Travel and Tourism Services</t>
  </si>
  <si>
    <t>Huabao International Holdings Limited (SEHK:336)</t>
  </si>
  <si>
    <t>SEHK:336</t>
  </si>
  <si>
    <t>The Stock Exchange of Hong Kong Ltd. (SEHK)</t>
  </si>
  <si>
    <t>Chemicals (Primary); Materials (Primary); Materials (Primary); Specialty Chemicals (Primary); Beauty Care Products; Beverages; Commodity Chemicals; Consumer Discretionary; Consumer Staples; Drink Mixes; Flavoring Extracts; Food Products; Food, Beverage and Tobacco; Household and Personal Products; Industrial Organic Chemicals; Packaged Foods and Meats; Perfumes and Colognes; Personal Care Product Stores; Personal Products; Personal Products; Retailing; Seasonings and Preservatives; Soft Drinks; Specialty Retail; Specialty Stores; Tobacco; Tobacco</t>
  </si>
  <si>
    <t>Stella International Holdings Limited (SEHK:1836)</t>
  </si>
  <si>
    <t>SEHK:1836</t>
  </si>
  <si>
    <t>The Stock Exchange of Hong Kong Ltd. (SEHK)</t>
  </si>
  <si>
    <t>Consumer Discretionary (Primary); Consumer Durables and Apparel (Primary); Footwear (Primary); Men's and Boys' Footwear (Primary); Textiles, Apparel and Luxury Goods (Primary); Women's and Girls' Footwear (Primary); Accounting Services; Accounting, Auditing and Taxation Services; Apparel and Textile Distribution; Apparel Retail; Commercial and Professional Services; Distributors; Distributors; Diversified Financial Services; Diversified Financials; Durable Goods Distribution; Financials; Footwear Distribution; Industrials; Investment Services and Holding Companies; Men's Shoe Stores; Multi-Sector Holdings; Patent Owners and Lessors; Professional Services; Research and Consulting Services; Retailing; Shoe Stores; Specialty Retail; Women's Shoe Stores</t>
  </si>
  <si>
    <t>Natural Food International Holding Limited (SEHK:1837)</t>
  </si>
  <si>
    <t>SEHK:1837</t>
  </si>
  <si>
    <t>The Stock Exchange of Hong Kong Ltd. (SEHK)</t>
  </si>
  <si>
    <t>Consumer Staples (Primary); Food Products (Primary); Food, Beverage and Tobacco (Primary); Packaged Foods and Meats (Primary); Commercial and Professional Services; Commercial Services and Supplies; General Management Services; Industrials; Office Services and Supplies</t>
  </si>
  <si>
    <t>iShares Asia Trust - iShares Core MSCI China Index ETF (SEHK:2801)</t>
  </si>
  <si>
    <t>SEHK:2801</t>
  </si>
  <si>
    <t>The Stock Exchange of Hong Kong Ltd. (SEHK)</t>
  </si>
  <si>
    <t>Oriental Enterprise Holdings Limited (SEHK:18)</t>
  </si>
  <si>
    <t>SEHK:18</t>
  </si>
  <si>
    <t>The Stock Exchange of Hong Kong Ltd. (SEHK)</t>
  </si>
  <si>
    <t>Communication Services (Primary); Media (Primary); Media and Entertainment (Primary); Newspaper and Magazine Publishing (Primary); Newspaper Publishing (Primary); Printed Media Publishing (Primary); Published Electronic Materials (Primary); Publishing (Primary); Banks; Commercial and Professional Services; Commercial Printing; Commercial Services and Supplies; Financials; Industrials; Interactive Media and Services; Interactive Media and Services; Online Services; Real Estate; Real Estate; Real Estate Management and Development; Real Estate Operating Companies; Real Estate Operators And Lessors; Thrifts and Mortgage Finance; Thrifts and Mortgage Finance</t>
  </si>
  <si>
    <t>Tysan Holdings Limited (SEHK:687)</t>
  </si>
  <si>
    <t>SEHK:687</t>
  </si>
  <si>
    <t>The Stock Exchange of Hong Kong Ltd. (SEHK)</t>
  </si>
  <si>
    <t>Capital Goods (Primary); Construction and Engineering (Primary); Construction and Engineering (Primary); Construction Management Services (Primary); Construction Support Services (Primary); Engineering and Surveying Services (Primary); Engineering Services (Primary); Industrials (Primary); Specialty Contract Work (Primary); Apartment Building Operators and Lessors; Commercial and Professional Services; Commercial Services and Supplies; Construction Machinery Distribution; Construction Machinery Rental and Leasing; Consulting Services; General Management Services; Machinery Distribution; Machinery Rental and Leasing; Nonresidential Building Operators and Lessors; Office Building Operators and Lessors; Office Services and Supplies; Professional Services; Real Estate; Real Estate; Real Estate Development; Real Estate Management and Development; Real Estate Management Services; Real Estate Operating Companies; Real Estate Operators And Lessors; Research and Consulting Services; Residential Building Operators and Lessors; Trading Companies and Distributors; Trading Companies and Distributors</t>
  </si>
  <si>
    <t>Greentech Technology International Limited (SEHK:195)</t>
  </si>
  <si>
    <t>SEHK:195</t>
  </si>
  <si>
    <t>The Stock Exchange of Hong Kong Ltd. (SEHK)</t>
  </si>
  <si>
    <t>Diversified Metal Ores (Primary); Diversified Metals and Mining (Primary); Materials (Primary); Materials (Primary); Metals and Mining (Primary); Tin Ores (Primary); Copper; Copper Ores</t>
  </si>
  <si>
    <t>Lung Kee (Bermuda) Holdings Limited (SEHK:255)</t>
  </si>
  <si>
    <t>SEHK:255</t>
  </si>
  <si>
    <t>The Stock Exchange of Hong Kong Ltd. (SEHK)</t>
  </si>
  <si>
    <t>Capital Goods (Primary); Die Sets, Jigs and Industrial Molds (Primary); Industrial Machinery (Primary); Industrials (Primary); Machinery (Primary); Metalworking Machinery and Equipment (Primary)</t>
  </si>
  <si>
    <t>Lam Soon (Hong Kong) Limited (SEHK:411)</t>
  </si>
  <si>
    <t>SEHK:411</t>
  </si>
  <si>
    <t>The Stock Exchange of Hong Kong Ltd. (SEHK)</t>
  </si>
  <si>
    <t>Consumer Staples (Primary); Edible Oils (Primary); Flour (Primary); Food Products (Primary); Food, Beverage and Tobacco (Primary); Grain Mill Products (Primary); Packaged Foods and Meats (Primary); Air Freight and Logistics; Air Freight and Logistics; Asset Management and Custody Banks; Capital Markets; Cleaning Products; Commercial and Professional Services; Commercial Services and Supplies; Consumer Discretionary; Consumer Services; Dishwashing Detergents; Distributors; Distributors; Diversified Financials; Diversified Support Services; Financials; Floor Cleaners and Waxes; Food and Staples Retailing; Food and Staples Retailing; Food Distributors; Food Service Contractors; Hotels, Restaurants and Leisure; Household and Personal Product Distribution; Household and Personal Products; Household Products; Household Products; Industrials; Information Technology; Information Technology (IT) Consulting; IT Consulting and Other Services; IT Services; Laundry Products; Motor Vehicle Rental and Leasing; Non-Durable Goods Distribution; Real Estate; Real Estate; Real Estate Management and Development; Real Estate Operating Companies; Real Estate Operators And Lessors; Restaurants; Retailing; Road and Rail; Software and Services; Transportation; Truck Rental and Leasing; Trucking; Warehousing and Storage</t>
  </si>
  <si>
    <t>Shougang Fushan Resources Group Limited (SEHK:639)</t>
  </si>
  <si>
    <t>SEHK:639</t>
  </si>
  <si>
    <t>The Stock Exchange of Hong Kong Ltd. (SEHK)</t>
  </si>
  <si>
    <t>Materials (Primary); Materials (Primary); Metallurgical (Coking) Coal Mining (Primary); Metals and Mining (Primary); Steel (Primary); Coal and Consumable Fuels; Energy; Energy; Oil, Gas and Consumable Fuels</t>
  </si>
  <si>
    <t>Noah Holdings Limited (NYSE:NOAH)</t>
  </si>
  <si>
    <t>NYSE:NOAH</t>
  </si>
  <si>
    <t>SEHK:6686
Company: Noah Holdings Limited
(IQT365852919) - The Stock Exchange of Hong Kong Ltd. (SEHK)</t>
  </si>
  <si>
    <t>Clifford Modern Living Holdings Limited (SEHK:3686)</t>
  </si>
  <si>
    <t>SEHK:3686</t>
  </si>
  <si>
    <t>The Stock Exchange of Hong Kong Ltd. (SEHK)</t>
  </si>
  <si>
    <t>Capital Goods (Primary); Industrial Conglomerates (Primary); Industrial Conglomerates (Primary); Industrials (Primary); Commercial and Professional Services; Computer and Electronics Retail; Construction and Engineering; Construction and Engineering; Consulting Services; Consumer Discretionary; Consumer Electronics Stores; Consumer Services; Consumer Staples; Convenience Stores; Diversified Consumer Services; Domestic Cleaning and Household Services; Education Services; Food and Staples Retailing; Food and Staples Retailing; Food Retail; Fruit and Vegetable Stores and Markets; Full Stock Supermarkets; Grocery Stores; Human Resource and Employment Services; Information Technology; Information Technology (IT) Consulting; IT Consulting and Other Services; IT Services; Laundry Services; Laundry, Cleaning, and Garment Services; Meat Markets and Butchers; Nonresidential Property Managers; Professional Services; Real Estate; Real Estate; Real Estate Agents And Brokers; Real Estate Management and Development; Real Estate Management Services; Real Estate Operating Companies; Real Estate Services; Research and Consulting Services; Residential Building Care and Improvement Services ; Residential Property Managers; Retailing; Services Outsourcing; Software and Services; Specialized Consumer Services; Specialty Educational Services; Specialty Retail; System and Platform Integration</t>
  </si>
  <si>
    <t>CMGE Technology Group Limited (SEHK:302)</t>
  </si>
  <si>
    <t>SEHK:302</t>
  </si>
  <si>
    <t>The Stock Exchange of Hong Kong Ltd. (SEHK)</t>
  </si>
  <si>
    <t>Communication Services (Primary); Computer and Mobile Games (Primary); Entertainment (Primary); Entertainment Software (Primary); Interactive Home Entertainment (Primary); Media and Entertainment (Primary); Asset Management and Custody Banks; Capital Markets; Diversified Financial Services; Diversified Financials; Financials; Investment Services and Holding Companies; Multi-Sector Holdings; Patent Owners and Lessors</t>
  </si>
  <si>
    <t>Zhejiang Shibao Company Limited (SEHK:1057)</t>
  </si>
  <si>
    <t>SEHK:1057</t>
  </si>
  <si>
    <t>The Stock Exchange of Hong Kong Ltd. (SEHK)</t>
  </si>
  <si>
    <t>Auto Components (Primary); Auto Parts and Equipment (Primary); Automobiles and Components (Primary); Consumer Discretionary (Primary); Steering and Suspension System Components (Primary); Steering Systems (Primary)</t>
  </si>
  <si>
    <t>Prosperous Industrial (Holdings) Limited (SEHK:1731)</t>
  </si>
  <si>
    <t>SEHK:1731</t>
  </si>
  <si>
    <t>The Stock Exchange of Hong Kong Ltd. (SEHK)</t>
  </si>
  <si>
    <t>Apparel, Accessories and Luxury Goods (Primary); Backpacks (Primary); Consumer Discretionary (Primary); Consumer Durables and Apparel (Primary); Luggage (Primary); Luggage and Handbags (Primary); Purses, Handbags and Bags (Primary); Textiles, Apparel and Luxury Goods (Primary); Apparel and Textile Distribution; Apparel Retail; Commercial and Professional Services; Commercial Services and Supplies; Distributors; Distributors; Diversified Support Services; Durable Goods Distribution; Industrials; Luggage and Leather Goods Stores; Retailing; Specialty Retail</t>
  </si>
  <si>
    <t>CMIC Ocean En-Tech Holding Co., Ltd. (SEHK:206)</t>
  </si>
  <si>
    <t>SEHK:206</t>
  </si>
  <si>
    <t>The Stock Exchange of Hong Kong Ltd. (SEHK)</t>
  </si>
  <si>
    <t>Drilling Rigs and Equipment (Primary); Energy (Primary); Energy (Primary); Energy Equipment and Services (Primary); Oil and Gas Equipment and Services (Primary); Oil and Gas Field Services (Primary); Oil and Gas Machinery and Equipment (Primary); Well Drilling Machinery and Equipment (Primary); Capital Goods; Construction and Engineering; Construction and Engineering; Construction Support Services; Engineering and Surveying Services; Engineering Services; Industrial Machinery; Industrials; Machinery; Machinery Distribution; Machinery Rental and Leasing; Material Handling Machinery and Equipment; Oil and Gas Machinery and Equipment Distribution; Trading Companies and Distributors; Trading Companies and Distributors</t>
  </si>
  <si>
    <t>Playmates Toys Limited (SEHK:869)</t>
  </si>
  <si>
    <t>SEHK:869</t>
  </si>
  <si>
    <t>The Stock Exchange of Hong Kong Ltd. (SEHK)</t>
  </si>
  <si>
    <t>Consumer Discretionary (Primary); Consumer Durables and Apparel (Primary); Games and Toys (Primary); Hobbies, Toys and Games (Primary); Leisure Products (Primary); Leisure Products (Primary); Sporting and Recreational Goods (Primary)</t>
  </si>
  <si>
    <t>Maoyan Entertainment (SEHK:1896)</t>
  </si>
  <si>
    <t>SEHK:1896</t>
  </si>
  <si>
    <t>The Stock Exchange of Hong Kong Ltd. (SEHK)</t>
  </si>
  <si>
    <t>Consumer Discretionary (Primary); Internet and Direct Marketing Retail (Primary); Internet and Direct Marketing Retail (Primary); Online Entertainment Ticket Agencies (Primary); Retailing (Primary); Advertising; Broadcast Advertising; Broadcasting; Commercial Distribution Film Libraries; Communication Services; Computer and Mobile Games; Entertainment; Entertainment Production Companies; Entertainment Services; Entertainment Software; Entertainment Venues; Interactive Home Entertainment; Internet Advertising; Media; Media and Entertainment; Motion Picture and Video Production Companies; Motion Picture And Video Tape Distribution; Motion Picture Distribution And Allied Services; Movies and Entertainment; Online Entertainment; Radio; Radio Production Companies; Stage and Theater Services; Talent Management and Talent Service Agencies; Television; Television and Video Post-Production Services; Television Content and Programming; Television Production Companies; Ticket Agencies</t>
  </si>
  <si>
    <t>ENM Holdings Limited (SEHK:128)</t>
  </si>
  <si>
    <t>SEHK:128</t>
  </si>
  <si>
    <t>The Stock Exchange of Hong Kong Ltd. (SEHK)</t>
  </si>
  <si>
    <t>Apparel Retail (Primary); Consumer Discretionary (Primary); Retailing (Primary); Specialty Retail (Primary); Amusement And Recreation Services; Apparel; Apparel and Textile Distribution; Apparel, Accessories and Luxury Goods; Asset Management and Custody Banks; Capital Markets; Consumer Durables and Apparel; Consumer Services; Distributors; Distributors; Diversified Financials; Durable Goods Distribution; Financials; Hotels And Motels; Hotels, Resorts and Cruise Lines; Hotels, Restaurants and Leisure; Leisure Facilities; Lodging; Men's Apparel; Recreation Clubs; Resorts; Textiles, Apparel and Luxury Goods</t>
  </si>
  <si>
    <t>Crystal International Group Limited (SEHK:2232)</t>
  </si>
  <si>
    <t>SEHK:2232</t>
  </si>
  <si>
    <t>The Stock Exchange of Hong Kong Ltd. (SEHK)</t>
  </si>
  <si>
    <t>Apparel (Primary); Apparel, Accessories and Luxury Goods (Primary); Athletic Uniforms (Primary); Consumer Discretionary (Primary); Consumer Durables and Apparel (Primary); Specialty Apparel (Primary); Textiles, Apparel and Luxury Goods (Primary); Women's Intimate Apparel (Primary); Women's, Misses', and Juniors' Apparel (Primary); Women's, Misses', and Juniors' Blouses, Shirts and Sweaters (Primary); Women's, Misses', and Juniors' Underwear and Nightwear (Primary)</t>
  </si>
  <si>
    <t>Kangqiao Service Group Limited (SEHK:2205)</t>
  </si>
  <si>
    <t>SEHK:2205</t>
  </si>
  <si>
    <t>The Stock Exchange of Hong Kong Ltd. (SEHK)</t>
  </si>
  <si>
    <t>Financial Street Property Co., Limited (SEHK:1502)</t>
  </si>
  <si>
    <t>SEHK:1502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</si>
  <si>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</si>
  <si>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Catering Services; Consumer Discretionary; Consumer Services; Financials; Hotels; Hotels And Motels; Hotels, Resorts and Cruise Lines; Hotels, Restaurants and Leisure; Insurance; Insurance; Insurance Brokers; Lodging; Real Estate Agents And Brokers; Real Estate Services; Restaurants</t>
  </si>
  <si>
    <t>Dream International Limited (SEHK:1126)</t>
  </si>
  <si>
    <t>SEHK:1126</t>
  </si>
  <si>
    <t>The Stock Exchange of Hong Kong Ltd. (SEHK)</t>
  </si>
  <si>
    <t>Consumer Discretionary (Primary); Consumer Durables and Apparel (Primary); Dolls and Stuffed Toys (Primary); Hobbies, Toys and Games (Primary); Leisure Products (Primary); Leisure Products (Primary); Sporting and Recreational Goods (Primary); Chemicals; Commercial and Professional Services; Commercial Services and Supplies; Commodity Chemicals; Communications Equipment; Communications Equipment; Electronic Equipment and Instruments; Electronic Equipment, Instruments and Components; Fabrics; Industrials; Information Technology; Materials; Materials; Office Products; Office Services and Supplies; Plastic and Synthetic Resins; Plastic Products; Specialty Chemicals; Technology Hardware and Equipment; Textile Mill Products; Textiles; Textiles, Apparel and Luxury Goods</t>
  </si>
  <si>
    <t>BetterLife Holding Limited (SEHK:6909)</t>
  </si>
  <si>
    <t>SEHK:6909</t>
  </si>
  <si>
    <t>The Stock Exchange of Hong Kong Ltd. (SEHK)</t>
  </si>
  <si>
    <t>Automotive Retail (Primary); Consumer Discretionary (Primary); Motor Vehicle Dealers (New) (Primary); Motor Vehicle Retail (Primary); Retailing (Primary); Specialty Retail (Primary); Car Loans; Consumer Finance; Consumer Finance; Consumer Services; Diversified Consumer Services; Diversified Financials; Financials; Insurance; Insurance; Insurance Brokers; Motor Vehicle Repair and Services; Personal Credit Agencies; Personal Loan Services; Specialized Consumer Services</t>
  </si>
  <si>
    <t>Cheerwin Group Limited (SEHK:6601)</t>
  </si>
  <si>
    <t>SEHK:6601</t>
  </si>
  <si>
    <t>The Stock Exchange of Hong Kong Ltd. (SEHK)</t>
  </si>
  <si>
    <t>Air Fresheners (Primary); Animal Care Products (Primary); Cleaning Products (Primary); Consumer Staples (Primary); Household and Personal Products (Primary); Household Disinfectants (Primary); Household Products (Primary); Household Products (Primary); Soaps (Primary); Advertising; Beauty Care Products; Communication Services; Consumer Discretionary; Distributors; Distributors; Marketing Services; Media; Media and Entertainment; Motor Vehicles and Parts Distribution; Personal Products; Personal Products; Retailing; Skin Care Products</t>
  </si>
  <si>
    <t>Golden Resources Development International Limited (SEHK:677)</t>
  </si>
  <si>
    <t>SEHK:677</t>
  </si>
  <si>
    <t>The Stock Exchange of Hong Kong Ltd. (SEHK)</t>
  </si>
  <si>
    <t>Consumer Staples (Primary); Food and Staples Retailing (Primary); Food and Staples Retailing (Primary); Food Distributors (Primary); Air Freight and Logistics; Air Freight and Logistics; Asset Management and Custody Banks; Capital Markets; Commercial and Professional Services; Commercial Services and Supplies; Convenience Stores; Diversified Financial Services; Diversified Financials; Diversified Support Services; Financials; Food Retail; Grocery Stores; Industrials; Information Technology; Investment Services and Holding Companies; IT Consulting and Other Services; IT Services; Multi-Sector Holdings; Patent Owners and Lessors; Real Estate; Real Estate; Real Estate Development; Real Estate Management and Development; Real Estate Operating Companies; Real Estate Operators And Lessors; Software and Services; Specialized Finance; Transportation; Warehousing and Storage</t>
  </si>
  <si>
    <t>Jinke Smart Services Group Co., Ltd. (SEHK:9666)</t>
  </si>
  <si>
    <t>SEHK:9666</t>
  </si>
  <si>
    <t>The Stock Exchange of Hong Kong Ltd. (SEHK)</t>
  </si>
  <si>
    <t>Nonresidential Property Managers (Primary); Real Estate (Primary); Real Estate (Primary); Real Estate Management and Development (Primary); Real Estate Management Services (Primary); Real Estate Operating Companies (Primary); Residential Property Managers (Primary); Advertising; Building Care and Improvement Services; Capital Goods; Catering Services; Commercial and Professional Services; Commercial Services and Supplies; Communication Services; Construction and Engineering; Construction and Engineering; Construction Management Services; Construction Support Services; Consulting Services; Consumer Discretionary; Consumer Services; Diversified Support Services; Hotels; Hotels And Motels; Hotels, Resorts and Cruise Lines; Hotels, Restaurants and Leisure; Industrials; Lodging; Media; Media and Entertainment; Professional Services; Real Estate Agents And Brokers; Real Estate Services; Research and Consulting Services; Restaurants; Trading Companies and Distributors; Trading Companies and Distributors; Travel and Tourism Services</t>
  </si>
  <si>
    <t>Upbest Group Limited (SEHK:335)</t>
  </si>
  <si>
    <t>SEHK:335</t>
  </si>
  <si>
    <t>The Stock Exchange of Hong Kong Ltd. (SEHK)</t>
  </si>
  <si>
    <t>Consumer Discretionary (Primary); Distributors (Primary); Distributors (Primary); Retailing (Primary); Asset Management and Custody Banks; Capital Goods; Capital Markets; Commodity Contract Services; Consumer Finance; Consumer Finance; Diversified Financial Services; Diversified Financials; Financials; Industrials; Investment Advice; Investment Banking; Investment Banking and Brokerage; Other Diversified Financial Services; Personal Credit Agencies; Real Estate; Real Estate; Real Estate Management and Development; Real Estate Management Services; Real Estate Operating Companies; Real Estate Operators And Lessors; Securities and Commodities Markets Services; Security Brokers; Security Brokers and Dealers; Security Underwriting Services; Specialized Finance; Trading Companies and Distributors; Trading Companies and Distributors</t>
  </si>
  <si>
    <t>Archosaur Games Inc. (SEHK:9990)</t>
  </si>
  <si>
    <t>SEHK:9990</t>
  </si>
  <si>
    <t>The Stock Exchange of Hong Kong Ltd. (SEHK)</t>
  </si>
  <si>
    <t>AAG Energy Holdings Limited (SEHK:2686)</t>
  </si>
  <si>
    <t>SEHK:2686</t>
  </si>
  <si>
    <t>The Stock Exchange of Hong Kong Ltd. (SEHK)</t>
  </si>
  <si>
    <t>Energy (Primary); Energy (Primary); Oil and Gas Exploration and Production (Primary); Oil, Gas and Consumable Fuels (Primary)</t>
  </si>
  <si>
    <t>Cathay Media and Education Group Inc. (SEHK:1981)</t>
  </si>
  <si>
    <t>SEHK:1981</t>
  </si>
  <si>
    <t>The Stock Exchange of Hong Kong Ltd. (SEHK)</t>
  </si>
  <si>
    <t>N/A
Company: Cathay Media and Education Group Inc.
(IQT670723266) - The Stock Exchange of Hong Kong Ltd. (SEHK)</t>
  </si>
  <si>
    <t>Communication Services (Primary); Entertainment (Primary); Entertainment Production Companies (Primary); Media and Entertainment (Primary); Motion Picture and Video Production Companies (Primary); Movies and Entertainment (Primary); Television Production Companies (Primary); Consumer Discretionary; Consumer Services; Diversified Consumer Services; Education Services</t>
  </si>
  <si>
    <t>KWG Living Group Holdings Limited (SEHK:3913)</t>
  </si>
  <si>
    <t>SEHK:3913</t>
  </si>
  <si>
    <t>The Stock Exchange of Hong Kong Ltd. (SEHK)</t>
  </si>
  <si>
    <t>A8 New Media Group Limited (SEHK:800)</t>
  </si>
  <si>
    <t>SEHK:800</t>
  </si>
  <si>
    <t>The Stock Exchange of Hong Kong Ltd. (SEHK)</t>
  </si>
  <si>
    <t>Real Estate (Primary); Real Estate (Primary); Real Estate Management and Development (Primary); Real Estate Operating Companies (Primary); Real Estate Operators And Lessors (Primary); Application Software; Communication Services; Diversified Financial Services; Diversified Financials; Entertainment; Entertainment Production Companies; Entertainment Services; Entertainment Software; Financials; Information Technology; Information Technology (IT) Consulting; Interactive Home Entertainment; Investment Services and Holding Companies; IT Consulting and Other Services; IT Services; Media and Entertainment; Motion Picture and Video Production Companies; Movies and Entertainment; Multi-Sector Holdings; Music Services; Patent Owners and Lessors; Software; Software and Services; Television Production Companies</t>
  </si>
  <si>
    <t>Termbray Industries International (Holdings) Limited (SEHK:93)</t>
  </si>
  <si>
    <t>SEHK:93</t>
  </si>
  <si>
    <t>The Stock Exchange of Hong Kong Ltd. (SEHK)</t>
  </si>
  <si>
    <t>Real Estate (Primary); Real Estate (Primary); Real Estate Development (Primary); Real Estate Management and Development (Primary); Consumer Finance; Consumer Finance; Diversified Financials; Financials; Nonresidential Building Operators and Lessors; Real Estate Operating Companies; Real Estate Operators And Lessors; Residential Building Operators and Lessors</t>
  </si>
  <si>
    <t>Honbridge Holdings Limited (SEHK:8137)</t>
  </si>
  <si>
    <t>SEHK:8137</t>
  </si>
  <si>
    <t>The Stock Exchange of Hong Kong Ltd. (SEHK)</t>
  </si>
  <si>
    <t>Batteries (Primary); Capital Goods (Primary); Electrical Components and Equipment (Primary); Electrical Equipment (Primary); Industrials (Primary); Diversified Metals and Mining; Iron Ores; Materials; Materials; Metals and Mining; Steel; Trading Companies and Distributors; Trading Companies and Distributors</t>
  </si>
  <si>
    <t>Greatview Aseptic Packaging Company Limited (SEHK:468)</t>
  </si>
  <si>
    <t>SEHK:468</t>
  </si>
  <si>
    <t>The Stock Exchange of Hong Kong Ltd. (SEHK)</t>
  </si>
  <si>
    <t>Containers and Packaging (Primary); Materials (Primary); Materials (Primary); Paper Packaging (Primary); Application Software; Capital Goods; Commercial and Professional Services; Commercial Services and Supplies; Diversified Support Services; Industrial Machinery; Industrials; Information Technology; Machinery; Machinery Components; Metal and Glass Containers; Packaging Machinery and Equipment; Plastic Packaging; Plastic Packaging Film And Sheet; Software; Software and Services</t>
  </si>
  <si>
    <t>Neo-Neon Holdings Limited (SEHK:1868)</t>
  </si>
  <si>
    <t>SEHK:1868</t>
  </si>
  <si>
    <t>The Stock Exchange of Hong Kong Ltd. (SEHK)</t>
  </si>
  <si>
    <t>Capital Goods (Primary); Electric Lighting and Wiring Equipment (Primary); Electrical Components and Equipment (Primary); Electrical Equipment (Primary); Industrials (Primary); Diversified Financial Services; Diversified Financials; Electrical Equipment Distribution; Financials; Specialized Finance; Trading Companies and Distributors; Trading Companies and Distributors</t>
  </si>
  <si>
    <t>Hong Kong Economic Times Holdings Limited (SEHK:423)</t>
  </si>
  <si>
    <t>SEHK:423</t>
  </si>
  <si>
    <t>The Stock Exchange of Hong Kong Ltd. (SEHK)</t>
  </si>
  <si>
    <t>Book Publishing (Primary); Communication Services (Primary); Magazine Publishing (Primary); Media (Primary); Media and Entertainment (Primary); Newspaper and Magazine Publishing (Primary); Newspaper Publishing (Primary); Periodical Publishing (Primary); Printed Media Publishing (Primary); Published Electronic Materials (Primary); Publishing (Primary); Advertising; Capital Markets; Commercial and Professional Services; Commercial Printing; Commercial Services and Supplies; Diversified Financials; Financials; Human Resource and Employment Services; Industrials; Interactive Media and Services; Interactive Media and Services; Investment Banking and Brokerage; Online Services; Printing Services; Professional and Management Development Training; Professional Services; Real Estate; Real Estate; Real Estate Management and Development; Real Estate Operating Companies; Securities and Commodities Markets Services; Security Brokers and Dealers</t>
  </si>
  <si>
    <t>Duiba Group Limited (SEHK:1753)</t>
  </si>
  <si>
    <t>SEHK:1753</t>
  </si>
  <si>
    <t>The Stock Exchange of Hong Kong Ltd. (SEHK)</t>
  </si>
  <si>
    <t>Communication Services (Primary); Interactive Media and Services (Primary); Interactive Media and Services (Primary); Media and Entertainment (Primary); Advertising; Application Hosting Services; Application Service Providers (ASPs); Application Software; Information Technology; Media; Software; Software and Services</t>
  </si>
  <si>
    <t>The Cross-Harbour (Holdings) Limited (SEHK:32)</t>
  </si>
  <si>
    <t>SEHK:32</t>
  </si>
  <si>
    <t>The Stock Exchange of Hong Kong Ltd. (SEHK)</t>
  </si>
  <si>
    <t>Automobile Driving Instruction (Primary); Consumer Discretionary (Primary); Consumer Services (Primary); Diversified Consumer Services (Primary); Education Services (Primary); Specialty Educational Services (Primary); Asset Management and Custody Banks; Capital Markets; Commercial and Professional Services; Consulting Services; Diversified Financial Services; Diversified Financials; Electronic Equipment and Instruments; Electronic Equipment, Instruments and Components; Financials; Industrials; Information Technology; IT Consulting and Other Services; IT Services; Professional Services; Real Estate; Real Estate; Real Estate Management and Development; Real Estate Operating Companies; Real Estate Operators And Lessors; Research and Consulting Services; Security, Control, Surveillance and Detection Equipment; Software and Services; Specialized Finance; Technology Hardware and Equipment</t>
  </si>
  <si>
    <t>Strawbear Entertainment Group (SEHK:2125)</t>
  </si>
  <si>
    <t>SEHK:2125</t>
  </si>
  <si>
    <t>The Stock Exchange of Hong Kong Ltd. (SEHK)</t>
  </si>
  <si>
    <t>Communication Services (Primary); Entertainment (Primary); Entertainment Production Companies (Primary); Entertainment Services (Primary); Media and Entertainment (Primary); Motion Picture Distribution And Allied Services (Primary); Movies and Entertainment (Primary); Television Production Companies (Primary); Diversified Financial Services; Diversified Financials; Financials; Investment Services and Holding Companies; Multi-Sector Holdings; Patent Owners and Lessors</t>
  </si>
  <si>
    <t>Lonking Holdings Limited (SEHK:3339)</t>
  </si>
  <si>
    <t>SEHK:3339</t>
  </si>
  <si>
    <t>The Stock Exchange of Hong Kong Ltd. (SEHK)</t>
  </si>
  <si>
    <t>Capital Goods (Primary); Construction Machinery and Equipment (Primary); Construction Machinery and Heavy Trucks (Primary); Industrials (Primary); Machinery (Primary); Business Credit Agencies; Construction Machinery Distribution; Credit Agencies; Diversified Financial Services; Diversified Financials; Finance Leasing; Financials; Forklifts; Industrial Machinery; Lifting Equipment; Machinery Components; Machinery Distribution; Material Handling Machinery and Equipment; Specialized Finance; Trading Companies and Distributors; Trading Companies and Distributors</t>
  </si>
  <si>
    <t>Kingmaker Footwear Holdings Limited (SEHK:1170)</t>
  </si>
  <si>
    <t>SEHK:1170</t>
  </si>
  <si>
    <t>The Stock Exchange of Hong Kong Ltd. (SEHK)</t>
  </si>
  <si>
    <t>Athletic Footwear (Primary); Consumer Discretionary (Primary); Consumer Durables and Apparel (Primary); Footwear (Primary); Men's and Boys' Footwear (Primary); Textiles, Apparel and Luxury Goods (Primary); Women's and Girls' Footwear (Primary); Commercial and Professional Services; Commercial Services and Supplies; General Management Services; Industrials; Office Services and Supplies; Real Estate; Real Estate; Real Estate Management and Development; Real Estate Operating Companies</t>
  </si>
  <si>
    <t>Sino Hotels (Holdings) Limited (SEHK:1221)</t>
  </si>
  <si>
    <t>SEHK:1221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</si>
  <si>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</si>
  <si>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Amusement And Recreation Services; Asset Management and Custody Banks; Beverage and Tobacco Bars; Cafeterias; Capital Markets; Diversified Financial Services; Diversified Financials; Financials; Leisure Facilities; Pubs, Bars and Taverns; Recreation Clubs; Restaurants; Specialized Finance</t>
  </si>
  <si>
    <t>Hutchison Telecommunications Hong Kong Holdings Limited (SEHK:215)</t>
  </si>
  <si>
    <t>SEHK:215</t>
  </si>
  <si>
    <t>The Stock Exchange of Hong Kong Ltd. (SEHK)</t>
  </si>
  <si>
    <t>Cellular Services (Primary); Communication Services (Primary); Mobile Data Services (Primary); Telecommunication Services (Primary); Wireless Telecommunication Services (Primary); Wireless Telecommunication Services (Primary); Advertising; Diversified Telecommunication Services; Information Technology; Information Technology (IT) Consulting; Integrated Telecommunication Services; IT Consulting and Other Services; IT Services; Media; Media and Entertainment; Software and Services</t>
  </si>
  <si>
    <t>Renrui Human Resources Technology Holdings Limited (SEHK:6919)</t>
  </si>
  <si>
    <t>SEHK:6919</t>
  </si>
  <si>
    <t>The Stock Exchange of Hong Kong Ltd. (SEHK)</t>
  </si>
  <si>
    <t>Commercial and Professional Services (Primary); Executive Placing Services (Primary); Human Resource and Employment Services (Primary); Human Resources and Personnel Management (Primary); Industrials (Primary); Professional and Management Development Training (Primary); Professional Services (Primary); Temporary Help Supply (Primary)</t>
  </si>
  <si>
    <t>BAIOO Family Interactive Limited (SEHK:2100)</t>
  </si>
  <si>
    <t>SEHK:2100</t>
  </si>
  <si>
    <t>The Stock Exchange of Hong Kong Ltd. (SEHK)</t>
  </si>
  <si>
    <t>Communication Services (Primary); Entertainment (Primary); Interactive Home Entertainment (Primary); Media and Entertainment (Primary); Application Software; Casinos and Gaming; Consumer Discretionary; Consumer Services; Entertainment Services; Gaming Operations; Hotels, Restaurants and Leisure; Information Technology; Information Technology (IT) Consulting; Interactive Media and Services; Interactive Media and Services; IT Consulting and Other Services; IT Services; Movies and Entertainment; Online Gaming Operations; Online Services; Software; Software and Services</t>
  </si>
  <si>
    <t>Lion Rock Group Limited (SEHK:1127)</t>
  </si>
  <si>
    <t>SEHK:1127</t>
  </si>
  <si>
    <t>The Stock Exchange of Hong Kong Ltd. (SEHK)</t>
  </si>
  <si>
    <t>Book Printing (Primary); Commercial and Professional Services (Primary); Commercial Printing (Primary); Commercial Services and Supplies (Primary); Industrials (Primary); Printing Services (Primary); Publication Printing (Primary); Book Publishing; Commercial Design Services; Communication Services; Consumer Discretionary; Distributors; Distributors; Diversified Support Services; Graphic Design; Media; Media and Entertainment; Media Distribution; Printed Media Distribution; Printed Media Publishing; Publishing; Retailing</t>
  </si>
  <si>
    <t>CNT Group Limited (SEHK:701)</t>
  </si>
  <si>
    <t>SEHK:701</t>
  </si>
  <si>
    <t>The Stock Exchange of Hong Kong Ltd. (SEHK)</t>
  </si>
  <si>
    <t>Chemicals (Primary); Materials (Primary); Materials (Primary); Paints, Varnishes, and Lacquers (Primary); Specialty Chemicals (Primary); Asset Management and Custody Banks; Capital Goods; Capital Markets; Commercial and Professional Services; Commercial Services and Supplies; Consulting Services; Consumer Discretionary; Consumer Services; Diversified Financials; Financials; General Management Services; Hotels; Hotels And Motels; Hotels, Resorts and Cruise Lines; Hotels, Restaurants and Leisure; Industrial Property Operators and Lessors; Industrials; Investment Banking and Brokerage; Lodging; Nonresidential Building Operators and Lessors; Office Services and Supplies; Professional Services; Real Estate; Real Estate; Real Estate Development; Real Estate Management and Development; Real Estate Operating Companies; Real Estate Operators And Lessors; Research and Consulting Services; Residential Building Operators and Lessors; Securities and Commodities Markets Services; Security Brokers and Dealers; Trading Companies and Distributors; Trading Companies and Distributors</t>
  </si>
  <si>
    <t>Inkeverse Group Limited (SEHK:3700)</t>
  </si>
  <si>
    <t>SEHK:3700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</si>
  <si>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</si>
  <si>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Commercial and Professional Services; Commercial Services and Supplies; Consulting Services; Diversified Support Services; Entertainment; Entertainment Services; Entertainment Venues; Industrials; Movies and Entertainment; Multimedia Streaming Services; Online Entertainment; Professional Services; Research and Consulting Services; Talent Management and Talent Service Agencies</t>
  </si>
  <si>
    <t>Pan Asia Environmental Protection Group Limited (SEHK:556)</t>
  </si>
  <si>
    <t>SEHK:556</t>
  </si>
  <si>
    <t>The Stock Exchange of Hong Kong Ltd. (SEHK)</t>
  </si>
  <si>
    <t>Commercial and Professional Services (Primary); Commercial Services and Supplies (Primary); Environmental and Facilities Services (Primary); Industrials (Primary); Capital Goods; Construction and Engineering; Construction and Engineering; Construction Support Services; Engineering and Surveying Services; Engineering Services; Machinery Distribution; Trading Companies and Distributors; Trading Companies and Distributors</t>
  </si>
  <si>
    <t>Glorious Sun Enterprises Limited (SEHK:393)</t>
  </si>
  <si>
    <t>SEHK:393</t>
  </si>
  <si>
    <t>The Stock Exchange of Hong Kong Ltd. (SEHK)</t>
  </si>
  <si>
    <t>Apparel Retail (Primary); Consumer Discretionary (Primary); Retailing (Primary); Specialty Retail (Primary); Air Freight and Logistics; Air Freight and Logistics; Apparel; Apparel and Textile Distribution; Apparel, Accessories and Luxury Goods; Asset Management and Custody Banks; Capital Markets; Commercial and Professional Services; Commercial Design Services; Commercial Interior Design ; Commercial Services and Supplies; Consulting Services; Consumer Durables and Apparel; Consumer Services; Distributors; Distributors; Diversified Consumer Services; Diversified Financial Services; Diversified Financials; Diversified Support Services; Durable Goods Distribution; Financials; Household Durables Distribution; Industrials; Information Technology; Information Technology (IT) Consulting; Internet Services and Infrastructure; Investment Services and Holding Companies; IT Consulting and Other Services; IT Services; Maintenance Repair (Break-Fix/Warranty); Multi-Sector Holdings; Patent Owners and Lessors; Professional Services; Real Estate; Real Estate; Real Estate Development; Real Estate Management and Development; Real Estate Management Services; Real Estate Operating Companies; Research and Consulting Services; Residential Design Services ; Residential Interior Services ; Software and Services; Specialized Consumer Services; Textiles, Apparel and Luxury Goods; Transportation; Warehousing and Storage</t>
  </si>
  <si>
    <t>China BlueChemical Ltd. (SEHK:3983)</t>
  </si>
  <si>
    <t>SEHK:3983</t>
  </si>
  <si>
    <t>The Stock Exchange of Hong Kong Ltd. (SEHK)</t>
  </si>
  <si>
    <t>Chemicals (Primary); Fertilizers and Agricultural Chemicals (Primary); Materials (Primary); Materials (Primary); Nitrogenous Fertilizers (Primary); Phosphatic Fertilizers (Primary); Air Freight and Logistics; Air Freight and Logistics; Capital Goods; Chemical And Fertilizer Mineral Mining; Chemical Distribution; Commodity Chemicals; Containers and Packaging; Diversified Metals and Mining; Industrial Gases; Industrial Organic Chemicals; Industrials; Marine Ports and Services; Metal and Glass Containers; Metals and Mining; Phosphate Rock; Plastic Bags; Plastic Packaging; Trading Companies and Distributors; Trading Companies and Distributors; Transportation; Transportation Infrastructure</t>
  </si>
  <si>
    <t>Associated International Hotels Limited (SEHK:105)</t>
  </si>
  <si>
    <t>SEHK:105</t>
  </si>
  <si>
    <t>The Stock Exchange of Hong Kong Ltd. (SEHK)</t>
  </si>
  <si>
    <t>Industrial Property Operators and Lessors (Primary); Nonresidential Building Operators and Lessors (Primary); Real Estate (Primary); Real Estate (Primary); Real Estate Management and Development (Primary); Real Estate Operating Companies (Primary); Real Estate Operators And Lessors (Primary); Residential Building Operators and Lessors (Primary); Shopping Mall Operators and Lessors (Primary)</t>
  </si>
  <si>
    <t>Phoenix Media Investment (Holdings) Limited (SEHK:2008)</t>
  </si>
  <si>
    <t>SEHK:2008</t>
  </si>
  <si>
    <t>The Stock Exchange of Hong Kong Ltd. (SEHK)</t>
  </si>
  <si>
    <t>Broadcasting (Primary); Communication Services (Primary); Media (Primary); Media and Entertainment (Primary); Radio (Primary); Radio Broadcasting Stations (Primary); Television (Primary); Television Networks (Primary); Advertising; Aerospace and Defense; Aerospace and Defense; Application Software; Capital Goods; Commercial and Professional Services; Consumer Discretionary; Consumer Services; Diversified Consumer Services; Diversified Telecommunication Services; Education Services; Entertainment; Entertainment Production Companies; Entertainment Software; Industrials; Information Technology; Integrated Telecommunication Services; Interactive Home Entertainment; Interactive Media and Services; Interactive Media and Services; IT Consulting and Other Services; IT Services; Magazine Publishing; Movies and Entertainment; Newspaper and Magazine Publishing; Online Services; Passenger and Cargo Aircraft and Airplanes; Passenger and Cargo Aircraft Rental and Leasing; Periodical Publishing; Printed Media Publishing; Professional Services; Publishing; Real Estate; Real Estate; Real Estate Development; Real Estate Management and Development; Real Estate Operating Companies; Real Estate Operators And Lessors; Research and Consulting Services; Research, Development, and Testing Services; Software; Software and Services; Telecommunication Services; Television Production Companies</t>
  </si>
  <si>
    <t>China Motor Bus Company, Limited (SEHK:26)</t>
  </si>
  <si>
    <t>SEHK:26</t>
  </si>
  <si>
    <t>The Stock Exchange of Hong Kong Ltd. (SEHK)</t>
  </si>
  <si>
    <t>Diversified Real Estate Activities (Primary); Real Estate (Primary); Real Estate (Primary); Real Estate Management and Development (Primary); Apartment Building Operators and Lessors; Nonresidential Building Operators and Lessors; Office Building Operators and Lessors; Real Estate Development; Real Estate Operating Companies; Real Estate Operators And Lessors; Residential Building Operators and Lessors</t>
  </si>
  <si>
    <t>KuangChi Science Limited (SEHK:439)</t>
  </si>
  <si>
    <t>SEHK:439</t>
  </si>
  <si>
    <t>The Stock Exchange of Hong Kong Ltd. (SEHK)</t>
  </si>
  <si>
    <t>Aerospace and Defense (Primary); Aerospace and Defense (Primary); Capital Goods (Primary); Industrials (Primary); Application Software; Commercial and Professional Services; Commercial Services and Supplies; General Management Services; Information Technology; Office Services and Supplies; Real Estate; Real Estate; Real Estate Management and Development; Real Estate Operating Companies; Software; Software and Services</t>
  </si>
  <si>
    <t>Miramar Hotel and Investment Company, Limited (SEHK:71)</t>
  </si>
  <si>
    <t>SEHK:71</t>
  </si>
  <si>
    <t>The Stock Exchange of Hong Kong Ltd. (SEHK)</t>
  </si>
  <si>
    <t>Consumer Discretionary (Primary); Consumer Services (Primary); Hotels (Primary); Hotels And Motels (Primary); Hotels, Resorts and Cruise Lines (Primary); Hotels, Restaurants and Leisure (Primary); Lodging (Primary); Travel Agencies (Primary); Travel and Tourism Services (Primary); Diversified Financial Services; Diversified Financials; Financials; Nonresidential Building Operators and Lessors; Office Building Operators and Lessors; Real Estate; Real Estate; Real Estate Management and Development; Real Estate Management Services; Real Estate Operating Companies; Real Estate Operators And Lessors; Restaurants; Shopping Mall Operators and Lessors; Specialized Finance</t>
  </si>
  <si>
    <t>Get Nice Financial Group Limited (SEHK:1469)</t>
  </si>
  <si>
    <t>SEHK:1469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</si>
  <si>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</si>
  <si>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Security Brokers and Dealers (Primary); Security Underwriting Services (Primary); Asset Management and Custody Banks; Real Estate; Real Estate; Real Estate Management and Development; Real Estate Operating Companies; Real Estate Operators And Lessors</t>
  </si>
  <si>
    <t>Wah Ha Realty Company Limited (SEHK:278)</t>
  </si>
  <si>
    <t>SEHK:278</t>
  </si>
  <si>
    <t>The Stock Exchange of Hong Kong Ltd. (SEHK)</t>
  </si>
  <si>
    <t>Diversified Real Estate Activities (Primary); Real Estate (Primary); Real Estate (Primary); Real Estate Management and Development (Primary); Capital Goods; Commercial Construction and Engineering; Commercial Construction, General Contractors and Operative Builders; Construction and Engineering; Construction and Engineering; Industrials; Nonresidential Building Operators and Lessors; Real Estate Development; Real Estate Management Services; Real Estate Operating Companies; Real Estate Operators And Lessors; Residential Building Operators and Lessors</t>
  </si>
  <si>
    <t>China Xinhua Education Group Limited (SEHK:2779)</t>
  </si>
  <si>
    <t>SEHK:2779</t>
  </si>
  <si>
    <t>The Stock Exchange of Hong Kong Ltd. (SEHK)</t>
  </si>
  <si>
    <t>Colleges, Universities, and Professional Schools (Primary); Colleges, Universities, Professional Schools, and Junior Colleges (Primary); Consumer Discretionary (Primary); Consumer Services (Primary); Diversified Consumer Services (Primary); Education Services (Primary); Junior Colleges and Technical Institutes (Primary); Schools (Primary); Vocational Schools (Primary); Commercial and Professional Services; Consulting Services; Industrials; Information Technology; IT Consulting and Other Services; IT Services; Management Consulting Services; Professional Services; Research and Consulting Services; Software and Services</t>
  </si>
  <si>
    <t>COSCO SHIPPING International (Hong Kong) Co., Ltd. (SEHK:517)</t>
  </si>
  <si>
    <t>SEHK:517</t>
  </si>
  <si>
    <t>The Stock Exchange of Hong Kong Ltd. (SEHK)</t>
  </si>
  <si>
    <t>Industrials (Primary); Marine Ports and Services (Primary); Transportation (Primary); Transportation Infrastructure (Primary); Capital Goods; Chemicals; Commercial and Professional Services; Communications Equipment Distribution; Consulting Services; Electronic Equipment, Instruments and Components; Energy; Energy; Financials; Industrial Coatings; Information Technology; Insurance; Insurance; Insurance Brokers; Materials; Materials; Oil and Gas Refining and Marketing; Oil and Gas Refining and Marketing; Oil, Gas and Consumable Fuels; Professional Services; Research and Consulting Services; Specialty Chemicals; Technology Distributors; Technology Hardware and Equipment; Trading Companies and Distributors; Trading Companies and Distributors; Transportation Equipment and Supplies Distribution</t>
  </si>
  <si>
    <t>Hong Kong Ferry (Holdings) Company Limited (SEHK:50)</t>
  </si>
  <si>
    <t>SEHK:50</t>
  </si>
  <si>
    <t>The Stock Exchange of Hong Kong Ltd. (SEHK)</t>
  </si>
  <si>
    <t>Diversified Real Estate Activities (Primary); Real Estate (Primary); Real Estate (Primary); Real Estate Management and Development (Primary); Asset Management and Custody Banks; Capital Goods; Capital Markets; Construction Machinery and Heavy Trucks; Consumer Discretionary; Consumer Services; Distributors; Distributors; Diversified Consumer Services; Diversified Financial Services; Diversified Financials; Financials; Hotels, Restaurants and Leisure; Industrials; Machinery; Marine; Marine; Marine Transportation Equipment; Marine Transportation Of Freight; Motor Vehicle Parking; Motor Vehicle Repair and Services; Motor Vehicle Services; Real Estate Development; Real Estate Management Services; Real Estate Operating Companies; Real Estate Operators And Lessors; Restaurants; Retailing; Ship and Boat Repairing; Specialized Consumer Services; Specialized Finance; Trading Companies and Distributors; Trading Companies and Distributors; Transportation</t>
  </si>
  <si>
    <t>Sinopec Kantons Holdings Limited (SEHK:934)</t>
  </si>
  <si>
    <t>SEHK:934</t>
  </si>
  <si>
    <t>The Stock Exchange of Hong Kong Ltd. (SEHK)</t>
  </si>
  <si>
    <t>Energy (Primary); Energy (Primary); Oil and Gas Storage and Transportation (Primary); Oil, Gas and Consumable Fuels (Primary); Air Freight and Logistics; Air Freight and Logistics; Gas Utilities; Gas Utilities; Industrials; Natural Gas Transmission; Oil and Gas Distribution; Oil and Gas Refining and Marketing; Oil and Gas Refining and Marketing; Transportation; Utilities; Utilities</t>
  </si>
  <si>
    <t>Tai Cheung Holdings Limited (SEHK:88)</t>
  </si>
  <si>
    <t>SEHK:88</t>
  </si>
  <si>
    <t>The Stock Exchange of Hong Kong Ltd. (SEHK)</t>
  </si>
  <si>
    <t>Diversified Real Estate Activities (Primary); Real Estate (Primary); Real Estate (Primary); Real Estate Management and Development (Primary); Capital Goods; Commercial and Professional Services; Construction and Engineering; Construction and Engineering; Human Resource and Employment Services; Industrials; Land Sub Dividers And Developers; Land Sub Dividers and Developers, except Cemetery; Nonresidential Building Operators and Lessors; Professional Services; Real Estate Development; Real Estate Management Services; Real Estate Operating Companies; Real Estate Operators And Lessors; Residential Building Operators and Lessors; Secretarial Services</t>
  </si>
  <si>
    <t>Melbourne Enterprises Limited (SEHK:158)</t>
  </si>
  <si>
    <t>SEHK:158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</si>
  <si>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</si>
  <si>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</t>
  </si>
  <si>
    <t>IPE Group Limited (SEHK:929)</t>
  </si>
  <si>
    <t>SEHK:929</t>
  </si>
  <si>
    <t>The Stock Exchange of Hong Kong Ltd. (SEHK)</t>
  </si>
  <si>
    <t>Capital Goods (Primary); Industrial Machinery (Primary); Industrials (Primary); Machinery (Primary); Machinery Components (Primary); Auto Components; Auto Parts and Equipment; Automobiles and Components; Commercial and Professional Services; Commercial Services and Supplies; Consumer Discretionary; Diversified Metals and Mining; Diversified Support Services; Electronic Components; Electronic Components; Electronic Equipment, Instruments and Components; Fabricated Structural Metal Products; Information Technology; Materials; Materials; Metals and Mining; Technology Hardware and Equipment; Trading Companies and Distributors; Trading Companies and Distributors</t>
  </si>
  <si>
    <t>Capital Industrial Financial Services Group Limited (SEHK:730)</t>
  </si>
  <si>
    <t>SEHK:730</t>
  </si>
  <si>
    <t>The Stock Exchange of Hong Kong Ltd. (SEHK)</t>
  </si>
  <si>
    <t>Consumer Finance (Primary); Consumer Finance (Primary); Diversified Financials (Primary); Financials (Primary); Asset Management and Custody Banks; Business Credit Agencies; Capital Markets; Commercial and Professional Services; Commercial Services and Supplies; Credit Agencies; Diversified Financial Services; Finance Leasing; General Management Services; Industrials; Nonresidential Building Operators and Lessors; Office Services and Supplies; Real Estate; Real Estate; Real Estate Management and Development; Real Estate Management Services; Real Estate Operating Companies; Real Estate Operators And Lessors; Real Estate Services; Residential Building Operators and Lessors; Specialized Finance</t>
  </si>
  <si>
    <t>Chen Hsong Holdings Limited (SEHK:57)</t>
  </si>
  <si>
    <t>SEHK:57</t>
  </si>
  <si>
    <t>The Stock Exchange of Hong Kong Ltd. (SEHK)</t>
  </si>
  <si>
    <t>Capital Goods (Primary); Chemical Processing Machinery and Equipment (Primary); Fluid Power Pumps and Motors (Primary); Industrial Machinery (Primary); Industrials (Primary); Injection Molding Machinery and Equipment (Primary); Machinery (Primary); Machinery Components (Primary); Pumps and Pumping Equipment (Primary); Rubber and Plastics Processing Machinery (Primary); Diversified Metal Foundries And Castings; Diversified Metals and Mining; Materials; Materials; Metals and Mining; Real Estate; Real Estate; Real Estate Management and Development; Real Estate Operating Companies; Real Estate Operators And Lessors; Rolling, Drawing, And Extruding Of Diversified Metals</t>
  </si>
  <si>
    <t>Tian Teck Land Limited (SEHK:266)</t>
  </si>
  <si>
    <t>SEHK:266</t>
  </si>
  <si>
    <t>The Stock Exchange of Hong Kong Ltd. (SEHK)</t>
  </si>
  <si>
    <t>China Rare Earth Holdings Limited (SEHK:769)</t>
  </si>
  <si>
    <t>SEHK:769</t>
  </si>
  <si>
    <t>The Stock Exchange of Hong Kong Ltd. (SEHK)</t>
  </si>
  <si>
    <t>Diversified Metals and Mining (Primary); Materials (Primary); Materials (Primary); Metals and Mining (Primary); Capital Goods; Clay Refractories; Clays; Construction Materials; Construction Materials; Industrials; Structural Clay Products; Trading Companies and Distributors; Trading Companies and Distributors</t>
  </si>
  <si>
    <t>Shenguan Holdings (Group) Limited (SEHK:829)</t>
  </si>
  <si>
    <t>SEHK:829</t>
  </si>
  <si>
    <t>The Stock Exchange of Hong Kong Ltd. (SEHK)</t>
  </si>
  <si>
    <t>Consumer Staples (Primary); Food Products (Primary); Food, Beverage and Tobacco (Primary); Meat Products (Primary); Meats, Meat Processing And Meat Related Products (Primary); Packaged Foods and Meats (Primary); Sausage and Hot Dogs (Primary); Beauty Care Products; Chemicals; Health Care; Household and Personal Products; Materials; Materials; Medicinal Chemicals and Botanical Products; Personal Products; Personal Products; Pharmaceutical Products; Pharmaceuticals; Pharmaceuticals; Pharmaceuticals, Biotechnology and Life Sciences; Skin Care Products; Specialty Chemicals</t>
  </si>
  <si>
    <t>Tianjin Jinran Public Utilities Company Limited (SEHK:1265)</t>
  </si>
  <si>
    <t>SEHK:1265</t>
  </si>
  <si>
    <t>The Stock Exchange of Hong Kong Ltd. (SEHK)</t>
  </si>
  <si>
    <t>Gas Utilities (Primary); Gas Utilities (Primary); Oil and Gas Distribution (Primary); Utilities (Primary); Utilities (Primary); Consumer Discretionary; Distributors; Distributors; Diversified Metals and Mining; Durable Goods Distribution; Energy; Energy; Household Durables Distribution; Materials; Materials; Metals and Mining; Natural Gas Pipelines; Nonresidential Building Operators and Lessors; Oil and Gas Storage and Transportation; Oil, Gas and Consumable Fuels; Real Estate; Real Estate; Real Estate Management and Development; Real Estate Operating Companies; Real Estate Operators And Lessors; Retailing</t>
  </si>
  <si>
    <t>Fountain Set (Holdings) Limited (SEHK:420)</t>
  </si>
  <si>
    <t>SEHK:420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</si>
  <si>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</si>
  <si>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Apparel; Apparel and Textile Distribution; Apparel, Accessories and Luxury Goods; Capital Goods; Chemical Distribution; Distributors; Distributors; Durable Goods Distribution; Industrials; Retailing; Trading Companies and Distributors; Trading Companies and Distributors; Utilities; Utilities; Water Utilities; Water Utilities</t>
  </si>
  <si>
    <t>Singamas Container Holdings Limited (SEHK:716)</t>
  </si>
  <si>
    <t>SEHK:716</t>
  </si>
  <si>
    <t>The Stock Exchange of Hong Kong Ltd. (SEHK)</t>
  </si>
  <si>
    <t>Capital Goods (Primary); Industrial Machinery (Primary); Industrials (Primary); Machinery (Primary); Commercial and Professional Services; Commercial Repair Services; Commercial Services and Supplies; Diversified Metals and Mining; Diversified Support Services; Fabricated Structural Metal Products; General Management Services; Heavy Gauge Tanks; Human Resource and Employment Services; Human Resources and Personnel Management; Marine Ports and Services; Materials; Materials; Metals and Mining; Office Services and Supplies; Professional Services; Real Estate; Real Estate; Real Estate Management and Development; Real Estate Operating Companies; Real Estate Operators And Lessors; Road and Rail; Transportation; Transportation Infrastructure; Trucking; Warehousing and Storage</t>
  </si>
  <si>
    <t>China Starch Holdings Limited (SEHK:3838)</t>
  </si>
  <si>
    <t>SEHK:3838</t>
  </si>
  <si>
    <t>The Stock Exchange of Hong Kong Ltd. (SEHK)</t>
  </si>
  <si>
    <t>Consumer Staples (Primary); Food Products (Primary); Food, Beverage and Tobacco (Primary); Grain Mill Products (Primary); Packaged Foods and Meats (Primary); Sweeteners (Primary); Biochemical Polymers; Chemicals; Commodity Chemicals; Materials; Materials; Polymers</t>
  </si>
  <si>
    <t>APT Satellite Holdings Limited (SEHK:1045)</t>
  </si>
  <si>
    <t>SEHK:1045</t>
  </si>
  <si>
    <t>The Stock Exchange of Hong Kong Ltd. (SEHK)</t>
  </si>
  <si>
    <t>Alternative Carriers (Primary); Broadband Telecommunications Services (Primary); Communication Services (Primary); Digital Telecommunications Services (Primary); Diversified Telecommunication Services (Primary); Satellite Communication Services (Primary); Telecommunication Services (Primary); Cable and Satellite; Co-location/Data Centers; Commercial and Professional Services; Consulting Services; Industrials; Information Technology; Internet Services and Infrastructure; IT Services; Management Consulting Services; Media; Media and Entertainment; Professional Services; Real Estate; Real Estate; Real Estate Management and Development; Real Estate Operating Companies; Real Estate Operators And Lessors; Research and Consulting Services; Software and Services</t>
  </si>
  <si>
    <t>New Silkroad Culturaltainment Limited (SEHK:472)</t>
  </si>
  <si>
    <t>SEHK:472</t>
  </si>
  <si>
    <t>The Stock Exchange of Hong Kong Ltd. (SEHK)</t>
  </si>
  <si>
    <t>Beverages (Primary); Consumer Staples (Primary); Distillers and Vintners (Primary); Food, Beverage and Tobacco (Primary); Wine (Primary); Consumer Discretionary; Consumer Services; Food and Staples Retailing; Food and Staples Retailing; Food Distribution; Food Distributors; Hotels And Motels; Hotels, Resorts and Cruise Lines; Hotels, Restaurants and Leisure; Lodging; Real Estate; Real Estate; Real Estate Development; Real Estate Management and Development; Real Estate Operating Companies; Real Estate Operators And Lessors; Resorts; Tour Operators; Travel and Tourism Services</t>
  </si>
  <si>
    <t>Time Watch Investments Limited (SEHK:2033)</t>
  </si>
  <si>
    <t>SEHK:2033</t>
  </si>
  <si>
    <t>The Stock Exchange of Hong Kong Ltd. (SEHK)</t>
  </si>
  <si>
    <t>Apparel, Accessories and Luxury Goods (Primary); Consumer Discretionary (Primary); Consumer Durables and Apparel (Primary); Jewelry, Timepieces and Gemstone Products (Primary); Textiles, Apparel and Luxury Goods (Primary); Timepieces (Primary); Watches (Primary); Advertising; Apparel Retail; Commercial and Professional Services; Communication Services; Consulting Services; Distributors; Distributors; Durable Goods Distribution; Industrials; Internet and Direct Marketing Retail; Internet and Direct Marketing Retail; Jewelry, Timepieces and Gemstone Product Distribution; Marketing Services; Media; Media and Entertainment; Online Accessory Retail; Online Apparel and Accessory Retail; Online Specialty Retail; Professional Services; Real Estate; Real Estate; Real Estate Management and Development; Real Estate Operating Companies; Real Estate Operators And Lessors; Research and Consulting Services; Retailing; Specialty Retail; Watch and Timepiece Stores</t>
  </si>
  <si>
    <t>APAC Resources Limited (SEHK:1104)</t>
  </si>
  <si>
    <t>SEHK:1104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</si>
  <si>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</si>
  <si>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Consulting Services; Diversified Financials; Diversified Metals and Mining; Financials; Materials; Materials; Metals and Mining; Professional Services; Research and Consulting Services</t>
  </si>
  <si>
    <t>Wealthking Investments Limited (SEHK:1140)</t>
  </si>
  <si>
    <t>SEHK:1140</t>
  </si>
  <si>
    <t>The Stock Exchange of Hong Kong Ltd. (SEHK)</t>
  </si>
  <si>
    <t>Qingling Motors Co., Ltd. (SEHK:1122)</t>
  </si>
  <si>
    <t>SEHK:1122</t>
  </si>
  <si>
    <t>The Stock Exchange of Hong Kong Ltd. (SEHK)</t>
  </si>
  <si>
    <t>Automobile Manufacturers (Primary); Automobiles (Primary); Automobiles and Components (Primary); Consumer Discretionary (Primary); Passenger Motor Vehicles (Primary); Auto Components; Auto Parts and Equipment; Automotive Retail; Capital Goods; Construction Machinery and Heavy Trucks; Die Sets, Jigs and Industrial Molds; Heavy Duty Trucks; Industrial Machinery; Industrials; Machinery; Metalworking Machinery and Equipment; Motor Vehicle Accessories; Motor Vehicle Retail; Retailing; Specialty Retail</t>
  </si>
  <si>
    <t>Continental Aerospace Technologies Holding Limited (SEHK:232)</t>
  </si>
  <si>
    <t>SEHK:232</t>
  </si>
  <si>
    <t>The Stock Exchange of Hong Kong Ltd. (SEHK)</t>
  </si>
  <si>
    <t>Aerospace and Defense (Primary); Aerospace and Defense (Primary); Aircraft Engines and Engine Parts (Primary); Aircraft Systems, Components and Equipment (Primary); Capital Goods (Primary); Industrials (Primary); Aircraft Maintenance and Repair; Airport Services; Real Estate; Real Estate; Real Estate Development; Real Estate Management and Development; Transportation; Transportation Infrastructure</t>
  </si>
  <si>
    <t>Oshidori International Holdings Limited (SEHK:622)</t>
  </si>
  <si>
    <t>SEHK:622</t>
  </si>
  <si>
    <t>The Stock Exchange of Hong Kong Ltd. (SEHK)</t>
  </si>
  <si>
    <t>Consumer Finance (Primary); Consumer Finance (Primary); Diversified Financials (Primary); Financials (Primary); Asset Management and Custody Banks; Capital Markets; Commercial and Professional Services; Commercial Services and Supplies; Consulting Services; General Management Services; Industrials; Investment Banking; Investment Banking and Brokerage; Investment Brokerage Services; Motor Vehicle Rental and Leasing; Office Services and Supplies; Professional Services; Research and Consulting Services; Road and Rail; Securities and Commodities Markets Services; Security Brokers and Dealers; Security Underwriting Services; Transportation; Trucking</t>
  </si>
  <si>
    <t>Lippo China Resources Limited (SEHK:156)</t>
  </si>
  <si>
    <t>SEHK:156</t>
  </si>
  <si>
    <t>The Stock Exchange of Hong Kong Ltd. (SEHK)</t>
  </si>
  <si>
    <t>Consumer Staples (Primary); Food and Staples Retailing (Primary); Food and Staples Retailing (Primary); Food Distribution (Primary); Food Distributors (Primary); Groceries and Related Product Distribution (Primary); Asset Management and Custody Banks; Capital Markets; Commercial and Professional Services; Consulting Services; Consumer Discretionary; Consumer Services; Development Tools; Diversified Financial Services; Diversified Financials; Diversified Metal Ores; Diversified Metals and Mining; Diversified Real Estate Activities; Financials; Food Products; Food Retail; Food, Beverage and Tobacco; Hotels, Restaurants and Leisure; Industrials; Information Technology; Investment Banking and Brokerage; Materials; Materials; Metals and Mining; Packaged Foods and Meats; Professional Services; Real Estate; Real Estate; Real Estate Agents And Brokers; Real Estate Development; Real Estate Management and Development; Real Estate Management Services; Real Estate Operating Companies; Real Estate Operators And Lessors; Real Estate Services; Research and Consulting Services; Restaurants; Securities and Commodities Markets Services; Software; Software and Services; Software Development; Specialized Finance; Systems Software</t>
  </si>
  <si>
    <t>Asia Financial Holdings Limited (SEHK:662)</t>
  </si>
  <si>
    <t>SEHK:662</t>
  </si>
  <si>
    <t>The Stock Exchange of Hong Kong Ltd. (SEHK)</t>
  </si>
  <si>
    <t>Financials (Primary); Insurance (Primary); Insurance (Primary); Multi-line Insurance (Primary); Banks; Capital Markets; Diversified Financials; Health Care; Health Care Equipment and Services; Health Care Providers and Services; Health Care Services; Investment Banking and Brokerage; Life and Health Insurance; Life Insurance; Mortgage Bankers and Loan Correspondents; Property and Casualty Insurance; Real Estate; Real Estate; Real Estate Management and Development; Real Estate Operating Companies; Real Estate Operators And Lessors; Securities and Commodities Markets Services; Thrifts and Mortgage Finance; Thrifts and Mortgage Finance</t>
  </si>
  <si>
    <t>Chu Kong Shipping Enterprises (Group) Company Limited (SEHK:560)</t>
  </si>
  <si>
    <t>SEHK:560</t>
  </si>
  <si>
    <t>The Stock Exchange of Hong Kong Ltd. (SEHK)</t>
  </si>
  <si>
    <t>Cargo or Container Ships (Primary); Ferries (Primary); Industrials (Primary); Marine (Primary); Marine (Primary); Marine Transportation Of Freight (Primary); Marine Transportation Of Passengers (Primary); Transportation (Primary); Air Freight and Logistics; Air Freight and Logistics; Commercial and Professional Services; Commercial Services and Supplies; Consumer Discretionary; Consumer Services; Diversified Support Services; Energy; Energy; Hotels, Resorts and Cruise Lines; Hotels, Restaurants and Leisure; Information Technology; IT Consulting and Other Services; IT Services; Marine Ports and Services; Oil and Gas Refining and Marketing; Oil, Gas and Consumable Fuels; Real Estate; Real Estate; Real Estate Management and Development; Real Estate Operating Companies; Real Estate Operators And Lessors; Road and Rail; Road Transportation of Freight; Software and Services; Tour Operators; Transportation Infrastructure; Travel Agencies; Travel and Tourism Services; Trucking; Warehousing and Storage</t>
  </si>
  <si>
    <t>Asia Cement (China) Holdings Corporation (SEHK:743)</t>
  </si>
  <si>
    <t>SEHK:743</t>
  </si>
  <si>
    <t>The Stock Exchange of Hong Kong Ltd. (SEHK)</t>
  </si>
  <si>
    <t>Cement, Hydraulic (Primary); Concrete (Primary); Construction Materials (Primary); Construction Materials (Primary); Limestone (Primary); Materials (Primary); Materials (Primary); Ready-Mixed Concrete (Primary); Stone Materials (Primary); Industrials; Road and Rail; Transportation; Trucking</t>
  </si>
  <si>
    <t>Texwinca Holdings Limited (SEHK:321)</t>
  </si>
  <si>
    <t>SEHK:321</t>
  </si>
  <si>
    <t>The Stock Exchange of Hong Kong Ltd. (SEHK)</t>
  </si>
  <si>
    <t>Consumer Discretionary (Primary); Consumer Durables and Apparel (Primary); Fabrics (Primary); Textile Mill Products (Primary); Textiles (Primary); Textiles, Apparel and Luxury Goods (Primary); Yarns (Primary); Apparel and Textile Distribution; Apparel Retail; Capital Goods; Commercial and Professional Services; Commercial Services and Supplies; Distributors; Distributors; Diversified Financial Services; Diversified Financials; Durable Goods Distribution; Financials; General Management Services; Industrials; Investment Services and Holding Companies; Machinery Distribution; Multi-Sector Holdings; Office Services and Supplies; Patent Owners and Lessors; Real Estate; Real Estate; Real Estate Management and Development; Real Estate Operating Companies; Real Estate Operators And Lessors; Retailing; Specialty Retail; Trading Companies and Distributors; Trading Companies and Distributors</t>
  </si>
  <si>
    <t>Hung Hing Printing Group Limited (SEHK:450)</t>
  </si>
  <si>
    <t>SEHK:450</t>
  </si>
  <si>
    <t>The Stock Exchange of Hong Kong Ltd. (SEHK)</t>
  </si>
  <si>
    <t>Containers and Packaging (Primary); Converted Paper And Paperboard Products (Primary); Corrugated And Solid Fiber Boxes (Primary); Materials (Primary); Materials (Primary); Paper Packaging (Primary); Paperboard Containers And Boxes (Primary); Setup Paperboard Boxes (Primary); Book Printing; Capital Goods; Commercial and Professional Services; Commercial Printing; Commercial Services and Supplies; Communication Services; Consumer Discretionary; Diversified Support Services; Greeting Card Printing; Industrials; Internet and Direct Marketing Retail; Internet and Direct Marketing Retail; Media; Media and Entertainment; Paper and Forest Product Distribution; Printing Services; Publication Printing; Published Electronic Materials; Publishing; Retailing; Stationery and Business Form Printing; Trading Companies and Distributors; Trading Companies and Distributors; Typesetting</t>
  </si>
  <si>
    <t>C.banner International Holdings Limited (SEHK:1028)</t>
  </si>
  <si>
    <t>SEHK:1028</t>
  </si>
  <si>
    <t>The Stock Exchange of Hong Kong Ltd. (SEHK)</t>
  </si>
  <si>
    <t>Consumer Discretionary (Primary); Consumer Durables and Apparel (Primary); Footwear (Primary); Textiles, Apparel and Luxury Goods (Primary); Women's and Girls' Footwear (Primary); Apparel Retail; Hobbies, Games and Toy Stores; Leisure Equipment Stores; Retailing; Shoe Stores; Specialty Retail; Specialty Stores; Women's Shoe Stores</t>
  </si>
  <si>
    <t>BabyTree Group (SEHK:1761)</t>
  </si>
  <si>
    <t>SEHK:1761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</si>
  <si>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</si>
  <si>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Consumer Discretionary; Diversified Financial Services; Diversified Financials; Financials; Internet and Direct Marketing Retail; Internet and Direct Marketing Retail; Marketing Services; Media; Retailing; Specialized Finance</t>
  </si>
  <si>
    <t>Mason Group Holdings Limited (SEHK:273)</t>
  </si>
  <si>
    <t>SEHK:273</t>
  </si>
  <si>
    <t>The Stock Exchange of Hong Kong Ltd. (SEHK)</t>
  </si>
  <si>
    <t>Capital Markets (Primary); Diversified Financials (Primary); Financials (Primary); Investment Banking (Primary); Investment Banking and Brokerage (Primary); Securities and Commodities Markets Services (Primary); Asset Management and Custody Banks; Consumer Discretionary; Consumer Finance; Consumer Finance; Consumer Staples; Diversified Financial Services; Food and Staples Retailing; Food and Staples Retailing; Food Products; Food Retail; Food, Beverage and Tobacco; Grocery Stores; Health Care; Health Care Equipment and Services; Health Care Providers and Services; Health Care Services; Health Food Stores; Household and Personal Products; Infant Food; Investment Advice; Investment Services and Holding Companies; Medical Laboratory Services; Multi-Sector Holdings; Packaged Foods and Meats; Patent Owners and Lessors; Personal Products; Personal Products; Prepared and Preserved Foods; Retailing; Specialized Finance; Specialty Retail; Specialty Stores; Vitamins and Nutritional Supplements</t>
  </si>
  <si>
    <t>Hengdeli Holdings Limited (SEHK:3389)</t>
  </si>
  <si>
    <t>SEHK:3389</t>
  </si>
  <si>
    <t>The Stock Exchange of Hong Kong Ltd. (SEHK)</t>
  </si>
  <si>
    <t>Consumer Discretionary (Primary); Retailing (Primary); Specialty Retail (Primary); Specialty Stores (Primary); Apparel Retail; Apparel, Accessories and Luxury Goods; Consumer Durables and Apparel; Containers and Packaging; Jewelry, Timepieces and Gemstone Products; Materials; Materials; Paper Packaging; Textiles, Apparel and Luxury Goods; Timepieces; Watch and Clock parts; Watch and Timepiece Stores; Watches</t>
  </si>
  <si>
    <t>Asiasec Properties Limited (SEHK:271)</t>
  </si>
  <si>
    <t>SEHK:271</t>
  </si>
  <si>
    <t>The Stock Exchange of Hong Kong Ltd. (SEHK)</t>
  </si>
  <si>
    <t>Nonresidential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Diversified Financial Services; Diversified Financials; Financials; Specialized Finance</t>
  </si>
  <si>
    <t>Rizhao Port Jurong Co., Ltd. (SEHK:6117)</t>
  </si>
  <si>
    <t>SEHK:6117</t>
  </si>
  <si>
    <t>The Stock Exchange of Hong Kong Ltd. (SEHK)</t>
  </si>
  <si>
    <t>Industrials (Primary); Marine Cargo Services (Primary); Marine Ports and Services (Primary); Transportation (Primary); Transportation Infrastructure (Primary); Marine; Marine; Marine Transportation Of Freight; Marine Transportation Of Passengers</t>
  </si>
  <si>
    <t>Safety Godown Company, Limited (SEHK:237)</t>
  </si>
  <si>
    <t>SEHK:237</t>
  </si>
  <si>
    <t>The Stock Exchange of Hong Kong Ltd. (SEHK)</t>
  </si>
  <si>
    <t>Nonresidential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Commercial and Professional Services; Commercial Services and Supplies; Diversified Financials; Diversified Support Services; Financials; Industrials; Investment Banking and Brokerage; Public Warehousing and Storage; Securities and Commodities Markets Services; Warehousing and Storage</t>
  </si>
  <si>
    <t>Get Nice Holdings Limited (SEHK:64)</t>
  </si>
  <si>
    <t>SEHK:64</t>
  </si>
  <si>
    <t>The Stock Exchange of Hong Kong Ltd. (SEHK)</t>
  </si>
  <si>
    <t>Capital Markets (Primary); Commodity Contract Services (Primary); Diversified Financials (Primary); Financials (Primary); Investment Banking (Primary); Investment Banking and Brokerage (Primary); Private Placement Advisory Services (Primary); Securities and Commodities Markets Services (Primary); Security Brokers and Dealers (Primary); Security Underwriting Services (Primary); Asset Management and Custody Banks; Banks; Business Credit Agencies; Consumer Finance; Consumer Finance; Credit Agencies; Diversified Financial Services; Personal Credit Agencies; Personal Loan Services; Real Estate; Real Estate; Real Estate Agents And Brokers; Real Estate Development; Real Estate Management and Development; Real Estate Operating Companies; Real Estate Operators And Lessors; Real Estate Services; Specialized Finance; Thrifts and Mortgage Finance; Thrifts and Mortgage Finance</t>
  </si>
  <si>
    <t>Goldlion Holdings Limited (SEHK:533)</t>
  </si>
  <si>
    <t>SEHK:533</t>
  </si>
  <si>
    <t>The Stock Exchange of Hong Kong Ltd. (SEHK)</t>
  </si>
  <si>
    <t>Accessory Stores (Primary); Apparel Retail (Primary); Consumer Discretionary (Primary); Luggage and Leather Goods Stores (Primary); Retailing (Primary); Specialty Retail (Primary); Accessories; Apparel; Apparel, Accessories and Luxury Goods; Consumer Durables and Apparel; Diversified Financial Services; Diversified Financials; Financials; Internet and Direct Marketing Retail; Internet and Direct Marketing Retail; Investment Services and Holding Companies; Leather and Leather Products; Multi-Sector Holdings; Online Accessory Retail; Online Apparel and Accessory Retail; Online Apparel Retail; Online Luggage and Leather Goods Retail; Online Specialty Retail; Patent Owners and Lessors; Real Estate; Real Estate; Real Estate Development; Real Estate Management and Development; Real Estate Management Services; Real Estate Operating Companies; Real Estate Operators And Lessors; Textile Mill Products; Textiles; Textiles, Apparel and Luxury Goods</t>
  </si>
  <si>
    <t>China Strategic Holdings Limited (SEHK:235)</t>
  </si>
  <si>
    <t>SEHK:235</t>
  </si>
  <si>
    <t>The Stock Exchange of Hong Kong Ltd. (SEHK)</t>
  </si>
  <si>
    <t>Capital Goods (Primary); Industrials (Primary); Trading Companies and Distributors (Primary); Trading Companies and Distributors (Primary); Asset Management and Custody Banks; Capital Markets; Commercial and Professional Services; Commercial Electronics Distribution; Commercial Services and Supplies; Consumer Finance; Consumer Finance; Diversified Financial Services; Diversified Financials; Electronic Equipment, Instruments and Components; Financials; General Management Services; Information Technology; Investment Banking; Investment Banking and Brokerage; Office Services and Supplies; Securities and Commodities Markets Services; Security Brokers; Security Brokers and Dealers; Security Underwriting Services; Specialized Finance; Technology Distributors; Technology Hardware and Equipment</t>
  </si>
  <si>
    <t>China Merchants China Direct Investments Limited (SEHK:133)</t>
  </si>
  <si>
    <t>SEHK:133</t>
  </si>
  <si>
    <t>The Stock Exchange of Hong Kong Ltd. (SEHK)</t>
  </si>
  <si>
    <t>Diversified Financial Services (Primary); Diversified Financials (Primary); Financials (Primary); Multi-Sector Holdings (Primary); Asset Management and Custody Banks; Capital Markets; Investment Funds</t>
  </si>
  <si>
    <t>Yuxing InfoTech Investment Holdings Limited (SEHK:8005)</t>
  </si>
  <si>
    <t>SEHK:8005</t>
  </si>
  <si>
    <t>The Stock Exchange of Hong Kong Ltd. (SEHK)</t>
  </si>
  <si>
    <t>Audio Equipment (Primary); Consumer Discretionary (Primary); Consumer Durables and Apparel (Primary); Consumer Electronics (Primary); Household Durables (Primary); Video Equipment (Primary); Asset Management and Custody Banks; Cable Network Equipment; Capital Goods; Capital Markets; Commercial and Professional Services; Commercial Electronics Distribution; Communications Equipment; Communications Equipment; Diversified Financials; Electronic Equipment, Instruments and Components; Financials; Industrials; Information Technology; Information Technology (IT) Consulting; Investment Banking and Brokerage; IT Consulting and Other Services; IT Services; Networking Equipment; Professional Services; Real Estate; Real Estate; Real Estate Management and Development; Real Estate Operating Companies; Real Estate Operators And Lessors; Research and Consulting Services; Securities and Commodities Markets Services; Services Outsourcing; Software and Services; Technology Distributors; Technology Hardware and Equipment; Trading Companies and Distributors; Trading Companies and Distributors</t>
  </si>
  <si>
    <t>Summit Ascent Holdings Limited (SEHK:102)</t>
  </si>
  <si>
    <t>SEHK:102</t>
  </si>
  <si>
    <t>The Stock Exchange of Hong Kong Ltd. (SEHK)</t>
  </si>
  <si>
    <t>Casinos and Gaming (Primary); Consumer Discretionary (Primary); Consumer Services (Primary); Gaming Operations (Primary); Hotels, Restaurants and Leisure (Primary); Apparel Retail; Beauty Care Services; Beauty, Hair and Nail Salons; Beverage and Tobacco Bars; Bus Transportation; Commercial and Professional Services; Commercial Services and Supplies; Diversified Consumer Services; General Management Services; Hotels And Motels; Hotels, Resorts and Cruise Lines; Industrials; Lodging; Office Services and Supplies; Pubs, Bars and Taverns; Resorts; Restaurants; Retailing; Road and Rail; Road Transportation of Passengers; Specialized Consumer Services; Specialty Retail; Transportation; Trucking; Watch and Timepiece Stores</t>
  </si>
  <si>
    <t>Tian Ge Interactive Holdings Limited (SEHK:1980)</t>
  </si>
  <si>
    <t>SEHK:1980</t>
  </si>
  <si>
    <t>The Stock Exchange of Hong Kong Ltd. (SEHK)</t>
  </si>
  <si>
    <t>Communication Services (Primary); Interactive Media and Services (Primary); Interactive Media and Services (Primary); Media and Entertainment (Primary); Online Services (Primary); Social Media and Networking Platforms (Primary); Advertising; Application Software; Asset Management and Custody Banks; Capital Markets; Computer and Mobile Games; Consumer Digital Lending; Consumer Finance; Consumer Finance; Development Consulting; Diversified Financials; Entertainment; Entertainment Software; Financials; Information Technology; Information Technology (IT) Consulting; Interactive Home Entertainment; Internet Software; IT Consulting and Other Services; IT Services; Media; Personal Credit Agencies; Services Outsourcing; Software; Software and Services</t>
  </si>
  <si>
    <t>China Ting Group Holdings Limited (SEHK:3398)</t>
  </si>
  <si>
    <t>SEHK:3398</t>
  </si>
  <si>
    <t>The Stock Exchange of Hong Kong Ltd. (SEHK)</t>
  </si>
  <si>
    <t>Apparel (Primary); Apparel, Accessories and Luxury Goods (Primary); Consumer Discretionary (Primary); Consumer Durables and Apparel (Primary); Textiles, Apparel and Luxury Goods (Primary); Apparel and Textile Distribution; Apparel Retail; Distributors; Distributors; Diversified Financial Services; Diversified Financials; Durable Goods Distribution; Dyeing and Finishing Textiles; Fabrics; Financials; Internet and Direct Marketing Retail; Internet and Direct Marketing Retail; Investment Services and Holding Companies; Multi-Sector Holdings; Online Apparel and Accessory Retail; Online Apparel Retail; Online Specialty Retail; Patent Owners and Lessors; Real Estate; Real Estate; Real Estate Management and Development; Real Estate Operating Companies; Real Estate Operators And Lessors; Retailing; Specialty Retail; Textile Mill Products; Textile Mills; Textiles</t>
  </si>
  <si>
    <t>Playmates Holdings Limited (SEHK:635)</t>
  </si>
  <si>
    <t>SEHK:635</t>
  </si>
  <si>
    <t>The Stock Exchange of Hong Kong Ltd. (SEHK)</t>
  </si>
  <si>
    <t>Consumer Discretionary (Primary); Consumer Durables and Apparel (Primary); Hobbies, Toys and Games (Primary); Leisure Products (Primary); Leisure Products (Primary); Sporting and Recreational Goods (Primary); Asset Management and Custody Banks; Capital Markets; Diversified Financials; Financials; Nonresidential Building Operators and Lessors; Real Estate; Real Estate; Real Estate Management and Development; Real Estate Management Services; Real Estate Operating Companies; Real Estate Operators And Lessors; Residential Building Operators and Lessors</t>
  </si>
  <si>
    <t>Ajisen (China) Holdings Limited (SEHK:538)</t>
  </si>
  <si>
    <t>SEHK:538</t>
  </si>
  <si>
    <t>The Stock Exchange of Hong Kong Ltd. (SEHK)</t>
  </si>
  <si>
    <t>Consumer Discretionary (Primary); Consumer Services (Primary); Fast-Food Restaurants (Primary); Hotels, Restaurants and Leisure (Primary); Limited Service Restaurants (Primary); Restaurants (Primary); Asset Management and Custody Banks; Capital Markets; Consumer Staples; Diversified Financials; Financials; Food and Staples Retailing; Food and Staples Retailing; Food Distribution; Food Distributors; Food Products; Food, Beverage and Tobacco; Groceries and Related Product Distribution; Packaged Foods and Meats; Prepared and Preserved Foods; Real Estate; Real Estate; Real Estate Management and Development; Real Estate Operating Companies; Real Estate Operators And Lessors</t>
  </si>
  <si>
    <t>Wing On Company International Limited (SEHK:289)</t>
  </si>
  <si>
    <t>SEHK:289</t>
  </si>
  <si>
    <t>The Stock Exchange of Hong Kong Ltd. (SEHK)</t>
  </si>
  <si>
    <t>Consumer Discretionary (Primary); Department Stores (Primary); Multiline Retail (Primary); Retailing (Primary); Capital Markets; Diversified Financial Services; Diversified Financials; Financials; Information Technology; Internet and Direct Marketing Retail; Internet and Direct Marketing Retail; Investment Banking and Brokerage; Investment Services and Holding Companies; IT Consulting and Other Services; IT Services; Multi-Sector Holdings; Nonresidential Building Operators and Lessors; Online Specialty Retail; Patent Owners and Lessors; Real Estate; Real Estate; Real Estate Management and Development; Real Estate Management Services; Real Estate Operating Companies; Real Estate Operators And Lessors; Securities and Commodities Markets Services; Security Brokers; Security Brokers and Dealers; Software and Services; Trusts</t>
  </si>
  <si>
    <t>Huisen Household International Group Limited (SEHK:2127)</t>
  </si>
  <si>
    <t>SEHK:2127</t>
  </si>
  <si>
    <t>The Stock Exchange of Hong Kong Ltd. (SEHK)</t>
  </si>
  <si>
    <t>Consumer Discretionary (Primary); Consumer Durables and Apparel (Primary); Home Furnishings (Primary); Household Durables (Primary); Metal Household Furniture (Primary); Metal Tables (Primary); Outdoor Furniture (Primary); Upholstery (Primary); Wood Household Furniture (Primary); Wood Household Furniture, Upholstered (Primary); Wood Tables (Primary); Bookcases; Classroom and Institutional Furniture; Commercial and Professional Services; Commercial Services and Supplies; Desks; Industrials; Office Furnishings; Office Furnishings and Equipment; Office Services and Supplies; Wood Office Furniture</t>
  </si>
  <si>
    <t>GDH Guangnan (Holdings) Limited (SEHK:1203)</t>
  </si>
  <si>
    <t>SEHK:1203</t>
  </si>
  <si>
    <t>The Stock Exchange of Hong Kong Ltd. (SEHK)</t>
  </si>
  <si>
    <t>Cold-Rolled Steel Sheet, Strip, And Bars (Primary); Materials (Primary); Materials (Primary); Metals and Mining (Primary); Steel (Primary); Steel Nails, Spikes, And Wire (Primary); Steel Wire Drawing, Nails and Spikes (Primary); Steel Works, Blast Furnaces, And Finishing Mills (Primary); Steel Works, Blast Furnaces, And Rolling Mills (Primary); Agricultural Products; Animal Feed; Consumer Staples; Factory Outlet Center Operators and Lessors; Food and Staples Retailing; Food and Staples Retailing; Food Distribution; Food Distributors; Food Products; Food, Beverage and Tobacco; Grain And Field Beans; Groceries and Related Product Distribution; Meat Processing; Meat Slaughtering; Meats, Meat Processing And Meat Related Products; Nonresidential Building Operators and Lessors; Office Building Operators and Lessors; Packaged Foods and Meats; Real Estate; Real Estate; Real Estate Management and Development; Real Estate Operating Companies; Real Estate Operators And Lessors</t>
  </si>
  <si>
    <t>DaChan Food (Asia) Limited (SEHK:3999)</t>
  </si>
  <si>
    <t>SEHK:3999</t>
  </si>
  <si>
    <t>The Stock Exchange of Hong Kong Ltd. (SEHK)</t>
  </si>
  <si>
    <t>Animal Feed (Primary); Consumer Staples (Primary); Dairy Products (Primary); Dairy Products and Eggs (Primary); Eggs and Egg Products (Primary); Food Products (Primary); Food, Beverage and Tobacco (Primary); Frozen Foods (Primary); Livestock And Animal Specialties (Primary); Livestock Feed (Primary); Meats, Meat Processing And Meat Related Products (Primary); Packaged Foods and Meats (Primary); Poultry Processing (Primary); Prepared and Preserved Foods (Primary); Seafood, Seafood Processing and Seafood Products (Primary); Food and Staples Retailing; Food and Staples Retailing; Food Retail; Health Care; Nonresidential Building Operators and Lessors; Pharmaceuticals; Pharmaceuticals; Pharmaceuticals, Biotechnology and Life Sciences; Real Estate; Real Estate; Real Estate Management and Development; Real Estate Operating Companies; Real Estate Operators And Lessors; Veterinary Drugs</t>
  </si>
  <si>
    <t>Luks Group (Vietnam Holdings) Company Limited (SEHK:366)</t>
  </si>
  <si>
    <t>SEHK:366</t>
  </si>
  <si>
    <t>The Stock Exchange of Hong Kong Ltd. (SEHK)</t>
  </si>
  <si>
    <t>Cement, Hydraulic (Primary); Concrete (Primary); Construction Materials (Primary); Construction Materials (Primary); Materials (Primary); Materials (Primary); Commercial Electronics Distribution; Consumer Discretionary; Consumer Services; Electronic Equipment, Instruments and Components; Forest Products; Hotels; Hotels And Motels; Hotels, Resorts and Cruise Lines; Hotels, Restaurants and Leisure; Industrial Property Operators and Lessors; Information Technology; Lodging; Lumber Products; Nonresidential Building Operators and Lessors; Office Building Operators and Lessors; Paper and Forest Products; Real Estate; Real Estate; Real Estate Development; Real Estate Management and Development; Real Estate Management Services; Real Estate Operating Companies; Real Estate Operators And Lessors; Residential Building Operators and Lessors; Technology Distributors; Technology Hardware and Equipment; Veneer, Plywood And Structural Wood Products</t>
  </si>
  <si>
    <t>Wai Kee Holdings Limited (SEHK:610)</t>
  </si>
  <si>
    <t>SEHK:610</t>
  </si>
  <si>
    <t>The Stock Exchange of Hong Kong Ltd. (SEHK)</t>
  </si>
  <si>
    <t>Capital Goods (Primary); Commercial Construction and Engineering (Primary); Commercial Construction, General Contractors and Operative Builders (Primary); Construction and Engineering (Primary); Construction and Engineering (Primary); Construction Support Services (Primary); Engineering and Surveying Services (Primary); Engineering Services (Primary); Heavy Construction (Primary); Industrials (Primary); Specialty Contract Work (Primary); Asphalt Paving and Roofing Materials; Asset Management and Custody Banks; Building Products; Building Products; Capital Markets; Concrete; Construction Material Distribution; Construction Materials; Construction Materials; Diversified Financial Services; Diversified Financials; Financials; Highways and Railtracks; Investment Advice; Investment Banking and Brokerage; Marine Ports and Services; Materials; Materials; Real Estate; Real Estate; Real Estate Development; Real Estate Management and Development; Real Estate Operating Companies; Real Estate Operators And Lessors; Roofing, Siding, and Insulation Materials; Securities and Commodities Markets Services; Security Brokers; Security Brokers and Dealers; Sewage Treatment Systems; Specialized Finance; Trading Companies and Distributors; Trading Companies and Distributors; Transportation; Transportation Infrastructure; Utilities; Utilities; Water Utilities; Water Utilities</t>
  </si>
  <si>
    <t>Liu Chong Hing Investment Limited (SEHK:194)</t>
  </si>
  <si>
    <t>SEHK:194</t>
  </si>
  <si>
    <t>The Stock Exchange of Hong Kong Ltd. (SEHK)</t>
  </si>
  <si>
    <t>Nonresidential Building Operators and Lessors (Primary); Office Building Operators and Lessors (Primary); Real Estate (Primary); Real Estate (Primary); Real Estate Management and Development (Primary); Real Estate Management Services (Primary); Real Estate Operating Companies (Primary); Real Estate Operators And Lessors (Primary); Residential Building Operators and Lessors (Primary); Shopping Mall Operators and Lessors (Primary); Capital Markets; Consumer Discretionary; Consumer Services; Diversified Consumer Services; Diversified Financial Services; Diversified Financials; Financials; Hotels; Hotels And Motels; Hotels, Resorts and Cruise Lines; Hotels, Restaurants and Leisure; Investment Banking and Brokerage; Lodging; Real Estate Development; Residential Design Services ; Residential Interior Services ; Securities and Commodities Markets Services; Security Brokers; Security Brokers and Dealers; Specialized Consumer Services; Specialized Finance</t>
  </si>
  <si>
    <t>Nanyang Holdings Limited (SEHK:212)</t>
  </si>
  <si>
    <t>SEHK:212</t>
  </si>
  <si>
    <t>The Stock Exchange of Hong Kong Ltd. (SEHK)</t>
  </si>
  <si>
    <t>Industrial Property Operators and Lessors (Primary); Nonresidential Building Operators and Lessors (Primary); Office Building Operators and Lessors (Primary); Real Estate (Primary); Real Estate (Primary); Real Estate Management and Development (Primary); Real Estate Operating Companies (Primary); Real Estate Operators And Lessors (Primary); Asset Management and Custody Banks; Capital Markets; Diversified Financials; Financials; Investment Banking and Brokerage; Securities and Commodities Markets Services; Security Brokers; Security Brokers and Dealers</t>
  </si>
  <si>
    <t>Emperor Watch &amp; Jewellery Limited (SEHK:887)</t>
  </si>
  <si>
    <t>SEHK:887</t>
  </si>
  <si>
    <t>The Stock Exchange of Hong Kong Ltd. (SEHK)</t>
  </si>
  <si>
    <t>Apparel Retail (Primary); Consumer Discretionary (Primary); Jewelry Stores (Primary); Retailing (Primary); Specialty Retail (Primary); Watch and Timepiece Stores (Primary); Internet and Direct Marketing Retail; Internet and Direct Marketing Retail; Online Apparel and Accessory Retail; Online Jewelry Retail; Online Specialty Retail</t>
  </si>
  <si>
    <t>China Dongxiang (Group) Co., Ltd. (SEHK:3818)</t>
  </si>
  <si>
    <t>SEHK:3818</t>
  </si>
  <si>
    <t>The Stock Exchange of Hong Kong Ltd. (SEHK)</t>
  </si>
  <si>
    <t>Apparel (Primary); Apparel, Accessories and Luxury Goods (Primary); Boys' Apparel (Primary); Consumer Discretionary (Primary); Consumer Durables and Apparel (Primary); Girls' Apparel (Primary); Specialty Apparel (Primary); Textiles, Apparel and Luxury Goods (Primary); Apparel and Textile Distribution; Apparel Retail; Asset Management and Custody Banks; Capital Markets; Consumer Services; Distributors; Distributors; Diversified Financials; Durable Goods Distribution; Financials; Footwear; Hotels, Resorts and Cruise Lines; Hotels, Restaurants and Leisure; Internet and Direct Marketing Retail; Internet and Direct Marketing Retail; Leisure Products; Leisure Products; Online Accessory Retail; Online Apparel and Accessory Retail; Online Apparel Retail; Online Shoe Retail; Online Specialty Retail; Real Estate; Real Estate; Real Estate Development; Real Estate Management and Development; Real Estate Operating Companies; Real Estate Operators And Lessors; Retailing; Shoe Stores; Specialty Retail; Sporting and Recreational Goods; Travel and Tourism Services</t>
  </si>
  <si>
    <t>YuanShengTai Dairy Farm Limited (SEHK:1431)</t>
  </si>
  <si>
    <t>SEHK:1431</t>
  </si>
  <si>
    <t>The Stock Exchange of Hong Kong Ltd. (SEHK)</t>
  </si>
  <si>
    <t>Agricultural Products (Primary); Consumer Staples (Primary); Food Products (Primary); Food, Beverage and Tobacco (Primary); Dairy Products; Dairy Products and Eggs; Milk; Packaged Foods and Meats</t>
  </si>
  <si>
    <t>Emperor Entertainment Hotel Limited (SEHK:296)</t>
  </si>
  <si>
    <t>SEHK:296</t>
  </si>
  <si>
    <t>The Stock Exchange of Hong Kong Ltd. (SEHK)</t>
  </si>
  <si>
    <t>Casinos (Primary); Casinos and Gaming (Primary); Consumer Discretionary (Primary); Consumer Services (Primary); Hotels, Restaurants and Leisure (Primary); Advertising; Catering Services; Communication Services; Diversified Financial Services; Diversified Financials; Financials; Hotels; Hotels And Motels; Hotels, Resorts and Cruise Lines; Lodging; Marketing Services; Media; Media and Entertainment; Public Relations Services; Restaurants; Specialized Finance; Travel Agencies; Travel and Tourism Services</t>
  </si>
  <si>
    <t>Chuang's China Investments Limited (SEHK:298)</t>
  </si>
  <si>
    <t>SEHK:298</t>
  </si>
  <si>
    <t>The Stock Exchange of Hong Kong Ltd. (SEHK)</t>
  </si>
  <si>
    <t>Cemetery Sub Dividers And Developers (Primary); Land Sub Dividers And Developers (Primary); Real Estate (Primary); Real Estate (Primary); Real Estate Development (Primary); Real Estate Management and Development (Primary); Asset Management and Custody Banks; Capital Goods; Capital Markets; Cemeteries; Cemeteries and Funeral Home Services; Construction Machinery and Heavy Trucks; Consumer Discretionary; Consumer Services; Distributors; Distributors; Diversified Consumer Services; Diversified Financial Services; Diversified Financials; Durable Goods Distribution; Financials; Hotels; Hotels And Motels; Hotels, Resorts and Cruise Lines; Hotels, Restaurants and Leisure; Household Durables Distribution; Industrials; Investment Banking and Brokerage; Lodging; Machinery; Marine Transportation Equipment; Real Estate Operating Companies; Real Estate Operators And Lessors; Retailing; Securities and Commodities Markets Services; Security Brokers and Dealers; Ship and Boat Building; Specialized Consumer Services; Specialized Finance</t>
  </si>
  <si>
    <t>China New Town Development Company Limited (SEHK:1278)</t>
  </si>
  <si>
    <t>SEHK:1278</t>
  </si>
  <si>
    <t>The Stock Exchange of Hong Kong Ltd. (SEHK)</t>
  </si>
  <si>
    <t>Land Sub Dividers And Developers (Primary); Land Sub Dividers and Developers, except Cemetery (Primary); Real Estate (Primary); Real Estate (Primary); Real Estate Development (Primary); Real Estate Management and Development (Primary); Asset Management and Custody Banks; Capital Goods; Capital Markets; Commercial and Professional Services; Construction and Engineering; Construction and Engineering; Construction Support Services; Consulting Services; Diversified Financials; Financials; Industrials; Professional Services; Real Estate Management Services; Real Estate Operating Companies; Real Estate Operators And Lessors; Real Estate Services; Research and Consulting Services</t>
  </si>
  <si>
    <t>CRCC High-Tech Equipment Corporation Limited (SEHK:1786)</t>
  </si>
  <si>
    <t>SEHK:1786</t>
  </si>
  <si>
    <t>The Stock Exchange of Hong Kong Ltd. (SEHK)</t>
  </si>
  <si>
    <t>Capital Goods (Primary); Construction Machinery and Heavy Trucks (Primary); Industrials (Primary); Locomotives and Electronic Trolleys (Primary); Machinery (Primary); Railroad Equipment (Primary); Railroad Support Equipment and Systems (Primary); Railway and Tramway Cars (Primary); Railway Track Maintenance Equipment (Primary); Commercial and Professional Services; Commercial Services and Supplies; Diversified Support Services; Railroad Switching and Terminal Establishments; Railroads; Road and Rail; Services Incidental to Railroad Transportation; Transportation</t>
  </si>
  <si>
    <t>Tianjin Development Holdings Limited (SEHK:882)</t>
  </si>
  <si>
    <t>SEHK:882</t>
  </si>
  <si>
    <t>The Stock Exchange of Hong Kong Ltd. (SEHK)</t>
  </si>
  <si>
    <t>Multi-Utilities (Primary); Multi-Utilities (Primary); Utilities (Primary); Utilities (Primary); Building Product and Home Supply Stores; Building Product Distribution; Business Credit Agencies; Capital Goods; Commercial and Professional Services; Commercial Services and Supplies; Consulting Services; Consumer Discretionary; Consumer Services; Containers and Packaging; Credit Agencies; Diversified Financial Services; Diversified Financials; Diversified Support Services; Electric Power Distribution; Electric Utilities; Electric Utilities; Electrical Equipment; Elevators and Moving Stairways; Escalators; Finance Leasing; Financials; Health Care; Heavy Electrical Equipment; Home Improvement Retail; Hotels; Hotels And Motels; Hotels, Resorts and Cruise Lines; Hotels, Restaurants and Leisure; Industrial Machinery; Industrials; Lifting Equipment; Lodging; Machinery; Marine Ports and Services; Material Handling Machinery and Equipment; Materials; Materials; Paper Packaging; Pharmaceutical Products; Pharmaceuticals; Pharmaceuticals; Pharmaceuticals, Biotechnology and Life Sciences; Professional Services; Pumps and Pumping Equipment; Research and Consulting Services; Retailing; Specialized Finance; Specialty Retail; Trading Companies and Distributors; Trading Companies and Distributors; Transportation; Transportation Infrastructure; Water Supply; Water Utilities; Water Utilities</t>
  </si>
  <si>
    <t>Weiqiao Textile Company Limited (SEHK:2698)</t>
  </si>
  <si>
    <t>SEHK:2698</t>
  </si>
  <si>
    <t>The Stock Exchange of Hong Kong Ltd. (SEHK)</t>
  </si>
  <si>
    <t>Consumer Discretionary (Primary); Consumer Durables and Apparel (Primary); Cotton Yarn (Primary); Fabrics (Primary); Polyester Yarn (Primary); Textile Mill Products (Primary); Textiles (Primary); Textiles, Apparel and Luxury Goods (Primary); Yarns (Primary); Apparel and Textile Distribution; Distributors; Distributors; Durable Goods Distribution; Electric Utilities; Electric Utilities; Retailing; Utilities; Utilities; Water Utilities; Water Utilities</t>
  </si>
  <si>
    <t>G-Resources Group Limited (SEHK:1051)</t>
  </si>
  <si>
    <t>SEHK:1051</t>
  </si>
  <si>
    <t>The Stock Exchange of Hong Kong Ltd. (SEHK)</t>
  </si>
  <si>
    <t>Diversified Financial Services (Primary); Diversified Financials (Primary); Financials (Primary); Other Diversified Financial Services (Primary); Asset Management and Custody Banks; Capital Markets; Investment Banking and Brokerage; Real Estate; Real Estate; Real Estate Management and Development; Real Estate Operating Companies; Real Estate Operators And Lessors; Securities and Commodities Markets Services; Security Brokers; Security Brokers and Dealers; Specialized Finance</t>
  </si>
  <si>
    <t>Screening Aggregates</t>
  </si>
  <si>
    <t>Company Screening Aggregates</t>
  </si>
  <si>
    <t xml:space="preserve"> </t>
  </si>
  <si>
    <t>Total</t>
  </si>
  <si>
    <t>Average</t>
  </si>
  <si>
    <t>Minimum</t>
  </si>
  <si>
    <t>Maximum</t>
  </si>
  <si>
    <t>Standard Deviation</t>
  </si>
  <si>
    <t>Market Cap. Weighted Avg.</t>
  </si>
  <si>
    <t>N/A</t>
  </si>
  <si>
    <t>Screening Criteria</t>
  </si>
  <si>
    <r>
      <t xml:space="preserve">1) </t>
    </r>
    <r>
      <rPr>
        <b/>
        <sz val="8"/>
        <color indexed="8"/>
        <rFont val="Arial"/>
      </rPr>
      <t xml:space="preserve">Exchanges (All Listings): </t>
    </r>
    <r>
      <rPr>
        <sz val="8"/>
        <color indexed="8"/>
        <rFont val="Arial"/>
      </rPr>
      <t>(SEHK) The Stock Exchange of Hong Kong Ltd.</t>
    </r>
  </si>
  <si>
    <r>
      <t xml:space="preserve">2) </t>
    </r>
    <r>
      <rPr>
        <b/>
        <sz val="8"/>
        <color indexed="8"/>
        <rFont val="Arial"/>
      </rPr>
      <t xml:space="preserve">Quick Ratio [Latest Annual]: </t>
    </r>
    <r>
      <rPr>
        <sz val="8"/>
        <color indexed="8"/>
        <rFont val="Arial"/>
      </rPr>
      <t>is greater than 1</t>
    </r>
  </si>
  <si>
    <r>
      <t xml:space="preserve">3) </t>
    </r>
    <r>
      <rPr>
        <b/>
        <sz val="8"/>
        <color indexed="8"/>
        <rFont val="Arial"/>
      </rPr>
      <t xml:space="preserve">Net Debt [Latest Annual] (HKDmm, Historical rate): </t>
    </r>
    <r>
      <rPr>
        <sz val="8"/>
        <color indexed="8"/>
        <rFont val="Arial"/>
      </rPr>
      <t>is less than 0 (Unreported data set to 0)</t>
    </r>
  </si>
  <si>
    <r>
      <t xml:space="preserve">4)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less than 20000</t>
    </r>
  </si>
  <si>
    <r>
      <t xml:space="preserve">5) </t>
    </r>
    <r>
      <rPr>
        <b/>
        <sz val="8"/>
        <color indexed="8"/>
        <rFont val="Arial"/>
      </rPr>
      <t xml:space="preserve">Market Capitalization [Latest] (HKDmm, Historical rate): </t>
    </r>
    <r>
      <rPr>
        <sz val="8"/>
        <color indexed="8"/>
        <rFont val="Arial"/>
      </rPr>
      <t>is greater than 500</t>
    </r>
  </si>
  <si>
    <r>
      <t xml:space="preserve">6) </t>
    </r>
    <r>
      <rPr>
        <b/>
        <sz val="8"/>
        <color indexed="8"/>
        <rFont val="Arial"/>
      </rPr>
      <t xml:space="preserve">Total Liabilities/Total Assets % [Latest Annual]: </t>
    </r>
    <r>
      <rPr>
        <sz val="8"/>
        <color indexed="8"/>
        <rFont val="Arial"/>
      </rPr>
      <t>is less than 40</t>
    </r>
  </si>
  <si>
    <r>
      <t xml:space="preserve">7) </t>
    </r>
    <r>
      <rPr>
        <b/>
        <sz val="8"/>
        <color indexed="8"/>
        <rFont val="Arial"/>
      </rPr>
      <t xml:space="preserve">P/BV [Latest] (x): </t>
    </r>
    <r>
      <rPr>
        <sz val="8"/>
        <color indexed="8"/>
        <rFont val="Arial"/>
      </rPr>
      <t>is less than 2</t>
    </r>
  </si>
  <si>
    <r>
      <t xml:space="preserve">8) </t>
    </r>
    <r>
      <rPr>
        <b/>
        <sz val="8"/>
        <color indexed="8"/>
        <rFont val="Arial"/>
      </rPr>
      <t>Industry Classifications: NOT (</t>
    </r>
    <r>
      <rPr>
        <sz val="8"/>
        <color indexed="8"/>
        <rFont val="Arial"/>
      </rPr>
      <t>Health Care (Primary)</t>
    </r>
    <r>
      <rPr>
        <b/>
        <sz val="8"/>
        <color indexed="8"/>
        <rFont val="Arial"/>
      </rPr>
      <t xml:space="preserve"> OR </t>
    </r>
    <r>
      <rPr>
        <sz val="8"/>
        <color indexed="8"/>
        <rFont val="Arial"/>
      </rPr>
      <t>Information Technology (Primary)</t>
    </r>
    <r>
      <rPr>
        <b/>
        <sz val="8"/>
        <color indexed="8"/>
        <rFont val="Arial"/>
      </rPr>
      <t>)</t>
    </r>
  </si>
  <si>
    <t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t>
  </si>
  <si>
    <t>交易所</t>
  </si>
  <si>
    <t>代码</t>
  </si>
  <si>
    <t>公司</t>
  </si>
  <si>
    <t>行业</t>
  </si>
  <si>
    <t>市值 最近时间 (HKD)</t>
  </si>
  <si>
    <t>关注度</t>
  </si>
  <si>
    <t>理杏仁Url</t>
  </si>
  <si>
    <t>hk</t>
  </si>
  <si>
    <t>腾讯控股</t>
  </si>
  <si>
    <t>电子商贸及互联网服务</t>
  </si>
  <si>
    <t>www.lixinger.com/analytics/company/hk/00700/700/detail</t>
  </si>
  <si>
    <t>阿里巴巴-SW</t>
  </si>
  <si>
    <t>www.lixinger.com/analytics/company/hk/09988/9988/detail</t>
  </si>
  <si>
    <t>工商银行</t>
  </si>
  <si>
    <t>银行</t>
  </si>
  <si>
    <t>www.lixinger.com/analytics/company/hk/01398/1398/detail</t>
  </si>
  <si>
    <t>建设银行</t>
  </si>
  <si>
    <t>www.lixinger.com/analytics/company/hk/00939/939/detail</t>
  </si>
  <si>
    <t>招商银行</t>
  </si>
  <si>
    <t>www.lixinger.com/analytics/company/hk/03968/3968/detail</t>
  </si>
  <si>
    <t>中国移动</t>
  </si>
  <si>
    <t>电讯服务</t>
  </si>
  <si>
    <t>www.lixinger.com/analytics/company/hk/00941/941/detail</t>
  </si>
  <si>
    <t>美团-W</t>
  </si>
  <si>
    <t>www.lixinger.com/analytics/company/hk/03690/3690/detail</t>
  </si>
  <si>
    <t>友邦保险</t>
  </si>
  <si>
    <t>保险</t>
  </si>
  <si>
    <t>www.lixinger.com/analytics/company/hk/01299/1299/detail</t>
  </si>
  <si>
    <t>汇丰控股</t>
  </si>
  <si>
    <t>www.lixinger.com/analytics/company/hk/00005/5/detail</t>
  </si>
  <si>
    <t>中国平安</t>
  </si>
  <si>
    <t>www.lixinger.com/analytics/company/hk/02318/2318/detail</t>
  </si>
  <si>
    <t>农业银行</t>
  </si>
  <si>
    <t>www.lixinger.com/analytics/company/hk/01288/1288/detail</t>
  </si>
  <si>
    <t>中国银行</t>
  </si>
  <si>
    <t>www.lixinger.com/analytics/company/hk/03988/3988/detail</t>
  </si>
  <si>
    <t>京东集团-SW</t>
  </si>
  <si>
    <t>www.lixinger.com/analytics/company/hk/09618/9618/detail</t>
  </si>
  <si>
    <t>中国石油股份</t>
  </si>
  <si>
    <t>油气生产商</t>
  </si>
  <si>
    <t>www.lixinger.com/analytics/company/hk/00857/857/detail</t>
  </si>
  <si>
    <t>比亚迪股份</t>
  </si>
  <si>
    <t>汽车</t>
  </si>
  <si>
    <t>www.lixinger.com/analytics/company/hk/01211/1211/detail</t>
  </si>
  <si>
    <t>迅销有限公司-预托证券</t>
  </si>
  <si>
    <t>服装</t>
  </si>
  <si>
    <t>www.lixinger.com/analytics/company/hk/06288/6288/detail</t>
  </si>
  <si>
    <t>农夫山泉</t>
  </si>
  <si>
    <t>非酒精饮料</t>
  </si>
  <si>
    <t>www.lixinger.com/analytics/company/hk/09633/9633/detail</t>
  </si>
  <si>
    <t>中国海洋石油</t>
  </si>
  <si>
    <t>www.lixinger.com/analytics/company/hk/00883/883/detail</t>
  </si>
  <si>
    <t>中国中免</t>
  </si>
  <si>
    <t>旅游及观光</t>
  </si>
  <si>
    <t>www.lixinger.com/analytics/company/hk/01880/1880/detail</t>
  </si>
  <si>
    <t>中国石油化工股份</t>
  </si>
  <si>
    <t>www.lixinger.com/analytics/company/hk/00386/386/detail</t>
  </si>
  <si>
    <t>邮储银行</t>
  </si>
  <si>
    <t>www.lixinger.com/analytics/company/hk/01658/1658/detail</t>
  </si>
  <si>
    <t>中国神华</t>
  </si>
  <si>
    <t>煤炭</t>
  </si>
  <si>
    <t>www.lixinger.com/analytics/company/hk/01088/1088/detail</t>
  </si>
  <si>
    <t>香港交易所</t>
  </si>
  <si>
    <t>其他金融</t>
  </si>
  <si>
    <t>www.lixinger.com/analytics/company/hk/00388/388/detail</t>
  </si>
  <si>
    <t>网易-S</t>
  </si>
  <si>
    <t>软件开发</t>
  </si>
  <si>
    <t>www.lixinger.com/analytics/company/hk/09999/9999/detail</t>
  </si>
  <si>
    <t>中国人寿</t>
  </si>
  <si>
    <t>www.lixinger.com/analytics/company/hk/02628/2628/detail</t>
  </si>
  <si>
    <t>交通银行</t>
  </si>
  <si>
    <t>www.lixinger.com/analytics/company/hk/03328/3328/detail</t>
  </si>
  <si>
    <t>百威亚太</t>
  </si>
  <si>
    <t>酒精饮料</t>
  </si>
  <si>
    <t>www.lixinger.com/analytics/company/hk/01876/1876/detail</t>
  </si>
  <si>
    <t>百度集团-SW</t>
  </si>
  <si>
    <t>www.lixinger.com/analytics/company/hk/09888/9888/detail</t>
  </si>
  <si>
    <t>快手-W</t>
  </si>
  <si>
    <t>www.lixinger.com/analytics/company/hk/01024/1024/detail</t>
  </si>
  <si>
    <t>新鸿基地产</t>
  </si>
  <si>
    <t>地产发展商</t>
  </si>
  <si>
    <t>www.lixinger.com/analytics/company/hk/00016/16/detail</t>
  </si>
  <si>
    <t>保诚</t>
  </si>
  <si>
    <t>www.lixinger.com/analytics/company/hk/02378/2378/detail</t>
  </si>
  <si>
    <t>紫金矿业</t>
  </si>
  <si>
    <t>黄金及贵金属</t>
  </si>
  <si>
    <t>www.lixinger.com/analytics/company/hk/02899/2899/detail</t>
  </si>
  <si>
    <t>中国电信</t>
  </si>
  <si>
    <t>www.lixinger.com/analytics/company/hk/00728/728/detail</t>
  </si>
  <si>
    <t>中银香港</t>
  </si>
  <si>
    <t>www.lixinger.com/analytics/company/hk/02388/2388/detail</t>
  </si>
  <si>
    <t>安踏体育</t>
  </si>
  <si>
    <t>www.lixinger.com/analytics/company/hk/02020/2020/detail</t>
  </si>
  <si>
    <t>小米集团-W</t>
  </si>
  <si>
    <t>电讯设备</t>
  </si>
  <si>
    <t>www.lixinger.com/analytics/company/hk/01810/1810/detail</t>
  </si>
  <si>
    <t>药明生物</t>
  </si>
  <si>
    <t>生物技术</t>
  </si>
  <si>
    <t>www.lixinger.com/analytics/company/hk/02269/2269/detail</t>
  </si>
  <si>
    <t>宏利金融-S</t>
  </si>
  <si>
    <t>www.lixinger.com/analytics/company/hk/00945/945/detail</t>
  </si>
  <si>
    <t>华润置地</t>
  </si>
  <si>
    <t>www.lixinger.com/analytics/company/hk/01109/1109/detail</t>
  </si>
  <si>
    <t>港铁公司</t>
  </si>
  <si>
    <t>公共运输</t>
  </si>
  <si>
    <t>www.lixinger.com/analytics/company/hk/00066/66/detail</t>
  </si>
  <si>
    <t>药明康德</t>
  </si>
  <si>
    <t>www.lixinger.com/analytics/company/hk/02359/2359/detail</t>
  </si>
  <si>
    <t>海尔智家</t>
  </si>
  <si>
    <t>家庭电器</t>
  </si>
  <si>
    <t>www.lixinger.com/analytics/company/hk/06690/6690/detail</t>
  </si>
  <si>
    <t>恒生银行</t>
  </si>
  <si>
    <t>www.lixinger.com/analytics/company/hk/00011/11/detail</t>
  </si>
  <si>
    <t>中信股份</t>
  </si>
  <si>
    <t>综合企业</t>
  </si>
  <si>
    <t>www.lixinger.com/analytics/company/hk/00267/267/detail</t>
  </si>
  <si>
    <t>银河娱乐</t>
  </si>
  <si>
    <t>赌场及博彩</t>
  </si>
  <si>
    <t>www.lixinger.com/analytics/company/hk/00027/27/detail</t>
  </si>
  <si>
    <t>中信证券</t>
  </si>
  <si>
    <t>投资及资产管理</t>
  </si>
  <si>
    <t>www.lixinger.com/analytics/company/hk/06030/6030/detail</t>
  </si>
  <si>
    <t>中国海外发展</t>
  </si>
  <si>
    <t>www.lixinger.com/analytics/company/hk/00688/688/detail</t>
  </si>
  <si>
    <t>京东健康</t>
  </si>
  <si>
    <t>药品</t>
  </si>
  <si>
    <t>www.lixinger.com/analytics/company/hk/06618/6618/detail</t>
  </si>
  <si>
    <t>金沙中国有限公司</t>
  </si>
  <si>
    <t>www.lixinger.com/analytics/company/hk/01928/1928/detail</t>
  </si>
  <si>
    <t>中通快递-SW</t>
  </si>
  <si>
    <t>航空货运及物流</t>
  </si>
  <si>
    <t>www.lixinger.com/analytics/company/hk/02057/2057/detail</t>
  </si>
  <si>
    <t>百济神州</t>
  </si>
  <si>
    <t>www.lixinger.com/analytics/company/hk/06160/6160/detail</t>
  </si>
  <si>
    <t>李宁</t>
  </si>
  <si>
    <t>www.lixinger.com/analytics/company/hk/02331/2331/detail</t>
  </si>
  <si>
    <t>百胜中国</t>
  </si>
  <si>
    <t>餐饮</t>
  </si>
  <si>
    <t>www.lixinger.com/analytics/company/hk/09987/9987/detail</t>
  </si>
  <si>
    <t>长和</t>
  </si>
  <si>
    <t>www.lixinger.com/analytics/company/hk/00001/1/detail</t>
  </si>
  <si>
    <t>万科企业</t>
  </si>
  <si>
    <t>www.lixinger.com/analytics/company/hk/02202/2202/detail</t>
  </si>
  <si>
    <t>华润啤酒</t>
  </si>
  <si>
    <t>www.lixinger.com/analytics/company/hk/00291/291/detail</t>
  </si>
  <si>
    <t>理想汽车-W</t>
  </si>
  <si>
    <t>www.lixinger.com/analytics/company/hk/02015/2015/detail</t>
  </si>
  <si>
    <t>长实集团</t>
  </si>
  <si>
    <t>www.lixinger.com/analytics/company/hk/01113/1113/detail</t>
  </si>
  <si>
    <t>携程集团-S</t>
  </si>
  <si>
    <t>www.lixinger.com/analytics/company/hk/09961/9961/detail</t>
  </si>
  <si>
    <t>中信银行</t>
  </si>
  <si>
    <t>www.lixinger.com/analytics/company/hk/00998/998/detail</t>
  </si>
  <si>
    <t>渣打集团</t>
  </si>
  <si>
    <t>www.lixinger.com/analytics/company/hk/02888/2888/detail</t>
  </si>
  <si>
    <t>中国太保</t>
  </si>
  <si>
    <t>www.lixinger.com/analytics/company/hk/02601/2601/detail</t>
  </si>
  <si>
    <t>周大福</t>
  </si>
  <si>
    <t>其他零售商</t>
  </si>
  <si>
    <t>www.lixinger.com/analytics/company/hk/01929/1929/detail</t>
  </si>
  <si>
    <t>中国财险</t>
  </si>
  <si>
    <t>www.lixinger.com/analytics/company/hk/02328/2328/detail</t>
  </si>
  <si>
    <t>创科实业</t>
  </si>
  <si>
    <t>www.lixinger.com/analytics/company/hk/00669/669/detail</t>
  </si>
  <si>
    <t>中国联通</t>
  </si>
  <si>
    <t>www.lixinger.com/analytics/company/hk/00762/762/detail</t>
  </si>
  <si>
    <t>龙湖集团</t>
  </si>
  <si>
    <t>www.lixinger.com/analytics/company/hk/00960/960/detail</t>
  </si>
  <si>
    <t>中国铁塔</t>
  </si>
  <si>
    <t>卫星及无线通讯</t>
  </si>
  <si>
    <t>www.lixinger.com/analytics/company/hk/00788/788/detail</t>
  </si>
  <si>
    <t>海螺水泥</t>
  </si>
  <si>
    <t>建筑材料</t>
  </si>
  <si>
    <t>www.lixinger.com/analytics/company/hk/00914/914/detail</t>
  </si>
  <si>
    <t>蒙牛乳业</t>
  </si>
  <si>
    <t>乳制品</t>
  </si>
  <si>
    <t>www.lixinger.com/analytics/company/hk/02319/2319/detail</t>
  </si>
  <si>
    <t>中电控股</t>
  </si>
  <si>
    <t>电力</t>
  </si>
  <si>
    <t>www.lixinger.com/analytics/company/hk/00002/2/detail</t>
  </si>
  <si>
    <t>贝壳-W</t>
  </si>
  <si>
    <t>地产代理</t>
  </si>
  <si>
    <t>www.lixinger.com/analytics/company/hk/02423/2423/detail</t>
  </si>
  <si>
    <t>九龙仓置业</t>
  </si>
  <si>
    <t>地产投资</t>
  </si>
  <si>
    <t>www.lixinger.com/analytics/company/hk/01997/1997/detail</t>
  </si>
  <si>
    <t>香港中华煤气</t>
  </si>
  <si>
    <t>燃气供应</t>
  </si>
  <si>
    <t>www.lixinger.com/analytics/company/hk/00003/3/detail</t>
  </si>
  <si>
    <t>蔚来-SW</t>
  </si>
  <si>
    <t>www.lixinger.com/analytics/company/hk/09866/9866/detail</t>
  </si>
  <si>
    <t>恒基地产</t>
  </si>
  <si>
    <t>www.lixinger.com/analytics/company/hk/00012/12/detail</t>
  </si>
  <si>
    <t>申洲国际</t>
  </si>
  <si>
    <t>www.lixinger.com/analytics/company/hk/02313/2313/detail</t>
  </si>
  <si>
    <t>中芯国际</t>
  </si>
  <si>
    <t>半导体</t>
  </si>
  <si>
    <t>www.lixinger.com/analytics/company/hk/00981/981/detail</t>
  </si>
  <si>
    <t>中国光大银行</t>
  </si>
  <si>
    <t>www.lixinger.com/analytics/company/hk/06818/6818/detail</t>
  </si>
  <si>
    <t>新奥能源</t>
  </si>
  <si>
    <t>www.lixinger.com/analytics/company/hk/02688/2688/detail</t>
  </si>
  <si>
    <t>中远海控</t>
  </si>
  <si>
    <t>航运及港口</t>
  </si>
  <si>
    <t>www.lixinger.com/analytics/company/hk/01919/1919/detail</t>
  </si>
  <si>
    <t>海底捞</t>
  </si>
  <si>
    <t>www.lixinger.com/analytics/company/hk/06862/6862/detail</t>
  </si>
  <si>
    <t>领展房产基金</t>
  </si>
  <si>
    <t>www.lixinger.com/analytics/company/hk/00823/823/detail</t>
  </si>
  <si>
    <t>太古地产</t>
  </si>
  <si>
    <t>www.lixinger.com/analytics/company/hk/01972/1972/detail</t>
  </si>
  <si>
    <t>民生银行</t>
  </si>
  <si>
    <t>www.lixinger.com/analytics/company/hk/01988/1988/detail</t>
  </si>
  <si>
    <t>吉利汽车</t>
  </si>
  <si>
    <t>www.lixinger.com/analytics/company/hk/00175/175/detail</t>
  </si>
  <si>
    <t>赣锋锂业</t>
  </si>
  <si>
    <t>其他金属及矿物</t>
  </si>
  <si>
    <t>www.lixinger.com/analytics/company/hk/01772/1772/detail</t>
  </si>
  <si>
    <t>兖矿能源</t>
  </si>
  <si>
    <t>www.lixinger.com/analytics/company/hk/01171/1171/detail</t>
  </si>
  <si>
    <t>普拉达</t>
  </si>
  <si>
    <t>其他服饰配件</t>
  </si>
  <si>
    <t>www.lixinger.com/analytics/company/hk/01913/1913/detail</t>
  </si>
  <si>
    <t>中国人民保险集团</t>
  </si>
  <si>
    <t>www.lixinger.com/analytics/company/hk/01339/1339/detail</t>
  </si>
  <si>
    <t>华住集团-S</t>
  </si>
  <si>
    <t>酒店及度假村</t>
  </si>
  <si>
    <t>www.lixinger.com/analytics/company/hk/01179/1179/detail</t>
  </si>
  <si>
    <t>青岛啤酒股份</t>
  </si>
  <si>
    <t>www.lixinger.com/analytics/company/hk/00168/168/detail</t>
  </si>
  <si>
    <t>舜宇光学科技</t>
  </si>
  <si>
    <t>电子零件</t>
  </si>
  <si>
    <t>www.lixinger.com/analytics/company/hk/02382/2382/detail</t>
  </si>
  <si>
    <t>中国中铁</t>
  </si>
  <si>
    <t>重型基建</t>
  </si>
  <si>
    <t>www.lixinger.com/analytics/company/hk/00390/390/detail</t>
  </si>
  <si>
    <t>中国国航</t>
  </si>
  <si>
    <t>航空服务</t>
  </si>
  <si>
    <t>www.lixinger.com/analytics/company/hk/00753/753/detail</t>
  </si>
  <si>
    <t>长江基建集团</t>
  </si>
  <si>
    <t>www.lixinger.com/analytics/company/hk/01038/1038/detail</t>
  </si>
  <si>
    <t>京东物流</t>
  </si>
  <si>
    <t>采购及供应链管理</t>
  </si>
  <si>
    <t>www.lixinger.com/analytics/company/hk/02618/2618/detail</t>
  </si>
  <si>
    <t>中升控股</t>
  </si>
  <si>
    <t>汽车零售商</t>
  </si>
  <si>
    <t>www.lixinger.com/analytics/company/hk/00881/881/detail</t>
  </si>
  <si>
    <t>石药集团</t>
  </si>
  <si>
    <t>www.lixinger.com/analytics/company/hk/01093/1093/detail</t>
  </si>
  <si>
    <t>哔哩哔哩-W</t>
  </si>
  <si>
    <t>www.lixinger.com/analytics/company/hk/09626/9626/detail</t>
  </si>
  <si>
    <t>太古股份公司A</t>
  </si>
  <si>
    <t>www.lixinger.com/analytics/company/hk/00019/19/detail</t>
  </si>
  <si>
    <t>中国南方航空股份</t>
  </si>
  <si>
    <t>www.lixinger.com/analytics/company/hk/01055/1055/detail</t>
  </si>
  <si>
    <t>中广核电力</t>
  </si>
  <si>
    <t>www.lixinger.com/analytics/company/hk/01816/1816/detail</t>
  </si>
  <si>
    <t>天齐锂业</t>
  </si>
  <si>
    <t>www.lixinger.com/analytics/company/hk/09696/9696/detail</t>
  </si>
  <si>
    <t>华润万象生活</t>
  </si>
  <si>
    <t>物业服务及管理</t>
  </si>
  <si>
    <t>www.lixinger.com/analytics/company/hk/01209/1209/detail</t>
  </si>
  <si>
    <t>长城汽车</t>
  </si>
  <si>
    <t>www.lixinger.com/analytics/company/hk/02333/2333/detail</t>
  </si>
  <si>
    <t>潍柴动力</t>
  </si>
  <si>
    <t>商业用车及货车</t>
  </si>
  <si>
    <t>www.lixinger.com/analytics/company/hk/02338/2338/detail</t>
  </si>
  <si>
    <t>东方海外国际</t>
  </si>
  <si>
    <t>www.lixinger.com/analytics/company/hk/00316/316/detail</t>
  </si>
  <si>
    <t>电能实业</t>
  </si>
  <si>
    <t>www.lixinger.com/analytics/company/hk/00006/6/detail</t>
  </si>
  <si>
    <t>中国中车</t>
  </si>
  <si>
    <t>www.lixinger.com/analytics/company/hk/01766/1766/detail</t>
  </si>
  <si>
    <t>阿里健康</t>
  </si>
  <si>
    <t>www.lixinger.com/analytics/company/hk/00241/241/detail</t>
  </si>
  <si>
    <t>翰森制药</t>
  </si>
  <si>
    <t>www.lixinger.com/analytics/company/hk/03692/3692/detail</t>
  </si>
  <si>
    <t>福耀玻璃</t>
  </si>
  <si>
    <t>汽车零件</t>
  </si>
  <si>
    <t>www.lixinger.com/analytics/company/hk/03606/3606/detail</t>
  </si>
  <si>
    <t>中国生物制药</t>
  </si>
  <si>
    <t>www.lixinger.com/analytics/company/hk/01177/1177/detail</t>
  </si>
  <si>
    <t>龙源电力</t>
  </si>
  <si>
    <t>非传统 / 可再生能源</t>
  </si>
  <si>
    <t>www.lixinger.com/analytics/company/hk/00916/916/detail</t>
  </si>
  <si>
    <t>广发证券</t>
  </si>
  <si>
    <t>证券及经纪</t>
  </si>
  <si>
    <t>www.lixinger.com/analytics/company/hk/01776/1776/detail</t>
  </si>
  <si>
    <t>中煤能源</t>
  </si>
  <si>
    <t>www.lixinger.com/analytics/company/hk/01898/1898/detail</t>
  </si>
  <si>
    <t>中兴通讯</t>
  </si>
  <si>
    <t>www.lixinger.com/analytics/company/hk/00763/763/detail</t>
  </si>
  <si>
    <t>信和置业</t>
  </si>
  <si>
    <t>www.lixinger.com/analytics/company/hk/00083/83/detail</t>
  </si>
  <si>
    <t>洛阳钼业</t>
  </si>
  <si>
    <t>www.lixinger.com/analytics/company/hk/03993/3993/detail</t>
  </si>
  <si>
    <t>泰格医药</t>
  </si>
  <si>
    <t>www.lixinger.com/analytics/company/hk/03347/3347/detail</t>
  </si>
  <si>
    <t>华润电力</t>
  </si>
  <si>
    <t>www.lixinger.com/analytics/company/hk/00836/836/detail</t>
  </si>
  <si>
    <t>信义光能</t>
  </si>
  <si>
    <t>新能源物料</t>
  </si>
  <si>
    <t>www.lixinger.com/analytics/company/hk/00968/968/detail</t>
  </si>
  <si>
    <t>康师傅控股</t>
  </si>
  <si>
    <t>www.lixinger.com/analytics/company/hk/00322/322/detail</t>
  </si>
  <si>
    <t>华泰证券</t>
  </si>
  <si>
    <t>www.lixinger.com/analytics/company/hk/06886/6886/detail</t>
  </si>
  <si>
    <t>联想集团</t>
  </si>
  <si>
    <t>电脑及周边器材</t>
  </si>
  <si>
    <t>www.lixinger.com/analytics/company/hk/00992/992/detail</t>
  </si>
  <si>
    <t>国泰君安</t>
  </si>
  <si>
    <t>www.lixinger.com/analytics/company/hk/02611/2611/detail</t>
  </si>
  <si>
    <t>太古股份公司B</t>
  </si>
  <si>
    <t>www.lixinger.com/analytics/company/hk/00087/87/detail</t>
  </si>
  <si>
    <t>碧桂园</t>
  </si>
  <si>
    <t>www.lixinger.com/analytics/company/hk/02007/2007/detail</t>
  </si>
  <si>
    <t>ESR</t>
  </si>
  <si>
    <t>www.lixinger.com/analytics/company/hk/01821/1821/detail</t>
  </si>
  <si>
    <t>香港电讯-SS</t>
  </si>
  <si>
    <t>www.lixinger.com/analytics/company/hk/06823/6823/detail</t>
  </si>
  <si>
    <t>商汤-W</t>
  </si>
  <si>
    <t>www.lixinger.com/analytics/company/hk/00020/20/detail</t>
  </si>
  <si>
    <t>思摩尔国际</t>
  </si>
  <si>
    <t>消费电子产品</t>
  </si>
  <si>
    <t>www.lixinger.com/analytics/company/hk/06969/6969/detail</t>
  </si>
  <si>
    <t>中金公司</t>
  </si>
  <si>
    <t>www.lixinger.com/analytics/company/hk/03908/3908/detail</t>
  </si>
  <si>
    <t>小鹏汽车-W</t>
  </si>
  <si>
    <t>www.lixinger.com/analytics/company/hk/09868/9868/detail</t>
  </si>
  <si>
    <t>中国宏桥</t>
  </si>
  <si>
    <t>铝</t>
  </si>
  <si>
    <t>www.lixinger.com/analytics/company/hk/01378/1378/detail</t>
  </si>
  <si>
    <t>恒隆地产</t>
  </si>
  <si>
    <t>www.lixinger.com/analytics/company/hk/00101/101/detail</t>
  </si>
  <si>
    <t>九龙仓集团</t>
  </si>
  <si>
    <t>www.lixinger.com/analytics/company/hk/00004/4/detail</t>
  </si>
  <si>
    <t>华润燃气</t>
  </si>
  <si>
    <t>www.lixinger.com/analytics/company/hk/01193/1193/detail</t>
  </si>
  <si>
    <t>复星医药</t>
  </si>
  <si>
    <t>www.lixinger.com/analytics/company/hk/02196/2196/detail</t>
  </si>
  <si>
    <t>腾讯音乐-SW</t>
  </si>
  <si>
    <t>影视娱乐</t>
  </si>
  <si>
    <t>www.lixinger.com/analytics/company/hk/01698/1698/detail</t>
  </si>
  <si>
    <t>山东黄金</t>
  </si>
  <si>
    <t>www.lixinger.com/analytics/company/hk/01787/1787/detail</t>
  </si>
  <si>
    <t>招商证券</t>
  </si>
  <si>
    <t>www.lixinger.com/analytics/company/hk/06099/6099/detail</t>
  </si>
  <si>
    <t>康龙化成</t>
  </si>
  <si>
    <t>www.lixinger.com/analytics/company/hk/03759/3759/detail</t>
  </si>
  <si>
    <t>中国铁建</t>
  </si>
  <si>
    <t>www.lixinger.com/analytics/company/hk/01186/1186/detail</t>
  </si>
  <si>
    <t>碧桂园服务</t>
  </si>
  <si>
    <t>www.lixinger.com/analytics/company/hk/06098/6098/detail</t>
  </si>
  <si>
    <t>华能国际电力股份</t>
  </si>
  <si>
    <t>www.lixinger.com/analytics/company/hk/00902/902/detail</t>
  </si>
  <si>
    <t>国药控股</t>
  </si>
  <si>
    <t>www.lixinger.com/analytics/company/hk/01099/1099/detail</t>
  </si>
  <si>
    <t>金蝶国际</t>
  </si>
  <si>
    <t>系统开发及资讯科技顾问</t>
  </si>
  <si>
    <t>www.lixinger.com/analytics/company/hk/00268/268/detail</t>
  </si>
  <si>
    <t>中国旺旺</t>
  </si>
  <si>
    <t>包装食品</t>
  </si>
  <si>
    <t>www.lixinger.com/analytics/company/hk/00151/151/detail</t>
  </si>
  <si>
    <t>海通证券</t>
  </si>
  <si>
    <t>www.lixinger.com/analytics/company/hk/06837/6837/detail</t>
  </si>
  <si>
    <t>中国燃气</t>
  </si>
  <si>
    <t>www.lixinger.com/analytics/company/hk/00384/384/detail</t>
  </si>
  <si>
    <t>中国交通建设</t>
  </si>
  <si>
    <t>www.lixinger.com/analytics/company/hk/01800/1800/detail</t>
  </si>
  <si>
    <t>阳光保险</t>
  </si>
  <si>
    <t>www.lixinger.com/analytics/company/hk/06963/6963/detail</t>
  </si>
  <si>
    <t>中国飞鹤</t>
  </si>
  <si>
    <t>www.lixinger.com/analytics/company/hk/06186/6186/detail</t>
  </si>
  <si>
    <t>新华保险</t>
  </si>
  <si>
    <t>www.lixinger.com/analytics/company/hk/01336/1336/detail</t>
  </si>
  <si>
    <t>万物云</t>
  </si>
  <si>
    <t>www.lixinger.com/analytics/company/hk/02602/2602/detail</t>
  </si>
  <si>
    <t>中国东方航空股份</t>
  </si>
  <si>
    <t>www.lixinger.com/analytics/company/hk/00670/670/detail</t>
  </si>
  <si>
    <t>信义玻璃</t>
  </si>
  <si>
    <t>工业零件及器材</t>
  </si>
  <si>
    <t>www.lixinger.com/analytics/company/hk/00868/868/detail</t>
  </si>
  <si>
    <t>俄铝</t>
  </si>
  <si>
    <t>www.lixinger.com/analytics/company/hk/00486/486/detail</t>
  </si>
  <si>
    <t>万洲国际</t>
  </si>
  <si>
    <t>禽畜肉类</t>
  </si>
  <si>
    <t>www.lixinger.com/analytics/company/hk/00288/288/detail</t>
  </si>
  <si>
    <t>威高股份</t>
  </si>
  <si>
    <t>医疗保健设备</t>
  </si>
  <si>
    <t>www.lixinger.com/analytics/company/hk/01066/1066/detail</t>
  </si>
  <si>
    <t>浙商银行</t>
  </si>
  <si>
    <t>www.lixinger.com/analytics/company/hk/02016/2016/detail</t>
  </si>
  <si>
    <t>中国铝业</t>
  </si>
  <si>
    <t>www.lixinger.com/analytics/company/hk/02600/2600/detail</t>
  </si>
  <si>
    <t>比亚迪电子</t>
  </si>
  <si>
    <t>www.lixinger.com/analytics/company/hk/00285/285/detail</t>
  </si>
  <si>
    <t>新世界发展</t>
  </si>
  <si>
    <t>www.lixinger.com/analytics/company/hk/00017/17/detail</t>
  </si>
  <si>
    <t>金斯瑞生物科技</t>
  </si>
  <si>
    <t>www.lixinger.com/analytics/company/hk/01548/1548/detail</t>
  </si>
  <si>
    <t>广汽集团</t>
  </si>
  <si>
    <t>www.lixinger.com/analytics/company/hk/02238/2238/detail</t>
  </si>
  <si>
    <t>中国建材</t>
  </si>
  <si>
    <t>www.lixinger.com/analytics/company/hk/03323/3323/detail</t>
  </si>
  <si>
    <t>时代电气</t>
  </si>
  <si>
    <t>www.lixinger.com/analytics/company/hk/03898/3898/detail</t>
  </si>
  <si>
    <t>国泰航空</t>
  </si>
  <si>
    <t>www.lixinger.com/analytics/company/hk/00293/293/detail</t>
  </si>
  <si>
    <t>复星国际</t>
  </si>
  <si>
    <t>www.lixinger.com/analytics/company/hk/00656/656/detail</t>
  </si>
  <si>
    <t>粤海投资</t>
  </si>
  <si>
    <t>水务</t>
  </si>
  <si>
    <t>www.lixinger.com/analytics/company/hk/00270/270/detail</t>
  </si>
  <si>
    <t>信达生物</t>
  </si>
  <si>
    <t>www.lixinger.com/analytics/company/hk/01801/1801/detail</t>
  </si>
  <si>
    <t>协鑫科技</t>
  </si>
  <si>
    <t>www.lixinger.com/analytics/company/hk/03800/3800/detail</t>
  </si>
  <si>
    <t>中信建投证券</t>
  </si>
  <si>
    <t>www.lixinger.com/analytics/company/hk/06066/6066/detail</t>
  </si>
  <si>
    <t>盛京银行</t>
  </si>
  <si>
    <t>www.lixinger.com/analytics/company/hk/02066/2066/detail</t>
  </si>
  <si>
    <t>中国民航信息网络</t>
  </si>
  <si>
    <t>www.lixinger.com/analytics/company/hk/00696/696/detail</t>
  </si>
  <si>
    <t>上海医药</t>
  </si>
  <si>
    <t>www.lixinger.com/analytics/company/hk/02607/2607/detail</t>
  </si>
  <si>
    <t>新东方在线</t>
  </si>
  <si>
    <t>教育</t>
  </si>
  <si>
    <t>www.lixinger.com/analytics/company/hk/01797/1797/detail</t>
  </si>
  <si>
    <t>东莞农商银行</t>
  </si>
  <si>
    <t>www.lixinger.com/analytics/company/hk/09889/9889/detail</t>
  </si>
  <si>
    <t>昆仑能源</t>
  </si>
  <si>
    <t>www.lixinger.com/analytics/company/hk/00135/135/detail</t>
  </si>
  <si>
    <t>达利食品</t>
  </si>
  <si>
    <t>www.lixinger.com/analytics/company/hk/03799/3799/detail</t>
  </si>
  <si>
    <t>永利澳门</t>
  </si>
  <si>
    <t>www.lixinger.com/analytics/company/hk/01128/1128/detail</t>
  </si>
  <si>
    <t>新东方-S</t>
  </si>
  <si>
    <t>www.lixinger.com/analytics/company/hk/09901/9901/detail</t>
  </si>
  <si>
    <t>恒安国际</t>
  </si>
  <si>
    <t>个人护理</t>
  </si>
  <si>
    <t>www.lixinger.com/analytics/company/hk/01044/1044/detail</t>
  </si>
  <si>
    <t>海丰国际</t>
  </si>
  <si>
    <t>www.lixinger.com/analytics/company/hk/01308/1308/detail</t>
  </si>
  <si>
    <t>中银航空租赁</t>
  </si>
  <si>
    <t>www.lixinger.com/analytics/company/hk/02588/2588/detail</t>
  </si>
  <si>
    <t>港灯-SS</t>
  </si>
  <si>
    <t>www.lixinger.com/analytics/company/hk/02638/2638/detail</t>
  </si>
  <si>
    <t>招商局港口</t>
  </si>
  <si>
    <t>www.lixinger.com/analytics/company/hk/00144/144/detail</t>
  </si>
  <si>
    <t>中海油田服务</t>
  </si>
  <si>
    <t>油气设备与服务</t>
  </si>
  <si>
    <t>www.lixinger.com/analytics/company/hk/02883/2883/detail</t>
  </si>
  <si>
    <t>中国电力</t>
  </si>
  <si>
    <t>www.lixinger.com/analytics/company/hk/02380/2380/detail</t>
  </si>
  <si>
    <t>尖沙咀置业</t>
  </si>
  <si>
    <t>www.lixinger.com/analytics/company/hk/00247/247/detail</t>
  </si>
  <si>
    <t>东方电气</t>
  </si>
  <si>
    <t>环保工程</t>
  </si>
  <si>
    <t>www.lixinger.com/analytics/company/hk/01072/1072/detail</t>
  </si>
  <si>
    <t>雅迪控股</t>
  </si>
  <si>
    <t>www.lixinger.com/analytics/company/hk/01585/1585/detail</t>
  </si>
  <si>
    <t>同程旅行</t>
  </si>
  <si>
    <t>www.lixinger.com/analytics/company/hk/00780/780/detail</t>
  </si>
  <si>
    <t>中国建筑国际</t>
  </si>
  <si>
    <t>www.lixinger.com/analytics/company/hk/03311/3311/detail</t>
  </si>
  <si>
    <t>凯莱英</t>
  </si>
  <si>
    <t>www.lixinger.com/analytics/company/hk/06821/6821/detail</t>
  </si>
  <si>
    <t>中国信达</t>
  </si>
  <si>
    <t>www.lixinger.com/analytics/company/hk/01359/1359/detail</t>
  </si>
  <si>
    <t>华润医药</t>
  </si>
  <si>
    <t>www.lixinger.com/analytics/company/hk/03320/3320/detail</t>
  </si>
  <si>
    <t>江西铜业股份</t>
  </si>
  <si>
    <t>铜</t>
  </si>
  <si>
    <t>www.lixinger.com/analytics/company/hk/00358/358/detail</t>
  </si>
  <si>
    <t>兖煤澳大利亚</t>
  </si>
  <si>
    <t>www.lixinger.com/analytics/company/hk/03668/3668/detail</t>
  </si>
  <si>
    <t>福莱特玻璃</t>
  </si>
  <si>
    <t>www.lixinger.com/analytics/company/hk/06865/6865/detail</t>
  </si>
  <si>
    <t>波司登</t>
  </si>
  <si>
    <t>www.lixinger.com/analytics/company/hk/03998/3998/detail</t>
  </si>
  <si>
    <t>微创医疗</t>
  </si>
  <si>
    <t>www.lixinger.com/analytics/company/hk/00853/853/detail</t>
  </si>
  <si>
    <t>康方生物-B</t>
  </si>
  <si>
    <t>www.lixinger.com/analytics/company/hk/09926/9926/detail</t>
  </si>
  <si>
    <t>洪九果品</t>
  </si>
  <si>
    <t>农产品</t>
  </si>
  <si>
    <t>www.lixinger.com/analytics/company/hk/06689/6689/detail</t>
  </si>
  <si>
    <t>滔搏</t>
  </si>
  <si>
    <t>服装零售商</t>
  </si>
  <si>
    <t>www.lixinger.com/analytics/company/hk/06110/6110/detail</t>
  </si>
  <si>
    <t>中国银河</t>
  </si>
  <si>
    <t>www.lixinger.com/analytics/company/hk/06881/6881/detail</t>
  </si>
  <si>
    <t>东风集团股份</t>
  </si>
  <si>
    <t>www.lixinger.com/analytics/company/hk/00489/489/detail</t>
  </si>
  <si>
    <t>金山软件</t>
  </si>
  <si>
    <t>www.lixinger.com/analytics/company/hk/03888/3888/detail</t>
  </si>
  <si>
    <t>君实生物</t>
  </si>
  <si>
    <t>www.lixinger.com/analytics/company/hk/01877/1877/detail</t>
  </si>
  <si>
    <t>中国能源建设</t>
  </si>
  <si>
    <t>www.lixinger.com/analytics/company/hk/03996/3996/detail</t>
  </si>
  <si>
    <t>贵州银行</t>
  </si>
  <si>
    <t>www.lixinger.com/analytics/company/hk/06199/6199/detail</t>
  </si>
  <si>
    <t>建发国际集团</t>
  </si>
  <si>
    <t>www.lixinger.com/analytics/company/hk/01908/1908/detail</t>
  </si>
  <si>
    <t>白云山</t>
  </si>
  <si>
    <t>中医药</t>
  </si>
  <si>
    <t>www.lixinger.com/analytics/company/hk/00874/874/detail</t>
  </si>
  <si>
    <t>美高梅中国</t>
  </si>
  <si>
    <t>www.lixinger.com/analytics/company/hk/02282/2282/detail</t>
  </si>
  <si>
    <t>微博-SW</t>
  </si>
  <si>
    <t>www.lixinger.com/analytics/company/hk/09898/9898/detail</t>
  </si>
  <si>
    <t>申万宏源</t>
  </si>
  <si>
    <t>www.lixinger.com/analytics/company/hk/06806/6806/detail</t>
  </si>
  <si>
    <t>欧舒丹</t>
  </si>
  <si>
    <t>www.lixinger.com/analytics/company/hk/00973/973/detail</t>
  </si>
  <si>
    <t>中国中冶</t>
  </si>
  <si>
    <t>www.lixinger.com/analytics/company/hk/01618/1618/detail</t>
  </si>
  <si>
    <t>海吉亚医疗</t>
  </si>
  <si>
    <t>医疗及医学美容服务</t>
  </si>
  <si>
    <t>www.lixinger.com/analytics/company/hk/06078/6078/detail</t>
  </si>
  <si>
    <t>华虹半导体</t>
  </si>
  <si>
    <t>www.lixinger.com/analytics/company/hk/01347/1347/detail</t>
  </si>
  <si>
    <t>江苏宁沪高速公路</t>
  </si>
  <si>
    <t>铁路及公路</t>
  </si>
  <si>
    <t>www.lixinger.com/analytics/company/hk/00177/177/detail</t>
  </si>
  <si>
    <t>中创新航</t>
  </si>
  <si>
    <t>www.lixinger.com/analytics/company/hk/03931/3931/detail</t>
  </si>
  <si>
    <t>中国太平</t>
  </si>
  <si>
    <t>www.lixinger.com/analytics/company/hk/00966/966/detail</t>
  </si>
  <si>
    <t>山高控股</t>
  </si>
  <si>
    <t>www.lixinger.com/analytics/company/hk/00412/412/detail</t>
  </si>
  <si>
    <t>巨子生物</t>
  </si>
  <si>
    <t>www.lixinger.com/analytics/company/hk/02367/2367/detail</t>
  </si>
  <si>
    <t>玖龙纸业</t>
  </si>
  <si>
    <t>纸及纸制品</t>
  </si>
  <si>
    <t>www.lixinger.com/analytics/company/hk/02689/2689/detail</t>
  </si>
  <si>
    <t>徽商银行</t>
  </si>
  <si>
    <t>www.lixinger.com/analytics/company/hk/03698/3698/detail</t>
  </si>
  <si>
    <t>海天国际</t>
  </si>
  <si>
    <t>www.lixinger.com/analytics/company/hk/01882/1882/detail</t>
  </si>
  <si>
    <t>统一企业中国</t>
  </si>
  <si>
    <t>www.lixinger.com/analytics/company/hk/00220/220/detail</t>
  </si>
  <si>
    <t>澳博控股</t>
  </si>
  <si>
    <t>www.lixinger.com/analytics/company/hk/00880/880/detail</t>
  </si>
  <si>
    <t>零跑汽车</t>
  </si>
  <si>
    <t>www.lixinger.com/analytics/company/hk/09863/9863/detail</t>
  </si>
  <si>
    <t>中国华融</t>
  </si>
  <si>
    <t>www.lixinger.com/analytics/company/hk/02799/2799/detail</t>
  </si>
  <si>
    <t>伊泰煤炭</t>
  </si>
  <si>
    <t>www.lixinger.com/analytics/company/hk/03948/3948/detail</t>
  </si>
  <si>
    <t>中联重科</t>
  </si>
  <si>
    <t>重机械</t>
  </si>
  <si>
    <t>www.lixinger.com/analytics/company/hk/01157/1157/detail</t>
  </si>
  <si>
    <t>华电国际电力股份</t>
  </si>
  <si>
    <t>www.lixinger.com/analytics/company/hk/01071/1071/detail</t>
  </si>
  <si>
    <t>阅文集团</t>
  </si>
  <si>
    <t>出版</t>
  </si>
  <si>
    <t>www.lixinger.com/analytics/company/hk/00772/772/detail</t>
  </si>
  <si>
    <t>北京控股</t>
  </si>
  <si>
    <t>www.lixinger.com/analytics/company/hk/00392/392/detail</t>
  </si>
  <si>
    <t>荣昌生物-B</t>
  </si>
  <si>
    <t>www.lixinger.com/analytics/company/hk/09995/9995/detail</t>
  </si>
  <si>
    <t>中集集团</t>
  </si>
  <si>
    <t>www.lixinger.com/analytics/company/hk/02039/2039/detail</t>
  </si>
  <si>
    <t>众安在线</t>
  </si>
  <si>
    <t>www.lixinger.com/analytics/company/hk/06060/6060/detail</t>
  </si>
  <si>
    <t>东方证券</t>
  </si>
  <si>
    <t>www.lixinger.com/analytics/company/hk/03958/3958/detail</t>
  </si>
  <si>
    <t>金风科技</t>
  </si>
  <si>
    <t>www.lixinger.com/analytics/company/hk/02208/2208/detail</t>
  </si>
  <si>
    <t>金界控股</t>
  </si>
  <si>
    <t>www.lixinger.com/analytics/company/hk/03918/3918/detail</t>
  </si>
  <si>
    <t>JS环球生活</t>
  </si>
  <si>
    <t>www.lixinger.com/analytics/company/hk/01691/1691/detail</t>
  </si>
  <si>
    <t>万国数据-SW</t>
  </si>
  <si>
    <t>www.lixinger.com/analytics/company/hk/09698/9698/detail</t>
  </si>
  <si>
    <t>九毛九</t>
  </si>
  <si>
    <t>www.lixinger.com/analytics/company/hk/09922/9922/detail</t>
  </si>
  <si>
    <t>中国重汽</t>
  </si>
  <si>
    <t>www.lixinger.com/analytics/company/hk/03808/3808/detail</t>
  </si>
  <si>
    <t>汽车之家-S</t>
  </si>
  <si>
    <t>www.lixinger.com/analytics/company/hk/02518/2518/detail</t>
  </si>
  <si>
    <t>海螺创业</t>
  </si>
  <si>
    <t>www.lixinger.com/analytics/company/hk/00586/586/detail</t>
  </si>
  <si>
    <t>蓝月亮集团</t>
  </si>
  <si>
    <t>家具</t>
  </si>
  <si>
    <t>www.lixinger.com/analytics/company/hk/06993/6993/detail</t>
  </si>
  <si>
    <t>敏华控股</t>
  </si>
  <si>
    <t>www.lixinger.com/analytics/company/hk/01999/1999/detail</t>
  </si>
  <si>
    <t>重庆农村商业银行</t>
  </si>
  <si>
    <t>www.lixinger.com/analytics/company/hk/03618/3618/detail</t>
  </si>
  <si>
    <t>康哲药业</t>
  </si>
  <si>
    <t>www.lixinger.com/analytics/company/hk/00867/867/detail</t>
  </si>
  <si>
    <t>越秀地产</t>
  </si>
  <si>
    <t>www.lixinger.com/analytics/company/hk/00123/123/detail</t>
  </si>
  <si>
    <t>广州农商银行</t>
  </si>
  <si>
    <t>www.lixinger.com/analytics/company/hk/01551/1551/detail</t>
  </si>
  <si>
    <t>中远海能</t>
  </si>
  <si>
    <t>www.lixinger.com/analytics/company/hk/01138/1138/detail</t>
  </si>
  <si>
    <t>招金矿业</t>
  </si>
  <si>
    <t>www.lixinger.com/analytics/company/hk/01818/1818/detail</t>
  </si>
  <si>
    <t>泡泡玛特</t>
  </si>
  <si>
    <t>玩具及消闲用品</t>
  </si>
  <si>
    <t>www.lixinger.com/analytics/company/hk/09992/9992/detail</t>
  </si>
  <si>
    <t>新秀丽</t>
  </si>
  <si>
    <t>www.lixinger.com/analytics/company/hk/01910/1910/detail</t>
  </si>
  <si>
    <t>颐海国际</t>
  </si>
  <si>
    <t>食品添加剂</t>
  </si>
  <si>
    <t>www.lixinger.com/analytics/company/hk/01579/1579/detail</t>
  </si>
  <si>
    <t>微创机器人-B</t>
  </si>
  <si>
    <t>www.lixinger.com/analytics/company/hk/02252/2252/detail</t>
  </si>
  <si>
    <t>华润水泥控股</t>
  </si>
  <si>
    <t>www.lixinger.com/analytics/company/hk/01313/1313/detail</t>
  </si>
  <si>
    <t>先声药业</t>
  </si>
  <si>
    <t>www.lixinger.com/analytics/company/hk/02096/2096/detail</t>
  </si>
  <si>
    <t>中海物业</t>
  </si>
  <si>
    <t>www.lixinger.com/analytics/company/hk/02669/2669/detail</t>
  </si>
  <si>
    <t>绿城中国</t>
  </si>
  <si>
    <t>www.lixinger.com/analytics/company/hk/03900/3900/detail</t>
  </si>
  <si>
    <t>渤海银行</t>
  </si>
  <si>
    <t>www.lixinger.com/analytics/company/hk/09668/9668/detail</t>
  </si>
  <si>
    <t>维达国际</t>
  </si>
  <si>
    <t>www.lixinger.com/analytics/company/hk/03331/3331/detail</t>
  </si>
  <si>
    <t>艾美疫苗</t>
  </si>
  <si>
    <t>www.lixinger.com/analytics/company/hk/06660/6660/detail</t>
  </si>
  <si>
    <t>建滔集团</t>
  </si>
  <si>
    <t>www.lixinger.com/analytics/company/hk/00148/148/detail</t>
  </si>
  <si>
    <t>上海电气</t>
  </si>
  <si>
    <t>www.lixinger.com/analytics/company/hk/02727/2727/detail</t>
  </si>
  <si>
    <t>中航科工</t>
  </si>
  <si>
    <t>航空航天与国防</t>
  </si>
  <si>
    <t>www.lixinger.com/analytics/company/hk/02357/2357/detail</t>
  </si>
  <si>
    <t>电讯盈科</t>
  </si>
  <si>
    <t>www.lixinger.com/analytics/company/hk/00008/8/detail</t>
  </si>
  <si>
    <t>中国通号</t>
  </si>
  <si>
    <t>www.lixinger.com/analytics/company/hk/03969/3969/detail</t>
  </si>
  <si>
    <t>保利物业</t>
  </si>
  <si>
    <t>www.lixinger.com/analytics/company/hk/06049/6049/detail</t>
  </si>
  <si>
    <t>建滔积层板</t>
  </si>
  <si>
    <t>www.lixinger.com/analytics/company/hk/01888/1888/detail</t>
  </si>
  <si>
    <t>名创优品</t>
  </si>
  <si>
    <t>多元化零售商</t>
  </si>
  <si>
    <t>www.lixinger.com/analytics/company/hk/09896/9896/detail</t>
  </si>
  <si>
    <t>希慎兴业</t>
  </si>
  <si>
    <t>www.lixinger.com/analytics/company/hk/00014/14/detail</t>
  </si>
  <si>
    <t>浙江沪杭甬</t>
  </si>
  <si>
    <t>www.lixinger.com/analytics/company/hk/00576/576/detail</t>
  </si>
  <si>
    <t>新创建集团</t>
  </si>
  <si>
    <t>www.lixinger.com/analytics/company/hk/00659/659/detail</t>
  </si>
  <si>
    <t>北京首都机场股份</t>
  </si>
  <si>
    <t>www.lixinger.com/analytics/company/hk/00694/694/detail</t>
  </si>
  <si>
    <t>上海复旦</t>
  </si>
  <si>
    <t>www.lixinger.com/analytics/company/hk/01385/1385/detail</t>
  </si>
  <si>
    <t>远东宏信</t>
  </si>
  <si>
    <t>信贷</t>
  </si>
  <si>
    <t>www.lixinger.com/analytics/company/hk/03360/3360/detail</t>
  </si>
  <si>
    <t>360数科-S</t>
  </si>
  <si>
    <t>www.lixinger.com/analytics/company/hk/03660/3660/detail</t>
  </si>
  <si>
    <t>高鑫零售</t>
  </si>
  <si>
    <t>超市及便利店</t>
  </si>
  <si>
    <t>www.lixinger.com/analytics/company/hk/06808/6808/detail</t>
  </si>
  <si>
    <t>中国联塑</t>
  </si>
  <si>
    <t>www.lixinger.com/analytics/company/hk/02128/2128/detail</t>
  </si>
  <si>
    <t>嘉里建设</t>
  </si>
  <si>
    <t>www.lixinger.com/analytics/company/hk/00683/683/detail</t>
  </si>
  <si>
    <t>东亚银行</t>
  </si>
  <si>
    <t>www.lixinger.com/analytics/company/hk/00023/23/detail</t>
  </si>
  <si>
    <t>诺诚健华-B</t>
  </si>
  <si>
    <t>www.lixinger.com/analytics/company/hk/09969/9969/detail</t>
  </si>
  <si>
    <t>嘉里物流</t>
  </si>
  <si>
    <t>www.lixinger.com/analytics/company/hk/00636/636/detail</t>
  </si>
  <si>
    <t>三一国际</t>
  </si>
  <si>
    <t>www.lixinger.com/analytics/company/hk/00631/631/detail</t>
  </si>
  <si>
    <t>青岛港</t>
  </si>
  <si>
    <t>www.lixinger.com/analytics/company/hk/06198/6198/detail</t>
  </si>
  <si>
    <t>卫龙</t>
  </si>
  <si>
    <t>www.lixinger.com/analytics/company/hk/09985/9985/detail</t>
  </si>
  <si>
    <t>敏实集团</t>
  </si>
  <si>
    <t>www.lixinger.com/analytics/company/hk/00425/425/detail</t>
  </si>
  <si>
    <t>华晨中国</t>
  </si>
  <si>
    <t>www.lixinger.com/analytics/company/hk/01114/1114/detail</t>
  </si>
  <si>
    <t>力勤资源</t>
  </si>
  <si>
    <t>www.lixinger.com/analytics/company/hk/02245/2245/detail</t>
  </si>
  <si>
    <t>大唐发电</t>
  </si>
  <si>
    <t>www.lixinger.com/analytics/company/hk/00991/991/detail</t>
  </si>
  <si>
    <t>平安好医生</t>
  </si>
  <si>
    <t>www.lixinger.com/analytics/company/hk/01833/1833/detail</t>
  </si>
  <si>
    <t>再鼎医药</t>
  </si>
  <si>
    <t>www.lixinger.com/analytics/company/hk/09688/9688/detail</t>
  </si>
  <si>
    <t>丽珠医药</t>
  </si>
  <si>
    <t>www.lixinger.com/analytics/company/hk/01513/1513/detail</t>
  </si>
  <si>
    <t>光大证券</t>
  </si>
  <si>
    <t>www.lixinger.com/analytics/company/hk/06178/6178/detail</t>
  </si>
  <si>
    <t>中教控股</t>
  </si>
  <si>
    <t>www.lixinger.com/analytics/company/hk/00839/839/detail</t>
  </si>
  <si>
    <t>健世科技-B</t>
  </si>
  <si>
    <t>www.lixinger.com/analytics/company/hk/09877/9877/detail</t>
  </si>
  <si>
    <t>香格里拉(亚洲)</t>
  </si>
  <si>
    <t>www.lixinger.com/analytics/company/hk/00069/69/detail</t>
  </si>
  <si>
    <t>中原银行</t>
  </si>
  <si>
    <t>www.lixinger.com/analytics/company/hk/01216/1216/detail</t>
  </si>
  <si>
    <t>九江银行</t>
  </si>
  <si>
    <t>www.lixinger.com/analytics/company/hk/06190/6190/detail</t>
  </si>
  <si>
    <t>中国金茂</t>
  </si>
  <si>
    <t>www.lixinger.com/analytics/company/hk/00817/817/detail</t>
  </si>
  <si>
    <t>ASMPT</t>
  </si>
  <si>
    <t>www.lixinger.com/analytics/company/hk/00522/522/detail</t>
  </si>
  <si>
    <t>特步国际</t>
  </si>
  <si>
    <t>鞋类</t>
  </si>
  <si>
    <t>www.lixinger.com/analytics/company/hk/01368/1368/detail</t>
  </si>
  <si>
    <t>合生创展集团</t>
  </si>
  <si>
    <t>www.lixinger.com/analytics/company/hk/00754/754/detail</t>
  </si>
  <si>
    <t>昭衍新药</t>
  </si>
  <si>
    <t>www.lixinger.com/analytics/company/hk/06127/6127/detail</t>
  </si>
  <si>
    <t>美东汽车</t>
  </si>
  <si>
    <t>www.lixinger.com/analytics/company/hk/01268/1268/detail</t>
  </si>
  <si>
    <t>国浩集团</t>
  </si>
  <si>
    <t>www.lixinger.com/analytics/company/hk/00053/53/detail</t>
  </si>
  <si>
    <t>中国软件国际</t>
  </si>
  <si>
    <t>www.lixinger.com/analytics/company/hk/00354/354/detail</t>
  </si>
  <si>
    <t>中国再保险</t>
  </si>
  <si>
    <t>www.lixinger.com/analytics/company/hk/01508/1508/detail</t>
  </si>
  <si>
    <t>光大环境</t>
  </si>
  <si>
    <t>www.lixinger.com/analytics/company/hk/00257/257/detail</t>
  </si>
  <si>
    <t>和黄医药</t>
  </si>
  <si>
    <t>www.lixinger.com/analytics/company/hk/00013/13/detail</t>
  </si>
  <si>
    <t>中远海运港口</t>
  </si>
  <si>
    <t>www.lixinger.com/analytics/company/hk/01199/1199/detail</t>
  </si>
  <si>
    <t>瑞声科技</t>
  </si>
  <si>
    <t>www.lixinger.com/analytics/company/hk/02018/2018/detail</t>
  </si>
  <si>
    <t>中国通信服务</t>
  </si>
  <si>
    <t>www.lixinger.com/analytics/company/hk/00552/552/detail</t>
  </si>
  <si>
    <t>汇通达网络</t>
  </si>
  <si>
    <t>www.lixinger.com/analytics/company/hk/09878/9878/detail</t>
  </si>
  <si>
    <t>鞍钢股份</t>
  </si>
  <si>
    <t>钢铁</t>
  </si>
  <si>
    <t>www.lixinger.com/analytics/company/hk/00347/347/detail</t>
  </si>
  <si>
    <t>新城发展</t>
  </si>
  <si>
    <t>www.lixinger.com/analytics/company/hk/01030/1030/detail</t>
  </si>
  <si>
    <t>新特能源</t>
  </si>
  <si>
    <t>www.lixinger.com/analytics/company/hk/01799/1799/detail</t>
  </si>
  <si>
    <t>海伦司</t>
  </si>
  <si>
    <t>www.lixinger.com/analytics/company/hk/09869/9869/detail</t>
  </si>
  <si>
    <t>联想控股</t>
  </si>
  <si>
    <t>www.lixinger.com/analytics/company/hk/03396/3396/detail</t>
  </si>
  <si>
    <t>北控水务集团</t>
  </si>
  <si>
    <t>www.lixinger.com/analytics/company/hk/00371/371/detail</t>
  </si>
  <si>
    <t>联合能源集团</t>
  </si>
  <si>
    <t>www.lixinger.com/analytics/company/hk/00467/467/detail</t>
  </si>
  <si>
    <t>三生制药</t>
  </si>
  <si>
    <t>www.lixinger.com/analytics/company/hk/01530/1530/detail</t>
  </si>
  <si>
    <t>时代天使</t>
  </si>
  <si>
    <t>www.lixinger.com/analytics/company/hk/06699/6699/detail</t>
  </si>
  <si>
    <t>中国儒意</t>
  </si>
  <si>
    <t>www.lixinger.com/analytics/company/hk/00136/136/detail</t>
  </si>
  <si>
    <t>东岳集团</t>
  </si>
  <si>
    <t>特殊化工用品</t>
  </si>
  <si>
    <t>www.lixinger.com/analytics/company/hk/00189/189/detail</t>
  </si>
  <si>
    <t>泉峰控股</t>
  </si>
  <si>
    <t>www.lixinger.com/analytics/company/hk/02285/2285/detail</t>
  </si>
  <si>
    <t>信义能源</t>
  </si>
  <si>
    <t>www.lixinger.com/analytics/company/hk/03868/3868/detail</t>
  </si>
  <si>
    <t>恒隆集团</t>
  </si>
  <si>
    <t>www.lixinger.com/analytics/company/hk/00010/10/detail</t>
  </si>
  <si>
    <t>锦州银行</t>
  </si>
  <si>
    <t>www.lixinger.com/analytics/company/hk/00416/416/detail</t>
  </si>
  <si>
    <t>金力永磁</t>
  </si>
  <si>
    <t>www.lixinger.com/analytics/company/hk/06680/6680/detail</t>
  </si>
  <si>
    <t>锦欣生殖</t>
  </si>
  <si>
    <t>www.lixinger.com/analytics/company/hk/01951/1951/detail</t>
  </si>
  <si>
    <t>星空华文</t>
  </si>
  <si>
    <t>www.lixinger.com/analytics/company/hk/06698/6698/detail</t>
  </si>
  <si>
    <t>中国外运</t>
  </si>
  <si>
    <t>www.lixinger.com/analytics/company/hk/00598/598/detail</t>
  </si>
  <si>
    <t>冠君产业信托</t>
  </si>
  <si>
    <t>www.lixinger.com/analytics/company/hk/02778/2778/detail</t>
  </si>
  <si>
    <t>华新水泥</t>
  </si>
  <si>
    <t>www.lixinger.com/analytics/company/hk/06655/6655/detail</t>
  </si>
  <si>
    <t>中国中药</t>
  </si>
  <si>
    <t>www.lixinger.com/analytics/company/hk/00570/570/detail</t>
  </si>
  <si>
    <t>青岛银行</t>
  </si>
  <si>
    <t>www.lixinger.com/analytics/company/hk/03866/3866/detail</t>
  </si>
  <si>
    <t>微盟集团</t>
  </si>
  <si>
    <t>广告及宣传</t>
  </si>
  <si>
    <t>www.lixinger.com/analytics/company/hk/02013/2013/detail</t>
  </si>
  <si>
    <t>深圳国际</t>
  </si>
  <si>
    <t>www.lixinger.com/analytics/company/hk/00152/152/detail</t>
  </si>
  <si>
    <t>中国天瑞水泥</t>
  </si>
  <si>
    <t>www.lixinger.com/analytics/company/hk/01252/1252/detail</t>
  </si>
  <si>
    <t>中环控股</t>
  </si>
  <si>
    <t>楼宇建造</t>
  </si>
  <si>
    <t>www.lixinger.com/analytics/company/hk/01735/1735/detail</t>
  </si>
  <si>
    <t>五矿资源</t>
  </si>
  <si>
    <t>www.lixinger.com/analytics/company/hk/01208/1208/detail</t>
  </si>
  <si>
    <t>裕元集团</t>
  </si>
  <si>
    <t>www.lixinger.com/analytics/company/hk/00551/551/detail</t>
  </si>
  <si>
    <t>维他奶国际</t>
  </si>
  <si>
    <t>www.lixinger.com/analytics/company/hk/00345/345/detail</t>
  </si>
  <si>
    <t>绿城服务</t>
  </si>
  <si>
    <t>www.lixinger.com/analytics/company/hk/02869/2869/detail</t>
  </si>
  <si>
    <t>大唐新能源</t>
  </si>
  <si>
    <t>www.lixinger.com/analytics/company/hk/01798/1798/detail</t>
  </si>
  <si>
    <t>北京汽车</t>
  </si>
  <si>
    <t>www.lixinger.com/analytics/company/hk/01958/1958/detail</t>
  </si>
  <si>
    <t>云音乐</t>
  </si>
  <si>
    <t>www.lixinger.com/analytics/company/hk/09899/9899/detail</t>
  </si>
  <si>
    <t>中裕能源</t>
  </si>
  <si>
    <t>www.lixinger.com/analytics/company/hk/03633/3633/detail</t>
  </si>
  <si>
    <t>辽港股份</t>
  </si>
  <si>
    <t>www.lixinger.com/analytics/company/hk/02880/2880/detail</t>
  </si>
  <si>
    <t>康希诺生物</t>
  </si>
  <si>
    <t>www.lixinger.com/analytics/company/hk/06185/6185/detail</t>
  </si>
  <si>
    <t>美的置业</t>
  </si>
  <si>
    <t>www.lixinger.com/analytics/company/hk/03990/3990/detail</t>
  </si>
  <si>
    <t>友联租赁</t>
  </si>
  <si>
    <t>www.lixinger.com/analytics/company/hk/01563/1563/detail</t>
  </si>
  <si>
    <t>远大医药</t>
  </si>
  <si>
    <t>www.lixinger.com/analytics/company/hk/00512/512/detail</t>
  </si>
  <si>
    <t>阿里影业</t>
  </si>
  <si>
    <t>www.lixinger.com/analytics/company/hk/01060/1060/detail</t>
  </si>
  <si>
    <t>京能清洁能源</t>
  </si>
  <si>
    <t>www.lixinger.com/analytics/company/hk/00579/579/detail</t>
  </si>
  <si>
    <t>金辉控股</t>
  </si>
  <si>
    <t>www.lixinger.com/analytics/company/hk/09993/9993/detail</t>
  </si>
  <si>
    <t>中集安瑞科</t>
  </si>
  <si>
    <t>www.lixinger.com/analytics/company/hk/03899/3899/detail</t>
  </si>
  <si>
    <t>福寿园</t>
  </si>
  <si>
    <t>其他支援服务</t>
  </si>
  <si>
    <t>www.lixinger.com/analytics/company/hk/01448/1448/detail</t>
  </si>
  <si>
    <t>中石化炼化工程</t>
  </si>
  <si>
    <t>www.lixinger.com/analytics/company/hk/02386/2386/detail</t>
  </si>
  <si>
    <t>叮当健康</t>
  </si>
  <si>
    <t>www.lixinger.com/analytics/company/hk/09886/9886/detail</t>
  </si>
  <si>
    <t>康诺亚-B</t>
  </si>
  <si>
    <t>www.lixinger.com/analytics/company/hk/02162/2162/detail</t>
  </si>
  <si>
    <t>甘肃银行</t>
  </si>
  <si>
    <t>www.lixinger.com/analytics/company/hk/02139/2139/detail</t>
  </si>
  <si>
    <t>鸿腾精密</t>
  </si>
  <si>
    <t>www.lixinger.com/analytics/company/hk/06088/6088/detail</t>
  </si>
  <si>
    <t>理文造纸</t>
  </si>
  <si>
    <t>www.lixinger.com/analytics/company/hk/02314/2314/detail</t>
  </si>
  <si>
    <t>深圳高速公路股份</t>
  </si>
  <si>
    <t>www.lixinger.com/analytics/company/hk/00548/548/detail</t>
  </si>
  <si>
    <t>上海石油化工股份</t>
  </si>
  <si>
    <t>www.lixinger.com/analytics/company/hk/00338/338/detail</t>
  </si>
  <si>
    <t>中国有色矿业</t>
  </si>
  <si>
    <t>www.lixinger.com/analytics/company/hk/01258/1258/detail</t>
  </si>
  <si>
    <t>金阳新能源</t>
  </si>
  <si>
    <t>www.lixinger.com/analytics/company/hk/01121/1121/detail</t>
  </si>
  <si>
    <t>石四药集团</t>
  </si>
  <si>
    <t>www.lixinger.com/analytics/company/hk/02005/2005/detail</t>
  </si>
  <si>
    <t>马鞍山钢铁股份</t>
  </si>
  <si>
    <t>www.lixinger.com/analytics/company/hk/00323/323/detail</t>
  </si>
  <si>
    <t>明源云</t>
  </si>
  <si>
    <t>www.lixinger.com/analytics/company/hk/00909/909/detail</t>
  </si>
  <si>
    <t>复星旅游文化</t>
  </si>
  <si>
    <t>www.lixinger.com/analytics/company/hk/01992/1992/detail</t>
  </si>
  <si>
    <t>重庆银行</t>
  </si>
  <si>
    <t>www.lixinger.com/analytics/company/hk/01963/1963/detail</t>
  </si>
  <si>
    <t>思派健康</t>
  </si>
  <si>
    <t>www.lixinger.com/analytics/company/hk/00314/314/detail</t>
  </si>
  <si>
    <t>中远海发</t>
  </si>
  <si>
    <t>www.lixinger.com/analytics/company/hk/02866/2866/detail</t>
  </si>
  <si>
    <t>六福集团</t>
  </si>
  <si>
    <t>www.lixinger.com/analytics/company/hk/00590/590/detail</t>
  </si>
  <si>
    <t>雅生活服务</t>
  </si>
  <si>
    <t>www.lixinger.com/analytics/company/hk/03319/3319/detail</t>
  </si>
  <si>
    <t>首程控股</t>
  </si>
  <si>
    <t>www.lixinger.com/analytics/company/hk/00697/697/detail</t>
  </si>
  <si>
    <t>大酒店</t>
  </si>
  <si>
    <t>www.lixinger.com/analytics/company/hk/00045/45/detail</t>
  </si>
  <si>
    <t>太平洋航运</t>
  </si>
  <si>
    <t>www.lixinger.com/analytics/company/hk/02343/2343/detail</t>
  </si>
  <si>
    <t>新天绿色能源</t>
  </si>
  <si>
    <t>www.lixinger.com/analytics/company/hk/00956/956/detail</t>
  </si>
  <si>
    <t>海信家电</t>
  </si>
  <si>
    <t>www.lixinger.com/analytics/company/hk/00921/921/detail</t>
  </si>
  <si>
    <t>中国旭阳集团</t>
  </si>
  <si>
    <t>www.lixinger.com/analytics/company/hk/01907/1907/detail</t>
  </si>
  <si>
    <t>新濠国际发展</t>
  </si>
  <si>
    <t>www.lixinger.com/analytics/company/hk/00200/200/detail</t>
  </si>
  <si>
    <t>奈雪的茶</t>
  </si>
  <si>
    <t>www.lixinger.com/analytics/company/hk/02150/2150/detail</t>
  </si>
  <si>
    <t>周黑鸭</t>
  </si>
  <si>
    <t>www.lixinger.com/analytics/company/hk/01458/1458/detail</t>
  </si>
  <si>
    <t>微创脑科学</t>
  </si>
  <si>
    <t>www.lixinger.com/analytics/company/hk/02172/2172/detail</t>
  </si>
  <si>
    <t>融创服务</t>
  </si>
  <si>
    <t>www.lixinger.com/analytics/company/hk/01516/1516/detail</t>
  </si>
  <si>
    <t>耐世特</t>
  </si>
  <si>
    <t>www.lixinger.com/analytics/company/hk/01316/1316/detail</t>
  </si>
  <si>
    <t>绿叶制药</t>
  </si>
  <si>
    <t>www.lixinger.com/analytics/company/hk/02186/2186/detail</t>
  </si>
  <si>
    <t>中国东方教育</t>
  </si>
  <si>
    <t>www.lixinger.com/analytics/company/hk/00667/667/detail</t>
  </si>
  <si>
    <t>国银金租</t>
  </si>
  <si>
    <t>www.lixinger.com/analytics/company/hk/01606/1606/detail</t>
  </si>
  <si>
    <t>华宝国际</t>
  </si>
  <si>
    <t>www.lixinger.com/analytics/company/hk/00336/336/detail</t>
  </si>
  <si>
    <t>海昌海洋公园</t>
  </si>
  <si>
    <t>消闲及文娱设施</t>
  </si>
  <si>
    <t>www.lixinger.com/analytics/company/hk/02255/2255/detail</t>
  </si>
  <si>
    <t>鹰君</t>
  </si>
  <si>
    <t>www.lixinger.com/analytics/company/hk/00041/41/detail</t>
  </si>
  <si>
    <t>伟禄集团</t>
  </si>
  <si>
    <t>www.lixinger.com/analytics/company/hk/01196/1196/detail</t>
  </si>
  <si>
    <t>伟易达集团</t>
  </si>
  <si>
    <t>www.lixinger.com/analytics/company/hk/00303/303/detail</t>
  </si>
  <si>
    <t>创新奇智</t>
  </si>
  <si>
    <t>www.lixinger.com/analytics/company/hk/02121/2121/detail</t>
  </si>
  <si>
    <t>首钢资源</t>
  </si>
  <si>
    <t>www.lixinger.com/analytics/company/hk/00639/639/detail</t>
  </si>
  <si>
    <t>港华智慧能源</t>
  </si>
  <si>
    <t>www.lixinger.com/analytics/company/hk/01083/1083/detail</t>
  </si>
  <si>
    <t>亚信科技</t>
  </si>
  <si>
    <t>www.lixinger.com/analytics/company/hk/01675/1675/detail</t>
  </si>
  <si>
    <t>郑煤机</t>
  </si>
  <si>
    <t>www.lixinger.com/analytics/company/hk/00564/564/detail</t>
  </si>
  <si>
    <t>置富产业信托</t>
  </si>
  <si>
    <t>www.lixinger.com/analytics/company/hk/00778/778/detail</t>
  </si>
  <si>
    <t>乐普生物-B</t>
  </si>
  <si>
    <t>www.lixinger.com/analytics/company/hk/02157/2157/detail</t>
  </si>
  <si>
    <t>中国海外宏洋集团</t>
  </si>
  <si>
    <t>www.lixinger.com/analytics/company/hk/00081/81/detail</t>
  </si>
  <si>
    <t>瑞科生物-B</t>
  </si>
  <si>
    <t>www.lixinger.com/analytics/company/hk/02179/2179/detail</t>
  </si>
  <si>
    <t>绿城管理控股</t>
  </si>
  <si>
    <t>www.lixinger.com/analytics/company/hk/09979/9979/detail</t>
  </si>
  <si>
    <t>阜丰集团</t>
  </si>
  <si>
    <t>www.lixinger.com/analytics/company/hk/00546/546/detail</t>
  </si>
  <si>
    <t>深圳控股</t>
  </si>
  <si>
    <t>www.lixinger.com/analytics/company/hk/00604/604/detail</t>
  </si>
  <si>
    <t>先健科技</t>
  </si>
  <si>
    <t>www.lixinger.com/analytics/company/hk/01302/1302/detail</t>
  </si>
  <si>
    <t>上美股份</t>
  </si>
  <si>
    <t>www.lixinger.com/analytics/company/hk/02145/2145/detail</t>
  </si>
  <si>
    <t>中广核新能源</t>
  </si>
  <si>
    <t>www.lixinger.com/analytics/company/hk/01811/1811/detail</t>
  </si>
  <si>
    <t>天津银行</t>
  </si>
  <si>
    <t>www.lixinger.com/analytics/company/hk/01578/1578/detail</t>
  </si>
  <si>
    <t>固生堂</t>
  </si>
  <si>
    <t>www.lixinger.com/analytics/company/hk/02273/2273/detail</t>
  </si>
  <si>
    <t>京东方精电</t>
  </si>
  <si>
    <t>www.lixinger.com/analytics/company/hk/00710/710/detail</t>
  </si>
  <si>
    <t>国联证券</t>
  </si>
  <si>
    <t>www.lixinger.com/analytics/company/hk/01456/1456/detail</t>
  </si>
  <si>
    <t>美兰空港</t>
  </si>
  <si>
    <t>www.lixinger.com/analytics/company/hk/00357/357/detail</t>
  </si>
  <si>
    <t>永达汽车</t>
  </si>
  <si>
    <t>www.lixinger.com/analytics/company/hk/03669/3669/detail</t>
  </si>
  <si>
    <t>九台农商银行</t>
  </si>
  <si>
    <t>www.lixinger.com/analytics/company/hk/06122/6122/detail</t>
  </si>
  <si>
    <t>金隅集团</t>
  </si>
  <si>
    <t>www.lixinger.com/analytics/company/hk/02009/2009/detail</t>
  </si>
  <si>
    <t>红星美凯龙</t>
  </si>
  <si>
    <t>www.lixinger.com/analytics/company/hk/01528/1528/detail</t>
  </si>
  <si>
    <t>非凡中国</t>
  </si>
  <si>
    <t>www.lixinger.com/analytics/company/hk/08032/8032/detail</t>
  </si>
  <si>
    <t>中国水务</t>
  </si>
  <si>
    <t>www.lixinger.com/analytics/company/hk/00855/855/detail</t>
  </si>
  <si>
    <t>旭辉控股集团</t>
  </si>
  <si>
    <t>www.lixinger.com/analytics/company/hk/00884/884/detail</t>
  </si>
  <si>
    <t>爱康医疗</t>
  </si>
  <si>
    <t>www.lixinger.com/analytics/company/hk/01789/1789/detail</t>
  </si>
  <si>
    <t>康基医疗</t>
  </si>
  <si>
    <t>www.lixinger.com/analytics/company/hk/09997/9997/detail</t>
  </si>
  <si>
    <t>心动公司</t>
  </si>
  <si>
    <t>www.lixinger.com/analytics/company/hk/02400/2400/detail</t>
  </si>
  <si>
    <t>上海实业控股</t>
  </si>
  <si>
    <t>www.lixinger.com/analytics/company/hk/00363/363/detail</t>
  </si>
  <si>
    <t>中船防务</t>
  </si>
  <si>
    <t>www.lixinger.com/analytics/company/hk/00317/317/detail</t>
  </si>
  <si>
    <t>安徽皖通高速公路</t>
  </si>
  <si>
    <t>www.lixinger.com/analytics/company/hk/00995/995/detail</t>
  </si>
  <si>
    <t>荣晖国际</t>
  </si>
  <si>
    <t>www.lixinger.com/analytics/company/hk/00990/990/detail</t>
  </si>
  <si>
    <t>金地商置</t>
  </si>
  <si>
    <t>www.lixinger.com/analytics/company/hk/00535/535/detail</t>
  </si>
  <si>
    <t>H&amp;H国际控股</t>
  </si>
  <si>
    <t>www.lixinger.com/analytics/company/hk/01112/1112/detail</t>
  </si>
  <si>
    <t>猫眼娱乐</t>
  </si>
  <si>
    <t>www.lixinger.com/analytics/company/hk/01896/1896/detail</t>
  </si>
  <si>
    <t>长飞光纤光缆</t>
  </si>
  <si>
    <t>www.lixinger.com/analytics/company/hk/06869/6869/detail</t>
  </si>
  <si>
    <t>康宁杰瑞制药-B</t>
  </si>
  <si>
    <t>www.lixinger.com/analytics/company/hk/09966/9966/detail</t>
  </si>
  <si>
    <t>3DMEDICINES-B</t>
  </si>
  <si>
    <t>www.lixinger.com/analytics/company/hk/01244/1244/detail</t>
  </si>
  <si>
    <t>粤丰环保</t>
  </si>
  <si>
    <t>www.lixinger.com/analytics/company/hk/01381/1381/detail</t>
  </si>
  <si>
    <t>百奥赛图-B</t>
  </si>
  <si>
    <t>www.lixinger.com/analytics/company/hk/02315/2315/detail</t>
  </si>
  <si>
    <t>广深铁路股份</t>
  </si>
  <si>
    <t>www.lixinger.com/analytics/company/hk/00525/525/detail</t>
  </si>
  <si>
    <t>博安生物-B</t>
  </si>
  <si>
    <t>www.lixinger.com/analytics/company/hk/06955/6955/detail</t>
  </si>
  <si>
    <t>中石化油服</t>
  </si>
  <si>
    <t>www.lixinger.com/analytics/company/hk/01033/1033/detail</t>
  </si>
  <si>
    <t>中信国际电讯</t>
  </si>
  <si>
    <t>www.lixinger.com/analytics/company/hk/01883/1883/detail</t>
  </si>
  <si>
    <t>新意网集团</t>
  </si>
  <si>
    <t>www.lixinger.com/analytics/company/hk/01686/1686/detail</t>
  </si>
  <si>
    <t>云康集团</t>
  </si>
  <si>
    <t>www.lixinger.com/analytics/company/hk/02325/2325/detail</t>
  </si>
  <si>
    <t>中国光大控股</t>
  </si>
  <si>
    <t>www.lixinger.com/analytics/company/hk/00165/165/detail</t>
  </si>
  <si>
    <t>心泰医疗</t>
  </si>
  <si>
    <t>www.lixinger.com/analytics/company/hk/02291/2291/detail</t>
  </si>
  <si>
    <t>雅居乐集团</t>
  </si>
  <si>
    <t>www.lixinger.com/analytics/company/hk/03383/3383/detail</t>
  </si>
  <si>
    <t>第一太平</t>
  </si>
  <si>
    <t>www.lixinger.com/analytics/company/hk/00142/142/detail</t>
  </si>
  <si>
    <t>香港中旅</t>
  </si>
  <si>
    <t>www.lixinger.com/analytics/company/hk/00308/308/detail</t>
  </si>
  <si>
    <t>呷哺呷哺</t>
  </si>
  <si>
    <t>www.lixinger.com/analytics/company/hk/00520/520/detail</t>
  </si>
  <si>
    <t>医思健康</t>
  </si>
  <si>
    <t>www.lixinger.com/analytics/company/hk/02138/2138/detail</t>
  </si>
  <si>
    <t>同仁堂国药</t>
  </si>
  <si>
    <t>www.lixinger.com/analytics/company/hk/03613/3613/detail</t>
  </si>
  <si>
    <t>中集车辆</t>
  </si>
  <si>
    <t>www.lixinger.com/analytics/company/hk/01839/1839/detail</t>
  </si>
  <si>
    <t>天能动力</t>
  </si>
  <si>
    <t>www.lixinger.com/analytics/company/hk/00819/819/detail</t>
  </si>
  <si>
    <t>森松国际</t>
  </si>
  <si>
    <t>www.lixinger.com/analytics/company/hk/02155/2155/detail</t>
  </si>
  <si>
    <t>移卡</t>
  </si>
  <si>
    <t>www.lixinger.com/analytics/company/hk/09923/9923/detail</t>
  </si>
  <si>
    <t>郑州银行</t>
  </si>
  <si>
    <t>www.lixinger.com/analytics/company/hk/06196/6196/detail</t>
  </si>
  <si>
    <t>中国黄金国际</t>
  </si>
  <si>
    <t>www.lixinger.com/analytics/company/hk/02099/2099/detail</t>
  </si>
  <si>
    <t>联邦制药</t>
  </si>
  <si>
    <t>www.lixinger.com/analytics/company/hk/03933/3933/detail</t>
  </si>
  <si>
    <t>金科服务</t>
  </si>
  <si>
    <t>www.lixinger.com/analytics/company/hk/09666/9666/detail</t>
  </si>
  <si>
    <t>联易融科技-W</t>
  </si>
  <si>
    <t>www.lixinger.com/analytics/company/hk/09959/9959/detail</t>
  </si>
  <si>
    <t>越秀房产信托基金</t>
  </si>
  <si>
    <t>www.lixinger.com/analytics/company/hk/00405/405/detail</t>
  </si>
  <si>
    <t>科济药业-B</t>
  </si>
  <si>
    <t>www.lixinger.com/analytics/company/hk/02171/2171/detail</t>
  </si>
  <si>
    <t>德昌电机控股</t>
  </si>
  <si>
    <t>www.lixinger.com/analytics/company/hk/00179/179/detail</t>
  </si>
  <si>
    <t>高伟电子</t>
  </si>
  <si>
    <t>www.lixinger.com/analytics/company/hk/01415/1415/detail</t>
  </si>
  <si>
    <t>网龙</t>
  </si>
  <si>
    <t>www.lixinger.com/analytics/company/hk/00777/777/detail</t>
  </si>
  <si>
    <t>四环医药</t>
  </si>
  <si>
    <t>www.lixinger.com/analytics/company/hk/00460/460/detail</t>
  </si>
  <si>
    <t>环球医疗</t>
  </si>
  <si>
    <t>www.lixinger.com/analytics/company/hk/02666/2666/detail</t>
  </si>
  <si>
    <t>九龙建业</t>
  </si>
  <si>
    <t>www.lixinger.com/analytics/company/hk/00034/34/detail</t>
  </si>
  <si>
    <t>中粮家佳康</t>
  </si>
  <si>
    <t>www.lixinger.com/analytics/company/hk/01610/1610/detail</t>
  </si>
  <si>
    <t>创维集团</t>
  </si>
  <si>
    <t>www.lixinger.com/analytics/company/hk/00751/751/detail</t>
  </si>
  <si>
    <t>中海石油化学</t>
  </si>
  <si>
    <t>化肥及农用化合物</t>
  </si>
  <si>
    <t>www.lixinger.com/analytics/company/hk/03983/3983/detail</t>
  </si>
  <si>
    <t>信恳智能(二百)</t>
  </si>
  <si>
    <t>www.lixinger.com/analytics/company/hk/01967/1967/detail</t>
  </si>
  <si>
    <t>嘉华国际</t>
  </si>
  <si>
    <t>www.lixinger.com/analytics/company/hk/00173/173/detail</t>
  </si>
  <si>
    <t>大家乐集团</t>
  </si>
  <si>
    <t>www.lixinger.com/analytics/company/hk/00341/341/detail</t>
  </si>
  <si>
    <t>力劲科技</t>
  </si>
  <si>
    <t>www.lixinger.com/analytics/company/hk/00558/558/detail</t>
  </si>
  <si>
    <t>百宏实业</t>
  </si>
  <si>
    <t>纺织品及布料</t>
  </si>
  <si>
    <t>www.lixinger.com/analytics/company/hk/02299/2299/detail</t>
  </si>
  <si>
    <t>美丽华酒店</t>
  </si>
  <si>
    <t>www.lixinger.com/analytics/company/hk/00071/71/detail</t>
  </si>
  <si>
    <t>远洋集团</t>
  </si>
  <si>
    <t>www.lixinger.com/analytics/company/hk/03377/3377/detail</t>
  </si>
  <si>
    <t>泸州银行</t>
  </si>
  <si>
    <t>www.lixinger.com/analytics/company/hk/01983/1983/detail</t>
  </si>
  <si>
    <t>天工国际</t>
  </si>
  <si>
    <t>www.lixinger.com/analytics/company/hk/00826/826/detail</t>
  </si>
  <si>
    <t>优然牧业</t>
  </si>
  <si>
    <t>www.lixinger.com/analytics/company/hk/09858/9858/detail</t>
  </si>
  <si>
    <t>诺辉健康-B</t>
  </si>
  <si>
    <t>www.lixinger.com/analytics/company/hk/06606/6606/detail</t>
  </si>
  <si>
    <t>阜博集团</t>
  </si>
  <si>
    <t>www.lixinger.com/analytics/company/hk/03738/3738/detail</t>
  </si>
  <si>
    <t>恒投证券</t>
  </si>
  <si>
    <t>www.lixinger.com/analytics/company/hk/01476/1476/detail</t>
  </si>
  <si>
    <t>瑞安房地产</t>
  </si>
  <si>
    <t>www.lixinger.com/analytics/company/hk/00272/272/detail</t>
  </si>
  <si>
    <t>四海国际</t>
  </si>
  <si>
    <t>www.lixinger.com/analytics/company/hk/00120/120/detail</t>
  </si>
  <si>
    <t>大新银行集团</t>
  </si>
  <si>
    <t>www.lixinger.com/analytics/company/hk/02356/2356/detail</t>
  </si>
  <si>
    <t>佳明集团控股</t>
  </si>
  <si>
    <t>www.lixinger.com/analytics/company/hk/01271/1271/detail</t>
  </si>
  <si>
    <t>海普瑞</t>
  </si>
  <si>
    <t>www.lixinger.com/analytics/company/hk/09989/9989/detail</t>
  </si>
  <si>
    <t>涂鸦智能-W</t>
  </si>
  <si>
    <t>www.lixinger.com/analytics/company/hk/02391/2391/detail</t>
  </si>
  <si>
    <t>旭辉永升服务</t>
  </si>
  <si>
    <t>www.lixinger.com/analytics/company/hk/01995/1995/detail</t>
  </si>
  <si>
    <t>中烟香港</t>
  </si>
  <si>
    <t>烟草</t>
  </si>
  <si>
    <t>www.lixinger.com/analytics/company/hk/06055/6055/detail</t>
  </si>
  <si>
    <t>TCL电子</t>
  </si>
  <si>
    <t>www.lixinger.com/analytics/company/hk/01070/1070/detail</t>
  </si>
  <si>
    <t>现代牧业</t>
  </si>
  <si>
    <t>www.lixinger.com/analytics/company/hk/01117/1117/detail</t>
  </si>
  <si>
    <t>中国食品</t>
  </si>
  <si>
    <t>www.lixinger.com/analytics/company/hk/00506/506/detail</t>
  </si>
  <si>
    <t>新城悦服务</t>
  </si>
  <si>
    <t>www.lixinger.com/analytics/company/hk/01755/1755/detail</t>
  </si>
  <si>
    <t>普达特科技</t>
  </si>
  <si>
    <t>www.lixinger.com/analytics/company/hk/00650/650/detail</t>
  </si>
  <si>
    <t>诺亚控股</t>
  </si>
  <si>
    <t>www.lixinger.com/analytics/company/hk/06686/6686/detail</t>
  </si>
  <si>
    <t>高视医疗</t>
  </si>
  <si>
    <t>www.lixinger.com/analytics/company/hk/02407/2407/detail</t>
  </si>
  <si>
    <t>长江生命科技</t>
  </si>
  <si>
    <t>www.lixinger.com/analytics/company/hk/00775/775/detail</t>
  </si>
  <si>
    <t>重庆钢铁股份</t>
  </si>
  <si>
    <t>www.lixinger.com/analytics/company/hk/01053/1053/detail</t>
  </si>
  <si>
    <t>中渝置地</t>
  </si>
  <si>
    <t>www.lixinger.com/analytics/company/hk/01224/1224/detail</t>
  </si>
  <si>
    <t>晨鸣纸业</t>
  </si>
  <si>
    <t>www.lixinger.com/analytics/company/hk/01812/1812/detail</t>
  </si>
  <si>
    <t>澳优</t>
  </si>
  <si>
    <t>www.lixinger.com/analytics/company/hk/01717/1717/detail</t>
  </si>
  <si>
    <t>利福国际</t>
  </si>
  <si>
    <t>www.lixinger.com/analytics/company/hk/01212/1212/detail</t>
  </si>
  <si>
    <t>金鹰商贸集团</t>
  </si>
  <si>
    <t>www.lixinger.com/analytics/company/hk/03308/3308/detail</t>
  </si>
  <si>
    <t>华润医疗</t>
  </si>
  <si>
    <t>www.lixinger.com/analytics/company/hk/01515/1515/detail</t>
  </si>
  <si>
    <t>同仁堂科技</t>
  </si>
  <si>
    <t>www.lixinger.com/analytics/company/hk/01666/1666/detail</t>
  </si>
  <si>
    <t>智云健康</t>
  </si>
  <si>
    <t>www.lixinger.com/analytics/company/hk/09955/9955/detail</t>
  </si>
  <si>
    <t>百富环球</t>
  </si>
  <si>
    <t>www.lixinger.com/analytics/company/hk/00327/327/detail</t>
  </si>
  <si>
    <t>越秀交通基建</t>
  </si>
  <si>
    <t>www.lixinger.com/analytics/company/hk/01052/1052/detail</t>
  </si>
  <si>
    <t>飞天云动</t>
  </si>
  <si>
    <t>www.lixinger.com/analytics/company/hk/06610/6610/detail</t>
  </si>
  <si>
    <t>SOHO中国</t>
  </si>
  <si>
    <t>www.lixinger.com/analytics/company/hk/00410/410/detail</t>
  </si>
  <si>
    <t>中国船舶租赁</t>
  </si>
  <si>
    <t>www.lixinger.com/analytics/company/hk/03877/3877/detail</t>
  </si>
  <si>
    <t>金川国际</t>
  </si>
  <si>
    <t>www.lixinger.com/analytics/company/hk/02362/2362/detail</t>
  </si>
  <si>
    <t>富力地产</t>
  </si>
  <si>
    <t>www.lixinger.com/analytics/company/hk/02777/2777/detail</t>
  </si>
  <si>
    <t>中石化冠德</t>
  </si>
  <si>
    <t>www.lixinger.com/analytics/company/hk/00934/934/detail</t>
  </si>
  <si>
    <t>周生生</t>
  </si>
  <si>
    <t>www.lixinger.com/analytics/company/hk/00116/116/detail</t>
  </si>
  <si>
    <t>业聚医疗</t>
  </si>
  <si>
    <t>www.lixinger.com/analytics/company/hk/06929/6929/detail</t>
  </si>
  <si>
    <t>晶苑国际</t>
  </si>
  <si>
    <t>www.lixinger.com/analytics/company/hk/02232/2232/detail</t>
  </si>
  <si>
    <t>世茂服务</t>
  </si>
  <si>
    <t>www.lixinger.com/analytics/company/hk/00873/873/detail</t>
  </si>
  <si>
    <t>柠萌影视</t>
  </si>
  <si>
    <t>www.lixinger.com/analytics/company/hk/09857/9857/detail</t>
  </si>
  <si>
    <t>复宏汉霖</t>
  </si>
  <si>
    <t>www.lixinger.com/analytics/company/hk/02696/2696/detail</t>
  </si>
  <si>
    <t>亚盛医药-B</t>
  </si>
  <si>
    <t>www.lixinger.com/analytics/company/hk/06855/6855/detail</t>
  </si>
  <si>
    <t>国泰君安国际</t>
  </si>
  <si>
    <t>www.lixinger.com/analytics/company/hk/01788/1788/detail</t>
  </si>
  <si>
    <t>赢家时尚</t>
  </si>
  <si>
    <t>www.lixinger.com/analytics/company/hk/03709/3709/detail</t>
  </si>
  <si>
    <t>日清食品</t>
  </si>
  <si>
    <t>www.lixinger.com/analytics/company/hk/01475/1475/detail</t>
  </si>
  <si>
    <t>山水水泥</t>
  </si>
  <si>
    <t>www.lixinger.com/analytics/company/hk/00691/691/detail</t>
  </si>
  <si>
    <t>山高新能源</t>
  </si>
  <si>
    <t>www.lixinger.com/analytics/company/hk/01250/1250/detail</t>
  </si>
  <si>
    <t>顺丰同城</t>
  </si>
  <si>
    <t>www.lixinger.com/analytics/company/hk/09699/9699/detail</t>
  </si>
  <si>
    <t>361度</t>
  </si>
  <si>
    <t>www.lixinger.com/analytics/company/hk/01361/1361/detail</t>
  </si>
  <si>
    <t>龙光集团</t>
  </si>
  <si>
    <t>www.lixinger.com/analytics/company/hk/03380/3380/detail</t>
  </si>
  <si>
    <t>保利置业集团</t>
  </si>
  <si>
    <t>www.lixinger.com/analytics/company/hk/00119/119/detail</t>
  </si>
  <si>
    <t>法拉帝</t>
  </si>
  <si>
    <t>www.lixinger.com/analytics/company/hk/09638/9638/detail</t>
  </si>
  <si>
    <t>富智康集团</t>
  </si>
  <si>
    <t>www.lixinger.com/analytics/company/hk/02038/2038/detail</t>
  </si>
  <si>
    <t>知乎-W</t>
  </si>
  <si>
    <t>www.lixinger.com/analytics/company/hk/02390/2390/detail</t>
  </si>
  <si>
    <t>第七大道</t>
  </si>
  <si>
    <t>www.lixinger.com/analytics/company/hk/00797/797/detail</t>
  </si>
  <si>
    <t>中化化肥</t>
  </si>
  <si>
    <t>www.lixinger.com/analytics/company/hk/00297/297/detail</t>
  </si>
  <si>
    <t>宝龙地产</t>
  </si>
  <si>
    <t>www.lixinger.com/analytics/company/hk/01238/1238/detail</t>
  </si>
  <si>
    <t>伟仕佳杰</t>
  </si>
  <si>
    <t>www.lixinger.com/analytics/company/hk/00856/856/detail</t>
  </si>
  <si>
    <t>沛嘉医疗-B</t>
  </si>
  <si>
    <t>www.lixinger.com/analytics/company/hk/09996/9996/detail</t>
  </si>
  <si>
    <t>欧康维视生物-B</t>
  </si>
  <si>
    <t>www.lixinger.com/analytics/company/hk/01477/1477/detail</t>
  </si>
  <si>
    <t>ITPHOLDINGS</t>
  </si>
  <si>
    <t>www.lixinger.com/analytics/company/hk/08446/8446/detail</t>
  </si>
  <si>
    <t>心通医疗-B</t>
  </si>
  <si>
    <t>www.lixinger.com/analytics/company/hk/02160/2160/detail</t>
  </si>
  <si>
    <t>易鑫集团</t>
  </si>
  <si>
    <t>www.lixinger.com/analytics/company/hk/02858/2858/detail</t>
  </si>
  <si>
    <t>香港宽频</t>
  </si>
  <si>
    <t>www.lixinger.com/analytics/company/hk/01310/1310/detail</t>
  </si>
  <si>
    <t>新华文轩</t>
  </si>
  <si>
    <t>www.lixinger.com/analytics/company/hk/00811/811/detail</t>
  </si>
  <si>
    <t>汇量科技</t>
  </si>
  <si>
    <t>www.lixinger.com/analytics/company/hk/01860/1860/detail</t>
  </si>
  <si>
    <t>华南城</t>
  </si>
  <si>
    <t>www.lixinger.com/analytics/company/hk/01668/1668/detail</t>
  </si>
  <si>
    <t>美图公司</t>
  </si>
  <si>
    <t>www.lixinger.com/analytics/company/hk/01357/1357/detail</t>
  </si>
  <si>
    <t>联合集团</t>
  </si>
  <si>
    <t>www.lixinger.com/analytics/company/hk/00373/373/detail</t>
  </si>
  <si>
    <t>神威药业</t>
  </si>
  <si>
    <t>www.lixinger.com/analytics/company/hk/02877/2877/detail</t>
  </si>
  <si>
    <t>神州控股</t>
  </si>
  <si>
    <t>www.lixinger.com/analytics/company/hk/00861/861/detail</t>
  </si>
  <si>
    <t>绿景中国地产</t>
  </si>
  <si>
    <t>www.lixinger.com/analytics/company/hk/00095/95/detail</t>
  </si>
  <si>
    <t>汇贤产业信托</t>
  </si>
  <si>
    <t>www.lixinger.com/analytics/company/hk/87001/87001/detail</t>
  </si>
  <si>
    <t>医渡科技</t>
  </si>
  <si>
    <t>www.lixinger.com/analytics/company/hk/02158/2158/detail</t>
  </si>
  <si>
    <t>协合新能源</t>
  </si>
  <si>
    <t>www.lixinger.com/analytics/company/hk/00182/182/detail</t>
  </si>
  <si>
    <t>海通恒信</t>
  </si>
  <si>
    <t>www.lixinger.com/analytics/company/hk/01905/1905/detail</t>
  </si>
  <si>
    <t>启明医疗-B</t>
  </si>
  <si>
    <t>www.lixinger.com/analytics/company/hk/02500/2500/detail</t>
  </si>
  <si>
    <t>昊海生物科技</t>
  </si>
  <si>
    <t>www.lixinger.com/analytics/company/hk/06826/6826/detail</t>
  </si>
  <si>
    <t>合景泰富集团</t>
  </si>
  <si>
    <t>www.lixinger.com/analytics/company/hk/01813/1813/detail</t>
  </si>
  <si>
    <t>中国科培</t>
  </si>
  <si>
    <t>www.lixinger.com/analytics/company/hk/01890/1890/detail</t>
  </si>
  <si>
    <t>湾区发展</t>
  </si>
  <si>
    <t>www.lixinger.com/analytics/company/hk/00737/737/detail</t>
  </si>
  <si>
    <t>盛业</t>
  </si>
  <si>
    <t>www.lixinger.com/analytics/company/hk/06069/6069/detail</t>
  </si>
  <si>
    <t>希玛眼科</t>
  </si>
  <si>
    <t>www.lixinger.com/analytics/company/hk/03309/3309/detail</t>
  </si>
  <si>
    <t>秦港股份</t>
  </si>
  <si>
    <t>www.lixinger.com/analytics/company/hk/03369/3369/detail</t>
  </si>
  <si>
    <t>中广核矿业</t>
  </si>
  <si>
    <t>www.lixinger.com/analytics/company/hk/01164/1164/detail</t>
  </si>
  <si>
    <t>雍禾医疗</t>
  </si>
  <si>
    <t>www.lixinger.com/analytics/company/hk/02279/2279/detail</t>
  </si>
  <si>
    <t>哈尔滨电气</t>
  </si>
  <si>
    <t>www.lixinger.com/analytics/company/hk/01133/1133/detail</t>
  </si>
  <si>
    <t>晋商银行</t>
  </si>
  <si>
    <t>www.lixinger.com/analytics/company/hk/02558/2558/detail</t>
  </si>
  <si>
    <t>医脉通</t>
  </si>
  <si>
    <t>www.lixinger.com/analytics/company/hk/02192/2192/detail</t>
  </si>
  <si>
    <t>大新金融</t>
  </si>
  <si>
    <t>www.lixinger.com/analytics/company/hk/00440/440/detail</t>
  </si>
  <si>
    <t>天虹纺织</t>
  </si>
  <si>
    <t>www.lixinger.com/analytics/company/hk/02678/2678/detail</t>
  </si>
  <si>
    <t>海螺环保</t>
  </si>
  <si>
    <t>www.lixinger.com/analytics/company/hk/00587/587/detail</t>
  </si>
  <si>
    <t>特海国际</t>
  </si>
  <si>
    <t>www.lixinger.com/analytics/company/hk/09658/9658/detail</t>
  </si>
  <si>
    <t>方达控股</t>
  </si>
  <si>
    <t>www.lixinger.com/analytics/company/hk/01521/1521/detail</t>
  </si>
  <si>
    <t>春立医疗</t>
  </si>
  <si>
    <t>www.lixinger.com/analytics/company/hk/01858/1858/detail</t>
  </si>
  <si>
    <t>中国龙工</t>
  </si>
  <si>
    <t>www.lixinger.com/analytics/company/hk/03339/3339/detail</t>
  </si>
  <si>
    <t>京基金融国际</t>
  </si>
  <si>
    <t>www.lixinger.com/analytics/company/hk/01468/1468/detail</t>
  </si>
  <si>
    <t>亚洲水泥(中国)</t>
  </si>
  <si>
    <t>www.lixinger.com/analytics/company/hk/00743/743/detail</t>
  </si>
  <si>
    <t>赛生药业</t>
  </si>
  <si>
    <t>www.lixinger.com/analytics/company/hk/06600/6600/detail</t>
  </si>
  <si>
    <t>和记电讯香港</t>
  </si>
  <si>
    <t>www.lixinger.com/analytics/company/hk/00215/215/detail</t>
  </si>
  <si>
    <t>新高教集团</t>
  </si>
  <si>
    <t>www.lixinger.com/analytics/company/hk/02001/2001/detail</t>
  </si>
  <si>
    <t>海通国际</t>
  </si>
  <si>
    <t>www.lixinger.com/analytics/company/hk/00665/665/detail</t>
  </si>
  <si>
    <t>亚美能源</t>
  </si>
  <si>
    <t>www.lixinger.com/analytics/company/hk/02686/2686/detail</t>
  </si>
  <si>
    <t>珠光控股</t>
  </si>
  <si>
    <t>www.lixinger.com/analytics/company/hk/01176/1176/detail</t>
  </si>
  <si>
    <t>新鸿基公司</t>
  </si>
  <si>
    <t>www.lixinger.com/analytics/company/hk/00086/86/detail</t>
  </si>
  <si>
    <t>东阳光药</t>
  </si>
  <si>
    <t>www.lixinger.com/analytics/company/hk/01558/1558/detail</t>
  </si>
  <si>
    <t>中国高速传动</t>
  </si>
  <si>
    <t>www.lixinger.com/analytics/company/hk/00658/658/detail</t>
  </si>
  <si>
    <t>九兴控股</t>
  </si>
  <si>
    <t>www.lixinger.com/analytics/company/hk/01836/1836/detail</t>
  </si>
  <si>
    <t>江西银行</t>
  </si>
  <si>
    <t>www.lixinger.com/analytics/company/hk/01916/1916/detail</t>
  </si>
  <si>
    <t>天安</t>
  </si>
  <si>
    <t>www.lixinger.com/analytics/company/hk/00028/28/detail</t>
  </si>
  <si>
    <t>建发物业</t>
  </si>
  <si>
    <t>www.lixinger.com/analytics/company/hk/02156/2156/detail</t>
  </si>
  <si>
    <t>莎莎国际</t>
  </si>
  <si>
    <t>www.lixinger.com/analytics/company/hk/00178/178/detail</t>
  </si>
  <si>
    <t>基石药业-B</t>
  </si>
  <si>
    <t>www.lixinger.com/analytics/company/hk/02616/2616/detail</t>
  </si>
  <si>
    <t>云顶新耀-B</t>
  </si>
  <si>
    <t>www.lixinger.com/analytics/company/hk/01952/1952/detail</t>
  </si>
  <si>
    <t>越秀服务</t>
  </si>
  <si>
    <t>www.lixinger.com/analytics/company/hk/06626/6626/detail</t>
  </si>
  <si>
    <t>希望教育</t>
  </si>
  <si>
    <t>www.lixinger.com/analytics/company/hk/01765/1765/detail</t>
  </si>
  <si>
    <t>VESYNC</t>
  </si>
  <si>
    <t>www.lixinger.com/analytics/company/hk/02148/2148/detail</t>
  </si>
  <si>
    <t>阳光房地产基金</t>
  </si>
  <si>
    <t>www.lixinger.com/analytics/company/hk/00435/435/detail</t>
  </si>
  <si>
    <t>天立国际控股</t>
  </si>
  <si>
    <t>www.lixinger.com/analytics/company/hk/01773/1773/detail</t>
  </si>
  <si>
    <t>四川成渝高速公路</t>
  </si>
  <si>
    <t>www.lixinger.com/analytics/company/hk/00107/107/detail</t>
  </si>
  <si>
    <t>山东新华制药股份</t>
  </si>
  <si>
    <t>www.lixinger.com/analytics/company/hk/00719/719/detail</t>
  </si>
  <si>
    <t>天福</t>
  </si>
  <si>
    <t>www.lixinger.com/analytics/company/hk/06868/6868/detail</t>
  </si>
  <si>
    <t>惠理集团</t>
  </si>
  <si>
    <t>www.lixinger.com/analytics/company/hk/00806/806/detail</t>
  </si>
  <si>
    <t>理文化工</t>
  </si>
  <si>
    <t>www.lixinger.com/analytics/company/hk/00746/746/detail</t>
  </si>
  <si>
    <t>瑞尔集团</t>
  </si>
  <si>
    <t>www.lixinger.com/analytics/company/hk/06639/6639/detail</t>
  </si>
  <si>
    <t>滨江服务</t>
  </si>
  <si>
    <t>www.lixinger.com/analytics/company/hk/03316/3316/detail</t>
  </si>
  <si>
    <t>湾区发展-R</t>
  </si>
  <si>
    <t>www.lixinger.com/analytics/company/hk/80737/80737/detail</t>
  </si>
  <si>
    <t>腾盛博药-B</t>
  </si>
  <si>
    <t>www.lixinger.com/analytics/company/hk/02137/2137/detail</t>
  </si>
  <si>
    <t>安能物流</t>
  </si>
  <si>
    <t>www.lixinger.com/analytics/company/hk/09956/9956/detail</t>
  </si>
  <si>
    <t>创梦天地</t>
  </si>
  <si>
    <t>www.lixinger.com/analytics/company/hk/01119/1119/detail</t>
  </si>
  <si>
    <t>洛阳玻璃股份</t>
  </si>
  <si>
    <t>www.lixinger.com/analytics/company/hk/01108/1108/detail</t>
  </si>
  <si>
    <t>中国东方集团</t>
  </si>
  <si>
    <t>www.lixinger.com/analytics/company/hk/00581/581/detail</t>
  </si>
  <si>
    <t>先瑞达医疗-B</t>
  </si>
  <si>
    <t>www.lixinger.com/analytics/company/hk/06669/6669/detail</t>
  </si>
  <si>
    <t>MOGHOLDINGS</t>
  </si>
  <si>
    <t>www.lixinger.com/analytics/company/hk/01942/1942/detail</t>
  </si>
  <si>
    <t>百融云-W</t>
  </si>
  <si>
    <t>www.lixinger.com/analytics/company/hk/06608/6608/detail</t>
  </si>
  <si>
    <t>雅士利国际</t>
  </si>
  <si>
    <t>www.lixinger.com/analytics/company/hk/01230/1230/detail</t>
  </si>
  <si>
    <t>中州证券</t>
  </si>
  <si>
    <t>www.lixinger.com/analytics/company/hk/01375/1375/detail</t>
  </si>
  <si>
    <t>数码通电讯</t>
  </si>
  <si>
    <t>www.lixinger.com/analytics/company/hk/00315/315/detail</t>
  </si>
  <si>
    <t>载通</t>
  </si>
  <si>
    <t>www.lixinger.com/analytics/company/hk/00062/62/detail</t>
  </si>
  <si>
    <t>中铝国际</t>
  </si>
  <si>
    <t>www.lixinger.com/analytics/company/hk/02068/2068/detail</t>
  </si>
  <si>
    <t>力高集团</t>
  </si>
  <si>
    <t>www.lixinger.com/analytics/company/hk/01622/1622/detail</t>
  </si>
  <si>
    <t>海港企业</t>
  </si>
  <si>
    <t>www.lixinger.com/analytics/company/hk/00051/51/detail</t>
  </si>
  <si>
    <t>齐鲁高速</t>
  </si>
  <si>
    <t>www.lixinger.com/analytics/company/hk/01576/1576/detail</t>
  </si>
  <si>
    <t>完美医疗</t>
  </si>
  <si>
    <t>www.lixinger.com/analytics/company/hk/01830/1830/detail</t>
  </si>
  <si>
    <t>信德集团</t>
  </si>
  <si>
    <t>www.lixinger.com/analytics/company/hk/00242/242/detail</t>
  </si>
  <si>
    <t>冠城钟表珠宝</t>
  </si>
  <si>
    <t>珠宝钟表</t>
  </si>
  <si>
    <t>www.lixinger.com/analytics/company/hk/00256/256/detail</t>
  </si>
  <si>
    <t>丘钛科技</t>
  </si>
  <si>
    <t>www.lixinger.com/analytics/company/hk/01478/1478/detail</t>
  </si>
  <si>
    <t>澳能建设</t>
  </si>
  <si>
    <t>www.lixinger.com/analytics/company/hk/01183/1183/detail</t>
  </si>
  <si>
    <t>歌礼制药-B</t>
  </si>
  <si>
    <t>www.lixinger.com/analytics/company/hk/01672/1672/detail</t>
  </si>
  <si>
    <t>皇朝家居</t>
  </si>
  <si>
    <t>www.lixinger.com/analytics/company/hk/01198/1198/detail</t>
  </si>
  <si>
    <t>北京能源国际</t>
  </si>
  <si>
    <t>www.lixinger.com/analytics/company/hk/00686/686/detail</t>
  </si>
  <si>
    <t>天津创业环保股份</t>
  </si>
  <si>
    <t>www.lixinger.com/analytics/company/hk/01065/1065/detail</t>
  </si>
  <si>
    <t>圣诺医药-B</t>
  </si>
  <si>
    <t>www.lixinger.com/analytics/company/hk/02257/2257/detail</t>
  </si>
  <si>
    <t>远东发展</t>
  </si>
  <si>
    <t>www.lixinger.com/analytics/company/hk/00035/35/detail</t>
  </si>
  <si>
    <t>香港科技探索</t>
  </si>
  <si>
    <t>www.lixinger.com/analytics/company/hk/01137/1137/detail</t>
  </si>
  <si>
    <t>卓尔智联</t>
  </si>
  <si>
    <t>www.lixinger.com/analytics/company/hk/02098/2098/detail</t>
  </si>
  <si>
    <t>中手游</t>
  </si>
  <si>
    <t>www.lixinger.com/analytics/company/hk/00302/302/detail</t>
  </si>
  <si>
    <t>力量发展</t>
  </si>
  <si>
    <t>www.lixinger.com/analytics/company/hk/01277/1277/detail</t>
  </si>
  <si>
    <t>西部水泥</t>
  </si>
  <si>
    <t>www.lixinger.com/analytics/company/hk/02233/2233/detail</t>
  </si>
  <si>
    <t>中国心连心化肥</t>
  </si>
  <si>
    <t>www.lixinger.com/analytics/company/hk/01866/1866/detail</t>
  </si>
  <si>
    <t>中国投资基金公司</t>
  </si>
  <si>
    <t>www.lixinger.com/analytics/company/hk/00612/612/detail</t>
  </si>
  <si>
    <t>华人置业</t>
  </si>
  <si>
    <t>www.lixinger.com/analytics/company/hk/00127/127/detail</t>
  </si>
  <si>
    <t>江南布衣</t>
  </si>
  <si>
    <t>www.lixinger.com/analytics/company/hk/03306/3306/detail</t>
  </si>
  <si>
    <t>同道猎聘</t>
  </si>
  <si>
    <t>www.lixinger.com/analytics/company/hk/06100/6100/detail</t>
  </si>
  <si>
    <t>中粮包装</t>
  </si>
  <si>
    <t>印刷及包装</t>
  </si>
  <si>
    <t>www.lixinger.com/analytics/company/hk/00906/906/detail</t>
  </si>
  <si>
    <t>环球新材国际</t>
  </si>
  <si>
    <t>www.lixinger.com/analytics/company/hk/06616/6616/detail</t>
  </si>
  <si>
    <t>康德莱医械</t>
  </si>
  <si>
    <t>www.lixinger.com/analytics/company/hk/01501/1501/detail</t>
  </si>
  <si>
    <t>永泰地产</t>
  </si>
  <si>
    <t>www.lixinger.com/analytics/company/hk/00369/369/detail</t>
  </si>
  <si>
    <t>大悦城地产</t>
  </si>
  <si>
    <t>www.lixinger.com/analytics/company/hk/00207/207/detail</t>
  </si>
  <si>
    <t>中国同辐</t>
  </si>
  <si>
    <t>www.lixinger.com/analytics/company/hk/01763/1763/detail</t>
  </si>
  <si>
    <t>华兴资本控股</t>
  </si>
  <si>
    <t>www.lixinger.com/analytics/company/hk/01911/1911/detail</t>
  </si>
  <si>
    <t>翼辰实业</t>
  </si>
  <si>
    <t>www.lixinger.com/analytics/company/hk/01596/1596/detail</t>
  </si>
  <si>
    <t>卓越商企服务</t>
  </si>
  <si>
    <t>www.lixinger.com/analytics/company/hk/06989/6989/detail</t>
  </si>
  <si>
    <t>浪潮国际</t>
  </si>
  <si>
    <t>www.lixinger.com/analytics/company/hk/00596/596/detail</t>
  </si>
  <si>
    <t>开拓药业-B</t>
  </si>
  <si>
    <t>www.lixinger.com/analytics/company/hk/09939/9939/detail</t>
  </si>
  <si>
    <t>中国利郎</t>
  </si>
  <si>
    <t>www.lixinger.com/analytics/company/hk/01234/1234/detail</t>
  </si>
  <si>
    <t>富豪产业信托</t>
  </si>
  <si>
    <t>www.lixinger.com/analytics/company/hk/01881/1881/detail</t>
  </si>
  <si>
    <t>英恒科技</t>
  </si>
  <si>
    <t>www.lixinger.com/analytics/company/hk/01760/1760/detail</t>
  </si>
  <si>
    <t>复锐医疗科技</t>
  </si>
  <si>
    <t>www.lixinger.com/analytics/company/hk/01696/1696/detail</t>
  </si>
  <si>
    <t>中骏集团控股</t>
  </si>
  <si>
    <t>www.lixinger.com/analytics/company/hk/01966/1966/detail</t>
  </si>
  <si>
    <t>维珍妮</t>
  </si>
  <si>
    <t>www.lixinger.com/analytics/company/hk/02199/2199/detail</t>
  </si>
  <si>
    <t>第一拖拉机股份</t>
  </si>
  <si>
    <t>www.lixinger.com/analytics/company/hk/00038/38/detail</t>
  </si>
  <si>
    <t>归创通桥-B</t>
  </si>
  <si>
    <t>www.lixinger.com/analytics/company/hk/02190/2190/detail</t>
  </si>
  <si>
    <t>华众车载</t>
  </si>
  <si>
    <t>www.lixinger.com/analytics/company/hk/06830/6830/detail</t>
  </si>
  <si>
    <t>德林控股</t>
  </si>
  <si>
    <t>www.lixinger.com/analytics/company/hk/01709/1709/detail</t>
  </si>
  <si>
    <t>宝龙商业</t>
  </si>
  <si>
    <t>www.lixinger.com/analytics/company/hk/09909/9909/detail</t>
  </si>
  <si>
    <t>易大宗</t>
  </si>
  <si>
    <t>www.lixinger.com/analytics/company/hk/01733/1733/detail</t>
  </si>
  <si>
    <t>鹰普精密</t>
  </si>
  <si>
    <t>www.lixinger.com/analytics/company/hk/01286/1286/detail</t>
  </si>
  <si>
    <t>云锋金融</t>
  </si>
  <si>
    <t>www.lixinger.com/analytics/company/hk/00376/376/detail</t>
  </si>
  <si>
    <t>中国光大绿色环保</t>
  </si>
  <si>
    <t>www.lixinger.com/analytics/company/hk/01257/1257/detail</t>
  </si>
  <si>
    <t>中国春来</t>
  </si>
  <si>
    <t>www.lixinger.com/analytics/company/hk/01969/1969/detail</t>
  </si>
  <si>
    <t>DYNAMJAPAN</t>
  </si>
  <si>
    <t>www.lixinger.com/analytics/company/hk/06889/6889/detail</t>
  </si>
  <si>
    <t>欢喜传媒</t>
  </si>
  <si>
    <t>www.lixinger.com/analytics/company/hk/01003/1003/detail</t>
  </si>
  <si>
    <t>微泰医疗-B</t>
  </si>
  <si>
    <t>www.lixinger.com/analytics/company/hk/02235/2235/detail</t>
  </si>
  <si>
    <t>澳亚集团</t>
  </si>
  <si>
    <t>www.lixinger.com/analytics/company/hk/02425/2425/detail</t>
  </si>
  <si>
    <t>永安国际</t>
  </si>
  <si>
    <t>www.lixinger.com/analytics/company/hk/00289/289/detail</t>
  </si>
  <si>
    <t>港通控股</t>
  </si>
  <si>
    <t>www.lixinger.com/analytics/company/hk/00032/32/detail</t>
  </si>
  <si>
    <t>建业新生活</t>
  </si>
  <si>
    <t>www.lixinger.com/analytics/company/hk/09983/9983/detail</t>
  </si>
  <si>
    <t>凌雄科技</t>
  </si>
  <si>
    <t>www.lixinger.com/analytics/company/hk/02436/2436/detail</t>
  </si>
  <si>
    <t>宝胜国际</t>
  </si>
  <si>
    <t>www.lixinger.com/analytics/company/hk/03813/3813/detail</t>
  </si>
  <si>
    <t>信义储电</t>
  </si>
  <si>
    <t>www.lixinger.com/analytics/company/hk/08328/8328/detail</t>
  </si>
  <si>
    <t>国美零售</t>
  </si>
  <si>
    <t>家居装修零售商</t>
  </si>
  <si>
    <t>www.lixinger.com/analytics/company/hk/00493/493/detail</t>
  </si>
  <si>
    <t>加科思-B</t>
  </si>
  <si>
    <t>www.lixinger.com/analytics/company/hk/01167/1167/detail</t>
  </si>
  <si>
    <t>中国光大水务</t>
  </si>
  <si>
    <t>www.lixinger.com/analytics/company/hk/01857/1857/detail</t>
  </si>
  <si>
    <t>沧港铁路</t>
  </si>
  <si>
    <t>www.lixinger.com/analytics/company/hk/02169/2169/detail</t>
  </si>
  <si>
    <t>康沣生物-B</t>
  </si>
  <si>
    <t>www.lixinger.com/analytics/company/hk/06922/6922/detail</t>
  </si>
  <si>
    <t>中汇集团</t>
  </si>
  <si>
    <t>www.lixinger.com/analytics/company/hk/00382/382/detail</t>
  </si>
  <si>
    <t>信利国际</t>
  </si>
  <si>
    <t>www.lixinger.com/analytics/company/hk/00732/732/detail</t>
  </si>
  <si>
    <t>天伦燃气</t>
  </si>
  <si>
    <t>www.lixinger.com/analytics/company/hk/01600/1600/detail</t>
  </si>
  <si>
    <t>中国建筑兴业</t>
  </si>
  <si>
    <t>www.lixinger.com/analytics/company/hk/00830/830/detail</t>
  </si>
  <si>
    <t>中国有赞</t>
  </si>
  <si>
    <t>www.lixinger.com/analytics/company/hk/08083/8083/detail</t>
  </si>
  <si>
    <t>华领医药-B</t>
  </si>
  <si>
    <t>www.lixinger.com/analytics/company/hk/02552/2552/detail</t>
  </si>
  <si>
    <t>中骏商管</t>
  </si>
  <si>
    <t>www.lixinger.com/analytics/company/hk/00606/606/detail</t>
  </si>
  <si>
    <t>金利丰金融</t>
  </si>
  <si>
    <t>www.lixinger.com/analytics/company/hk/01031/1031/detail</t>
  </si>
  <si>
    <t>浦林成山</t>
  </si>
  <si>
    <t>www.lixinger.com/analytics/company/hk/01809/1809/detail</t>
  </si>
  <si>
    <t>京信通信</t>
  </si>
  <si>
    <t>www.lixinger.com/analytics/company/hk/02342/2342/detail</t>
  </si>
  <si>
    <t>远大住工</t>
  </si>
  <si>
    <t>www.lixinger.com/analytics/company/hk/02163/2163/detail</t>
  </si>
  <si>
    <t>乐享集团</t>
  </si>
  <si>
    <t>www.lixinger.com/analytics/company/hk/06988/6988/detail</t>
  </si>
  <si>
    <t>慕尚集团控股</t>
  </si>
  <si>
    <t>www.lixinger.com/analytics/company/hk/01817/1817/detail</t>
  </si>
  <si>
    <t>互太纺织</t>
  </si>
  <si>
    <t>www.lixinger.com/analytics/company/hk/01382/1382/detail</t>
  </si>
  <si>
    <t>三宝科技</t>
  </si>
  <si>
    <t>www.lixinger.com/analytics/company/hk/01708/1708/detail</t>
  </si>
  <si>
    <t>华科资本</t>
  </si>
  <si>
    <t>www.lixinger.com/analytics/company/hk/01140/1140/detail</t>
  </si>
  <si>
    <t>金茂服务</t>
  </si>
  <si>
    <t>www.lixinger.com/analytics/company/hk/00816/816/detail</t>
  </si>
  <si>
    <t>中远海运国际</t>
  </si>
  <si>
    <t>www.lixinger.com/analytics/company/hk/00517/517/detail</t>
  </si>
  <si>
    <t>朗廷-SS</t>
  </si>
  <si>
    <t>www.lixinger.com/analytics/company/hk/01270/1270/detail</t>
  </si>
  <si>
    <t>兴发铝业</t>
  </si>
  <si>
    <t>www.lixinger.com/analytics/company/hk/00098/98/detail</t>
  </si>
  <si>
    <t>香港兴业国际</t>
  </si>
  <si>
    <t>www.lixinger.com/analytics/company/hk/00480/480/detail</t>
  </si>
  <si>
    <t>陈唱国际</t>
  </si>
  <si>
    <t>www.lixinger.com/analytics/company/hk/00693/693/detail</t>
  </si>
  <si>
    <t>春泉产业信托</t>
  </si>
  <si>
    <t>www.lixinger.com/analytics/company/hk/01426/1426/detail</t>
  </si>
  <si>
    <t>青瓷游戏</t>
  </si>
  <si>
    <t>www.lixinger.com/analytics/company/hk/06633/6633/detail</t>
  </si>
  <si>
    <t>哈尔滨银行</t>
  </si>
  <si>
    <t>www.lixinger.com/analytics/company/hk/06138/6138/detail</t>
  </si>
  <si>
    <t>合景悠活</t>
  </si>
  <si>
    <t>www.lixinger.com/analytics/company/hk/03913/3913/detail</t>
  </si>
  <si>
    <t>绿色动力环保</t>
  </si>
  <si>
    <t>www.lixinger.com/analytics/company/hk/01330/1330/detail</t>
  </si>
  <si>
    <t>谭仔国际</t>
  </si>
  <si>
    <t>www.lixinger.com/analytics/company/hk/02217/2217/detail</t>
  </si>
  <si>
    <t>达力普控股</t>
  </si>
  <si>
    <t>www.lixinger.com/analytics/company/hk/01921/1921/detail</t>
  </si>
  <si>
    <t>天津港发展</t>
  </si>
  <si>
    <t>www.lixinger.com/analytics/company/hk/03382/3382/detail</t>
  </si>
  <si>
    <t>洪桥集团</t>
  </si>
  <si>
    <t>www.lixinger.com/analytics/company/hk/08137/8137/detail</t>
  </si>
  <si>
    <t>德琪医药-B</t>
  </si>
  <si>
    <t>www.lixinger.com/analytics/company/hk/06996/6996/detail</t>
  </si>
  <si>
    <t>IGG</t>
  </si>
  <si>
    <t>www.lixinger.com/analytics/company/hk/00799/799/detail</t>
  </si>
  <si>
    <t>大众公用</t>
  </si>
  <si>
    <t>www.lixinger.com/analytics/company/hk/01635/1635/detail</t>
  </si>
  <si>
    <t>维亚生物</t>
  </si>
  <si>
    <t>www.lixinger.com/analytics/company/hk/01873/1873/detail</t>
  </si>
  <si>
    <t>C-LINKSQ</t>
  </si>
  <si>
    <t>www.lixinger.com/analytics/company/hk/01463/1463/detail</t>
  </si>
  <si>
    <t>耀才证券金融</t>
  </si>
  <si>
    <t>www.lixinger.com/analytics/company/hk/01428/1428/detail</t>
  </si>
  <si>
    <t>三叶草生物-B</t>
  </si>
  <si>
    <t>www.lixinger.com/analytics/company/hk/02197/2197/detail</t>
  </si>
  <si>
    <t>亚洲金融</t>
  </si>
  <si>
    <t>www.lixinger.com/analytics/company/hk/00662/662/detail</t>
  </si>
  <si>
    <t>康臣药业</t>
  </si>
  <si>
    <t>www.lixinger.com/analytics/company/hk/01681/1681/detail</t>
  </si>
  <si>
    <t>南京熊猫电子股份</t>
  </si>
  <si>
    <t>www.lixinger.com/analytics/company/hk/00553/553/detail</t>
  </si>
  <si>
    <t>中信资源</t>
  </si>
  <si>
    <t>www.lixinger.com/analytics/company/hk/01205/1205/detail</t>
  </si>
  <si>
    <t>凯联国际酒店</t>
  </si>
  <si>
    <t>www.lixinger.com/analytics/company/hk/00105/105/detail</t>
  </si>
  <si>
    <t>中华汽车</t>
  </si>
  <si>
    <t>www.lixinger.com/analytics/company/hk/00026/26/detail</t>
  </si>
  <si>
    <t>祖龙娱乐</t>
  </si>
  <si>
    <t>www.lixinger.com/analytics/company/hk/09990/9990/detail</t>
  </si>
  <si>
    <t>成都高速</t>
  </si>
  <si>
    <t>www.lixinger.com/analytics/company/hk/01785/1785/detail</t>
  </si>
  <si>
    <t>香港潮商集团</t>
  </si>
  <si>
    <t>www.lixinger.com/analytics/company/hk/02322/2322/detail</t>
  </si>
  <si>
    <t>中国飞机租赁</t>
  </si>
  <si>
    <t>www.lixinger.com/analytics/company/hk/01848/1848/detail</t>
  </si>
  <si>
    <t>汤臣集团</t>
  </si>
  <si>
    <t>www.lixinger.com/analytics/company/hk/00258/258/detail</t>
  </si>
  <si>
    <t>中庆股份</t>
  </si>
  <si>
    <t>www.lixinger.com/analytics/company/hk/01855/1855/detail</t>
  </si>
  <si>
    <t>朝聚眼科</t>
  </si>
  <si>
    <t>www.lixinger.com/analytics/company/hk/02219/2219/detail</t>
  </si>
  <si>
    <t>中国互联网投资</t>
  </si>
  <si>
    <t>www.lixinger.com/analytics/company/hk/00810/810/detail</t>
  </si>
  <si>
    <t>上实城市开发</t>
  </si>
  <si>
    <t>www.lixinger.com/analytics/company/hk/00563/563/detail</t>
  </si>
  <si>
    <t>国锐地产</t>
  </si>
  <si>
    <t>www.lixinger.com/analytics/company/hk/00108/108/detail</t>
  </si>
  <si>
    <t>时代中国控股</t>
  </si>
  <si>
    <t>www.lixinger.com/analytics/company/hk/01233/1233/detail</t>
  </si>
  <si>
    <t>华音国际控股</t>
  </si>
  <si>
    <t>www.lixinger.com/analytics/company/hk/00989/989/detail</t>
  </si>
  <si>
    <t>众诚能源</t>
  </si>
  <si>
    <t>www.lixinger.com/analytics/company/hk/02337/2337/detail</t>
  </si>
  <si>
    <t>泓富产业信托</t>
  </si>
  <si>
    <t>www.lixinger.com/analytics/company/hk/00808/808/detail</t>
  </si>
  <si>
    <t>北京北辰实业股份</t>
  </si>
  <si>
    <t>www.lixinger.com/analytics/company/hk/00588/588/detail</t>
  </si>
  <si>
    <t>中国波顿</t>
  </si>
  <si>
    <t>www.lixinger.com/analytics/company/hk/03318/3318/detail</t>
  </si>
  <si>
    <t>禹洲集团</t>
  </si>
  <si>
    <t>www.lixinger.com/analytics/company/hk/01628/1628/detail</t>
  </si>
  <si>
    <t>绿新亲水胶体</t>
  </si>
  <si>
    <t>www.lixinger.com/analytics/company/hk/01084/1084/detail</t>
  </si>
  <si>
    <t>中电光谷</t>
  </si>
  <si>
    <t>www.lixinger.com/analytics/company/hk/00798/798/detail</t>
  </si>
  <si>
    <t>嘉利国际</t>
  </si>
  <si>
    <t>www.lixinger.com/analytics/company/hk/01050/1050/detail</t>
  </si>
  <si>
    <t>恒宇集团</t>
  </si>
  <si>
    <t>www.lixinger.com/analytics/company/hk/02448/2448/detail</t>
  </si>
  <si>
    <t>路劲</t>
  </si>
  <si>
    <t>www.lixinger.com/analytics/company/hk/01098/1098/detail</t>
  </si>
  <si>
    <t>美因基因</t>
  </si>
  <si>
    <t>www.lixinger.com/analytics/company/hk/06667/6667/detail</t>
  </si>
  <si>
    <t>亿都(国际控股)</t>
  </si>
  <si>
    <t>www.lixinger.com/analytics/company/hk/00259/259/detail</t>
  </si>
  <si>
    <t>富汇国际集团控股</t>
  </si>
  <si>
    <t>www.lixinger.com/analytics/company/hk/01034/1034/detail</t>
  </si>
  <si>
    <t>大唐环境</t>
  </si>
  <si>
    <t>www.lixinger.com/analytics/company/hk/01272/1272/detail</t>
  </si>
  <si>
    <t>丰盛控股</t>
  </si>
  <si>
    <t>www.lixinger.com/analytics/company/hk/00607/607/detail</t>
  </si>
  <si>
    <t>德信服务集团</t>
  </si>
  <si>
    <t>www.lixinger.com/analytics/company/hk/02215/2215/detail</t>
  </si>
  <si>
    <t>五菱汽车</t>
  </si>
  <si>
    <t>www.lixinger.com/analytics/company/hk/00305/305/detail</t>
  </si>
  <si>
    <t>香港小轮(集团)</t>
  </si>
  <si>
    <t>www.lixinger.com/analytics/company/hk/00050/50/detail</t>
  </si>
  <si>
    <t>上海先锋控股</t>
  </si>
  <si>
    <t>www.lixinger.com/analytics/company/hk/01345/1345/detail</t>
  </si>
  <si>
    <t>子不语</t>
  </si>
  <si>
    <t>www.lixinger.com/analytics/company/hk/02420/2420/detail</t>
  </si>
  <si>
    <t>亚博科技控股</t>
  </si>
  <si>
    <t>www.lixinger.com/analytics/company/hk/08279/8279/detail</t>
  </si>
  <si>
    <t>富豪酒店</t>
  </si>
  <si>
    <t>www.lixinger.com/analytics/company/hk/00078/78/detail</t>
  </si>
  <si>
    <t>赛晶科技</t>
  </si>
  <si>
    <t>www.lixinger.com/analytics/company/hk/00580/580/detail</t>
  </si>
  <si>
    <t>远洋服务</t>
  </si>
  <si>
    <t>www.lixinger.com/analytics/company/hk/06677/6677/detail</t>
  </si>
  <si>
    <t>新疆新鑫矿业</t>
  </si>
  <si>
    <t>www.lixinger.com/analytics/company/hk/03833/3833/detail</t>
  </si>
  <si>
    <t>中梁控股</t>
  </si>
  <si>
    <t>www.lixinger.com/analytics/company/hk/02772/2772/detail</t>
  </si>
  <si>
    <t>今海国际</t>
  </si>
  <si>
    <t>www.lixinger.com/analytics/company/hk/02225/2225/detail</t>
  </si>
  <si>
    <t>廖创兴企业</t>
  </si>
  <si>
    <t>www.lixinger.com/analytics/company/hk/00194/194/detail</t>
  </si>
  <si>
    <t>读书郎</t>
  </si>
  <si>
    <t>www.lixinger.com/analytics/company/hk/02385/2385/detail</t>
  </si>
  <si>
    <t>津上机床中国</t>
  </si>
  <si>
    <t>www.lixinger.com/analytics/company/hk/01651/1651/detail</t>
  </si>
  <si>
    <t>上海实业环境</t>
  </si>
  <si>
    <t>www.lixinger.com/analytics/company/hk/00807/807/detail</t>
  </si>
  <si>
    <t>万邦投资</t>
  </si>
  <si>
    <t>www.lixinger.com/analytics/company/hk/00158/158/detail</t>
  </si>
  <si>
    <t>汇聚科技</t>
  </si>
  <si>
    <t>www.lixinger.com/analytics/company/hk/01729/1729/detail</t>
  </si>
  <si>
    <t>佐丹奴国际</t>
  </si>
  <si>
    <t>www.lixinger.com/analytics/company/hk/00709/709/detail</t>
  </si>
  <si>
    <t>世纪睿科</t>
  </si>
  <si>
    <t>www.lixinger.com/analytics/company/hk/01450/1450/detail</t>
  </si>
  <si>
    <t>招商局置地</t>
  </si>
  <si>
    <t>www.lixinger.com/analytics/company/hk/00978/978/detail</t>
  </si>
  <si>
    <t>IMAX中国</t>
  </si>
  <si>
    <t>www.lixinger.com/analytics/company/hk/01970/1970/detail</t>
  </si>
  <si>
    <t>中国圣牧</t>
  </si>
  <si>
    <t>www.lixinger.com/analytics/company/hk/01432/1432/detail</t>
  </si>
  <si>
    <t>康圣环球</t>
  </si>
  <si>
    <t>www.lixinger.com/analytics/company/hk/09960/9960/detail</t>
  </si>
  <si>
    <t>中电华大科技</t>
  </si>
  <si>
    <t>www.lixinger.com/analytics/company/hk/00085/85/detail</t>
  </si>
  <si>
    <t>正商实业</t>
  </si>
  <si>
    <t>www.lixinger.com/analytics/company/hk/00185/185/detail</t>
  </si>
  <si>
    <t>城建设计</t>
  </si>
  <si>
    <t>www.lixinger.com/analytics/company/hk/01599/1599/detail</t>
  </si>
  <si>
    <t>兴达国际</t>
  </si>
  <si>
    <t>www.lixinger.com/analytics/company/hk/01899/1899/detail</t>
  </si>
  <si>
    <t>威胜控股</t>
  </si>
  <si>
    <t>www.lixinger.com/analytics/company/hk/03393/3393/detail</t>
  </si>
  <si>
    <t>大昌集团</t>
  </si>
  <si>
    <t>www.lixinger.com/analytics/company/hk/00088/88/detail</t>
  </si>
  <si>
    <t>新沣集团</t>
  </si>
  <si>
    <t>www.lixinger.com/analytics/company/hk/01223/1223/detail</t>
  </si>
  <si>
    <t>澳门励骏</t>
  </si>
  <si>
    <t>www.lixinger.com/analytics/company/hk/01680/1680/detail</t>
  </si>
  <si>
    <t>大众金融控股</t>
  </si>
  <si>
    <t>www.lixinger.com/analytics/company/hk/00626/626/detail</t>
  </si>
  <si>
    <t>兆邦基地产</t>
  </si>
  <si>
    <t>www.lixinger.com/analytics/company/hk/01660/1660/detail</t>
  </si>
  <si>
    <t>华检医疗</t>
  </si>
  <si>
    <t>www.lixinger.com/analytics/company/hk/01931/1931/detail</t>
  </si>
  <si>
    <t>新矿资源</t>
  </si>
  <si>
    <t>www.lixinger.com/analytics/company/hk/01231/1231/detail</t>
  </si>
  <si>
    <t>庆铃汽车股份</t>
  </si>
  <si>
    <t>www.lixinger.com/analytics/company/hk/01122/1122/detail</t>
  </si>
  <si>
    <t>花房集团</t>
  </si>
  <si>
    <t>www.lixinger.com/analytics/company/hk/03611/3611/detail</t>
  </si>
  <si>
    <t>南顺(香港)</t>
  </si>
  <si>
    <t>www.lixinger.com/analytics/company/hk/00411/411/detail</t>
  </si>
  <si>
    <t>TOM集团</t>
  </si>
  <si>
    <t>www.lixinger.com/analytics/company/hk/02383/2383/detail</t>
  </si>
  <si>
    <t>康健国际医疗</t>
  </si>
  <si>
    <t>www.lixinger.com/analytics/company/hk/03886/3886/detail</t>
  </si>
  <si>
    <t>硬蛋创新</t>
  </si>
  <si>
    <t>www.lixinger.com/analytics/company/hk/00400/400/detail</t>
  </si>
  <si>
    <t>英皇国际</t>
  </si>
  <si>
    <t>www.lixinger.com/analytics/company/hk/00163/163/detail</t>
  </si>
  <si>
    <t>宝尊电商-W</t>
  </si>
  <si>
    <t>www.lixinger.com/analytics/company/hk/09991/9991/detail</t>
  </si>
  <si>
    <t>丰盛生活服务</t>
  </si>
  <si>
    <t>www.lixinger.com/analytics/company/hk/00331/331/detail</t>
  </si>
  <si>
    <t>明发集团</t>
  </si>
  <si>
    <t>www.lixinger.com/analytics/company/hk/00846/846/detail</t>
  </si>
  <si>
    <t>INFINITYL&amp;T</t>
  </si>
  <si>
    <t>www.lixinger.com/analytics/company/hk/01442/1442/detail</t>
  </si>
  <si>
    <t>重庆机电</t>
  </si>
  <si>
    <t>www.lixinger.com/analytics/company/hk/02722/2722/detail</t>
  </si>
  <si>
    <t>中盈盛达融资担保</t>
  </si>
  <si>
    <t>www.lixinger.com/analytics/company/hk/01543/1543/detail</t>
  </si>
  <si>
    <t>永泰生物-B</t>
  </si>
  <si>
    <t>www.lixinger.com/analytics/company/hk/06978/6978/detail</t>
  </si>
  <si>
    <t>思捷环球</t>
  </si>
  <si>
    <t>www.lixinger.com/analytics/company/hk/00330/330/detail</t>
  </si>
  <si>
    <t>时捷集团</t>
  </si>
  <si>
    <t>www.lixinger.com/analytics/company/hk/01184/1184/detail</t>
  </si>
  <si>
    <t>朝云集团</t>
  </si>
  <si>
    <t>www.lixinger.com/analytics/company/hk/06601/6601/detail</t>
  </si>
  <si>
    <t>顺丰房托</t>
  </si>
  <si>
    <t>www.lixinger.com/analytics/company/hk/02191/2191/detail</t>
  </si>
  <si>
    <t>高阳科技</t>
  </si>
  <si>
    <t>www.lixinger.com/analytics/company/hk/00818/818/detail</t>
  </si>
  <si>
    <t>中康控股</t>
  </si>
  <si>
    <t>www.lixinger.com/analytics/company/hk/02361/2361/detail</t>
  </si>
  <si>
    <t>嘉泓物流</t>
  </si>
  <si>
    <t>www.lixinger.com/analytics/company/hk/02130/2130/detail</t>
  </si>
  <si>
    <t>和铂医药-B</t>
  </si>
  <si>
    <t>www.lixinger.com/analytics/company/hk/02142/2142/detail</t>
  </si>
  <si>
    <t>亿胜生物科技</t>
  </si>
  <si>
    <t>www.lixinger.com/analytics/company/hk/01061/1061/detail</t>
  </si>
  <si>
    <t>东软教育</t>
  </si>
  <si>
    <t>www.lixinger.com/analytics/company/hk/09616/9616/detail</t>
  </si>
  <si>
    <t>水发兴业能源</t>
  </si>
  <si>
    <t>www.lixinger.com/analytics/company/hk/00750/750/detail</t>
  </si>
  <si>
    <t>德信中国</t>
  </si>
  <si>
    <t>www.lixinger.com/analytics/company/hk/02019/2019/detail</t>
  </si>
  <si>
    <t>蒙古焦煤</t>
  </si>
  <si>
    <t>www.lixinger.com/analytics/company/hk/00975/975/detail</t>
  </si>
  <si>
    <t>北控城市资源</t>
  </si>
  <si>
    <t>www.lixinger.com/analytics/company/hk/03718/3718/detail</t>
  </si>
  <si>
    <t>APOLLO出行</t>
  </si>
  <si>
    <t>www.lixinger.com/analytics/company/hk/00860/860/detail</t>
  </si>
  <si>
    <t>首创环境</t>
  </si>
  <si>
    <t>www.lixinger.com/analytics/company/hk/03989/3989/detail</t>
  </si>
  <si>
    <t>现代牙科</t>
  </si>
  <si>
    <t>www.lixinger.com/analytics/company/hk/03600/3600/detail</t>
  </si>
  <si>
    <t>珩湾科技</t>
  </si>
  <si>
    <t>www.lixinger.com/analytics/company/hk/01523/1523/detail</t>
  </si>
  <si>
    <t>招商局商业房托</t>
  </si>
  <si>
    <t>www.lixinger.com/analytics/company/hk/01503/1503/detail</t>
  </si>
  <si>
    <t>赤子城科技</t>
  </si>
  <si>
    <t>www.lixinger.com/analytics/company/hk/09911/9911/detail</t>
  </si>
  <si>
    <t>美力时集团</t>
  </si>
  <si>
    <t>www.lixinger.com/analytics/company/hk/01005/1005/detail</t>
  </si>
  <si>
    <t>中智全球</t>
  </si>
  <si>
    <t>www.lixinger.com/analytics/company/hk/06819/6819/detail</t>
  </si>
  <si>
    <t>达力集团</t>
  </si>
  <si>
    <t>www.lixinger.com/analytics/company/hk/00029/29/detail</t>
  </si>
  <si>
    <t>信邦控股</t>
  </si>
  <si>
    <t>www.lixinger.com/analytics/company/hk/01571/1571/detail</t>
  </si>
  <si>
    <t>大明国际</t>
  </si>
  <si>
    <t>www.lixinger.com/analytics/company/hk/01090/1090/detail</t>
  </si>
  <si>
    <t>万马控股</t>
  </si>
  <si>
    <t>www.lixinger.com/analytics/company/hk/06928/6928/detail</t>
  </si>
  <si>
    <t>德银天下</t>
  </si>
  <si>
    <t>www.lixinger.com/analytics/company/hk/02418/2418/detail</t>
  </si>
  <si>
    <t>安德利果汁</t>
  </si>
  <si>
    <t>www.lixinger.com/analytics/company/hk/02218/2218/detail</t>
  </si>
  <si>
    <t>山东墨龙</t>
  </si>
  <si>
    <t>www.lixinger.com/analytics/company/hk/00568/568/detail</t>
  </si>
  <si>
    <t>映宇宙</t>
  </si>
  <si>
    <t>广播</t>
  </si>
  <si>
    <t>www.lixinger.com/analytics/company/hk/03700/3700/detail</t>
  </si>
  <si>
    <t>天润云</t>
  </si>
  <si>
    <t>www.lixinger.com/analytics/company/hk/02167/2167/detail</t>
  </si>
  <si>
    <t>中原建业</t>
  </si>
  <si>
    <t>www.lixinger.com/analytics/company/hk/09982/9982/detail</t>
  </si>
  <si>
    <t>辰林教育</t>
  </si>
  <si>
    <t>www.lixinger.com/analytics/company/hk/01593/1593/detail</t>
  </si>
  <si>
    <t>裕承科金</t>
  </si>
  <si>
    <t>www.lixinger.com/analytics/company/hk/00279/279/detail</t>
  </si>
  <si>
    <t>东江环保</t>
  </si>
  <si>
    <t>www.lixinger.com/analytics/company/hk/00895/895/detail</t>
  </si>
  <si>
    <t>华夏视听教育</t>
  </si>
  <si>
    <t>www.lixinger.com/analytics/company/hk/01981/1981/detail</t>
  </si>
  <si>
    <t>阳光纸业</t>
  </si>
  <si>
    <t>www.lixinger.com/analytics/company/hk/02002/2002/detail</t>
  </si>
  <si>
    <t>鹰美</t>
  </si>
  <si>
    <t>www.lixinger.com/analytics/company/hk/02368/2368/detail</t>
  </si>
  <si>
    <t>南方锰业</t>
  </si>
  <si>
    <t>www.lixinger.com/analytics/company/hk/01091/1091/detail</t>
  </si>
  <si>
    <t>快狗打车</t>
  </si>
  <si>
    <t>www.lixinger.com/analytics/company/hk/02246/2246/detail</t>
  </si>
  <si>
    <t>华南职业教育</t>
  </si>
  <si>
    <t>www.lixinger.com/analytics/company/hk/06913/6913/detail</t>
  </si>
  <si>
    <t>其士国际</t>
  </si>
  <si>
    <t>www.lixinger.com/analytics/company/hk/00025/25/detail</t>
  </si>
  <si>
    <t>星盛商业</t>
  </si>
  <si>
    <t>www.lixinger.com/analytics/company/hk/06668/6668/detail</t>
  </si>
  <si>
    <t>国际家居零售</t>
  </si>
  <si>
    <t>www.lixinger.com/analytics/company/hk/01373/1373/detail</t>
  </si>
  <si>
    <t>融信服务</t>
  </si>
  <si>
    <t>www.lixinger.com/analytics/company/hk/02207/2207/detail</t>
  </si>
  <si>
    <t>和誉-B</t>
  </si>
  <si>
    <t>www.lixinger.com/analytics/company/hk/02256/2256/detail</t>
  </si>
  <si>
    <t>中国新城市</t>
  </si>
  <si>
    <t>www.lixinger.com/analytics/company/hk/01321/1321/detail</t>
  </si>
  <si>
    <t>百得利控股</t>
  </si>
  <si>
    <t>www.lixinger.com/analytics/company/hk/06909/6909/detail</t>
  </si>
  <si>
    <t>滨海投资</t>
  </si>
  <si>
    <t>www.lixinger.com/analytics/company/hk/02886/2886/detail</t>
  </si>
  <si>
    <t>友谊时光</t>
  </si>
  <si>
    <t>www.lixinger.com/analytics/company/hk/06820/6820/detail</t>
  </si>
  <si>
    <t>优品360</t>
  </si>
  <si>
    <t>www.lixinger.com/analytics/company/hk/02360/2360/detail</t>
  </si>
  <si>
    <t>民生教育</t>
  </si>
  <si>
    <t>www.lixinger.com/analytics/company/hk/01569/1569/detail</t>
  </si>
  <si>
    <t>宝业集团</t>
  </si>
  <si>
    <t>www.lixinger.com/analytics/company/hk/02355/2355/detail</t>
  </si>
  <si>
    <t>智勤控股</t>
  </si>
  <si>
    <t>www.lixinger.com/analytics/company/hk/09913/9913/detail</t>
  </si>
  <si>
    <t>凤祥股份</t>
  </si>
  <si>
    <t>www.lixinger.com/analytics/company/hk/09977/9977/detail</t>
  </si>
  <si>
    <t>优矩控股</t>
  </si>
  <si>
    <t>www.lixinger.com/analytics/company/hk/01948/1948/detail</t>
  </si>
  <si>
    <t>绿地香港</t>
  </si>
  <si>
    <t>www.lixinger.com/analytics/company/hk/00337/337/detail</t>
  </si>
  <si>
    <t>福禄控股</t>
  </si>
  <si>
    <t>www.lixinger.com/analytics/company/hk/02101/2101/detail</t>
  </si>
  <si>
    <t>信和酒店</t>
  </si>
  <si>
    <t>www.lixinger.com/analytics/company/hk/01221/1221/detail</t>
  </si>
  <si>
    <t>东方表行集团</t>
  </si>
  <si>
    <t>www.lixinger.com/analytics/company/hk/00398/398/detail</t>
  </si>
  <si>
    <t>昊天国际建投</t>
  </si>
  <si>
    <t>www.lixinger.com/analytics/company/hk/01341/1341/detail</t>
  </si>
  <si>
    <t>Aeon信贷</t>
  </si>
  <si>
    <t>www.lixinger.com/analytics/company/hk/00900/900/detail</t>
  </si>
  <si>
    <t>百利保控股</t>
  </si>
  <si>
    <t>www.lixinger.com/analytics/company/hk/00617/617/detail</t>
  </si>
  <si>
    <t>爪哇控股</t>
  </si>
  <si>
    <t>www.lixinger.com/analytics/company/hk/00251/251/detail</t>
  </si>
  <si>
    <t>景业名邦集团</t>
  </si>
  <si>
    <t>www.lixinger.com/analytics/company/hk/02231/2231/detail</t>
  </si>
  <si>
    <t>帝国科技集团</t>
  </si>
  <si>
    <t>www.lixinger.com/analytics/company/hk/00776/776/detail</t>
  </si>
  <si>
    <t>纷美包装</t>
  </si>
  <si>
    <t>www.lixinger.com/analytics/company/hk/00468/468/detail</t>
  </si>
  <si>
    <t>康耐特光学</t>
  </si>
  <si>
    <t>www.lixinger.com/analytics/company/hk/02276/2276/detail</t>
  </si>
  <si>
    <t>和泓服务</t>
  </si>
  <si>
    <t>www.lixinger.com/analytics/company/hk/06093/6093/detail</t>
  </si>
  <si>
    <t>润歌互动</t>
  </si>
  <si>
    <t>www.lixinger.com/analytics/company/hk/02422/2422/detail</t>
  </si>
  <si>
    <t>金朝阳集团</t>
  </si>
  <si>
    <t>www.lixinger.com/analytics/company/hk/00878/878/detail</t>
  </si>
  <si>
    <t>中国天然气</t>
  </si>
  <si>
    <t>www.lixinger.com/analytics/company/hk/00931/931/detail</t>
  </si>
  <si>
    <t>中国动向</t>
  </si>
  <si>
    <t>www.lixinger.com/analytics/company/hk/03818/3818/detail</t>
  </si>
  <si>
    <t>华谊腾讯娱乐</t>
  </si>
  <si>
    <t>www.lixinger.com/analytics/company/hk/00419/419/detail</t>
  </si>
  <si>
    <t>亚太卫星</t>
  </si>
  <si>
    <t>www.lixinger.com/analytics/company/hk/01045/1045/detail</t>
  </si>
  <si>
    <t>本间高尔夫</t>
  </si>
  <si>
    <t>www.lixinger.com/analytics/company/hk/06858/6858/detail</t>
  </si>
  <si>
    <t>香港航天科技</t>
  </si>
  <si>
    <t>www.lixinger.com/analytics/company/hk/01725/1725/detail</t>
  </si>
  <si>
    <t>魏桥纺织</t>
  </si>
  <si>
    <t>www.lixinger.com/analytics/company/hk/02698/2698/detail</t>
  </si>
  <si>
    <t>玄武云</t>
  </si>
  <si>
    <t>www.lixinger.com/analytics/company/hk/02392/2392/detail</t>
  </si>
  <si>
    <t>理士国际</t>
  </si>
  <si>
    <t>www.lixinger.com/analytics/company/hk/00842/842/detail</t>
  </si>
  <si>
    <t>满贯集团</t>
  </si>
  <si>
    <t>www.lixinger.com/analytics/company/hk/03390/3390/detail</t>
  </si>
  <si>
    <t>亨鑫科技</t>
  </si>
  <si>
    <t>www.lixinger.com/analytics/company/hk/01085/1085/detail</t>
  </si>
  <si>
    <t>智欣集团控股</t>
  </si>
  <si>
    <t>www.lixinger.com/analytics/company/hk/02187/2187/detail</t>
  </si>
  <si>
    <t>正荣地产</t>
  </si>
  <si>
    <t>www.lixinger.com/analytics/company/hk/06158/6158/detail</t>
  </si>
  <si>
    <t>叶氏化工集团</t>
  </si>
  <si>
    <t>www.lixinger.com/analytics/company/hk/00408/408/detail</t>
  </si>
  <si>
    <t>东建国际</t>
  </si>
  <si>
    <t>www.lixinger.com/analytics/company/hk/00329/329/detail</t>
  </si>
  <si>
    <t>东瑞制药</t>
  </si>
  <si>
    <t>www.lixinger.com/analytics/company/hk/02348/2348/detail</t>
  </si>
  <si>
    <t>超威动力</t>
  </si>
  <si>
    <t>www.lixinger.com/analytics/company/hk/00951/951/detail</t>
  </si>
  <si>
    <t>槟杰科达</t>
  </si>
  <si>
    <t>www.lixinger.com/analytics/company/hk/01665/1665/detail</t>
  </si>
  <si>
    <t>正通汽车</t>
  </si>
  <si>
    <t>www.lixinger.com/analytics/company/hk/01728/1728/detail</t>
  </si>
  <si>
    <t>融信中国</t>
  </si>
  <si>
    <t>www.lixinger.com/analytics/company/hk/03301/3301/detail</t>
  </si>
  <si>
    <t>栢能集团</t>
  </si>
  <si>
    <t>www.lixinger.com/analytics/company/hk/01263/1263/detail</t>
  </si>
  <si>
    <t>天德化工</t>
  </si>
  <si>
    <t>www.lixinger.com/analytics/company/hk/00609/609/detail</t>
  </si>
  <si>
    <t>民银资本</t>
  </si>
  <si>
    <t>www.lixinger.com/analytics/company/hk/01141/1141/detail</t>
  </si>
  <si>
    <t>中国抗体-B</t>
  </si>
  <si>
    <t>www.lixinger.com/analytics/company/hk/03681/3681/detail</t>
  </si>
  <si>
    <t>济丰包装</t>
  </si>
  <si>
    <t>www.lixinger.com/analytics/company/hk/01820/1820/detail</t>
  </si>
  <si>
    <t>和谐汽车</t>
  </si>
  <si>
    <t>www.lixinger.com/analytics/company/hk/03836/3836/detail</t>
  </si>
  <si>
    <t>药明巨诺-B</t>
  </si>
  <si>
    <t>www.lixinger.com/analytics/company/hk/02126/2126/detail</t>
  </si>
  <si>
    <t>雅各臣科研制药</t>
  </si>
  <si>
    <t>www.lixinger.com/analytics/company/hk/02633/2633/detail</t>
  </si>
  <si>
    <t>德视佳</t>
  </si>
  <si>
    <t>www.lixinger.com/analytics/company/hk/01846/1846/detail</t>
  </si>
  <si>
    <t>爱帝宫</t>
  </si>
  <si>
    <t>www.lixinger.com/analytics/company/hk/00286/286/detail</t>
  </si>
  <si>
    <t>山东国信</t>
  </si>
  <si>
    <t>www.lixinger.com/analytics/company/hk/01697/1697/detail</t>
  </si>
  <si>
    <t>润迈德-B</t>
  </si>
  <si>
    <t>www.lixinger.com/analytics/company/hk/02297/2297/detail</t>
  </si>
  <si>
    <t>东吴水泥</t>
  </si>
  <si>
    <t>www.lixinger.com/analytics/company/hk/00695/695/detail</t>
  </si>
  <si>
    <t>德林国际</t>
  </si>
  <si>
    <t>www.lixinger.com/analytics/company/hk/01126/1126/detail</t>
  </si>
  <si>
    <t>德永佳集团</t>
  </si>
  <si>
    <t>www.lixinger.com/analytics/company/hk/00321/321/detail</t>
  </si>
  <si>
    <t>迈博药业-B</t>
  </si>
  <si>
    <t>www.lixinger.com/analytics/company/hk/02181/2181/detail</t>
  </si>
  <si>
    <t>大快活集团</t>
  </si>
  <si>
    <t>www.lixinger.com/analytics/company/hk/00052/52/detail</t>
  </si>
  <si>
    <t>亿达中国</t>
  </si>
  <si>
    <t>www.lixinger.com/analytics/company/hk/03639/3639/detail</t>
  </si>
  <si>
    <t>德盈控股</t>
  </si>
  <si>
    <t>www.lixinger.com/analytics/company/hk/02250/2250/detail</t>
  </si>
  <si>
    <t>佳源国际控股</t>
  </si>
  <si>
    <t>www.lixinger.com/analytics/company/hk/02768/2768/detail</t>
  </si>
  <si>
    <t>嘉宏教育</t>
  </si>
  <si>
    <t>www.lixinger.com/analytics/company/hk/01935/1935/detail</t>
  </si>
  <si>
    <t>中达集团控股</t>
  </si>
  <si>
    <t>www.lixinger.com/analytics/company/hk/00139/139/detail</t>
  </si>
  <si>
    <t>家乡互动</t>
  </si>
  <si>
    <t>www.lixinger.com/analytics/company/hk/03798/3798/detail</t>
  </si>
  <si>
    <t>中国新华教育</t>
  </si>
  <si>
    <t>www.lixinger.com/analytics/company/hk/02779/2779/detail</t>
  </si>
  <si>
    <t>结好金融</t>
  </si>
  <si>
    <t>www.lixinger.com/analytics/company/hk/01469/1469/detail</t>
  </si>
  <si>
    <t>闽信集团</t>
  </si>
  <si>
    <t>www.lixinger.com/analytics/company/hk/00222/222/detail</t>
  </si>
  <si>
    <t>凤凰卫视</t>
  </si>
  <si>
    <t>www.lixinger.com/analytics/company/hk/02008/2008/detail</t>
  </si>
  <si>
    <t>彩虹新能源</t>
  </si>
  <si>
    <t>www.lixinger.com/analytics/company/hk/00438/438/detail</t>
  </si>
  <si>
    <t>禅游科技</t>
  </si>
  <si>
    <t>www.lixinger.com/analytics/company/hk/02660/2660/detail</t>
  </si>
  <si>
    <t>金融壹账通</t>
  </si>
  <si>
    <t>www.lixinger.com/analytics/company/hk/06638/6638/detail</t>
  </si>
  <si>
    <t>胜狮货柜</t>
  </si>
  <si>
    <t>www.lixinger.com/analytics/company/hk/00716/716/detail</t>
  </si>
  <si>
    <t>京城机电股份</t>
  </si>
  <si>
    <t>www.lixinger.com/analytics/company/hk/00187/187/detail</t>
  </si>
  <si>
    <t>五矿地产</t>
  </si>
  <si>
    <t>www.lixinger.com/analytics/company/hk/00230/230/detail</t>
  </si>
  <si>
    <t>亿和控股</t>
  </si>
  <si>
    <t>www.lixinger.com/analytics/company/hk/00838/838/detail</t>
  </si>
  <si>
    <t>龙记集团</t>
  </si>
  <si>
    <t>www.lixinger.com/analytics/company/hk/00255/255/detail</t>
  </si>
  <si>
    <t>弘阳地产</t>
  </si>
  <si>
    <t>www.lixinger.com/analytics/company/hk/01996/1996/detail</t>
  </si>
  <si>
    <t>惠记集团</t>
  </si>
  <si>
    <t>www.lixinger.com/analytics/company/hk/00610/610/detail</t>
  </si>
  <si>
    <t>宏光半导体</t>
  </si>
  <si>
    <t>www.lixinger.com/analytics/company/hk/06908/6908/detail</t>
  </si>
  <si>
    <t>富元国际集团</t>
  </si>
  <si>
    <t>www.lixinger.com/analytics/company/hk/00542/542/detail</t>
  </si>
  <si>
    <t>威华达控股</t>
  </si>
  <si>
    <t>www.lixinger.com/analytics/company/hk/00622/622/detail</t>
  </si>
  <si>
    <t>中国通商集团</t>
  </si>
  <si>
    <t>www.lixinger.com/analytics/company/hk/01719/1719/detail</t>
  </si>
  <si>
    <t>天德地产</t>
  </si>
  <si>
    <t>www.lixinger.com/analytics/company/hk/00266/266/detail</t>
  </si>
  <si>
    <t>中国三江化工</t>
  </si>
  <si>
    <t>www.lixinger.com/analytics/company/hk/02198/2198/detail</t>
  </si>
  <si>
    <t>瀚华金控</t>
  </si>
  <si>
    <t>www.lixinger.com/analytics/company/hk/03903/3903/detail</t>
  </si>
  <si>
    <t>东曜药业-B</t>
  </si>
  <si>
    <t>www.lixinger.com/analytics/company/hk/01875/1875/detail</t>
  </si>
  <si>
    <t>电视广播</t>
  </si>
  <si>
    <t>www.lixinger.com/analytics/company/hk/00511/511/detail</t>
  </si>
  <si>
    <t>四川能投发展</t>
  </si>
  <si>
    <t>www.lixinger.com/analytics/company/hk/01713/1713/detail</t>
  </si>
  <si>
    <t>畅捷通</t>
  </si>
  <si>
    <t>www.lixinger.com/analytics/company/hk/01588/1588/detail</t>
  </si>
  <si>
    <t>亚东集团</t>
  </si>
  <si>
    <t>www.lixinger.com/analytics/company/hk/01795/1795/detail</t>
  </si>
  <si>
    <t>兆科眼科-B</t>
  </si>
  <si>
    <t>www.lixinger.com/analytics/company/hk/06622/6622/detail</t>
  </si>
  <si>
    <t>天津发展</t>
  </si>
  <si>
    <t>www.lixinger.com/analytics/company/hk/00882/882/detail</t>
  </si>
  <si>
    <t>中国金控</t>
  </si>
  <si>
    <t>www.lixinger.com/analytics/company/hk/00875/875/detail</t>
  </si>
  <si>
    <t>东光化工</t>
  </si>
  <si>
    <t>www.lixinger.com/analytics/company/hk/01702/1702/detail</t>
  </si>
  <si>
    <t>安乐工程</t>
  </si>
  <si>
    <t>www.lixinger.com/analytics/company/hk/01977/1977/detail</t>
  </si>
  <si>
    <t>万国国际矿业</t>
  </si>
  <si>
    <t>www.lixinger.com/analytics/company/hk/03939/3939/detail</t>
  </si>
  <si>
    <t>建桥教育</t>
  </si>
  <si>
    <t>www.lixinger.com/analytics/company/hk/01525/1525/detail</t>
  </si>
  <si>
    <t>华发物业服务</t>
  </si>
  <si>
    <t>www.lixinger.com/analytics/company/hk/00982/982/detail</t>
  </si>
  <si>
    <t>美建集团</t>
  </si>
  <si>
    <t>www.lixinger.com/analytics/company/hk/00335/335/detail</t>
  </si>
  <si>
    <t>中油燃气</t>
  </si>
  <si>
    <t>www.lixinger.com/analytics/company/hk/00603/603/detail</t>
  </si>
  <si>
    <t>迪生创建</t>
  </si>
  <si>
    <t>www.lixinger.com/analytics/company/hk/00113/113/detail</t>
  </si>
  <si>
    <t>巨腾国际</t>
  </si>
  <si>
    <t>www.lixinger.com/analytics/company/hk/03336/3336/detail</t>
  </si>
  <si>
    <t>金马能源</t>
  </si>
  <si>
    <t>www.lixinger.com/analytics/company/hk/06885/6885/detail</t>
  </si>
  <si>
    <t>笔克远东</t>
  </si>
  <si>
    <t>www.lixinger.com/analytics/company/hk/00752/752/detail</t>
  </si>
  <si>
    <t>丽新发展</t>
  </si>
  <si>
    <t>www.lixinger.com/analytics/company/hk/00488/488/detail</t>
  </si>
  <si>
    <t>协鑫新能源</t>
  </si>
  <si>
    <t>www.lixinger.com/analytics/company/hk/00451/451/detail</t>
  </si>
  <si>
    <t>胜捷企业</t>
  </si>
  <si>
    <t>www.lixinger.com/analytics/company/hk/06090/6090/detail</t>
  </si>
  <si>
    <t>晶门半导体</t>
  </si>
  <si>
    <t>www.lixinger.com/analytics/company/hk/02878/2878/detail</t>
  </si>
  <si>
    <t>鼎丰集团汽车</t>
  </si>
  <si>
    <t>www.lixinger.com/analytics/company/hk/06878/6878/detail</t>
  </si>
  <si>
    <t>河北建设</t>
  </si>
  <si>
    <t>www.lixinger.com/analytics/company/hk/01727/1727/detail</t>
  </si>
  <si>
    <t>中国罕王</t>
  </si>
  <si>
    <t>www.lixinger.com/analytics/company/hk/03788/3788/detail</t>
  </si>
  <si>
    <t>中国玻璃</t>
  </si>
  <si>
    <t>www.lixinger.com/analytics/company/hk/03300/3300/detail</t>
  </si>
  <si>
    <t>亚太资源</t>
  </si>
  <si>
    <t>www.lixinger.com/analytics/company/hk/01104/1104/detail</t>
  </si>
  <si>
    <t>中国石墨</t>
  </si>
  <si>
    <t>www.lixinger.com/analytics/company/hk/02237/2237/detail</t>
  </si>
  <si>
    <t>交银国际</t>
  </si>
  <si>
    <t>www.lixinger.com/analytics/company/hk/03329/3329/detail</t>
  </si>
  <si>
    <t>万达酒店发展</t>
  </si>
  <si>
    <t>www.lixinger.com/analytics/company/hk/00169/169/detail</t>
  </si>
  <si>
    <t>心玮医疗-B</t>
  </si>
  <si>
    <t>www.lixinger.com/analytics/company/hk/06609/6609/detail</t>
  </si>
  <si>
    <t>结好控股</t>
  </si>
  <si>
    <t>www.lixinger.com/analytics/company/hk/00064/64/detail</t>
  </si>
  <si>
    <t>中国星集团</t>
  </si>
  <si>
    <t>www.lixinger.com/analytics/company/hk/00326/326/detail</t>
  </si>
  <si>
    <t>布莱克万矿业</t>
  </si>
  <si>
    <t>www.lixinger.com/analytics/company/hk/00159/159/detail</t>
  </si>
  <si>
    <t>鹰瞳科技-B</t>
  </si>
  <si>
    <t>www.lixinger.com/analytics/company/hk/02251/2251/detail</t>
  </si>
  <si>
    <t>稀美资源</t>
  </si>
  <si>
    <t>www.lixinger.com/analytics/company/hk/09936/9936/detail</t>
  </si>
  <si>
    <t>宏力医疗管理</t>
  </si>
  <si>
    <t>www.lixinger.com/analytics/company/hk/09906/9906/detail</t>
  </si>
  <si>
    <t>国际商业结算</t>
  </si>
  <si>
    <t>www.lixinger.com/analytics/company/hk/00147/147/detail</t>
  </si>
  <si>
    <t>数字王国</t>
  </si>
  <si>
    <t>www.lixinger.com/analytics/company/hk/00547/547/detail</t>
  </si>
  <si>
    <t>达丰设备</t>
  </si>
  <si>
    <t>www.lixinger.com/analytics/company/hk/02153/2153/detail</t>
  </si>
  <si>
    <t>滇池水务</t>
  </si>
  <si>
    <t>www.lixinger.com/analytics/company/hk/03768/3768/detail</t>
  </si>
  <si>
    <t>百心安-B</t>
  </si>
  <si>
    <t>www.lixinger.com/analytics/company/hk/02185/2185/detail</t>
  </si>
  <si>
    <t>新世界百货中国</t>
  </si>
  <si>
    <t>www.lixinger.com/analytics/company/hk/00825/825/detail</t>
  </si>
  <si>
    <t>新纽科技</t>
  </si>
  <si>
    <t>www.lixinger.com/analytics/company/hk/09600/9600/detail</t>
  </si>
  <si>
    <t>大山教育</t>
  </si>
  <si>
    <t>www.lixinger.com/analytics/company/hk/09986/9986/detail</t>
  </si>
  <si>
    <t>天宝集团</t>
  </si>
  <si>
    <t>www.lixinger.com/analytics/company/hk/01979/1979/detail</t>
  </si>
  <si>
    <t>金嗓子</t>
  </si>
  <si>
    <t>www.lixinger.com/analytics/company/hk/06896/6896/detail</t>
  </si>
  <si>
    <t>万宝盛华</t>
  </si>
  <si>
    <t>www.lixinger.com/analytics/company/hk/02180/2180/detail</t>
  </si>
  <si>
    <t>比优集团</t>
  </si>
  <si>
    <t>www.lixinger.com/analytics/company/hk/08053/8053/detail</t>
  </si>
  <si>
    <t>汉国置业</t>
  </si>
  <si>
    <t>www.lixinger.com/analytics/company/hk/00160/160/detail</t>
  </si>
  <si>
    <t>众安集团</t>
  </si>
  <si>
    <t>www.lixinger.com/analytics/company/hk/00672/672/detail</t>
  </si>
  <si>
    <t>弘业期货</t>
  </si>
  <si>
    <t>www.lixinger.com/analytics/company/hk/03678/3678/detail</t>
  </si>
  <si>
    <t>大成生化科技</t>
  </si>
  <si>
    <t>www.lixinger.com/analytics/company/hk/00809/809/detail</t>
  </si>
  <si>
    <t>亿仕登控股</t>
  </si>
  <si>
    <t>www.lixinger.com/analytics/company/hk/01656/1656/detail</t>
  </si>
  <si>
    <t>卓能(集团)</t>
  </si>
  <si>
    <t>www.lixinger.com/analytics/company/hk/00131/131/detail</t>
  </si>
  <si>
    <t>嘉和生物-B</t>
  </si>
  <si>
    <t>www.lixinger.com/analytics/company/hk/06998/6998/detail</t>
  </si>
  <si>
    <t>润中国际控股</t>
  </si>
  <si>
    <t>www.lixinger.com/analytics/company/hk/00202/202/detail</t>
  </si>
  <si>
    <t>金利来集团</t>
  </si>
  <si>
    <t>www.lixinger.com/analytics/company/hk/00533/533/detail</t>
  </si>
  <si>
    <t>东方企控集团</t>
  </si>
  <si>
    <t>www.lixinger.com/analytics/company/hk/00018/18/detail</t>
  </si>
  <si>
    <t>GUANZEMEDICAL</t>
  </si>
  <si>
    <t>www.lixinger.com/analytics/company/hk/02427/2427/detail</t>
  </si>
  <si>
    <t>创胜集团-B</t>
  </si>
  <si>
    <t>www.lixinger.com/analytics/company/hk/06628/6628/detail</t>
  </si>
  <si>
    <t>力宝</t>
  </si>
  <si>
    <t>www.lixinger.com/analytics/company/hk/00226/226/detail</t>
  </si>
  <si>
    <t>中国淀粉</t>
  </si>
  <si>
    <t>www.lixinger.com/analytics/company/hk/03838/3838/detail</t>
  </si>
  <si>
    <t>BC科技集团</t>
  </si>
  <si>
    <t>www.lixinger.com/analytics/company/hk/00863/863/detail</t>
  </si>
  <si>
    <t>天彩控股</t>
  </si>
  <si>
    <t>www.lixinger.com/analytics/company/hk/03882/3882/detail</t>
  </si>
  <si>
    <t>添利工业</t>
  </si>
  <si>
    <t>www.lixinger.com/analytics/company/hk/00093/93/detail</t>
  </si>
  <si>
    <t>茂宸集团</t>
  </si>
  <si>
    <t>www.lixinger.com/analytics/company/hk/00273/273/detail</t>
  </si>
  <si>
    <t>维信金科</t>
  </si>
  <si>
    <t>www.lixinger.com/analytics/company/hk/02003/2003/detail</t>
  </si>
  <si>
    <t>北京燃气蓝天</t>
  </si>
  <si>
    <t>www.lixinger.com/analytics/company/hk/06828/6828/detail</t>
  </si>
  <si>
    <t>利福中国</t>
  </si>
  <si>
    <t>www.lixinger.com/analytics/company/hk/02136/2136/detail</t>
  </si>
  <si>
    <t>粤海置地</t>
  </si>
  <si>
    <t>www.lixinger.com/analytics/company/hk/00124/124/detail</t>
  </si>
  <si>
    <t>东江集团控股</t>
  </si>
  <si>
    <t>www.lixinger.com/analytics/company/hk/02283/2283/detail</t>
  </si>
  <si>
    <t>彩客新能源</t>
  </si>
  <si>
    <t>www.lixinger.com/analytics/company/hk/01986/1986/detail</t>
  </si>
  <si>
    <t>奥威控股</t>
  </si>
  <si>
    <t>www.lixinger.com/analytics/company/hk/01370/1370/detail</t>
  </si>
  <si>
    <t>中国大冶有色金属</t>
  </si>
  <si>
    <t>www.lixinger.com/analytics/company/hk/00661/661/detail</t>
  </si>
  <si>
    <t>兴胜创建</t>
  </si>
  <si>
    <t>www.lixinger.com/analytics/company/hk/00896/896/detail</t>
  </si>
  <si>
    <t>堡狮龙国际</t>
  </si>
  <si>
    <t>www.lixinger.com/analytics/company/hk/00592/592/detail</t>
  </si>
  <si>
    <t>齐家控股</t>
  </si>
  <si>
    <t>www.lixinger.com/analytics/company/hk/08395/8395/detail</t>
  </si>
  <si>
    <t>宏华集团</t>
  </si>
  <si>
    <t>www.lixinger.com/analytics/company/hk/00196/196/detail</t>
  </si>
  <si>
    <t>浙江世宝</t>
  </si>
  <si>
    <t>www.lixinger.com/analytics/company/hk/01057/1057/detail</t>
  </si>
  <si>
    <t>金邦达宝嘉</t>
  </si>
  <si>
    <t>www.lixinger.com/analytics/company/hk/03315/3315/detail</t>
  </si>
  <si>
    <t>江南集团</t>
  </si>
  <si>
    <t>www.lixinger.com/analytics/company/hk/01366/1366/detail</t>
  </si>
  <si>
    <t>建业地产</t>
  </si>
  <si>
    <t>www.lixinger.com/analytics/company/hk/00832/832/detail</t>
  </si>
  <si>
    <t>航天控股</t>
  </si>
  <si>
    <t>www.lixinger.com/analytics/company/hk/00031/31/detail</t>
  </si>
  <si>
    <t>广汇宝信</t>
  </si>
  <si>
    <t>www.lixinger.com/analytics/company/hk/01293/1293/detail</t>
  </si>
  <si>
    <t>铁货</t>
  </si>
  <si>
    <t>www.lixinger.com/analytics/company/hk/01029/1029/detail</t>
  </si>
  <si>
    <t>新焦点</t>
  </si>
  <si>
    <t>www.lixinger.com/analytics/company/hk/00360/360/detail</t>
  </si>
  <si>
    <t>泰和小贷</t>
  </si>
  <si>
    <t>www.lixinger.com/analytics/company/hk/01915/1915/detail</t>
  </si>
  <si>
    <t>招商局中国基金</t>
  </si>
  <si>
    <t>www.lixinger.com/analytics/company/hk/00133/133/detail</t>
  </si>
  <si>
    <t>湖州燃气</t>
  </si>
  <si>
    <t>www.lixinger.com/analytics/company/hk/06661/6661/detail</t>
  </si>
  <si>
    <t>联洋智能控股</t>
  </si>
  <si>
    <t>www.lixinger.com/analytics/company/hk/01561/1561/detail</t>
  </si>
  <si>
    <t>潼关黄金</t>
  </si>
  <si>
    <t>www.lixinger.com/analytics/company/hk/00340/340/detail</t>
  </si>
  <si>
    <t>亨得利</t>
  </si>
  <si>
    <t>www.lixinger.com/analytics/company/hk/03389/3389/detail</t>
  </si>
  <si>
    <t>祥生控股集团</t>
  </si>
  <si>
    <t>www.lixinger.com/analytics/company/hk/02599/2599/detail</t>
  </si>
  <si>
    <t>驴迹科技</t>
  </si>
  <si>
    <t>www.lixinger.com/analytics/company/hk/01745/1745/detail</t>
  </si>
  <si>
    <t>太兴集团</t>
  </si>
  <si>
    <t>www.lixinger.com/analytics/company/hk/06811/6811/detail</t>
  </si>
  <si>
    <t>亲亲食品</t>
  </si>
  <si>
    <t>www.lixinger.com/analytics/company/hk/01583/1583/detail</t>
  </si>
  <si>
    <t>资本策略地产</t>
  </si>
  <si>
    <t>www.lixinger.com/analytics/company/hk/00497/497/detail</t>
  </si>
  <si>
    <t>港龙中国地产</t>
  </si>
  <si>
    <t>www.lixinger.com/analytics/company/hk/06968/6968/detail</t>
  </si>
  <si>
    <t>伟能集团</t>
  </si>
  <si>
    <t>www.lixinger.com/analytics/company/hk/01608/1608/detail</t>
  </si>
  <si>
    <t>百奥家庭互动</t>
  </si>
  <si>
    <t>www.lixinger.com/analytics/company/hk/02100/2100/detail</t>
  </si>
  <si>
    <t>英皇钟表珠宝</t>
  </si>
  <si>
    <t>www.lixinger.com/analytics/company/hk/00887/887/detail</t>
  </si>
  <si>
    <t>堃博医疗-B</t>
  </si>
  <si>
    <t>www.lixinger.com/analytics/company/hk/02216/2216/detail</t>
  </si>
  <si>
    <t>珠江船务</t>
  </si>
  <si>
    <t>www.lixinger.com/analytics/company/hk/00560/560/detail</t>
  </si>
  <si>
    <t>筑友智造科技</t>
  </si>
  <si>
    <t>www.lixinger.com/analytics/company/hk/00726/726/detail</t>
  </si>
  <si>
    <t>美瑞健康国际</t>
  </si>
  <si>
    <t>www.lixinger.com/analytics/company/hk/02327/2327/detail</t>
  </si>
  <si>
    <t>透云生物</t>
  </si>
  <si>
    <t>www.lixinger.com/analytics/company/hk/01332/1332/detail</t>
  </si>
  <si>
    <t>超盈国际控股</t>
  </si>
  <si>
    <t>www.lixinger.com/analytics/company/hk/02111/2111/detail</t>
  </si>
  <si>
    <t>通达集团</t>
  </si>
  <si>
    <t>www.lixinger.com/analytics/company/hk/00698/698/detail</t>
  </si>
  <si>
    <t>惠生工程</t>
  </si>
  <si>
    <t>www.lixinger.com/analytics/company/hk/02236/2236/detail</t>
  </si>
  <si>
    <t>嘉兴燃气</t>
  </si>
  <si>
    <t>www.lixinger.com/analytics/company/hk/09908/9908/detail</t>
  </si>
  <si>
    <t>康达环保</t>
  </si>
  <si>
    <t>www.lixinger.com/analytics/company/hk/06136/6136/detail</t>
  </si>
  <si>
    <t>中国安储能源</t>
  </si>
  <si>
    <t>www.lixinger.com/analytics/company/hk/02399/2399/detail</t>
  </si>
  <si>
    <t>芯智控股</t>
  </si>
  <si>
    <t>www.lixinger.com/analytics/company/hk/02166/2166/detail</t>
  </si>
  <si>
    <t>合富辉煌</t>
  </si>
  <si>
    <t>www.lixinger.com/analytics/company/hk/00733/733/detail</t>
  </si>
  <si>
    <t>元征科技</t>
  </si>
  <si>
    <t>www.lixinger.com/analytics/company/hk/02488/2488/detail</t>
  </si>
  <si>
    <t>神话世界</t>
  </si>
  <si>
    <t>www.lixinger.com/analytics/company/hk/00582/582/detail</t>
  </si>
  <si>
    <t>信源企业集团</t>
  </si>
  <si>
    <t>www.lixinger.com/analytics/company/hk/01748/1748/detail</t>
  </si>
  <si>
    <t>百仕达控股</t>
  </si>
  <si>
    <t>www.lixinger.com/analytics/company/hk/01168/1168/detail</t>
  </si>
  <si>
    <t>基石科技控股</t>
  </si>
  <si>
    <t>www.lixinger.com/analytics/company/hk/08391/8391/detail</t>
  </si>
  <si>
    <t>飞尚无烟煤</t>
  </si>
  <si>
    <t>www.lixinger.com/analytics/company/hk/01738/1738/detail</t>
  </si>
  <si>
    <t>庄士机构国际</t>
  </si>
  <si>
    <t>www.lixinger.com/analytics/company/hk/00367/367/detail</t>
  </si>
  <si>
    <t>民生国际</t>
  </si>
  <si>
    <t>www.lixinger.com/analytics/company/hk/00938/938/detail</t>
  </si>
  <si>
    <t>西藏水资源</t>
  </si>
  <si>
    <t>www.lixinger.com/analytics/company/hk/01115/1115/detail</t>
  </si>
  <si>
    <t>彩星集团</t>
  </si>
  <si>
    <t>www.lixinger.com/analytics/company/hk/00635/635/detail</t>
  </si>
  <si>
    <t>震雄集团</t>
  </si>
  <si>
    <t>www.lixinger.com/analytics/company/hk/00057/57/detail</t>
  </si>
  <si>
    <t>中国通海金融</t>
  </si>
  <si>
    <t>www.lixinger.com/analytics/company/hk/00952/952/detail</t>
  </si>
  <si>
    <t>冠忠巴士集团</t>
  </si>
  <si>
    <t>www.lixinger.com/analytics/company/hk/00306/306/detail</t>
  </si>
  <si>
    <t>欧科云链</t>
  </si>
  <si>
    <t>www.lixinger.com/analytics/company/hk/01499/1499/detail</t>
  </si>
  <si>
    <t>茂业国际</t>
  </si>
  <si>
    <t>www.lixinger.com/analytics/company/hk/00848/848/detail</t>
  </si>
  <si>
    <t>大生地产</t>
  </si>
  <si>
    <t>www.lixinger.com/analytics/company/hk/00089/89/detail</t>
  </si>
  <si>
    <t>中国稀土</t>
  </si>
  <si>
    <t>www.lixinger.com/analytics/company/hk/00769/769/detail</t>
  </si>
  <si>
    <t>旭日企业</t>
  </si>
  <si>
    <t>www.lixinger.com/analytics/company/hk/00393/393/detail</t>
  </si>
  <si>
    <t>飞思达科技</t>
  </si>
  <si>
    <t>www.lixinger.com/analytics/company/hk/01782/1782/detail</t>
  </si>
  <si>
    <t>安东油田服务</t>
  </si>
  <si>
    <t>www.lixinger.com/analytics/company/hk/03337/3337/detail</t>
  </si>
  <si>
    <t>复旦张江</t>
  </si>
  <si>
    <t>www.lixinger.com/analytics/company/hk/01349/1349/detail</t>
  </si>
  <si>
    <t>中能控股</t>
  </si>
  <si>
    <t>www.lixinger.com/analytics/company/hk/00228/228/detail</t>
  </si>
  <si>
    <t>南旋控股</t>
  </si>
  <si>
    <t>www.lixinger.com/analytics/company/hk/01982/1982/detail</t>
  </si>
  <si>
    <t>百福控股</t>
  </si>
  <si>
    <t>www.lixinger.com/analytics/company/hk/01488/1488/detail</t>
  </si>
  <si>
    <t>日赢控股</t>
  </si>
  <si>
    <t>www.lixinger.com/analytics/company/hk/01741/1741/detail</t>
  </si>
  <si>
    <t>AQUILAACQ-Z</t>
  </si>
  <si>
    <t>www.lixinger.com/analytics/company/hk/07836/7836/detail</t>
  </si>
  <si>
    <t>久泰邦达能源</t>
  </si>
  <si>
    <t>www.lixinger.com/analytics/company/hk/02798/2798/detail</t>
  </si>
  <si>
    <t>莱蒙国际</t>
  </si>
  <si>
    <t>www.lixinger.com/analytics/company/hk/03688/3688/detail</t>
  </si>
  <si>
    <t>福田实业</t>
  </si>
  <si>
    <t>www.lixinger.com/analytics/company/hk/00420/420/detail</t>
  </si>
  <si>
    <t>华大酒店</t>
  </si>
  <si>
    <t>www.lixinger.com/analytics/company/hk/00201/201/detail</t>
  </si>
  <si>
    <t>自然美</t>
  </si>
  <si>
    <t>www.lixinger.com/analytics/company/hk/00157/157/detail</t>
  </si>
  <si>
    <t>新希望服务</t>
  </si>
  <si>
    <t>www.lixinger.com/analytics/company/hk/03658/3658/detail</t>
  </si>
  <si>
    <t>中国生物科技服务</t>
  </si>
  <si>
    <t>www.lixinger.com/analytics/company/hk/08037/8037/detail</t>
  </si>
  <si>
    <t>索信达控股</t>
  </si>
  <si>
    <t>www.lixinger.com/analytics/company/hk/03680/3680/detail</t>
  </si>
  <si>
    <t>华津国际控股</t>
  </si>
  <si>
    <t>www.lixinger.com/analytics/company/hk/02738/2738/detail</t>
  </si>
  <si>
    <t>朗诗绿色生活</t>
  </si>
  <si>
    <t>www.lixinger.com/analytics/company/hk/01965/1965/detail</t>
  </si>
  <si>
    <t>中核国际</t>
  </si>
  <si>
    <t>www.lixinger.com/analytics/company/hk/02302/2302/detail</t>
  </si>
  <si>
    <t>巨涛海洋石油服务</t>
  </si>
  <si>
    <t>www.lixinger.com/analytics/company/hk/03303/3303/detail</t>
  </si>
  <si>
    <t>疯狂体育</t>
  </si>
  <si>
    <t>www.lixinger.com/analytics/company/hk/00082/82/detail</t>
  </si>
  <si>
    <t>国瑞健康</t>
  </si>
  <si>
    <t>www.lixinger.com/analytics/company/hk/02329/2329/detail</t>
  </si>
  <si>
    <t>延长石油国际</t>
  </si>
  <si>
    <t>www.lixinger.com/analytics/company/hk/00346/346/detail</t>
  </si>
  <si>
    <t>香港教育国际</t>
  </si>
  <si>
    <t>www.lixinger.com/analytics/company/hk/01082/1082/detail</t>
  </si>
  <si>
    <t>华禧控股</t>
  </si>
  <si>
    <t>www.lixinger.com/analytics/company/hk/01689/1689/detail</t>
  </si>
  <si>
    <t>中国汇融</t>
  </si>
  <si>
    <t>www.lixinger.com/analytics/company/hk/01290/1290/detail</t>
  </si>
  <si>
    <t>利基控股</t>
  </si>
  <si>
    <t>www.lixinger.com/analytics/company/hk/00240/240/detail</t>
  </si>
  <si>
    <t>原生态牧业</t>
  </si>
  <si>
    <t>www.lixinger.com/analytics/company/hk/01431/1431/detail</t>
  </si>
  <si>
    <t>五谷磨房</t>
  </si>
  <si>
    <t>www.lixinger.com/analytics/company/hk/01837/1837/detail</t>
  </si>
  <si>
    <t>恩典生命科技</t>
  </si>
  <si>
    <t>www.lixinger.com/analytics/company/hk/02112/2112/detail</t>
  </si>
  <si>
    <t>易居企业控股</t>
  </si>
  <si>
    <t>www.lixinger.com/analytics/company/hk/02048/2048/detail</t>
  </si>
  <si>
    <t>金茂源环保</t>
  </si>
  <si>
    <t>www.lixinger.com/analytics/company/hk/06805/6805/detail</t>
  </si>
  <si>
    <t>华融金控</t>
  </si>
  <si>
    <t>www.lixinger.com/analytics/company/hk/00993/993/detail</t>
  </si>
  <si>
    <t>金融街物业</t>
  </si>
  <si>
    <t>www.lixinger.com/analytics/company/hk/01502/1502/detail</t>
  </si>
  <si>
    <t>北海康成-B</t>
  </si>
  <si>
    <t>www.lixinger.com/analytics/company/hk/01228/1228/detail</t>
  </si>
  <si>
    <t>蓝河控股</t>
  </si>
  <si>
    <t>www.lixinger.com/analytics/company/hk/00498/498/detail</t>
  </si>
  <si>
    <t>四洲集团</t>
  </si>
  <si>
    <t>www.lixinger.com/analytics/company/hk/00374/374/detail</t>
  </si>
  <si>
    <t>好孩子国际</t>
  </si>
  <si>
    <t>www.lixinger.com/analytics/company/hk/01086/1086/detail</t>
  </si>
  <si>
    <t>铁建装备</t>
  </si>
  <si>
    <t>www.lixinger.com/analytics/company/hk/01786/1786/detail</t>
  </si>
  <si>
    <t>中播数据</t>
  </si>
  <si>
    <t>www.lixinger.com/analytics/company/hk/00471/471/detail</t>
  </si>
  <si>
    <t>丽丰控股</t>
  </si>
  <si>
    <t>www.lixinger.com/analytics/company/hk/01125/1125/detail</t>
  </si>
  <si>
    <t>贝康医疗-B</t>
  </si>
  <si>
    <t>www.lixinger.com/analytics/company/hk/02170/2170/detail</t>
  </si>
  <si>
    <t>华显光电</t>
  </si>
  <si>
    <t>www.lixinger.com/analytics/company/hk/00334/334/detail</t>
  </si>
  <si>
    <t>玖源集团</t>
  </si>
  <si>
    <t>www.lixinger.com/analytics/company/hk/00827/827/detail</t>
  </si>
  <si>
    <t>博富临置业</t>
  </si>
  <si>
    <t>www.lixinger.com/analytics/company/hk/00225/225/detail</t>
  </si>
  <si>
    <t>中国三迪</t>
  </si>
  <si>
    <t>www.lixinger.com/analytics/company/hk/00910/910/detail</t>
  </si>
  <si>
    <t>伯明翰体育</t>
  </si>
  <si>
    <t>www.lixinger.com/analytics/company/hk/02309/2309/detail</t>
  </si>
  <si>
    <t>中国职业教育</t>
  </si>
  <si>
    <t>www.lixinger.com/analytics/company/hk/01756/1756/detail</t>
  </si>
  <si>
    <t>福森药业</t>
  </si>
  <si>
    <t>www.lixinger.com/analytics/company/hk/01652/1652/detail</t>
  </si>
  <si>
    <t>齐合环保</t>
  </si>
  <si>
    <t>www.lixinger.com/analytics/company/hk/00976/976/detail</t>
  </si>
  <si>
    <t>力宝华润</t>
  </si>
  <si>
    <t>www.lixinger.com/analytics/company/hk/00156/156/detail</t>
  </si>
  <si>
    <t>金达控股</t>
  </si>
  <si>
    <t>www.lixinger.com/analytics/company/hk/00528/528/detail</t>
  </si>
  <si>
    <t>时代邻里</t>
  </si>
  <si>
    <t>www.lixinger.com/analytics/company/hk/09928/9928/detail</t>
  </si>
  <si>
    <t>奥星生命科技</t>
  </si>
  <si>
    <t>www.lixinger.com/analytics/company/hk/06118/6118/detail</t>
  </si>
  <si>
    <t>酷派集团</t>
  </si>
  <si>
    <t>www.lixinger.com/analytics/company/hk/02369/2369/detail</t>
  </si>
  <si>
    <t>数据来源于：理杏仁网站(lixinger.com)</t>
  </si>
  <si>
    <t>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t>
  </si>
  <si>
    <t xml:space="preserve">PB 最近时间 </t>
  </si>
  <si>
    <t>市值 最近时间 (CNY)</t>
  </si>
  <si>
    <t xml:space="preserve">流动比率 当期 2022-09-30 </t>
  </si>
  <si>
    <t xml:space="preserve">速动比率 当期 2022-09-30 </t>
  </si>
  <si>
    <t xml:space="preserve">货币资金占流动负债比率 当期 2022-09-30 </t>
  </si>
  <si>
    <t>sz</t>
  </si>
  <si>
    <t>凯格精机</t>
  </si>
  <si>
    <t>其他专用设备</t>
  </si>
  <si>
    <t>www.lixinger.com/analytics/company/sz/301338/301338/detail</t>
  </si>
  <si>
    <t>sh</t>
  </si>
  <si>
    <t>奥比中光</t>
  </si>
  <si>
    <t>光学元件</t>
  </si>
  <si>
    <t>www.lixinger.com/analytics/company/sh/688322/688322/detail</t>
  </si>
  <si>
    <t>润贝航科</t>
  </si>
  <si>
    <t>油品石化贸易</t>
  </si>
  <si>
    <t>www.lixinger.com/analytics/company/sz/001316/1316/detail</t>
  </si>
  <si>
    <t>露笑科技</t>
  </si>
  <si>
    <t>光伏发电</t>
  </si>
  <si>
    <t>www.lixinger.com/analytics/company/sz/002617/2617/detail</t>
  </si>
  <si>
    <t>智微智能</t>
  </si>
  <si>
    <t>其他计算机设备</t>
  </si>
  <si>
    <t>www.lixinger.com/analytics/company/sz/001339/1339/detail</t>
  </si>
  <si>
    <t>聚力文化</t>
  </si>
  <si>
    <t>其他建材</t>
  </si>
  <si>
    <t>www.lixinger.com/analytics/company/sz/002247/2247/detail</t>
  </si>
  <si>
    <t>明新旭腾</t>
  </si>
  <si>
    <t>车身附件及饰件</t>
  </si>
  <si>
    <t>www.lixinger.com/analytics/company/sh/605068/605068/detail</t>
  </si>
  <si>
    <t>森霸传感</t>
  </si>
  <si>
    <t>www.lixinger.com/analytics/company/sz/300701/300701/detail</t>
  </si>
  <si>
    <t>博杰股份</t>
  </si>
  <si>
    <t>工控设备</t>
  </si>
  <si>
    <t>www.lixinger.com/analytics/company/sz/002975/2975/detail</t>
  </si>
  <si>
    <t>联盛化学</t>
  </si>
  <si>
    <t>其他化学制品</t>
  </si>
  <si>
    <t>www.lixinger.com/analytics/company/sz/301212/301212/detail</t>
  </si>
  <si>
    <t>威帝股份</t>
  </si>
  <si>
    <t>汽车电子电气系统</t>
  </si>
  <si>
    <t>www.lixinger.com/analytics/company/sh/603023/603023/detail</t>
  </si>
  <si>
    <t>东芯股份</t>
  </si>
  <si>
    <t>数字芯片设计</t>
  </si>
  <si>
    <t>www.lixinger.com/analytics/company/sh/688110/688110/detail</t>
  </si>
  <si>
    <t>隆华新材</t>
  </si>
  <si>
    <t>www.lixinger.com/analytics/company/sz/301149/301149/detail</t>
  </si>
  <si>
    <t>东宝生物</t>
  </si>
  <si>
    <t>其他生物制品</t>
  </si>
  <si>
    <t>www.lixinger.com/analytics/company/sz/300239/300239/detail</t>
  </si>
  <si>
    <t>汉仪股份</t>
  </si>
  <si>
    <t>横向通用软件</t>
  </si>
  <si>
    <t>www.lixinger.com/analytics/company/sz/301270/301270/detail</t>
  </si>
  <si>
    <t>科力尔</t>
  </si>
  <si>
    <t>电机</t>
  </si>
  <si>
    <t>www.lixinger.com/analytics/company/sz/002892/2892/detail</t>
  </si>
  <si>
    <t>神农集团</t>
  </si>
  <si>
    <t>生猪养殖</t>
  </si>
  <si>
    <t>www.lixinger.com/analytics/company/sh/605296/605296/detail</t>
  </si>
  <si>
    <t>大族数控</t>
  </si>
  <si>
    <t>www.lixinger.com/analytics/company/sz/301200/301200/detail</t>
  </si>
  <si>
    <t>浙江正特</t>
  </si>
  <si>
    <t>娱乐用品</t>
  </si>
  <si>
    <t>www.lixinger.com/analytics/company/sz/001238/1238/detail</t>
  </si>
  <si>
    <t>贵航股份</t>
  </si>
  <si>
    <t>其他汽车零部件</t>
  </si>
  <si>
    <t>www.lixinger.com/analytics/company/sh/600523/600523/detail</t>
  </si>
  <si>
    <t>金钼股份</t>
  </si>
  <si>
    <t>钼</t>
  </si>
  <si>
    <t>www.lixinger.com/analytics/company/sh/601958/601958/detail</t>
  </si>
  <si>
    <t>光线传媒</t>
  </si>
  <si>
    <t>影视动漫制作</t>
  </si>
  <si>
    <t>www.lixinger.com/analytics/company/sz/300251/300251/detail</t>
  </si>
  <si>
    <t>银泰黄金</t>
  </si>
  <si>
    <t>黄金</t>
  </si>
  <si>
    <t>www.lixinger.com/analytics/company/sz/000975/975/detail</t>
  </si>
  <si>
    <t>西藏药业</t>
  </si>
  <si>
    <t>中药</t>
  </si>
  <si>
    <t>www.lixinger.com/analytics/company/sh/600211/600211/detail</t>
  </si>
  <si>
    <t>博创科技</t>
  </si>
  <si>
    <t>通信网络设备及器件</t>
  </si>
  <si>
    <t>www.lixinger.com/analytics/company/sz/300548/300548/detail</t>
  </si>
  <si>
    <t>桂林三金</t>
  </si>
  <si>
    <t>www.lixinger.com/analytics/company/sz/002275/2275/detail</t>
  </si>
  <si>
    <t>赛诺医疗</t>
  </si>
  <si>
    <t>医疗耗材</t>
  </si>
  <si>
    <t>www.lixinger.com/analytics/company/sh/688108/688108/detail</t>
  </si>
  <si>
    <t>东岳硅材</t>
  </si>
  <si>
    <t>有机硅</t>
  </si>
  <si>
    <t>www.lixinger.com/analytics/company/sz/300821/300821/detail</t>
  </si>
  <si>
    <t>五洲医疗</t>
  </si>
  <si>
    <t>www.lixinger.com/analytics/company/sz/301234/301234/detail</t>
  </si>
  <si>
    <t>博硕科技</t>
  </si>
  <si>
    <t>消费电子零部件及组装</t>
  </si>
  <si>
    <t>www.lixinger.com/analytics/company/sz/300951/300951/detail</t>
  </si>
  <si>
    <t>雷柏科技</t>
  </si>
  <si>
    <t>www.lixinger.com/analytics/company/sz/002577/2577/detail</t>
  </si>
  <si>
    <t>恒盛能源</t>
  </si>
  <si>
    <t>热力服务</t>
  </si>
  <si>
    <t>www.lixinger.com/analytics/company/sh/605580/605580/detail</t>
  </si>
  <si>
    <t>宏英智能</t>
  </si>
  <si>
    <t>www.lixinger.com/analytics/company/sz/001266/1266/detail</t>
  </si>
  <si>
    <t>强瑞技术</t>
  </si>
  <si>
    <t>www.lixinger.com/analytics/company/sz/301128/301128/detail</t>
  </si>
  <si>
    <t>南凌科技</t>
  </si>
  <si>
    <t>通信应用增值服务</t>
  </si>
  <si>
    <t>www.lixinger.com/analytics/company/sz/300921/300921/detail</t>
  </si>
  <si>
    <t>谱尼测试</t>
  </si>
  <si>
    <t>检测服务</t>
  </si>
  <si>
    <t>www.lixinger.com/analytics/company/sz/300887/300887/detail</t>
  </si>
  <si>
    <t>东方钽业</t>
  </si>
  <si>
    <t>其他小金属</t>
  </si>
  <si>
    <t>www.lixinger.com/analytics/company/sz/000962/962/detail</t>
  </si>
  <si>
    <t>新华网</t>
  </si>
  <si>
    <t>门户网站</t>
  </si>
  <si>
    <t>www.lixinger.com/analytics/company/sh/603888/603888/detail</t>
  </si>
  <si>
    <t>春晖智控</t>
  </si>
  <si>
    <t>金属制品</t>
  </si>
  <si>
    <t>www.lixinger.com/analytics/company/sz/300943/300943/detail</t>
  </si>
  <si>
    <t>申昊科技</t>
  </si>
  <si>
    <t>电网自动化设备</t>
  </si>
  <si>
    <t>www.lixinger.com/analytics/company/sz/300853/300853/detail</t>
  </si>
  <si>
    <t>泰慕士</t>
  </si>
  <si>
    <t>其他纺织</t>
  </si>
  <si>
    <t>www.lixinger.com/analytics/company/sz/001234/1234/detail</t>
  </si>
  <si>
    <t>马应龙</t>
  </si>
  <si>
    <t>www.lixinger.com/analytics/company/sh/600993/600993/detail</t>
  </si>
  <si>
    <t>顺鑫农业</t>
  </si>
  <si>
    <t>白酒</t>
  </si>
  <si>
    <t>www.lixinger.com/analytics/company/sz/000860/860/detail</t>
  </si>
  <si>
    <t>南侨食品</t>
  </si>
  <si>
    <t>烘焙食品</t>
  </si>
  <si>
    <t>www.lixinger.com/analytics/company/sh/605339/605339/detail</t>
  </si>
  <si>
    <t>金橙子</t>
  </si>
  <si>
    <t>垂直应用软件</t>
  </si>
  <si>
    <t>www.lixinger.com/analytics/company/sh/688291/688291/detail</t>
  </si>
  <si>
    <t>招商南油</t>
  </si>
  <si>
    <t>航运</t>
  </si>
  <si>
    <t>www.lixinger.com/analytics/company/sh/601975/601975/detail</t>
  </si>
  <si>
    <t>映翰通</t>
  </si>
  <si>
    <t>其他通信设备</t>
  </si>
  <si>
    <t>www.lixinger.com/analytics/company/sh/688080/688080/detail</t>
  </si>
  <si>
    <t>信德新材</t>
  </si>
  <si>
    <t>电池化学品</t>
  </si>
  <si>
    <t>www.lixinger.com/analytics/company/sz/301349/301349/detail</t>
  </si>
  <si>
    <t>金字火腿</t>
  </si>
  <si>
    <t>肉制品</t>
  </si>
  <si>
    <t>www.lixinger.com/analytics/company/sz/002515/2515/detail</t>
  </si>
  <si>
    <t>天微电子</t>
  </si>
  <si>
    <t>军工电子</t>
  </si>
  <si>
    <t>www.lixinger.com/analytics/company/sh/688511/688511/detail</t>
  </si>
  <si>
    <t>利仁科技</t>
  </si>
  <si>
    <t>厨房小家电</t>
  </si>
  <si>
    <t>www.lixinger.com/analytics/company/sz/001259/1259/detail</t>
  </si>
  <si>
    <t>必易微</t>
  </si>
  <si>
    <t>模拟芯片设计</t>
  </si>
  <si>
    <t>www.lixinger.com/analytics/company/sh/688045/688045/detail</t>
  </si>
  <si>
    <t>浩瀚深度</t>
  </si>
  <si>
    <t>www.lixinger.com/analytics/company/sh/688292/688292/detail</t>
  </si>
  <si>
    <t>安德利</t>
  </si>
  <si>
    <t>果蔬加工</t>
  </si>
  <si>
    <t>www.lixinger.com/analytics/company/sh/605198/605198/detail</t>
  </si>
  <si>
    <t>长白山</t>
  </si>
  <si>
    <t>自然景区</t>
  </si>
  <si>
    <t>www.lixinger.com/analytics/company/sh/603099/603099/detail</t>
  </si>
  <si>
    <t>迪普科技</t>
  </si>
  <si>
    <t>www.lixinger.com/analytics/company/sz/300768/300768/detail</t>
  </si>
  <si>
    <t>创维数字</t>
  </si>
  <si>
    <t>其他黑色家电</t>
  </si>
  <si>
    <t>www.lixinger.com/analytics/company/sz/000810/810/detail</t>
  </si>
  <si>
    <t>精进电动</t>
  </si>
  <si>
    <t>底盘与发动机系统</t>
  </si>
  <si>
    <t>www.lixinger.com/analytics/company/sh/688280/688280/detail</t>
  </si>
  <si>
    <t>易点天下</t>
  </si>
  <si>
    <t>营销代理</t>
  </si>
  <si>
    <t>www.lixinger.com/analytics/company/sz/301171/301171/detail</t>
  </si>
  <si>
    <t>钱江摩托</t>
  </si>
  <si>
    <t>摩托车</t>
  </si>
  <si>
    <t>www.lixinger.com/analytics/company/sz/000913/913/detail</t>
  </si>
  <si>
    <t>桂发祥</t>
  </si>
  <si>
    <t>www.lixinger.com/analytics/company/sz/002820/2820/detail</t>
  </si>
  <si>
    <t>拓山重工</t>
  </si>
  <si>
    <t>工程机械器件</t>
  </si>
  <si>
    <t>www.lixinger.com/analytics/company/sz/001226/1226/detail</t>
  </si>
  <si>
    <t>金禾实业</t>
  </si>
  <si>
    <t>食品及饲料添加剂</t>
  </si>
  <si>
    <t>www.lixinger.com/analytics/company/sz/002597/2597/detail</t>
  </si>
  <si>
    <t>中科环保</t>
  </si>
  <si>
    <t>固废治理</t>
  </si>
  <si>
    <t>www.lixinger.com/analytics/company/sz/301175/301175/detail</t>
  </si>
  <si>
    <t>天益医疗</t>
  </si>
  <si>
    <t>www.lixinger.com/analytics/company/sz/301097/301097/detail</t>
  </si>
  <si>
    <t>森赫股份</t>
  </si>
  <si>
    <t>楼宇设备</t>
  </si>
  <si>
    <t>www.lixinger.com/analytics/company/sz/301056/301056/detail</t>
  </si>
  <si>
    <t>淳中科技</t>
  </si>
  <si>
    <t>www.lixinger.com/analytics/company/sh/603516/603516/detail</t>
  </si>
  <si>
    <t>浩欧博</t>
  </si>
  <si>
    <t>体外诊断</t>
  </si>
  <si>
    <t>www.lixinger.com/analytics/company/sh/688656/688656/detail</t>
  </si>
  <si>
    <t>捷安高科</t>
  </si>
  <si>
    <t>www.lixinger.com/analytics/company/sz/300845/300845/detail</t>
  </si>
  <si>
    <t>松霖科技</t>
  </si>
  <si>
    <t>卫浴制品</t>
  </si>
  <si>
    <t>www.lixinger.com/analytics/company/sh/603992/603992/detail</t>
  </si>
  <si>
    <t>中核钛白</t>
  </si>
  <si>
    <t>钛白粉</t>
  </si>
  <si>
    <t>www.lixinger.com/analytics/company/sz/002145/2145/detail</t>
  </si>
  <si>
    <t>翔宇医疗</t>
  </si>
  <si>
    <t>医疗设备</t>
  </si>
  <si>
    <t>www.lixinger.com/analytics/company/sh/688626/688626/detail</t>
  </si>
  <si>
    <t>中兵红箭</t>
  </si>
  <si>
    <t>地面兵装</t>
  </si>
  <si>
    <t>www.lixinger.com/analytics/company/sz/000519/519/detail</t>
  </si>
  <si>
    <t>双飞股份</t>
  </si>
  <si>
    <t>www.lixinger.com/analytics/company/sz/300817/300817/detail</t>
  </si>
  <si>
    <t>得邦照明</t>
  </si>
  <si>
    <t>照明设备</t>
  </si>
  <si>
    <t>www.lixinger.com/analytics/company/sh/603303/603303/detail</t>
  </si>
  <si>
    <t>理工导航</t>
  </si>
  <si>
    <t>航天装备</t>
  </si>
  <si>
    <t>www.lixinger.com/analytics/company/sh/688282/688282/detail</t>
  </si>
  <si>
    <t>综艺股份</t>
  </si>
  <si>
    <t>综合</t>
  </si>
  <si>
    <t>www.lixinger.com/analytics/company/sh/600770/600770/detail</t>
  </si>
  <si>
    <t>多伦科技</t>
  </si>
  <si>
    <t>www.lixinger.com/analytics/company/sh/603528/603528/detail</t>
  </si>
  <si>
    <t>胜蓝股份</t>
  </si>
  <si>
    <t>www.lixinger.com/analytics/company/sz/300843/300843/detail</t>
  </si>
  <si>
    <t>汇顶科技</t>
  </si>
  <si>
    <t>www.lixinger.com/analytics/company/sh/603160/603160/detail</t>
  </si>
  <si>
    <t>方邦股份</t>
  </si>
  <si>
    <t>印制电路板</t>
  </si>
  <si>
    <t>www.lixinger.com/analytics/company/sh/688020/688020/detail</t>
  </si>
  <si>
    <t>宝兰德</t>
  </si>
  <si>
    <t>www.lixinger.com/analytics/company/sh/688058/688058/detail</t>
  </si>
  <si>
    <t>江南奕帆</t>
  </si>
  <si>
    <t>www.lixinger.com/analytics/company/sz/301023/301023/detail</t>
  </si>
  <si>
    <t>凌霄泵业</t>
  </si>
  <si>
    <t>其他通用设备</t>
  </si>
  <si>
    <t>www.lixinger.com/analytics/company/sz/002884/2884/detail</t>
  </si>
  <si>
    <t>康斯特</t>
  </si>
  <si>
    <t>仪器仪表</t>
  </si>
  <si>
    <t>www.lixinger.com/analytics/company/sz/300445/300445/detail</t>
  </si>
  <si>
    <t>太辰光</t>
  </si>
  <si>
    <t>www.lixinger.com/analytics/company/sz/300570/300570/detail</t>
  </si>
  <si>
    <t>盛天网络</t>
  </si>
  <si>
    <t>游戏</t>
  </si>
  <si>
    <t>www.lixinger.com/analytics/company/sz/300494/300494/detail</t>
  </si>
  <si>
    <t>华康股份</t>
  </si>
  <si>
    <t>www.lixinger.com/analytics/company/sh/605077/605077/detail</t>
  </si>
  <si>
    <t>石头科技</t>
  </si>
  <si>
    <t>清洁小家电</t>
  </si>
  <si>
    <t>www.lixinger.com/analytics/company/sh/688169/688169/detail</t>
  </si>
  <si>
    <t>雅化集团</t>
  </si>
  <si>
    <t>锂</t>
  </si>
  <si>
    <t>www.lixinger.com/analytics/company/sz/002497/2497/detail</t>
  </si>
  <si>
    <t>国光股份</t>
  </si>
  <si>
    <t>农药</t>
  </si>
  <si>
    <t>www.lixinger.com/analytics/company/sz/002749/2749/detail</t>
  </si>
  <si>
    <t>灿瑞科技</t>
  </si>
  <si>
    <t>www.lixinger.com/analytics/company/sh/688061/688061/detail</t>
  </si>
  <si>
    <t>利君股份</t>
  </si>
  <si>
    <t>航空装备</t>
  </si>
  <si>
    <t>www.lixinger.com/analytics/company/sz/002651/2651/detail</t>
  </si>
  <si>
    <t>诺泰生物</t>
  </si>
  <si>
    <t>医疗研发外包</t>
  </si>
  <si>
    <t>www.lixinger.com/analytics/company/sh/688076/688076/detail</t>
  </si>
  <si>
    <t>嘉麟杰</t>
  </si>
  <si>
    <t>www.lixinger.com/analytics/company/sz/002486/2486/detail</t>
  </si>
  <si>
    <t>世纪天鸿</t>
  </si>
  <si>
    <t>教育出版</t>
  </si>
  <si>
    <t>www.lixinger.com/analytics/company/sz/300654/300654/detail</t>
  </si>
  <si>
    <t>银河微电</t>
  </si>
  <si>
    <t>分立器件</t>
  </si>
  <si>
    <t>www.lixinger.com/analytics/company/sh/688689/688689/detail</t>
  </si>
  <si>
    <t>西藏旅游</t>
  </si>
  <si>
    <t>www.lixinger.com/analytics/company/sh/600749/600749/detail</t>
  </si>
  <si>
    <t>新易盛</t>
  </si>
  <si>
    <t>www.lixinger.com/analytics/company/sz/300502/300502/detail</t>
  </si>
  <si>
    <t>安纳达</t>
  </si>
  <si>
    <t>www.lixinger.com/analytics/company/sz/002136/2136/detail</t>
  </si>
  <si>
    <t>东利机械</t>
  </si>
  <si>
    <t>www.lixinger.com/analytics/company/sz/301298/301298/detail</t>
  </si>
  <si>
    <t>兆讯传媒</t>
  </si>
  <si>
    <t>广告媒体</t>
  </si>
  <si>
    <t>www.lixinger.com/analytics/company/sz/301102/301102/detail</t>
  </si>
  <si>
    <t>永贵电器</t>
  </si>
  <si>
    <t>轨交设备</t>
  </si>
  <si>
    <t>www.lixinger.com/analytics/company/sz/300351/300351/detail</t>
  </si>
  <si>
    <t>创业慧康</t>
  </si>
  <si>
    <t>www.lixinger.com/analytics/company/sz/300451/300451/detail</t>
  </si>
  <si>
    <t>煌上煌</t>
  </si>
  <si>
    <t>熟食</t>
  </si>
  <si>
    <t>www.lixinger.com/analytics/company/sz/002695/2695/detail</t>
  </si>
  <si>
    <t>云赛智联</t>
  </si>
  <si>
    <t>www.lixinger.com/analytics/company/sh/600602/600602/detail</t>
  </si>
  <si>
    <t>华研精机</t>
  </si>
  <si>
    <t>印刷包装机械</t>
  </si>
  <si>
    <t>www.lixinger.com/analytics/company/sz/301138/301138/detail</t>
  </si>
  <si>
    <t>汉王科技</t>
  </si>
  <si>
    <t>www.lixinger.com/analytics/company/sz/002362/2362/detail</t>
  </si>
  <si>
    <t>山外山</t>
  </si>
  <si>
    <t>www.lixinger.com/analytics/company/sh/688410/688410/detail</t>
  </si>
  <si>
    <t>ST时万</t>
  </si>
  <si>
    <t>锂电池</t>
  </si>
  <si>
    <t>www.lixinger.com/analytics/company/sh/600241/600241/detail</t>
  </si>
  <si>
    <t>中际联合</t>
  </si>
  <si>
    <t>工程机械整机</t>
  </si>
  <si>
    <t>www.lixinger.com/analytics/company/sh/605305/605305/detail</t>
  </si>
  <si>
    <t>鸿日达</t>
  </si>
  <si>
    <t>www.lixinger.com/analytics/company/sz/301285/301285/detail</t>
  </si>
  <si>
    <t>天宜上佳</t>
  </si>
  <si>
    <t>www.lixinger.com/analytics/company/sh/688033/688033/detail</t>
  </si>
  <si>
    <t>四川双马</t>
  </si>
  <si>
    <t>水泥制造</t>
  </si>
  <si>
    <t>www.lixinger.com/analytics/company/sz/000935/935/detail</t>
  </si>
  <si>
    <t>迈得医疗</t>
  </si>
  <si>
    <t>其他自动化设备</t>
  </si>
  <si>
    <t>www.lixinger.com/analytics/company/sh/688310/688310/detail</t>
  </si>
  <si>
    <t>北纬科技</t>
  </si>
  <si>
    <t>www.lixinger.com/analytics/company/sz/002148/2148/detail</t>
  </si>
  <si>
    <t>富创精密</t>
  </si>
  <si>
    <t>半导体设备</t>
  </si>
  <si>
    <t>www.lixinger.com/analytics/company/sh/688409/688409/detail</t>
  </si>
  <si>
    <t>亚星锚链</t>
  </si>
  <si>
    <t>航海装备</t>
  </si>
  <si>
    <t>www.lixinger.com/analytics/company/sh/601890/601890/detail</t>
  </si>
  <si>
    <t>近岸蛋白</t>
  </si>
  <si>
    <t>www.lixinger.com/analytics/company/sh/688137/688137/detail</t>
  </si>
  <si>
    <t>同为股份</t>
  </si>
  <si>
    <t>安防设备</t>
  </si>
  <si>
    <t>www.lixinger.com/analytics/company/sz/002835/2835/detail</t>
  </si>
  <si>
    <t>秋田微</t>
  </si>
  <si>
    <t>面板</t>
  </si>
  <si>
    <t>www.lixinger.com/analytics/company/sz/300939/300939/detail</t>
  </si>
  <si>
    <t>稳健医疗</t>
  </si>
  <si>
    <t>生活用纸</t>
  </si>
  <si>
    <t>www.lixinger.com/analytics/company/sz/300888/300888/detail</t>
  </si>
  <si>
    <t>新亚强</t>
  </si>
  <si>
    <t>www.lixinger.com/analytics/company/sh/603155/603155/detail</t>
  </si>
  <si>
    <t>卓越新能</t>
  </si>
  <si>
    <t>www.lixinger.com/analytics/company/sh/688196/688196/detail</t>
  </si>
  <si>
    <t>绿盟科技</t>
  </si>
  <si>
    <t>www.lixinger.com/analytics/company/sz/300369/300369/detail</t>
  </si>
  <si>
    <t>华鲁恒升</t>
  </si>
  <si>
    <t>氮肥</t>
  </si>
  <si>
    <t>www.lixinger.com/analytics/company/sh/600426/600426/detail</t>
  </si>
  <si>
    <t>豪悦护理</t>
  </si>
  <si>
    <t>www.lixinger.com/analytics/company/sh/605009/605009/detail</t>
  </si>
  <si>
    <t>焦点科技</t>
  </si>
  <si>
    <t>跨境电商</t>
  </si>
  <si>
    <t>www.lixinger.com/analytics/company/sz/002315/2315/detail</t>
  </si>
  <si>
    <t>兆日科技</t>
  </si>
  <si>
    <t>www.lixinger.com/analytics/company/sz/300333/300333/detail</t>
  </si>
  <si>
    <t>三维天地</t>
  </si>
  <si>
    <t>www.lixinger.com/analytics/company/sz/301159/301159/detail</t>
  </si>
  <si>
    <t>祥源文旅</t>
  </si>
  <si>
    <t>www.lixinger.com/analytics/company/sh/600576/600576/detail</t>
  </si>
  <si>
    <t>上海电影</t>
  </si>
  <si>
    <t>www.lixinger.com/analytics/company/sh/601595/601595/detail</t>
  </si>
  <si>
    <t>贝斯美</t>
  </si>
  <si>
    <t>www.lixinger.com/analytics/company/sz/300796/300796/detail</t>
  </si>
  <si>
    <t>标榜股份</t>
  </si>
  <si>
    <t>www.lixinger.com/analytics/company/sz/301181/301181/detail</t>
  </si>
  <si>
    <t>联动科技</t>
  </si>
  <si>
    <t>www.lixinger.com/analytics/company/sz/301369/301369/detail</t>
  </si>
  <si>
    <t>农心科技</t>
  </si>
  <si>
    <t>www.lixinger.com/analytics/company/sz/001231/1231/detail</t>
  </si>
  <si>
    <t>浙江自然</t>
  </si>
  <si>
    <t>www.lixinger.com/analytics/company/sh/605080/605080/detail</t>
  </si>
  <si>
    <t>安宁股份</t>
  </si>
  <si>
    <t>www.lixinger.com/analytics/company/sz/002978/2978/detail</t>
  </si>
  <si>
    <t>中触媒</t>
  </si>
  <si>
    <t>www.lixinger.com/analytics/company/sh/688267/688267/detail</t>
  </si>
  <si>
    <t>瑞泰新材</t>
  </si>
  <si>
    <t>www.lixinger.com/analytics/company/sz/301238/301238/detail</t>
  </si>
  <si>
    <t>嘉和美康</t>
  </si>
  <si>
    <t>www.lixinger.com/analytics/company/sh/688246/688246/detail</t>
  </si>
  <si>
    <t>捷昌驱动</t>
  </si>
  <si>
    <t>www.lixinger.com/analytics/company/sh/603583/603583/detail</t>
  </si>
  <si>
    <t>仙乐健康</t>
  </si>
  <si>
    <t>保健品</t>
  </si>
  <si>
    <t>www.lixinger.com/analytics/company/sz/300791/300791/detail</t>
  </si>
  <si>
    <t>亚钾国际</t>
  </si>
  <si>
    <t>钾肥</t>
  </si>
  <si>
    <t>www.lixinger.com/analytics/company/sz/000893/893/detail</t>
  </si>
  <si>
    <t>百胜智能</t>
  </si>
  <si>
    <t>www.lixinger.com/analytics/company/sz/301083/301083/detail</t>
  </si>
  <si>
    <t>菲菱科思</t>
  </si>
  <si>
    <t>通信终端及配件</t>
  </si>
  <si>
    <t>www.lixinger.com/analytics/company/sz/301191/301191/detail</t>
  </si>
  <si>
    <t>新媒股份</t>
  </si>
  <si>
    <t>www.lixinger.com/analytics/company/sz/300770/300770/detail</t>
  </si>
  <si>
    <t>每日互动</t>
  </si>
  <si>
    <t>www.lixinger.com/analytics/company/sz/300766/300766/detail</t>
  </si>
  <si>
    <t>五芳斋</t>
  </si>
  <si>
    <t>预加工食品</t>
  </si>
  <si>
    <t>www.lixinger.com/analytics/company/sh/603237/603237/detail</t>
  </si>
  <si>
    <t>云南白药</t>
  </si>
  <si>
    <t>www.lixinger.com/analytics/company/sz/000538/538/detail</t>
  </si>
  <si>
    <t>玉马遮阳</t>
  </si>
  <si>
    <t>其他家居用品</t>
  </si>
  <si>
    <t>www.lixinger.com/analytics/company/sz/300993/300993/detail</t>
  </si>
  <si>
    <t>金鸿顺</t>
  </si>
  <si>
    <t>www.lixinger.com/analytics/company/sh/603922/603922/detail</t>
  </si>
  <si>
    <t>中汽股份</t>
  </si>
  <si>
    <t>汽车综合服务</t>
  </si>
  <si>
    <t>www.lixinger.com/analytics/company/sz/301215/301215/detail</t>
  </si>
  <si>
    <t>正强股份</t>
  </si>
  <si>
    <t>www.lixinger.com/analytics/company/sz/301119/301119/detail</t>
  </si>
  <si>
    <t>聚杰微纤</t>
  </si>
  <si>
    <t>www.lixinger.com/analytics/company/sz/300819/300819/detail</t>
  </si>
  <si>
    <t>海融科技</t>
  </si>
  <si>
    <t>乳品</t>
  </si>
  <si>
    <t>www.lixinger.com/analytics/company/sz/300915/300915/detail</t>
  </si>
  <si>
    <t>奥普家居</t>
  </si>
  <si>
    <t>卫浴电器</t>
  </si>
  <si>
    <t>www.lixinger.com/analytics/company/sh/603551/603551/detail</t>
  </si>
  <si>
    <t>邦彦技术</t>
  </si>
  <si>
    <t>www.lixinger.com/analytics/company/sh/688132/688132/detail</t>
  </si>
  <si>
    <t>基蛋生物</t>
  </si>
  <si>
    <t>www.lixinger.com/analytics/company/sh/603387/603387/detail</t>
  </si>
  <si>
    <t>新和成</t>
  </si>
  <si>
    <t>原料药</t>
  </si>
  <si>
    <t>www.lixinger.com/analytics/company/sz/002001/2001/detail</t>
  </si>
  <si>
    <t>必创科技</t>
  </si>
  <si>
    <t>www.lixinger.com/analytics/company/sz/300667/300667/detail</t>
  </si>
  <si>
    <t>东阿阿胶</t>
  </si>
  <si>
    <t>www.lixinger.com/analytics/company/sz/000423/423/detail</t>
  </si>
  <si>
    <t>掌阅科技</t>
  </si>
  <si>
    <t>文字媒体</t>
  </si>
  <si>
    <t>www.lixinger.com/analytics/company/sh/603533/603533/detail</t>
  </si>
  <si>
    <t>华瓷股份</t>
  </si>
  <si>
    <t>www.lixinger.com/analytics/company/sz/001216/1216/detail</t>
  </si>
  <si>
    <t>炬华科技</t>
  </si>
  <si>
    <t>电工仪器仪表</t>
  </si>
  <si>
    <t>www.lixinger.com/analytics/company/sz/300360/300360/detail</t>
  </si>
  <si>
    <t>天秦装备</t>
  </si>
  <si>
    <t>www.lixinger.com/analytics/company/sz/300922/300922/detail</t>
  </si>
  <si>
    <t>大元泵业</t>
  </si>
  <si>
    <t>www.lixinger.com/analytics/company/sh/603757/603757/detail</t>
  </si>
  <si>
    <t>雷尔伟</t>
  </si>
  <si>
    <t>www.lixinger.com/analytics/company/sz/301016/301016/detail</t>
  </si>
  <si>
    <t>鼎捷软件</t>
  </si>
  <si>
    <t>www.lixinger.com/analytics/company/sz/300378/300378/detail</t>
  </si>
  <si>
    <t>永信至诚</t>
  </si>
  <si>
    <t>www.lixinger.com/analytics/company/sh/688244/688244/detail</t>
  </si>
  <si>
    <t>济川药业</t>
  </si>
  <si>
    <t>www.lixinger.com/analytics/company/sh/600566/600566/detail</t>
  </si>
  <si>
    <t>国发股份</t>
  </si>
  <si>
    <t>医药流通</t>
  </si>
  <si>
    <t>www.lixinger.com/analytics/company/sh/600538/600538/detail</t>
  </si>
  <si>
    <t>中光防雷</t>
  </si>
  <si>
    <t>www.lixinger.com/analytics/company/sz/300414/300414/detail</t>
  </si>
  <si>
    <t>凤形股份</t>
  </si>
  <si>
    <t>磨具磨料</t>
  </si>
  <si>
    <t>www.lixinger.com/analytics/company/sz/002760/2760/detail</t>
  </si>
  <si>
    <t>圣阳股份</t>
  </si>
  <si>
    <t>蓄电池及其他电池</t>
  </si>
  <si>
    <t>www.lixinger.com/analytics/company/sz/002580/2580/detail</t>
  </si>
  <si>
    <t>吉贝尔</t>
  </si>
  <si>
    <t>化学制剂</t>
  </si>
  <si>
    <t>www.lixinger.com/analytics/company/sh/688566/688566/detail</t>
  </si>
  <si>
    <t>森麒麟</t>
  </si>
  <si>
    <t>轮胎轮毂</t>
  </si>
  <si>
    <t>www.lixinger.com/analytics/company/sz/002984/2984/detail</t>
  </si>
  <si>
    <t>同兴环保</t>
  </si>
  <si>
    <t>大气治理</t>
  </si>
  <si>
    <t>www.lixinger.com/analytics/company/sz/003027/3027/detail</t>
  </si>
  <si>
    <t>金禄电子</t>
  </si>
  <si>
    <t>www.lixinger.com/analytics/company/sz/301282/301282/detail</t>
  </si>
  <si>
    <t>恩威医药</t>
  </si>
  <si>
    <t>www.lixinger.com/analytics/company/sz/301331/301331/detail</t>
  </si>
  <si>
    <t>富祥药业</t>
  </si>
  <si>
    <t>www.lixinger.com/analytics/company/sz/300497/300497/detail</t>
  </si>
  <si>
    <t>博雅生物</t>
  </si>
  <si>
    <t>血液制品</t>
  </si>
  <si>
    <t>www.lixinger.com/analytics/company/sz/300294/300294/detail</t>
  </si>
  <si>
    <t>中元股份</t>
  </si>
  <si>
    <t>www.lixinger.com/analytics/company/sz/300018/300018/detail</t>
  </si>
  <si>
    <t>西点药业</t>
  </si>
  <si>
    <t>www.lixinger.com/analytics/company/sz/301130/301130/detail</t>
  </si>
  <si>
    <t>山石网科</t>
  </si>
  <si>
    <t>www.lixinger.com/analytics/company/sh/688030/688030/detail</t>
  </si>
  <si>
    <t>康缘药业</t>
  </si>
  <si>
    <t>www.lixinger.com/analytics/company/sh/600557/600557/detail</t>
  </si>
  <si>
    <t>华是科技</t>
  </si>
  <si>
    <t>IT服务</t>
  </si>
  <si>
    <t>www.lixinger.com/analytics/company/sz/301218/301218/detail</t>
  </si>
  <si>
    <t>大全能源</t>
  </si>
  <si>
    <t>硅料硅片</t>
  </si>
  <si>
    <t>www.lixinger.com/analytics/company/sh/688303/688303/detail</t>
  </si>
  <si>
    <t>湘佳股份</t>
  </si>
  <si>
    <t>肉鸡养殖</t>
  </si>
  <si>
    <t>www.lixinger.com/analytics/company/sz/002982/2982/detail</t>
  </si>
  <si>
    <t>敏芯股份</t>
  </si>
  <si>
    <t>www.lixinger.com/analytics/company/sh/688286/688286/detail</t>
  </si>
  <si>
    <t>英科再生</t>
  </si>
  <si>
    <t>其他塑料制品</t>
  </si>
  <si>
    <t>www.lixinger.com/analytics/company/sh/688087/688087/detail</t>
  </si>
  <si>
    <t>天佑德酒</t>
  </si>
  <si>
    <t>www.lixinger.com/analytics/company/sz/002646/2646/detail</t>
  </si>
  <si>
    <t>弘亚数控</t>
  </si>
  <si>
    <t>www.lixinger.com/analytics/company/sz/002833/2833/detail</t>
  </si>
  <si>
    <t>优博讯</t>
  </si>
  <si>
    <t>www.lixinger.com/analytics/company/sz/300531/300531/detail</t>
  </si>
  <si>
    <t>佩蒂股份</t>
  </si>
  <si>
    <t>宠物食品</t>
  </si>
  <si>
    <t>www.lixinger.com/analytics/company/sz/300673/300673/detail</t>
  </si>
  <si>
    <t>天和防务</t>
  </si>
  <si>
    <t>www.lixinger.com/analytics/company/sz/300397/300397/detail</t>
  </si>
  <si>
    <t>显盈科技</t>
  </si>
  <si>
    <t>www.lixinger.com/analytics/company/sz/301067/301067/detail</t>
  </si>
  <si>
    <t>派林生物</t>
  </si>
  <si>
    <t>www.lixinger.com/analytics/company/sz/000403/403/detail</t>
  </si>
  <si>
    <t>世茂能源</t>
  </si>
  <si>
    <t>www.lixinger.com/analytics/company/sh/605028/605028/detail</t>
  </si>
  <si>
    <t>天娱数科</t>
  </si>
  <si>
    <t>www.lixinger.com/analytics/company/sz/002354/2354/detail</t>
  </si>
  <si>
    <t>壹网壹创</t>
  </si>
  <si>
    <t>电商服务</t>
  </si>
  <si>
    <t>www.lixinger.com/analytics/company/sz/300792/300792/detail</t>
  </si>
  <si>
    <t>鸥玛软件</t>
  </si>
  <si>
    <t>www.lixinger.com/analytics/company/sz/301185/301185/detail</t>
  </si>
  <si>
    <t>丽江股份</t>
  </si>
  <si>
    <t>www.lixinger.com/analytics/company/sz/002033/2033/detail</t>
  </si>
  <si>
    <t>三川智慧</t>
  </si>
  <si>
    <t>www.lixinger.com/analytics/company/sz/300066/300066/detail</t>
  </si>
  <si>
    <t>奥精医疗</t>
  </si>
  <si>
    <t>www.lixinger.com/analytics/company/sh/688613/688613/detail</t>
  </si>
  <si>
    <t>锐明技术</t>
  </si>
  <si>
    <t>www.lixinger.com/analytics/company/sz/002970/2970/detail</t>
  </si>
  <si>
    <t>集成电路制造</t>
  </si>
  <si>
    <t>www.lixinger.com/analytics/company/sh/688981/688981/detail</t>
  </si>
  <si>
    <t>远翔新材</t>
  </si>
  <si>
    <t>炭黑</t>
  </si>
  <si>
    <t>www.lixinger.com/analytics/company/sz/301300/301300/detail</t>
  </si>
  <si>
    <t>徐家汇</t>
  </si>
  <si>
    <t>百货</t>
  </si>
  <si>
    <t>www.lixinger.com/analytics/company/sz/002561/2561/detail</t>
  </si>
  <si>
    <t>福元医药</t>
  </si>
  <si>
    <t>www.lixinger.com/analytics/company/sh/601089/601089/detail</t>
  </si>
  <si>
    <t>朗玛信息</t>
  </si>
  <si>
    <t>www.lixinger.com/analytics/company/sz/300288/300288/detail</t>
  </si>
  <si>
    <t>中船应急</t>
  </si>
  <si>
    <t>www.lixinger.com/analytics/company/sz/300527/300527/detail</t>
  </si>
  <si>
    <t>海创药业</t>
  </si>
  <si>
    <t>www.lixinger.com/analytics/company/sh/688302/688302/detail</t>
  </si>
  <si>
    <t>武汉凡谷</t>
  </si>
  <si>
    <t>www.lixinger.com/analytics/company/sz/002194/2194/detail</t>
  </si>
  <si>
    <t>江中药业</t>
  </si>
  <si>
    <t>www.lixinger.com/analytics/company/sh/600750/600750/detail</t>
  </si>
  <si>
    <t>力诺特玻</t>
  </si>
  <si>
    <t>www.lixinger.com/analytics/company/sz/301188/301188/detail</t>
  </si>
  <si>
    <t>透景生命</t>
  </si>
  <si>
    <t>www.lixinger.com/analytics/company/sz/300642/300642/detail</t>
  </si>
  <si>
    <t>麦澜德</t>
  </si>
  <si>
    <t>www.lixinger.com/analytics/company/sh/688273/688273/detail</t>
  </si>
  <si>
    <t>莱茵生物</t>
  </si>
  <si>
    <t>www.lixinger.com/analytics/company/sz/002166/2166/detail</t>
  </si>
  <si>
    <t>何氏眼科</t>
  </si>
  <si>
    <t>医院</t>
  </si>
  <si>
    <t>www.lixinger.com/analytics/company/sz/301103/301103/detail</t>
  </si>
  <si>
    <t>捷顺科技</t>
  </si>
  <si>
    <t>www.lixinger.com/analytics/company/sz/002609/2609/detail</t>
  </si>
  <si>
    <t>网达软件</t>
  </si>
  <si>
    <t>www.lixinger.com/analytics/company/sh/603189/603189/detail</t>
  </si>
  <si>
    <t>可靠股份</t>
  </si>
  <si>
    <t>www.lixinger.com/analytics/company/sz/301009/301009/detail</t>
  </si>
  <si>
    <t>华贸物流</t>
  </si>
  <si>
    <t>跨境物流</t>
  </si>
  <si>
    <t>www.lixinger.com/analytics/company/sh/603128/603128/detail</t>
  </si>
  <si>
    <t>万讯自控</t>
  </si>
  <si>
    <t>www.lixinger.com/analytics/company/sz/300112/300112/detail</t>
  </si>
  <si>
    <t>新开源</t>
  </si>
  <si>
    <t>www.lixinger.com/analytics/company/sz/300109/300109/detail</t>
  </si>
  <si>
    <t>满坤科技</t>
  </si>
  <si>
    <t>www.lixinger.com/analytics/company/sz/301132/301132/detail</t>
  </si>
  <si>
    <t>新诺威</t>
  </si>
  <si>
    <t>www.lixinger.com/analytics/company/sz/300765/300765/detail</t>
  </si>
  <si>
    <t>新炬网络</t>
  </si>
  <si>
    <t>www.lixinger.com/analytics/company/sh/605398/605398/detail</t>
  </si>
  <si>
    <t>华安鑫创</t>
  </si>
  <si>
    <t>www.lixinger.com/analytics/company/sz/300928/300928/detail</t>
  </si>
  <si>
    <t>西麦食品</t>
  </si>
  <si>
    <t>www.lixinger.com/analytics/company/sz/002956/2956/detail</t>
  </si>
  <si>
    <t>元利科技</t>
  </si>
  <si>
    <t>www.lixinger.com/analytics/company/sh/603217/603217/detail</t>
  </si>
  <si>
    <t>伟思医疗</t>
  </si>
  <si>
    <t>www.lixinger.com/analytics/company/sh/688580/688580/detail</t>
  </si>
  <si>
    <t>科兴制药</t>
  </si>
  <si>
    <t>www.lixinger.com/analytics/company/sh/688136/688136/detail</t>
  </si>
  <si>
    <t>南极电商</t>
  </si>
  <si>
    <t>www.lixinger.com/analytics/company/sz/002127/2127/detail</t>
  </si>
  <si>
    <t>奥赛康</t>
  </si>
  <si>
    <t>www.lixinger.com/analytics/company/sz/002755/2755/detail</t>
  </si>
  <si>
    <t>信科移动</t>
  </si>
  <si>
    <t>www.lixinger.com/analytics/company/sh/688387/688387/detail</t>
  </si>
  <si>
    <t>天力锂能</t>
  </si>
  <si>
    <t>www.lixinger.com/analytics/company/sz/301152/301152/detail</t>
  </si>
  <si>
    <t>值得买</t>
  </si>
  <si>
    <t>www.lixinger.com/analytics/company/sz/300785/300785/detail</t>
  </si>
  <si>
    <t>阿尔特</t>
  </si>
  <si>
    <t>www.lixinger.com/analytics/company/sz/300825/300825/detail</t>
  </si>
  <si>
    <t>锡装股份</t>
  </si>
  <si>
    <t>能源及重型设备</t>
  </si>
  <si>
    <t>www.lixinger.com/analytics/company/sz/001332/1332/detail</t>
  </si>
  <si>
    <t>国林科技</t>
  </si>
  <si>
    <t>环保设备</t>
  </si>
  <si>
    <t>www.lixinger.com/analytics/company/sz/300786/300786/detail</t>
  </si>
  <si>
    <t>招标股份</t>
  </si>
  <si>
    <t>工程咨询服务</t>
  </si>
  <si>
    <t>www.lixinger.com/analytics/company/sz/301136/301136/detail</t>
  </si>
  <si>
    <t>致远新能</t>
  </si>
  <si>
    <t>www.lixinger.com/analytics/company/sz/300985/300985/detail</t>
  </si>
  <si>
    <t>海晨股份</t>
  </si>
  <si>
    <t>中间产品及消费品供应链服务</t>
  </si>
  <si>
    <t>www.lixinger.com/analytics/company/sz/300873/300873/detail</t>
  </si>
  <si>
    <t>金枫酒业</t>
  </si>
  <si>
    <t>其他酒类</t>
  </si>
  <si>
    <t>www.lixinger.com/analytics/company/sh/600616/600616/detail</t>
  </si>
  <si>
    <t>恒华科技</t>
  </si>
  <si>
    <t>www.lixinger.com/analytics/company/sz/300365/300365/detail</t>
  </si>
  <si>
    <t>菜百股份</t>
  </si>
  <si>
    <t>钟表珠宝</t>
  </si>
  <si>
    <t>www.lixinger.com/analytics/company/sh/605599/605599/detail</t>
  </si>
  <si>
    <t>新坐标</t>
  </si>
  <si>
    <t>www.lixinger.com/analytics/company/sh/603040/603040/detail</t>
  </si>
  <si>
    <t>珈伟新能</t>
  </si>
  <si>
    <t>www.lixinger.com/analytics/company/sz/300317/300317/detail</t>
  </si>
  <si>
    <t>悦康药业</t>
  </si>
  <si>
    <t>www.lixinger.com/analytics/company/sh/688658/688658/detail</t>
  </si>
  <si>
    <t>恒玄科技</t>
  </si>
  <si>
    <t>www.lixinger.com/analytics/company/sh/688608/688608/detail</t>
  </si>
  <si>
    <t>肇民科技</t>
  </si>
  <si>
    <t>www.lixinger.com/analytics/company/sz/301000/301000/detail</t>
  </si>
  <si>
    <t>广信股份</t>
  </si>
  <si>
    <t>www.lixinger.com/analytics/company/sh/603599/603599/detail</t>
  </si>
  <si>
    <t>中旗新材</t>
  </si>
  <si>
    <t>www.lixinger.com/analytics/company/sz/001212/1212/detail</t>
  </si>
  <si>
    <t>茂硕电源</t>
  </si>
  <si>
    <t>www.lixinger.com/analytics/company/sz/002660/2660/detail</t>
  </si>
  <si>
    <t>风光股份</t>
  </si>
  <si>
    <t>www.lixinger.com/analytics/company/sz/301100/301100/detail</t>
  </si>
  <si>
    <t>ST瀚叶</t>
  </si>
  <si>
    <t>www.lixinger.com/analytics/company/sh/600226/600226/detail</t>
  </si>
  <si>
    <t>紫建电子</t>
  </si>
  <si>
    <t>www.lixinger.com/analytics/company/sz/301121/301121/detail</t>
  </si>
  <si>
    <t>瑜欣电子</t>
  </si>
  <si>
    <t>www.lixinger.com/analytics/company/sz/301107/301107/detail</t>
  </si>
  <si>
    <t>鲁信创投</t>
  </si>
  <si>
    <t>www.lixinger.com/analytics/company/sh/600783/600783/detail</t>
  </si>
  <si>
    <t>裕兴股份</t>
  </si>
  <si>
    <t>膜材料</t>
  </si>
  <si>
    <t>www.lixinger.com/analytics/company/sz/300305/300305/detail</t>
  </si>
  <si>
    <t>海南矿业</t>
  </si>
  <si>
    <t>铁矿石</t>
  </si>
  <si>
    <t>www.lixinger.com/analytics/company/sh/601969/601969/detail</t>
  </si>
  <si>
    <t>宁波色母</t>
  </si>
  <si>
    <t>www.lixinger.com/analytics/company/sz/301019/301019/detail</t>
  </si>
  <si>
    <t>海正生材</t>
  </si>
  <si>
    <t>改性塑料</t>
  </si>
  <si>
    <t>www.lixinger.com/analytics/company/sh/688203/688203/detail</t>
  </si>
  <si>
    <t>加加食品</t>
  </si>
  <si>
    <t>调味发酵品</t>
  </si>
  <si>
    <t>www.lixinger.com/analytics/company/sz/002650/2650/detail</t>
  </si>
  <si>
    <t>民生控股</t>
  </si>
  <si>
    <t>金融控股</t>
  </si>
  <si>
    <t>www.lixinger.com/analytics/company/sz/000416/416/detail</t>
  </si>
  <si>
    <t>星华新材</t>
  </si>
  <si>
    <t>www.lixinger.com/analytics/company/sz/301077/301077/detail</t>
  </si>
  <si>
    <t>万润股份</t>
  </si>
  <si>
    <t>电子化学品</t>
  </si>
  <si>
    <t>www.lixinger.com/analytics/company/sz/002643/2643/detail</t>
  </si>
  <si>
    <t>龙高股份</t>
  </si>
  <si>
    <t>非金属材料</t>
  </si>
  <si>
    <t>www.lixinger.com/analytics/company/sh/605086/605086/detail</t>
  </si>
  <si>
    <t>中源协和</t>
  </si>
  <si>
    <t>www.lixinger.com/analytics/company/sh/600645/600645/detail</t>
  </si>
  <si>
    <t>博通集成</t>
  </si>
  <si>
    <t>www.lixinger.com/analytics/company/sh/603068/603068/detail</t>
  </si>
  <si>
    <t>华旺科技</t>
  </si>
  <si>
    <t>特种纸</t>
  </si>
  <si>
    <t>www.lixinger.com/analytics/company/sh/605377/605377/detail</t>
  </si>
  <si>
    <t>九鼎投资</t>
  </si>
  <si>
    <t>资产管理</t>
  </si>
  <si>
    <t>www.lixinger.com/analytics/company/sh/600053/600053/detail</t>
  </si>
  <si>
    <t>超越科技</t>
  </si>
  <si>
    <t>www.lixinger.com/analytics/company/sz/301049/301049/detail</t>
  </si>
  <si>
    <t>凯因科技</t>
  </si>
  <si>
    <t>www.lixinger.com/analytics/company/sh/688687/688687/detail</t>
  </si>
  <si>
    <t>丽珠集团</t>
  </si>
  <si>
    <t>www.lixinger.com/analytics/company/sz/000513/513/detail</t>
  </si>
  <si>
    <t>新开普</t>
  </si>
  <si>
    <t>www.lixinger.com/analytics/company/sz/300248/300248/detail</t>
  </si>
  <si>
    <t>诚达药业</t>
  </si>
  <si>
    <t>www.lixinger.com/analytics/company/sz/301201/301201/detail</t>
  </si>
  <si>
    <t>胜通能源</t>
  </si>
  <si>
    <t>燃气</t>
  </si>
  <si>
    <t>www.lixinger.com/analytics/company/sz/001331/1331/detail</t>
  </si>
  <si>
    <t>美迪凯</t>
  </si>
  <si>
    <t>www.lixinger.com/analytics/company/sh/688079/688079/detail</t>
  </si>
  <si>
    <t>品渥食品</t>
  </si>
  <si>
    <t>www.lixinger.com/analytics/company/sz/300892/300892/detail</t>
  </si>
  <si>
    <t>朗科智能</t>
  </si>
  <si>
    <t>www.lixinger.com/analytics/company/sz/300543/300543/detail</t>
  </si>
  <si>
    <t>绿田机械</t>
  </si>
  <si>
    <t>www.lixinger.com/analytics/company/sh/605259/605259/detail</t>
  </si>
  <si>
    <t>争光股份</t>
  </si>
  <si>
    <t>合成树脂</t>
  </si>
  <si>
    <t>www.lixinger.com/analytics/company/sz/301092/301092/detail</t>
  </si>
  <si>
    <t>若羽臣</t>
  </si>
  <si>
    <t>www.lixinger.com/analytics/company/sz/003010/3010/detail</t>
  </si>
  <si>
    <t>捷强装备</t>
  </si>
  <si>
    <t>www.lixinger.com/analytics/company/sz/300875/300875/detail</t>
  </si>
  <si>
    <t>浩云科技</t>
  </si>
  <si>
    <t>www.lixinger.com/analytics/company/sz/300448/300448/detail</t>
  </si>
  <si>
    <t>亚虹医药</t>
  </si>
  <si>
    <t>www.lixinger.com/analytics/company/sh/688176/688176/detail</t>
  </si>
  <si>
    <t>飞天诚信</t>
  </si>
  <si>
    <t>www.lixinger.com/analytics/company/sz/300386/300386/detail</t>
  </si>
  <si>
    <t>赛微电子</t>
  </si>
  <si>
    <t>www.lixinger.com/analytics/company/sz/300456/300456/detail</t>
  </si>
  <si>
    <t>九华旅游</t>
  </si>
  <si>
    <t>www.lixinger.com/analytics/company/sh/603199/603199/detail</t>
  </si>
  <si>
    <t>四维图新</t>
  </si>
  <si>
    <t>www.lixinger.com/analytics/company/sz/002405/2405/detail</t>
  </si>
  <si>
    <t>电魂网络</t>
  </si>
  <si>
    <t>www.lixinger.com/analytics/company/sh/603258/603258/detail</t>
  </si>
  <si>
    <t>灿勤科技</t>
  </si>
  <si>
    <t>www.lixinger.com/analytics/company/sh/688182/688182/detail</t>
  </si>
  <si>
    <t>新兴装备</t>
  </si>
  <si>
    <t>www.lixinger.com/analytics/company/sz/002933/2933/detail</t>
  </si>
  <si>
    <t>上海凯宝</t>
  </si>
  <si>
    <t>www.lixinger.com/analytics/company/sz/300039/300039/detail</t>
  </si>
  <si>
    <t>江苏雷利</t>
  </si>
  <si>
    <t>www.lixinger.com/analytics/company/sz/300660/300660/detail</t>
  </si>
  <si>
    <t>德昌股份</t>
  </si>
  <si>
    <t>www.lixinger.com/analytics/company/sh/605555/605555/detail</t>
  </si>
  <si>
    <t>川发龙蟒</t>
  </si>
  <si>
    <t>磷肥及磷化工</t>
  </si>
  <si>
    <t>www.lixinger.com/analytics/company/sz/002312/2312/detail</t>
  </si>
  <si>
    <t>诺德股份</t>
  </si>
  <si>
    <t>www.lixinger.com/analytics/company/sh/600110/600110/detail</t>
  </si>
  <si>
    <t>珠江钢琴</t>
  </si>
  <si>
    <t>www.lixinger.com/analytics/company/sz/002678/2678/detail</t>
  </si>
  <si>
    <t>隆扬电子</t>
  </si>
  <si>
    <t>www.lixinger.com/analytics/company/sz/301389/301389/detail</t>
  </si>
  <si>
    <t>睿昂基因</t>
  </si>
  <si>
    <t>www.lixinger.com/analytics/company/sh/688217/688217/detail</t>
  </si>
  <si>
    <t>京新药业</t>
  </si>
  <si>
    <t>www.lixinger.com/analytics/company/sz/002020/2020/detail</t>
  </si>
  <si>
    <t>万业企业</t>
  </si>
  <si>
    <t>住宅开发</t>
  </si>
  <si>
    <t>www.lixinger.com/analytics/company/sh/600641/600641/detail</t>
  </si>
  <si>
    <t>华明装备</t>
  </si>
  <si>
    <t>输变电设备</t>
  </si>
  <si>
    <t>www.lixinger.com/analytics/company/sz/002270/2270/detail</t>
  </si>
  <si>
    <t>华尔泰</t>
  </si>
  <si>
    <t>其他化学原料</t>
  </si>
  <si>
    <t>www.lixinger.com/analytics/company/sz/001217/1217/detail</t>
  </si>
  <si>
    <t>美邦股份</t>
  </si>
  <si>
    <t>www.lixinger.com/analytics/company/sh/605033/605033/detail</t>
  </si>
  <si>
    <t>仲景食品</t>
  </si>
  <si>
    <t>www.lixinger.com/analytics/company/sz/300908/300908/detail</t>
  </si>
  <si>
    <t>安博通</t>
  </si>
  <si>
    <t>www.lixinger.com/analytics/company/sh/688168/688168/detail</t>
  </si>
  <si>
    <t>欧圣电气</t>
  </si>
  <si>
    <t>www.lixinger.com/analytics/company/sz/301187/301187/detail</t>
  </si>
  <si>
    <t>南模生物</t>
  </si>
  <si>
    <t>www.lixinger.com/analytics/company/sh/688265/688265/detail</t>
  </si>
  <si>
    <t>海容冷链</t>
  </si>
  <si>
    <t>制冷空调设备</t>
  </si>
  <si>
    <t>www.lixinger.com/analytics/company/sh/603187/603187/detail</t>
  </si>
  <si>
    <t>盈建科</t>
  </si>
  <si>
    <t>www.lixinger.com/analytics/company/sz/300935/300935/detail</t>
  </si>
  <si>
    <t>万通发展</t>
  </si>
  <si>
    <t>www.lixinger.com/analytics/company/sh/600246/600246/detail</t>
  </si>
  <si>
    <t>奥海科技</t>
  </si>
  <si>
    <t>www.lixinger.com/analytics/company/sz/002993/2993/detail</t>
  </si>
  <si>
    <t>华大基因</t>
  </si>
  <si>
    <t>诊断服务</t>
  </si>
  <si>
    <t>www.lixinger.com/analytics/company/sz/300676/300676/detail</t>
  </si>
  <si>
    <t>新大陆</t>
  </si>
  <si>
    <t>www.lixinger.com/analytics/company/sz/000997/997/detail</t>
  </si>
  <si>
    <t>南新制药</t>
  </si>
  <si>
    <t>www.lixinger.com/analytics/company/sh/688189/688189/detail</t>
  </si>
  <si>
    <t>芯导科技</t>
  </si>
  <si>
    <t>www.lixinger.com/analytics/company/sh/688230/688230/detail</t>
  </si>
  <si>
    <t>统联精密</t>
  </si>
  <si>
    <t>www.lixinger.com/analytics/company/sh/688210/688210/detail</t>
  </si>
  <si>
    <t>天润乳业</t>
  </si>
  <si>
    <t>www.lixinger.com/analytics/company/sh/600419/600419/detail</t>
  </si>
  <si>
    <t>锋尚文化</t>
  </si>
  <si>
    <t>会展服务</t>
  </si>
  <si>
    <t>www.lixinger.com/analytics/company/sz/300860/300860/detail</t>
  </si>
  <si>
    <t>华蓝集团</t>
  </si>
  <si>
    <t>www.lixinger.com/analytics/company/sz/301027/301027/detail</t>
  </si>
  <si>
    <t>广电运通</t>
  </si>
  <si>
    <t>www.lixinger.com/analytics/company/sz/002152/2152/detail</t>
  </si>
  <si>
    <t>锦鸡股份</t>
  </si>
  <si>
    <t>纺织化学制品</t>
  </si>
  <si>
    <t>www.lixinger.com/analytics/company/sz/300798/300798/detail</t>
  </si>
  <si>
    <t>中国电影</t>
  </si>
  <si>
    <t>www.lixinger.com/analytics/company/sh/600977/600977/detail</t>
  </si>
  <si>
    <t>瑞尔特</t>
  </si>
  <si>
    <t>www.lixinger.com/analytics/company/sz/002790/2790/detail</t>
  </si>
  <si>
    <t>龙源技术</t>
  </si>
  <si>
    <t>火电设备</t>
  </si>
  <si>
    <t>www.lixinger.com/analytics/company/sz/300105/300105/detail</t>
  </si>
  <si>
    <t>冠石科技</t>
  </si>
  <si>
    <t>www.lixinger.com/analytics/company/sh/605588/605588/detail</t>
  </si>
  <si>
    <t>汉威科技</t>
  </si>
  <si>
    <t>www.lixinger.com/analytics/company/sz/300007/300007/detail</t>
  </si>
  <si>
    <t>威创股份</t>
  </si>
  <si>
    <t>www.lixinger.com/analytics/company/sz/002308/2308/detail</t>
  </si>
  <si>
    <t>浙江恒威</t>
  </si>
  <si>
    <t>www.lixinger.com/analytics/company/sz/301222/301222/detail</t>
  </si>
  <si>
    <t>金溢科技</t>
  </si>
  <si>
    <t>其他电子</t>
  </si>
  <si>
    <t>www.lixinger.com/analytics/company/sz/002869/2869/detail</t>
  </si>
  <si>
    <t>晶华微</t>
  </si>
  <si>
    <t>www.lixinger.com/analytics/company/sh/688130/688130/detail</t>
  </si>
  <si>
    <t>康弘药业</t>
  </si>
  <si>
    <t>www.lixinger.com/analytics/company/sz/002773/2773/detail</t>
  </si>
  <si>
    <t>纳尔股份</t>
  </si>
  <si>
    <t>www.lixinger.com/analytics/company/sz/002825/2825/detail</t>
  </si>
  <si>
    <t>上海新阳</t>
  </si>
  <si>
    <t>www.lixinger.com/analytics/company/sz/300236/300236/detail</t>
  </si>
  <si>
    <t>江苏博云</t>
  </si>
  <si>
    <t>www.lixinger.com/analytics/company/sz/301003/301003/detail</t>
  </si>
  <si>
    <t>宏德股份</t>
  </si>
  <si>
    <t>风电零部件</t>
  </si>
  <si>
    <t>www.lixinger.com/analytics/company/sz/301163/301163/detail</t>
  </si>
  <si>
    <t>义翘神州</t>
  </si>
  <si>
    <t>www.lixinger.com/analytics/company/sz/301047/301047/detail</t>
  </si>
  <si>
    <t>丽人丽妆</t>
  </si>
  <si>
    <t>www.lixinger.com/analytics/company/sh/605136/605136/detail</t>
  </si>
  <si>
    <t>国邦医药</t>
  </si>
  <si>
    <t>www.lixinger.com/analytics/company/sh/605507/605507/detail</t>
  </si>
  <si>
    <t>朗科科技</t>
  </si>
  <si>
    <t>www.lixinger.com/analytics/company/sz/300042/300042/detail</t>
  </si>
  <si>
    <t>赛伦生物</t>
  </si>
  <si>
    <t>www.lixinger.com/analytics/company/sh/688163/688163/detail</t>
  </si>
  <si>
    <t>梅雁吉祥</t>
  </si>
  <si>
    <t>www.lixinger.com/analytics/company/sh/600868/600868/detail</t>
  </si>
  <si>
    <t>仙琚制药</t>
  </si>
  <si>
    <t>www.lixinger.com/analytics/company/sz/002332/2332/detail</t>
  </si>
  <si>
    <t>弘讯科技</t>
  </si>
  <si>
    <t>www.lixinger.com/analytics/company/sh/603015/603015/detail</t>
  </si>
  <si>
    <t>惠泉啤酒</t>
  </si>
  <si>
    <t>啤酒</t>
  </si>
  <si>
    <t>www.lixinger.com/analytics/company/sh/600573/600573/detail</t>
  </si>
  <si>
    <t>雪迪龙</t>
  </si>
  <si>
    <t>www.lixinger.com/analytics/company/sz/002658/2658/detail</t>
  </si>
  <si>
    <t>晓程科技</t>
  </si>
  <si>
    <t>www.lixinger.com/analytics/company/sz/300139/300139/detail</t>
  </si>
  <si>
    <t>燕京啤酒</t>
  </si>
  <si>
    <t>www.lixinger.com/analytics/company/sz/000729/729/detail</t>
  </si>
  <si>
    <t>航天工程</t>
  </si>
  <si>
    <t>www.lixinger.com/analytics/company/sh/603698/603698/detail</t>
  </si>
  <si>
    <t>当虹科技</t>
  </si>
  <si>
    <t>www.lixinger.com/analytics/company/sh/688039/688039/detail</t>
  </si>
  <si>
    <t>水晶光电</t>
  </si>
  <si>
    <t>www.lixinger.com/analytics/company/sz/002273/2273/detail</t>
  </si>
  <si>
    <t>能科科技</t>
  </si>
  <si>
    <t>www.lixinger.com/analytics/company/sh/603859/603859/detail</t>
  </si>
  <si>
    <t>生物股份</t>
  </si>
  <si>
    <t>动物保健</t>
  </si>
  <si>
    <t>www.lixinger.com/analytics/company/sh/600201/600201/detail</t>
  </si>
  <si>
    <t>赛微微电</t>
  </si>
  <si>
    <t>www.lixinger.com/analytics/company/sh/688325/688325/detail</t>
  </si>
  <si>
    <t>鸿博股份</t>
  </si>
  <si>
    <t>印刷</t>
  </si>
  <si>
    <t>www.lixinger.com/analytics/company/sz/002229/2229/detail</t>
  </si>
  <si>
    <t>新宝股份</t>
  </si>
  <si>
    <t>www.lixinger.com/analytics/company/sz/002705/2705/detail</t>
  </si>
  <si>
    <t>黄山旅游</t>
  </si>
  <si>
    <t>www.lixinger.com/analytics/company/sh/600054/600054/detail</t>
  </si>
  <si>
    <t>汉得信息</t>
  </si>
  <si>
    <t>www.lixinger.com/analytics/company/sz/300170/300170/detail</t>
  </si>
  <si>
    <t>乐心医疗</t>
  </si>
  <si>
    <t>www.lixinger.com/analytics/company/sz/300562/300562/detail</t>
  </si>
  <si>
    <t>强力新材</t>
  </si>
  <si>
    <t>www.lixinger.com/analytics/company/sz/300429/300429/detail</t>
  </si>
  <si>
    <t>中胤时尚</t>
  </si>
  <si>
    <t>非运动服装</t>
  </si>
  <si>
    <t>www.lixinger.com/analytics/company/sz/300901/300901/detail</t>
  </si>
  <si>
    <t>哈三联</t>
  </si>
  <si>
    <t>www.lixinger.com/analytics/company/sz/002900/2900/detail</t>
  </si>
  <si>
    <t>佳隆股份</t>
  </si>
  <si>
    <t>www.lixinger.com/analytics/company/sz/002495/2495/detail</t>
  </si>
  <si>
    <t>香飘飘</t>
  </si>
  <si>
    <t>软饮料</t>
  </si>
  <si>
    <t>www.lixinger.com/analytics/company/sh/603711/603711/detail</t>
  </si>
  <si>
    <t>新国都</t>
  </si>
  <si>
    <t>www.lixinger.com/analytics/company/sz/300130/300130/detail</t>
  </si>
  <si>
    <t>科捷智能</t>
  </si>
  <si>
    <t>www.lixinger.com/analytics/company/sh/688455/688455/detail</t>
  </si>
  <si>
    <t>捷邦科技</t>
  </si>
  <si>
    <t>www.lixinger.com/analytics/company/sz/301326/301326/detail</t>
  </si>
  <si>
    <t>思林杰</t>
  </si>
  <si>
    <t>www.lixinger.com/analytics/company/sh/688115/688115/detail</t>
  </si>
  <si>
    <t>联特科技</t>
  </si>
  <si>
    <t>www.lixinger.com/analytics/company/sz/301205/301205/detail</t>
  </si>
  <si>
    <t>安达智能</t>
  </si>
  <si>
    <t>www.lixinger.com/analytics/company/sh/688125/688125/detail</t>
  </si>
  <si>
    <t>亚香股份</t>
  </si>
  <si>
    <t>www.lixinger.com/analytics/company/sz/301220/301220/detail</t>
  </si>
  <si>
    <t>可川科技</t>
  </si>
  <si>
    <t>www.lixinger.com/analytics/company/sh/603052/603052/detail</t>
  </si>
  <si>
    <t>上海九百</t>
  </si>
  <si>
    <t>多业态零售</t>
  </si>
  <si>
    <t>www.lixinger.com/analytics/company/sh/600838/600838/detail</t>
  </si>
  <si>
    <t>优刻得</t>
  </si>
  <si>
    <t>www.lixinger.com/analytics/company/sh/688158/688158/detail</t>
  </si>
  <si>
    <t>安联锐视</t>
  </si>
  <si>
    <t>www.lixinger.com/analytics/company/sz/301042/301042/detail</t>
  </si>
  <si>
    <t>东方中科</t>
  </si>
  <si>
    <t>www.lixinger.com/analytics/company/sz/002819/2819/detail</t>
  </si>
  <si>
    <t>富士莱</t>
  </si>
  <si>
    <t>www.lixinger.com/analytics/company/sz/301258/301258/detail</t>
  </si>
  <si>
    <t>华润双鹤</t>
  </si>
  <si>
    <t>www.lixinger.com/analytics/company/sh/600062/600062/detail</t>
  </si>
  <si>
    <t>中科海讯</t>
  </si>
  <si>
    <t>www.lixinger.com/analytics/company/sz/300810/300810/detail</t>
  </si>
  <si>
    <t>迈拓股份</t>
  </si>
  <si>
    <t>www.lixinger.com/analytics/company/sz/301006/301006/detail</t>
  </si>
  <si>
    <t>康普顿</t>
  </si>
  <si>
    <t>其他石化</t>
  </si>
  <si>
    <t>www.lixinger.com/analytics/company/sh/603798/603798/detail</t>
  </si>
  <si>
    <t>地素时尚</t>
  </si>
  <si>
    <t>www.lixinger.com/analytics/company/sh/603587/603587/detail</t>
  </si>
  <si>
    <t>大东南</t>
  </si>
  <si>
    <t>www.lixinger.com/analytics/company/sz/002263/2263/detail</t>
  </si>
  <si>
    <t>华宝股份</t>
  </si>
  <si>
    <t>www.lixinger.com/analytics/company/sz/300741/300741/detail</t>
  </si>
  <si>
    <t>九丰能源</t>
  </si>
  <si>
    <t>www.lixinger.com/analytics/company/sh/605090/605090/detail</t>
  </si>
  <si>
    <t>杰创智能</t>
  </si>
  <si>
    <t>www.lixinger.com/analytics/company/sz/301248/301248/detail</t>
  </si>
  <si>
    <t>威派格</t>
  </si>
  <si>
    <t>www.lixinger.com/analytics/company/sh/603956/603956/detail</t>
  </si>
  <si>
    <t>湖南发展</t>
  </si>
  <si>
    <t>水力发电</t>
  </si>
  <si>
    <t>www.lixinger.com/analytics/company/sz/000722/722/detail</t>
  </si>
  <si>
    <t>巨星科技</t>
  </si>
  <si>
    <t>www.lixinger.com/analytics/company/sz/002444/2444/detail</t>
  </si>
  <si>
    <t>博云新材</t>
  </si>
  <si>
    <t>www.lixinger.com/analytics/company/sz/002297/2297/detail</t>
  </si>
  <si>
    <t>甘李药业</t>
  </si>
  <si>
    <t>www.lixinger.com/analytics/company/sh/603087/603087/detail</t>
  </si>
  <si>
    <t>吉大通信</t>
  </si>
  <si>
    <t>通信工程及服务</t>
  </si>
  <si>
    <t>www.lixinger.com/analytics/company/sz/300597/300597/detail</t>
  </si>
  <si>
    <t>长龄液压</t>
  </si>
  <si>
    <t>www.lixinger.com/analytics/company/sh/605389/605389/detail</t>
  </si>
  <si>
    <t>神驰机电</t>
  </si>
  <si>
    <t>www.lixinger.com/analytics/company/sh/603109/603109/detail</t>
  </si>
  <si>
    <t>蕾奥规划</t>
  </si>
  <si>
    <t>www.lixinger.com/analytics/company/sz/300989/300989/detail</t>
  </si>
  <si>
    <t>天源环保</t>
  </si>
  <si>
    <t>水务及水治理</t>
  </si>
  <si>
    <t>www.lixinger.com/analytics/company/sz/301127/301127/detail</t>
  </si>
  <si>
    <t>深纺织Ａ</t>
  </si>
  <si>
    <t>www.lixinger.com/analytics/company/sz/000045/45/detail</t>
  </si>
  <si>
    <t>建新股份</t>
  </si>
  <si>
    <t>www.lixinger.com/analytics/company/sz/300107/300107/detail</t>
  </si>
  <si>
    <t>百合股份</t>
  </si>
  <si>
    <t>www.lixinger.com/analytics/company/sh/603102/603102/detail</t>
  </si>
  <si>
    <t>泰和科技</t>
  </si>
  <si>
    <t>www.lixinger.com/analytics/company/sz/300801/300801/detail</t>
  </si>
  <si>
    <t>工大科雅</t>
  </si>
  <si>
    <t>www.lixinger.com/analytics/company/sz/301197/301197/detail</t>
  </si>
  <si>
    <t>常润股份</t>
  </si>
  <si>
    <t>www.lixinger.com/analytics/company/sh/603201/603201/detail</t>
  </si>
  <si>
    <t>恒宇信通</t>
  </si>
  <si>
    <t>www.lixinger.com/analytics/company/sz/300965/300965/detail</t>
  </si>
  <si>
    <t>峨眉山Ａ</t>
  </si>
  <si>
    <t>www.lixinger.com/analytics/company/sz/000888/888/detail</t>
  </si>
  <si>
    <t>格灵深瞳</t>
  </si>
  <si>
    <t>www.lixinger.com/analytics/company/sh/688207/688207/detail</t>
  </si>
  <si>
    <t>开普检测</t>
  </si>
  <si>
    <t>www.lixinger.com/analytics/company/sz/003008/3008/detail</t>
  </si>
  <si>
    <t>线上线下</t>
  </si>
  <si>
    <t>www.lixinger.com/analytics/company/sz/300959/300959/detail</t>
  </si>
  <si>
    <t>中国高科</t>
  </si>
  <si>
    <t>培训教育</t>
  </si>
  <si>
    <t>www.lixinger.com/analytics/company/sh/600730/600730/detail</t>
  </si>
  <si>
    <t>宝莱特</t>
  </si>
  <si>
    <t>www.lixinger.com/analytics/company/sz/300246/300246/detail</t>
  </si>
  <si>
    <t>渝三峡Ａ</t>
  </si>
  <si>
    <t>涂料油墨</t>
  </si>
  <si>
    <t>www.lixinger.com/analytics/company/sz/000565/565/detail</t>
  </si>
  <si>
    <t>海星股份</t>
  </si>
  <si>
    <t>www.lixinger.com/analytics/company/sh/603115/603115/detail</t>
  </si>
  <si>
    <t>华纳药厂</t>
  </si>
  <si>
    <t>www.lixinger.com/analytics/company/sh/688799/688799/detail</t>
  </si>
  <si>
    <t>华盛锂电</t>
  </si>
  <si>
    <t>www.lixinger.com/analytics/company/sh/688353/688353/detail</t>
  </si>
  <si>
    <t>新华锦</t>
  </si>
  <si>
    <t>其他饰品</t>
  </si>
  <si>
    <t>www.lixinger.com/analytics/company/sh/600735/600735/detail</t>
  </si>
  <si>
    <t>光庭信息</t>
  </si>
  <si>
    <t>www.lixinger.com/analytics/company/sz/301221/301221/detail</t>
  </si>
  <si>
    <t>鸿富瀚</t>
  </si>
  <si>
    <t>www.lixinger.com/analytics/company/sz/301086/301086/detail</t>
  </si>
  <si>
    <t>宏昌电子</t>
  </si>
  <si>
    <t>www.lixinger.com/analytics/company/sh/603002/603002/detail</t>
  </si>
  <si>
    <t>得利斯</t>
  </si>
  <si>
    <t>www.lixinger.com/analytics/company/sz/002330/2330/detail</t>
  </si>
  <si>
    <t>博瑞传播</t>
  </si>
  <si>
    <t>教育运营及其他</t>
  </si>
  <si>
    <t>www.lixinger.com/analytics/company/sh/600880/600880/detail</t>
  </si>
  <si>
    <t>丰山集团</t>
  </si>
  <si>
    <t>www.lixinger.com/analytics/company/sh/603810/603810/detail</t>
  </si>
  <si>
    <t>嘉诚国际</t>
  </si>
  <si>
    <t>www.lixinger.com/analytics/company/sh/603535/603535/detail</t>
  </si>
  <si>
    <t>善水科技</t>
  </si>
  <si>
    <t>www.lixinger.com/analytics/company/sz/301190/301190/detail</t>
  </si>
  <si>
    <t>开普云</t>
  </si>
  <si>
    <t>www.lixinger.com/analytics/company/sh/688228/688228/detail</t>
  </si>
  <si>
    <t>金房节能</t>
  </si>
  <si>
    <t>www.lixinger.com/analytics/company/sz/001210/1210/detail</t>
  </si>
  <si>
    <t>宁波富达</t>
  </si>
  <si>
    <t>www.lixinger.com/analytics/company/sh/600724/600724/detail</t>
  </si>
  <si>
    <t>张裕Ａ</t>
  </si>
  <si>
    <t>www.lixinger.com/analytics/company/sz/000869/869/detail</t>
  </si>
  <si>
    <t>罗曼股份</t>
  </si>
  <si>
    <t>其他专业工程</t>
  </si>
  <si>
    <t>www.lixinger.com/analytics/company/sh/605289/605289/detail</t>
  </si>
  <si>
    <t>一博科技</t>
  </si>
  <si>
    <t>www.lixinger.com/analytics/company/sz/301366/301366/detail</t>
  </si>
  <si>
    <t>海特生物</t>
  </si>
  <si>
    <t>www.lixinger.com/analytics/company/sz/300683/300683/detail</t>
  </si>
  <si>
    <t>炬芯科技</t>
  </si>
  <si>
    <t>www.lixinger.com/analytics/company/sh/688049/688049/detail</t>
  </si>
  <si>
    <t>优宁维</t>
  </si>
  <si>
    <t>www.lixinger.com/analytics/company/sz/301166/301166/detail</t>
  </si>
  <si>
    <t>保税科技</t>
  </si>
  <si>
    <t>仓储物流</t>
  </si>
  <si>
    <t>www.lixinger.com/analytics/company/sh/600794/600794/detail</t>
  </si>
  <si>
    <t>天舟文化</t>
  </si>
  <si>
    <t>www.lixinger.com/analytics/company/sz/300148/300148/detail</t>
  </si>
  <si>
    <t>恒信东方</t>
  </si>
  <si>
    <t>www.lixinger.com/analytics/company/sz/300081/300081/detail</t>
  </si>
  <si>
    <t>莱美药业</t>
  </si>
  <si>
    <t>www.lixinger.com/analytics/company/sz/300006/300006/detail</t>
  </si>
  <si>
    <t>中际旭创</t>
  </si>
  <si>
    <t>www.lixinger.com/analytics/company/sz/300308/300308/detail</t>
  </si>
  <si>
    <t>国脉文化</t>
  </si>
  <si>
    <t>www.lixinger.com/analytics/company/sh/600640/600640/detail</t>
  </si>
  <si>
    <t>瑞德智能</t>
  </si>
  <si>
    <t>www.lixinger.com/analytics/company/sz/301135/301135/detail</t>
  </si>
  <si>
    <t>宏力达</t>
  </si>
  <si>
    <t>www.lixinger.com/analytics/company/sh/688330/688330/detail</t>
  </si>
  <si>
    <t>贝仕达克</t>
  </si>
  <si>
    <t>www.lixinger.com/analytics/company/sz/300822/300822/detail</t>
  </si>
  <si>
    <t>大胜达</t>
  </si>
  <si>
    <t>纸包装</t>
  </si>
  <si>
    <t>www.lixinger.com/analytics/company/sh/603687/603687/detail</t>
  </si>
  <si>
    <t>东航物流</t>
  </si>
  <si>
    <t>www.lixinger.com/analytics/company/sh/601156/601156/detail</t>
  </si>
  <si>
    <t>中泰股份</t>
  </si>
  <si>
    <t>www.lixinger.com/analytics/company/sz/300435/300435/detail</t>
  </si>
  <si>
    <t>掌趣科技</t>
  </si>
  <si>
    <t>www.lixinger.com/analytics/company/sz/300315/300315/detail</t>
  </si>
  <si>
    <t>神奇制药</t>
  </si>
  <si>
    <t>www.lixinger.com/analytics/company/sh/600613/600613/detail</t>
  </si>
  <si>
    <t>安居宝</t>
  </si>
  <si>
    <t>www.lixinger.com/analytics/company/sz/300155/300155/detail</t>
  </si>
  <si>
    <t>振德医疗</t>
  </si>
  <si>
    <t>www.lixinger.com/analytics/company/sh/603301/603301/detail</t>
  </si>
  <si>
    <t>北陆药业</t>
  </si>
  <si>
    <t>www.lixinger.com/analytics/company/sz/300016/300016/detail</t>
  </si>
  <si>
    <t>高凌信息</t>
  </si>
  <si>
    <t>www.lixinger.com/analytics/company/sh/688175/688175/detail</t>
  </si>
  <si>
    <t>恒银科技</t>
  </si>
  <si>
    <t>www.lixinger.com/analytics/company/sh/603106/603106/detail</t>
  </si>
  <si>
    <t>万盛股份</t>
  </si>
  <si>
    <t>www.lixinger.com/analytics/company/sh/603010/603010/detail</t>
  </si>
  <si>
    <t>品高股份</t>
  </si>
  <si>
    <t>www.lixinger.com/analytics/company/sh/688227/688227/detail</t>
  </si>
  <si>
    <t>博拓生物</t>
  </si>
  <si>
    <t>www.lixinger.com/analytics/company/sh/688767/688767/detail</t>
  </si>
  <si>
    <t>长华集团</t>
  </si>
  <si>
    <t>www.lixinger.com/analytics/company/sh/605018/605018/detail</t>
  </si>
  <si>
    <t>华生科技</t>
  </si>
  <si>
    <t>www.lixinger.com/analytics/company/sh/605180/605180/detail</t>
  </si>
  <si>
    <t>东软载波</t>
  </si>
  <si>
    <t>www.lixinger.com/analytics/company/sz/300183/300183/detail</t>
  </si>
  <si>
    <t>如通股份</t>
  </si>
  <si>
    <t>www.lixinger.com/analytics/company/sh/603036/603036/detail</t>
  </si>
  <si>
    <t>康为世纪</t>
  </si>
  <si>
    <t>www.lixinger.com/analytics/company/sh/688426/688426/detail</t>
  </si>
  <si>
    <t>超达装备</t>
  </si>
  <si>
    <t>www.lixinger.com/analytics/company/sz/301186/301186/detail</t>
  </si>
  <si>
    <t>铜冠铜箔</t>
  </si>
  <si>
    <t>www.lixinger.com/analytics/company/sz/301217/301217/detail</t>
  </si>
  <si>
    <t>神州泰岳</t>
  </si>
  <si>
    <t>www.lixinger.com/analytics/company/sz/300002/300002/detail</t>
  </si>
  <si>
    <t>新天然气</t>
  </si>
  <si>
    <t>www.lixinger.com/analytics/company/sh/603393/603393/detail</t>
  </si>
  <si>
    <t>建业股份</t>
  </si>
  <si>
    <t>www.lixinger.com/analytics/company/sh/603948/603948/detail</t>
  </si>
  <si>
    <t>恒烁股份</t>
  </si>
  <si>
    <t>www.lixinger.com/analytics/company/sh/688416/688416/detail</t>
  </si>
  <si>
    <t>万得凯</t>
  </si>
  <si>
    <t>www.lixinger.com/analytics/company/sz/301309/301309/detail</t>
  </si>
  <si>
    <t>劲旅环境</t>
  </si>
  <si>
    <t>www.lixinger.com/analytics/company/sz/001230/1230/detail</t>
  </si>
  <si>
    <t>复洁环保</t>
  </si>
  <si>
    <t>www.lixinger.com/analytics/company/sh/688335/688335/detail</t>
  </si>
  <si>
    <t>森鹰窗业</t>
  </si>
  <si>
    <t>定制家居</t>
  </si>
  <si>
    <t>www.lixinger.com/analytics/company/sz/301227/301227/detail</t>
  </si>
  <si>
    <t>中信出版</t>
  </si>
  <si>
    <t>大众出版</t>
  </si>
  <si>
    <t>www.lixinger.com/analytics/company/sz/300788/300788/detail</t>
  </si>
  <si>
    <t>会稽山</t>
  </si>
  <si>
    <t>www.lixinger.com/analytics/company/sh/601579/601579/detail</t>
  </si>
  <si>
    <t>汇纳科技</t>
  </si>
  <si>
    <t>www.lixinger.com/analytics/company/sz/300609/300609/detail</t>
  </si>
  <si>
    <t>游族网络</t>
  </si>
  <si>
    <t>www.lixinger.com/analytics/company/sz/002174/2174/detail</t>
  </si>
  <si>
    <t>四方科技</t>
  </si>
  <si>
    <t>www.lixinger.com/analytics/company/sh/603339/603339/detail</t>
  </si>
  <si>
    <t>骏成科技</t>
  </si>
  <si>
    <t>www.lixinger.com/analytics/company/sz/301106/301106/detail</t>
  </si>
  <si>
    <t>雅运股份</t>
  </si>
  <si>
    <t>www.lixinger.com/analytics/company/sh/603790/603790/detail</t>
  </si>
  <si>
    <t>英诺特</t>
  </si>
  <si>
    <t>www.lixinger.com/analytics/company/sh/688253/688253/detail</t>
  </si>
  <si>
    <t>三江购物</t>
  </si>
  <si>
    <t>超市</t>
  </si>
  <si>
    <t>www.lixinger.com/analytics/company/sh/601116/601116/detail</t>
  </si>
  <si>
    <t>洪通燃气</t>
  </si>
  <si>
    <t>www.lixinger.com/analytics/company/sh/605169/605169/detail</t>
  </si>
  <si>
    <t>腾远钴业</t>
  </si>
  <si>
    <t>钴</t>
  </si>
  <si>
    <t>www.lixinger.com/analytics/company/sz/301219/301219/detail</t>
  </si>
  <si>
    <t>万润新能</t>
  </si>
  <si>
    <t>www.lixinger.com/analytics/company/sh/688275/688275/detail</t>
  </si>
  <si>
    <t>耐普矿机</t>
  </si>
  <si>
    <t>www.lixinger.com/analytics/company/sz/300818/300818/detail</t>
  </si>
  <si>
    <t>雷迪克</t>
  </si>
  <si>
    <t>www.lixinger.com/analytics/company/sz/300652/300652/detail</t>
  </si>
  <si>
    <t>电声股份</t>
  </si>
  <si>
    <t>www.lixinger.com/analytics/company/sz/300805/300805/detail</t>
  </si>
  <si>
    <t>维海德</t>
  </si>
  <si>
    <t>www.lixinger.com/analytics/company/sz/301318/301318/detail</t>
  </si>
  <si>
    <t>中国国贸</t>
  </si>
  <si>
    <t>商业地产</t>
  </si>
  <si>
    <t>www.lixinger.com/analytics/company/sh/600007/600007/detail</t>
  </si>
  <si>
    <t>青木股份</t>
  </si>
  <si>
    <t>www.lixinger.com/analytics/company/sz/301110/301110/detail</t>
  </si>
  <si>
    <t>新光光电</t>
  </si>
  <si>
    <t>www.lixinger.com/analytics/company/sh/688011/688011/detail</t>
  </si>
  <si>
    <t>赛科希德</t>
  </si>
  <si>
    <t>www.lixinger.com/analytics/company/sh/688338/688338/detail</t>
  </si>
  <si>
    <t>毕得医药</t>
  </si>
  <si>
    <t>www.lixinger.com/analytics/company/sh/688073/688073/detail</t>
  </si>
  <si>
    <t>圣湘生物</t>
  </si>
  <si>
    <t>www.lixinger.com/analytics/company/sh/688289/688289/detail</t>
  </si>
  <si>
    <t>金花股份</t>
  </si>
  <si>
    <t>www.lixinger.com/analytics/company/sh/600080/600080/detail</t>
  </si>
  <si>
    <t>中一科技</t>
  </si>
  <si>
    <t>www.lixinger.com/analytics/company/sz/301150/301150/detail</t>
  </si>
  <si>
    <t>智莱科技</t>
  </si>
  <si>
    <t>www.lixinger.com/analytics/company/sz/300771/300771/detail</t>
  </si>
  <si>
    <t>彩虹集团</t>
  </si>
  <si>
    <t>www.lixinger.com/analytics/company/sz/003023/3023/detail</t>
  </si>
  <si>
    <t>汇宇制药</t>
  </si>
  <si>
    <t>www.lixinger.com/analytics/company/sh/688553/688553/detail</t>
  </si>
  <si>
    <t>凯恩股份</t>
  </si>
  <si>
    <t>www.lixinger.com/analytics/company/sz/002012/2012/detail</t>
  </si>
  <si>
    <t>上海凤凰</t>
  </si>
  <si>
    <t>其他运输设备</t>
  </si>
  <si>
    <t>www.lixinger.com/analytics/company/sh/600679/600679/detail</t>
  </si>
  <si>
    <t>粤高速Ａ</t>
  </si>
  <si>
    <t>高速公路</t>
  </si>
  <si>
    <t>www.lixinger.com/analytics/company/sz/000429/429/detail</t>
  </si>
  <si>
    <t>陕西煤业</t>
  </si>
  <si>
    <t>动力煤</t>
  </si>
  <si>
    <t>www.lixinger.com/analytics/company/sh/601225/601225/detail</t>
  </si>
  <si>
    <t>格林精密</t>
  </si>
  <si>
    <t>www.lixinger.com/analytics/company/sz/300968/300968/detail</t>
  </si>
  <si>
    <t>本立科技</t>
  </si>
  <si>
    <t>www.lixinger.com/analytics/company/sz/301065/301065/detail</t>
  </si>
  <si>
    <t>莎普爱思</t>
  </si>
  <si>
    <t>www.lixinger.com/analytics/company/sh/603168/603168/detail</t>
  </si>
  <si>
    <t>珠江啤酒</t>
  </si>
  <si>
    <t>www.lixinger.com/analytics/company/sz/002461/2461/detail</t>
  </si>
  <si>
    <t>众望布艺</t>
  </si>
  <si>
    <t>家纺</t>
  </si>
  <si>
    <t>www.lixinger.com/analytics/company/sh/605003/605003/detail</t>
  </si>
  <si>
    <t>金富科技</t>
  </si>
  <si>
    <t>塑料包装</t>
  </si>
  <si>
    <t>www.lixinger.com/analytics/company/sz/003018/3018/detail</t>
  </si>
  <si>
    <t>逸豪新材</t>
  </si>
  <si>
    <t>www.lixinger.com/analytics/company/sz/301176/301176/detail</t>
  </si>
  <si>
    <t>怡球资源</t>
  </si>
  <si>
    <t>www.lixinger.com/analytics/company/sh/601388/601388/detail</t>
  </si>
  <si>
    <t>建科股份</t>
  </si>
  <si>
    <t>www.lixinger.com/analytics/company/sz/301115/301115/detail</t>
  </si>
  <si>
    <t>元道通信</t>
  </si>
  <si>
    <t>www.lixinger.com/analytics/company/sz/301139/301139/detail</t>
  </si>
  <si>
    <t>凯利泰</t>
  </si>
  <si>
    <t>www.lixinger.com/analytics/company/sz/300326/300326/detail</t>
  </si>
  <si>
    <t>中科蓝讯</t>
  </si>
  <si>
    <t>www.lixinger.com/analytics/company/sh/688332/688332/detail</t>
  </si>
  <si>
    <t>华新环保</t>
  </si>
  <si>
    <t>www.lixinger.com/analytics/company/sz/301265/301265/detail</t>
  </si>
  <si>
    <t>银河电子</t>
  </si>
  <si>
    <t>www.lixinger.com/analytics/company/sz/002519/2519/detail</t>
  </si>
  <si>
    <t>中兴商业</t>
  </si>
  <si>
    <t>www.lixinger.com/analytics/company/sz/000715/715/detail</t>
  </si>
  <si>
    <t>远方信息</t>
  </si>
  <si>
    <t>www.lixinger.com/analytics/company/sz/300306/300306/detail</t>
  </si>
  <si>
    <t>通达电气</t>
  </si>
  <si>
    <t>www.lixinger.com/analytics/company/sh/603390/603390/detail</t>
  </si>
  <si>
    <t>天玑科技</t>
  </si>
  <si>
    <t>www.lixinger.com/analytics/company/sz/300245/300245/detail</t>
  </si>
  <si>
    <t>三生国健</t>
  </si>
  <si>
    <t>www.lixinger.com/analytics/company/sh/688336/688336/detail</t>
  </si>
  <si>
    <t>真爱美家</t>
  </si>
  <si>
    <t>www.lixinger.com/analytics/company/sz/003041/3041/detail</t>
  </si>
  <si>
    <t>五方光电</t>
  </si>
  <si>
    <t>www.lixinger.com/analytics/company/sz/002962/2962/detail</t>
  </si>
  <si>
    <t>金道科技</t>
  </si>
  <si>
    <t>www.lixinger.com/analytics/company/sz/301279/301279/detail</t>
  </si>
  <si>
    <t>拉芳家化</t>
  </si>
  <si>
    <t>品牌化妆品</t>
  </si>
  <si>
    <t>www.lixinger.com/analytics/company/sh/603630/603630/detail</t>
  </si>
  <si>
    <t>佳士科技</t>
  </si>
  <si>
    <t>www.lixinger.com/analytics/company/sz/300193/300193/detail</t>
  </si>
  <si>
    <t>读者传媒</t>
  </si>
  <si>
    <t>www.lixinger.com/analytics/company/sh/603999/603999/detail</t>
  </si>
  <si>
    <t>燕麦科技</t>
  </si>
  <si>
    <t>www.lixinger.com/analytics/company/sh/688312/688312/detail</t>
  </si>
  <si>
    <t>健康元</t>
  </si>
  <si>
    <t>www.lixinger.com/analytics/company/sh/600380/600380/detail</t>
  </si>
  <si>
    <t>国风新材</t>
  </si>
  <si>
    <t>www.lixinger.com/analytics/company/sz/000859/859/detail</t>
  </si>
  <si>
    <t>数码视讯</t>
  </si>
  <si>
    <t>www.lixinger.com/analytics/company/sz/300079/300079/detail</t>
  </si>
  <si>
    <t>矩阵股份</t>
  </si>
  <si>
    <t>www.lixinger.com/analytics/company/sz/301365/301365/detail</t>
  </si>
  <si>
    <t>bj</t>
  </si>
  <si>
    <t>华岭股份</t>
  </si>
  <si>
    <t>集成电路封测</t>
  </si>
  <si>
    <t>www.lixinger.com/analytics/company/bj/430139/430139/detail</t>
  </si>
  <si>
    <t>江苏索普</t>
  </si>
  <si>
    <t>煤化工</t>
  </si>
  <si>
    <t>www.lixinger.com/analytics/company/sh/600746/600746/detail</t>
  </si>
  <si>
    <t>奕东电子</t>
  </si>
  <si>
    <t>www.lixinger.com/analytics/company/sz/301123/301123/detail</t>
  </si>
  <si>
    <t>利德曼</t>
  </si>
  <si>
    <t>www.lixinger.com/analytics/company/sz/300289/300289/detail</t>
  </si>
  <si>
    <t>博彦科技</t>
  </si>
  <si>
    <t>www.lixinger.com/analytics/company/sz/002649/2649/detail</t>
  </si>
  <si>
    <t>赛升药业</t>
  </si>
  <si>
    <t>www.lixinger.com/analytics/company/sz/300485/300485/detail</t>
  </si>
  <si>
    <t>安必平</t>
  </si>
  <si>
    <t>www.lixinger.com/analytics/company/sh/688393/688393/detail</t>
  </si>
  <si>
    <t>中自科技</t>
  </si>
  <si>
    <t>www.lixinger.com/analytics/company/sh/688737/688737/detail</t>
  </si>
  <si>
    <t>思维列控</t>
  </si>
  <si>
    <t>www.lixinger.com/analytics/company/sh/603508/603508/detail</t>
  </si>
  <si>
    <t>内蒙新华</t>
  </si>
  <si>
    <t>www.lixinger.com/analytics/company/sh/603230/603230/detail</t>
  </si>
  <si>
    <t>云南能投</t>
  </si>
  <si>
    <t>无机盐</t>
  </si>
  <si>
    <t>www.lixinger.com/analytics/company/sz/002053/2053/detail</t>
  </si>
  <si>
    <t>正丹股份</t>
  </si>
  <si>
    <t>www.lixinger.com/analytics/company/sz/300641/300641/detail</t>
  </si>
  <si>
    <t>联明股份</t>
  </si>
  <si>
    <t>www.lixinger.com/analytics/company/sh/603006/603006/detail</t>
  </si>
  <si>
    <t>恒基达鑫</t>
  </si>
  <si>
    <t>www.lixinger.com/analytics/company/sz/002492/2492/detail</t>
  </si>
  <si>
    <t>熵基科技</t>
  </si>
  <si>
    <t>www.lixinger.com/analytics/company/sz/301330/301330/detail</t>
  </si>
  <si>
    <t>智度股份</t>
  </si>
  <si>
    <t>www.lixinger.com/analytics/company/sz/000676/676/detail</t>
  </si>
  <si>
    <t>东星医疗</t>
  </si>
  <si>
    <t>www.lixinger.com/analytics/company/sz/301290/301290/detail</t>
  </si>
  <si>
    <t>乐歌股份</t>
  </si>
  <si>
    <t>www.lixinger.com/analytics/company/sz/300729/300729/detail</t>
  </si>
  <si>
    <t>三元生物</t>
  </si>
  <si>
    <t>www.lixinger.com/analytics/company/sz/301206/301206/detail</t>
  </si>
  <si>
    <t>杭华股份</t>
  </si>
  <si>
    <t>www.lixinger.com/analytics/company/sh/688571/688571/detail</t>
  </si>
  <si>
    <t>金时科技</t>
  </si>
  <si>
    <t>www.lixinger.com/analytics/company/sz/002951/2951/detail</t>
  </si>
  <si>
    <t>北元集团</t>
  </si>
  <si>
    <t>氯碱</t>
  </si>
  <si>
    <t>www.lixinger.com/analytics/company/sh/601568/601568/detail</t>
  </si>
  <si>
    <t>帅丰电器</t>
  </si>
  <si>
    <t>厨房电器</t>
  </si>
  <si>
    <t>www.lixinger.com/analytics/company/sh/605336/605336/detail</t>
  </si>
  <si>
    <t>广聚能源</t>
  </si>
  <si>
    <t>www.lixinger.com/analytics/company/sz/000096/96/detail</t>
  </si>
  <si>
    <t>广弘控股</t>
  </si>
  <si>
    <t>www.lixinger.com/analytics/company/sz/000529/529/detail</t>
  </si>
  <si>
    <t>长源东谷</t>
  </si>
  <si>
    <t>www.lixinger.com/analytics/company/sh/603950/603950/detail</t>
  </si>
  <si>
    <t>星辉环材</t>
  </si>
  <si>
    <t>www.lixinger.com/analytics/company/sz/300834/300834/detail</t>
  </si>
  <si>
    <t>和顺科技</t>
  </si>
  <si>
    <t>www.lixinger.com/analytics/company/sz/301237/301237/detail</t>
  </si>
  <si>
    <t>星湖科技</t>
  </si>
  <si>
    <t>www.lixinger.com/analytics/company/sh/600866/600866/detail</t>
  </si>
  <si>
    <t>瑞联新材</t>
  </si>
  <si>
    <t>www.lixinger.com/analytics/company/sh/688550/688550/detail</t>
  </si>
  <si>
    <t>乐凯胶片</t>
  </si>
  <si>
    <t>www.lixinger.com/analytics/company/sh/600135/600135/detail</t>
  </si>
  <si>
    <t>圣达生物</t>
  </si>
  <si>
    <t>www.lixinger.com/analytics/company/sh/603079/603079/detail</t>
  </si>
  <si>
    <t>海澜之家</t>
  </si>
  <si>
    <t>www.lixinger.com/analytics/company/sh/600398/600398/detail</t>
  </si>
  <si>
    <t>王府井</t>
  </si>
  <si>
    <t>www.lixinger.com/analytics/company/sh/600859/600859/detail</t>
  </si>
  <si>
    <t>海南高速</t>
  </si>
  <si>
    <t>www.lixinger.com/analytics/company/sz/000886/886/detail</t>
  </si>
  <si>
    <t>迈威生物</t>
  </si>
  <si>
    <t>www.lixinger.com/analytics/company/sh/688062/688062/detail</t>
  </si>
  <si>
    <t>洪兴股份</t>
  </si>
  <si>
    <t>www.lixinger.com/analytics/company/sz/001209/1209/detail</t>
  </si>
  <si>
    <t>帕瓦股份</t>
  </si>
  <si>
    <t>www.lixinger.com/analytics/company/sh/688184/688184/detail</t>
  </si>
  <si>
    <t>福昕软件</t>
  </si>
  <si>
    <t>www.lixinger.com/analytics/company/sh/688095/688095/detail</t>
  </si>
  <si>
    <t>新经典</t>
  </si>
  <si>
    <t>www.lixinger.com/analytics/company/sh/603096/603096/detail</t>
  </si>
  <si>
    <t>荣晟环保</t>
  </si>
  <si>
    <t>大宗用纸</t>
  </si>
  <si>
    <t>www.lixinger.com/analytics/company/sh/603165/603165/detail</t>
  </si>
  <si>
    <t>国新文化</t>
  </si>
  <si>
    <t>www.lixinger.com/analytics/company/sh/600636/600636/detail</t>
  </si>
  <si>
    <t>迈赫股份</t>
  </si>
  <si>
    <t>机器人</t>
  </si>
  <si>
    <t>www.lixinger.com/analytics/company/sz/301199/301199/detail</t>
  </si>
  <si>
    <t>荣泰健康</t>
  </si>
  <si>
    <t>其他家电</t>
  </si>
  <si>
    <t>www.lixinger.com/analytics/company/sh/603579/603579/detail</t>
  </si>
  <si>
    <t>之江生物</t>
  </si>
  <si>
    <t>www.lixinger.com/analytics/company/sh/688317/688317/detail</t>
  </si>
  <si>
    <t>天振股份</t>
  </si>
  <si>
    <t>瓷砖地板</t>
  </si>
  <si>
    <t>www.lixinger.com/analytics/company/sz/301356/301356/detail</t>
  </si>
  <si>
    <t>古越龙山</t>
  </si>
  <si>
    <t>www.lixinger.com/analytics/company/sh/600059/600059/detail</t>
  </si>
  <si>
    <t>皖通科技</t>
  </si>
  <si>
    <t>www.lixinger.com/analytics/company/sz/002331/2331/detail</t>
  </si>
  <si>
    <t>福莱蒽特</t>
  </si>
  <si>
    <t>www.lixinger.com/analytics/company/sh/605566/605566/detail</t>
  </si>
  <si>
    <t>光弘科技</t>
  </si>
  <si>
    <t>www.lixinger.com/analytics/company/sz/300735/300735/detail</t>
  </si>
  <si>
    <t>瑞凌股份</t>
  </si>
  <si>
    <t>www.lixinger.com/analytics/company/sz/300154/300154/detail</t>
  </si>
  <si>
    <t>广宇发展</t>
  </si>
  <si>
    <t>风力发电</t>
  </si>
  <si>
    <t>www.lixinger.com/analytics/company/sz/000537/537/detail</t>
  </si>
  <si>
    <t>洁雅股份</t>
  </si>
  <si>
    <t>www.lixinger.com/analytics/company/sz/301108/301108/detail</t>
  </si>
  <si>
    <t>圣晖集成</t>
  </si>
  <si>
    <t>www.lixinger.com/analytics/company/sh/603163/603163/detail</t>
  </si>
  <si>
    <t>城市传媒</t>
  </si>
  <si>
    <t>www.lixinger.com/analytics/company/sh/600229/600229/detail</t>
  </si>
  <si>
    <t>燕东微</t>
  </si>
  <si>
    <t>www.lixinger.com/analytics/company/sh/688172/688172/detail</t>
  </si>
  <si>
    <t>安通控股</t>
  </si>
  <si>
    <t>www.lixinger.com/analytics/company/sh/600179/600179/detail</t>
  </si>
  <si>
    <t>双鹭药业</t>
  </si>
  <si>
    <t>www.lixinger.com/analytics/company/sz/002038/2038/detail</t>
  </si>
  <si>
    <t>华强科技</t>
  </si>
  <si>
    <t>www.lixinger.com/analytics/company/sh/688151/688151/detail</t>
  </si>
  <si>
    <t>热景生物</t>
  </si>
  <si>
    <t>www.lixinger.com/analytics/company/sh/688068/688068/detail</t>
  </si>
  <si>
    <t>可孚医疗</t>
  </si>
  <si>
    <t>www.lixinger.com/analytics/company/sz/301087/301087/detail</t>
  </si>
  <si>
    <t>华峰化学</t>
  </si>
  <si>
    <t>氨纶</t>
  </si>
  <si>
    <t>www.lixinger.com/analytics/company/sz/002064/2064/detail</t>
  </si>
  <si>
    <t>戎美股份</t>
  </si>
  <si>
    <t>www.lixinger.com/analytics/company/sz/301088/301088/detail</t>
  </si>
  <si>
    <t>三维化学</t>
  </si>
  <si>
    <t>化学工程</t>
  </si>
  <si>
    <t>www.lixinger.com/analytics/company/sz/002469/2469/detail</t>
  </si>
  <si>
    <t>中马传动</t>
  </si>
  <si>
    <t>www.lixinger.com/analytics/company/sh/603767/603767/detail</t>
  </si>
  <si>
    <t>江南高纤</t>
  </si>
  <si>
    <t>www.lixinger.com/analytics/company/sh/600527/600527/detail</t>
  </si>
  <si>
    <t>铁科轨道</t>
  </si>
  <si>
    <t>www.lixinger.com/analytics/company/sh/688569/688569/detail</t>
  </si>
  <si>
    <t>方大炭素</t>
  </si>
  <si>
    <t>冶钢辅料</t>
  </si>
  <si>
    <t>www.lixinger.com/analytics/company/sh/600516/600516/detail</t>
  </si>
  <si>
    <t>南风股份</t>
  </si>
  <si>
    <t>www.lixinger.com/analytics/company/sz/300004/300004/detail</t>
  </si>
  <si>
    <t>海兴电力</t>
  </si>
  <si>
    <t>www.lixinger.com/analytics/company/sh/603556/603556/detail</t>
  </si>
  <si>
    <t>新华传媒</t>
  </si>
  <si>
    <t>www.lixinger.com/analytics/company/sh/600825/600825/detail</t>
  </si>
  <si>
    <t>沧州明珠</t>
  </si>
  <si>
    <t>www.lixinger.com/analytics/company/sz/002108/2108/detail</t>
  </si>
  <si>
    <t>三六零</t>
  </si>
  <si>
    <t>www.lixinger.com/analytics/company/sh/601360/601360/detail</t>
  </si>
  <si>
    <t>网宿科技</t>
  </si>
  <si>
    <t>www.lixinger.com/analytics/company/sz/300017/300017/detail</t>
  </si>
  <si>
    <t>汇洁股份</t>
  </si>
  <si>
    <t>鞋帽及其他</t>
  </si>
  <si>
    <t>www.lixinger.com/analytics/company/sz/002763/2763/detail</t>
  </si>
  <si>
    <t>杭州解百</t>
  </si>
  <si>
    <t>www.lixinger.com/analytics/company/sh/600814/600814/detail</t>
  </si>
  <si>
    <t>秦安股份</t>
  </si>
  <si>
    <t>www.lixinger.com/analytics/company/sh/603758/603758/detail</t>
  </si>
  <si>
    <t>氯碱化工</t>
  </si>
  <si>
    <t>www.lixinger.com/analytics/company/sh/600618/600618/detail</t>
  </si>
  <si>
    <t>德林海</t>
  </si>
  <si>
    <t>www.lixinger.com/analytics/company/sh/688069/688069/detail</t>
  </si>
  <si>
    <t>创新医疗</t>
  </si>
  <si>
    <t>www.lixinger.com/analytics/company/sz/002173/2173/detail</t>
  </si>
  <si>
    <t>华兰股份</t>
  </si>
  <si>
    <t>www.lixinger.com/analytics/company/sz/301093/301093/detail</t>
  </si>
  <si>
    <t>国中水务</t>
  </si>
  <si>
    <t>www.lixinger.com/analytics/company/sh/600187/600187/detail</t>
  </si>
  <si>
    <t>先河环保</t>
  </si>
  <si>
    <t>www.lixinger.com/analytics/company/sz/300137/300137/detail</t>
  </si>
  <si>
    <t>美思德</t>
  </si>
  <si>
    <t>聚氨酯</t>
  </si>
  <si>
    <t>www.lixinger.com/analytics/company/sh/603041/603041/detail</t>
  </si>
  <si>
    <t>粤传媒</t>
  </si>
  <si>
    <t>www.lixinger.com/analytics/company/sz/002181/2181/detail</t>
  </si>
  <si>
    <t>长海股份</t>
  </si>
  <si>
    <t>玻纤制造</t>
  </si>
  <si>
    <t>www.lixinger.com/analytics/company/sz/300196/300196/detail</t>
  </si>
  <si>
    <t>锦江在线</t>
  </si>
  <si>
    <t>公交</t>
  </si>
  <si>
    <t>www.lixinger.com/analytics/company/sh/600650/600650/detail</t>
  </si>
  <si>
    <t>明德生物</t>
  </si>
  <si>
    <t>www.lixinger.com/analytics/company/sz/002932/2932/detail</t>
  </si>
  <si>
    <t>嘉戎技术</t>
  </si>
  <si>
    <t>www.lixinger.com/analytics/company/sz/301148/301148/detail</t>
  </si>
  <si>
    <t>德展健康</t>
  </si>
  <si>
    <t>www.lixinger.com/analytics/company/sz/000813/813/detail</t>
  </si>
  <si>
    <t>华策影视</t>
  </si>
  <si>
    <t>www.lixinger.com/analytics/company/sz/300133/300133/detail</t>
  </si>
  <si>
    <t>航天信息</t>
  </si>
  <si>
    <t>www.lixinger.com/analytics/company/sh/600271/600271/detail</t>
  </si>
  <si>
    <t>上海莱士</t>
  </si>
  <si>
    <t>www.lixinger.com/analytics/company/sz/002252/2252/detail</t>
  </si>
  <si>
    <t>招商轮船</t>
  </si>
  <si>
    <t>www.lixinger.com/analytics/company/sh/601872/601872/detail</t>
  </si>
  <si>
    <t>力合科创</t>
  </si>
  <si>
    <t>化妆品制造及其他</t>
  </si>
  <si>
    <t>www.lixinger.com/analytics/company/sz/002243/2243/detail</t>
  </si>
  <si>
    <t>重庆路桥</t>
  </si>
  <si>
    <t>www.lixinger.com/analytics/company/sh/600106/600106/detail</t>
  </si>
  <si>
    <t>风华高科</t>
  </si>
  <si>
    <t>被动元件</t>
  </si>
  <si>
    <t>www.lixinger.com/analytics/company/sz/000636/636/detail</t>
  </si>
  <si>
    <t>唯科科技</t>
  </si>
  <si>
    <t>www.lixinger.com/analytics/company/sz/301196/301196/detail</t>
  </si>
  <si>
    <t>龙利得</t>
  </si>
  <si>
    <t>www.lixinger.com/analytics/company/sz/300883/300883/detail</t>
  </si>
  <si>
    <t>科思科技</t>
  </si>
  <si>
    <t>www.lixinger.com/analytics/company/sh/688788/688788/detail</t>
  </si>
  <si>
    <t>冠龙节能</t>
  </si>
  <si>
    <t>www.lixinger.com/analytics/company/sz/301151/301151/detail</t>
  </si>
  <si>
    <t>吉鑫科技</t>
  </si>
  <si>
    <t>www.lixinger.com/analytics/company/sh/601218/601218/detail</t>
  </si>
  <si>
    <t>东风股份</t>
  </si>
  <si>
    <t>www.lixinger.com/analytics/company/sh/601515/601515/detail</t>
  </si>
  <si>
    <t>和邦生物</t>
  </si>
  <si>
    <t>www.lixinger.com/analytics/company/sh/603077/603077/detail</t>
  </si>
  <si>
    <t>匠心家居</t>
  </si>
  <si>
    <t>成品家居</t>
  </si>
  <si>
    <t>www.lixinger.com/analytics/company/sz/301061/301061/detail</t>
  </si>
  <si>
    <t>硕世生物</t>
  </si>
  <si>
    <t>www.lixinger.com/analytics/company/sh/688399/688399/detail</t>
  </si>
  <si>
    <t>联美控股</t>
  </si>
  <si>
    <t>www.lixinger.com/analytics/company/sh/600167/600167/detail</t>
  </si>
  <si>
    <t>富春染织</t>
  </si>
  <si>
    <t>印染</t>
  </si>
  <si>
    <t>www.lixinger.com/analytics/company/sh/605189/605189/detail</t>
  </si>
  <si>
    <t>航民股份</t>
  </si>
  <si>
    <t>www.lixinger.com/analytics/company/sh/600987/600987/detail</t>
  </si>
  <si>
    <t>嘉曼服饰</t>
  </si>
  <si>
    <t>www.lixinger.com/analytics/company/sz/301276/301276/detail</t>
  </si>
  <si>
    <t>*ST御银</t>
  </si>
  <si>
    <t>www.lixinger.com/analytics/company/sz/002177/2177/detail</t>
  </si>
  <si>
    <t>康辰药业</t>
  </si>
  <si>
    <t>www.lixinger.com/analytics/company/sh/603590/603590/detail</t>
  </si>
  <si>
    <t>安旭生物</t>
  </si>
  <si>
    <t>www.lixinger.com/analytics/company/sh/688075/688075/detail</t>
  </si>
  <si>
    <t>天康生物</t>
  </si>
  <si>
    <t>畜禽饲料</t>
  </si>
  <si>
    <t>www.lixinger.com/analytics/company/sz/002100/2100/detail</t>
  </si>
  <si>
    <t>www.lixinger.com/analytics/company/sh/601088/601088/detail</t>
  </si>
  <si>
    <t>新天科技</t>
  </si>
  <si>
    <t>www.lixinger.com/analytics/company/sz/300259/300259/detail</t>
  </si>
  <si>
    <t>溢多利</t>
  </si>
  <si>
    <t>www.lixinger.com/analytics/company/sz/300381/300381/detail</t>
  </si>
  <si>
    <t>东方生物</t>
  </si>
  <si>
    <t>www.lixinger.com/analytics/company/sh/688298/688298/detail</t>
  </si>
  <si>
    <t>中恒集团</t>
  </si>
  <si>
    <t>www.lixinger.com/analytics/company/sh/600252/600252/detail</t>
  </si>
  <si>
    <t>龙版传媒</t>
  </si>
  <si>
    <t>www.lixinger.com/analytics/company/sh/605577/605577/detail</t>
  </si>
  <si>
    <t>爱慕股份</t>
  </si>
  <si>
    <t>www.lixinger.com/analytics/company/sh/603511/603511/detail</t>
  </si>
  <si>
    <t>顺发恒业</t>
  </si>
  <si>
    <t>www.lixinger.com/analytics/company/sz/000631/631/detail</t>
  </si>
  <si>
    <t>东望时代</t>
  </si>
  <si>
    <t>www.lixinger.com/analytics/company/sh/600052/600052/detail</t>
  </si>
  <si>
    <t>粤桂股份</t>
  </si>
  <si>
    <t>www.lixinger.com/analytics/company/sz/000833/833/detail</t>
  </si>
  <si>
    <t>成大生物</t>
  </si>
  <si>
    <t>疫苗</t>
  </si>
  <si>
    <t>www.lixinger.com/analytics/company/sh/688739/688739/detail</t>
  </si>
  <si>
    <t>凯迪股份</t>
  </si>
  <si>
    <t>www.lixinger.com/analytics/company/sh/605288/605288/detail</t>
  </si>
  <si>
    <t>天士力</t>
  </si>
  <si>
    <t>www.lixinger.com/analytics/company/sh/600535/600535/detail</t>
  </si>
  <si>
    <t>苏利股份</t>
  </si>
  <si>
    <t>www.lixinger.com/analytics/company/sh/603585/603585/detail</t>
  </si>
  <si>
    <t>双箭股份</t>
  </si>
  <si>
    <t>其他橡胶制品</t>
  </si>
  <si>
    <t>www.lixinger.com/analytics/company/sz/002381/2381/detail</t>
  </si>
  <si>
    <t>欣贺股份</t>
  </si>
  <si>
    <t>www.lixinger.com/analytics/company/sz/003016/3016/detail</t>
  </si>
  <si>
    <t>两面针</t>
  </si>
  <si>
    <t>洗护用品</t>
  </si>
  <si>
    <t>www.lixinger.com/analytics/company/sh/600249/600249/detail</t>
  </si>
  <si>
    <t>维远股份</t>
  </si>
  <si>
    <t>www.lixinger.com/analytics/company/sh/600955/600955/detail</t>
  </si>
  <si>
    <t>长江材料</t>
  </si>
  <si>
    <t>www.lixinger.com/analytics/company/sz/001296/1296/detail</t>
  </si>
  <si>
    <t>力合科技</t>
  </si>
  <si>
    <t>www.lixinger.com/analytics/company/sz/300800/300800/detail</t>
  </si>
  <si>
    <t>兆丰股份</t>
  </si>
  <si>
    <t>www.lixinger.com/analytics/company/sz/300695/300695/detail</t>
  </si>
  <si>
    <t>华绿生物</t>
  </si>
  <si>
    <t>食用菌</t>
  </si>
  <si>
    <t>www.lixinger.com/analytics/company/sz/300970/300970/detail</t>
  </si>
  <si>
    <t>丛麟科技</t>
  </si>
  <si>
    <t>www.lixinger.com/analytics/company/sh/688370/688370/detail</t>
  </si>
  <si>
    <t>浙版传媒</t>
  </si>
  <si>
    <t>www.lixinger.com/analytics/company/sh/601921/601921/detail</t>
  </si>
  <si>
    <t>晋控煤业</t>
  </si>
  <si>
    <t>www.lixinger.com/analytics/company/sh/601001/601001/detail</t>
  </si>
  <si>
    <t>麒盛科技</t>
  </si>
  <si>
    <t>www.lixinger.com/analytics/company/sh/603610/603610/detail</t>
  </si>
  <si>
    <t>森林包装</t>
  </si>
  <si>
    <t>www.lixinger.com/analytics/company/sh/605500/605500/detail</t>
  </si>
  <si>
    <t>巨人网络</t>
  </si>
  <si>
    <t>www.lixinger.com/analytics/company/sz/002558/2558/detail</t>
  </si>
  <si>
    <t>达瑞电子</t>
  </si>
  <si>
    <t>www.lixinger.com/analytics/company/sz/300976/300976/detail</t>
  </si>
  <si>
    <t>金陵药业</t>
  </si>
  <si>
    <t>www.lixinger.com/analytics/company/sz/000919/919/detail</t>
  </si>
  <si>
    <t>山东威达</t>
  </si>
  <si>
    <t>www.lixinger.com/analytics/company/sz/002026/2026/detail</t>
  </si>
  <si>
    <t>广电电气</t>
  </si>
  <si>
    <t>配电设备</t>
  </si>
  <si>
    <t>www.lixinger.com/analytics/company/sh/601616/601616/detail</t>
  </si>
  <si>
    <t>东亚药业</t>
  </si>
  <si>
    <t>www.lixinger.com/analytics/company/sh/605177/605177/detail</t>
  </si>
  <si>
    <t>丽臣实业</t>
  </si>
  <si>
    <t>www.lixinger.com/analytics/company/sz/001218/1218/detail</t>
  </si>
  <si>
    <t>三力士</t>
  </si>
  <si>
    <t>www.lixinger.com/analytics/company/sz/002224/2224/detail</t>
  </si>
  <si>
    <t>运机集团</t>
  </si>
  <si>
    <t>www.lixinger.com/analytics/company/sz/001288/1288/detail</t>
  </si>
  <si>
    <t>奥泰生物</t>
  </si>
  <si>
    <t>www.lixinger.com/analytics/company/sh/688606/688606/detail</t>
  </si>
  <si>
    <t>金岭矿业</t>
  </si>
  <si>
    <t>www.lixinger.com/analytics/company/sz/000655/655/detail</t>
  </si>
  <si>
    <t>*ST科华</t>
  </si>
  <si>
    <t>www.lixinger.com/analytics/company/sz/002022/2022/detail</t>
  </si>
  <si>
    <t>林洋能源</t>
  </si>
  <si>
    <t>www.lixinger.com/analytics/company/sh/601222/601222/detail</t>
  </si>
  <si>
    <t>史丹利</t>
  </si>
  <si>
    <t>复合肥</t>
  </si>
  <si>
    <t>www.lixinger.com/analytics/company/sz/002588/2588/detail</t>
  </si>
  <si>
    <t>香溢融通</t>
  </si>
  <si>
    <t>www.lixinger.com/analytics/company/sh/600830/600830/detail</t>
  </si>
  <si>
    <t>西部创业</t>
  </si>
  <si>
    <t>铁路运输</t>
  </si>
  <si>
    <t>www.lixinger.com/analytics/company/sz/000557/557/detail</t>
  </si>
  <si>
    <t>华丰股份</t>
  </si>
  <si>
    <t>www.lixinger.com/analytics/company/sh/605100/605100/detail</t>
  </si>
  <si>
    <t>盘江股份</t>
  </si>
  <si>
    <t>焦煤</t>
  </si>
  <si>
    <t>www.lixinger.com/analytics/company/sh/600395/600395/detail</t>
  </si>
  <si>
    <t>凯文教育</t>
  </si>
  <si>
    <t>学历教育</t>
  </si>
  <si>
    <t>www.lixinger.com/analytics/company/sz/002659/2659/detail</t>
  </si>
  <si>
    <t>隆鑫通用</t>
  </si>
  <si>
    <t>www.lixinger.com/analytics/company/sh/603766/603766/detail</t>
  </si>
  <si>
    <t>中国海油</t>
  </si>
  <si>
    <t>油气开采</t>
  </si>
  <si>
    <t>www.lixinger.com/analytics/company/sh/600938/600938/detail</t>
  </si>
  <si>
    <t>三峡旅游</t>
  </si>
  <si>
    <t>www.lixinger.com/analytics/company/sz/002627/2627/detail</t>
  </si>
  <si>
    <t>宝新能源</t>
  </si>
  <si>
    <t>火力发电</t>
  </si>
  <si>
    <t>www.lixinger.com/analytics/company/sz/000690/690/detail</t>
  </si>
  <si>
    <t>宁波高发</t>
  </si>
  <si>
    <t>www.lixinger.com/analytics/company/sh/603788/603788/detail</t>
  </si>
  <si>
    <t>金达莱</t>
  </si>
  <si>
    <t>www.lixinger.com/analytics/company/sh/688057/688057/detail</t>
  </si>
  <si>
    <t>安车检测</t>
  </si>
  <si>
    <t>www.lixinger.com/analytics/company/sz/300572/300572/detail</t>
  </si>
  <si>
    <t>长江健康</t>
  </si>
  <si>
    <t>www.lixinger.com/analytics/company/sz/002435/2435/detail</t>
  </si>
  <si>
    <t>四川美丰</t>
  </si>
  <si>
    <t>www.lixinger.com/analytics/company/sz/000731/731/detail</t>
  </si>
  <si>
    <t>中南传媒</t>
  </si>
  <si>
    <t>www.lixinger.com/analytics/company/sh/601098/601098/detail</t>
  </si>
  <si>
    <t>西王食品</t>
  </si>
  <si>
    <t>粮油加工</t>
  </si>
  <si>
    <t>www.lixinger.com/analytics/company/sz/000639/639/detail</t>
  </si>
  <si>
    <t>二三四五</t>
  </si>
  <si>
    <t>www.lixinger.com/analytics/company/sz/002195/2195/detail</t>
  </si>
  <si>
    <t>金麒麟</t>
  </si>
  <si>
    <t>www.lixinger.com/analytics/company/sh/603586/603586/detail</t>
  </si>
  <si>
    <t>越剑智能</t>
  </si>
  <si>
    <t>纺织服装设备</t>
  </si>
  <si>
    <t>www.lixinger.com/analytics/company/sh/603095/603095/detail</t>
  </si>
  <si>
    <t>九安医疗</t>
  </si>
  <si>
    <t>www.lixinger.com/analytics/company/sz/002432/2432/detail</t>
  </si>
  <si>
    <t>泸天化</t>
  </si>
  <si>
    <t>www.lixinger.com/analytics/company/sz/000912/912/detail</t>
  </si>
  <si>
    <t>广州港</t>
  </si>
  <si>
    <t>港口</t>
  </si>
  <si>
    <t>www.lixinger.com/analytics/company/sh/601228/601228/detail</t>
  </si>
  <si>
    <t>开创国际</t>
  </si>
  <si>
    <t>海洋捕捞</t>
  </si>
  <si>
    <t>www.lixinger.com/analytics/company/sh/600097/600097/detail</t>
  </si>
  <si>
    <t>永利股份</t>
  </si>
  <si>
    <t>www.lixinger.com/analytics/company/sz/300230/300230/detail</t>
  </si>
  <si>
    <t>华联控股</t>
  </si>
  <si>
    <t>www.lixinger.com/analytics/company/sz/000036/36/detail</t>
  </si>
  <si>
    <t>绿茵生态</t>
  </si>
  <si>
    <t>综合环境治理</t>
  </si>
  <si>
    <t>www.lixinger.com/analytics/company/sz/002887/2887/detail</t>
  </si>
  <si>
    <t>勤上股份</t>
  </si>
  <si>
    <t>www.lixinger.com/analytics/company/sz/002638/2638/detail</t>
  </si>
  <si>
    <t>盐田港</t>
  </si>
  <si>
    <t>www.lixinger.com/analytics/company/sz/000088/88/detail</t>
  </si>
  <si>
    <t>通程控股</t>
  </si>
  <si>
    <t>www.lixinger.com/analytics/company/sz/000419/419/detail</t>
  </si>
  <si>
    <t>博深股份</t>
  </si>
  <si>
    <t>www.lixinger.com/analytics/company/sz/002282/2282/detail</t>
  </si>
  <si>
    <t>浙数文化</t>
  </si>
  <si>
    <t>www.lixinger.com/analytics/company/sh/600633/600633/detail</t>
  </si>
  <si>
    <t>尤安设计</t>
  </si>
  <si>
    <t>www.lixinger.com/analytics/company/sz/300983/300983/detail</t>
  </si>
  <si>
    <t>理工能科</t>
  </si>
  <si>
    <t>www.lixinger.com/analytics/company/sz/002322/2322/detail</t>
  </si>
  <si>
    <t>雄塑科技</t>
  </si>
  <si>
    <t>管材</t>
  </si>
  <si>
    <t>www.lixinger.com/analytics/company/sz/300599/300599/detail</t>
  </si>
  <si>
    <t>中信海直</t>
  </si>
  <si>
    <t>航空运输</t>
  </si>
  <si>
    <t>www.lixinger.com/analytics/company/sz/000099/99/detail</t>
  </si>
  <si>
    <t>华丽家族</t>
  </si>
  <si>
    <t>www.lixinger.com/analytics/company/sh/600503/600503/detail</t>
  </si>
  <si>
    <t>创业环保</t>
  </si>
  <si>
    <t>www.lixinger.com/analytics/company/sh/600874/600874/detail</t>
  </si>
  <si>
    <t>百纳千成</t>
  </si>
  <si>
    <t>www.lixinger.com/analytics/company/sz/300291/300291/detail</t>
  </si>
  <si>
    <t>莱宝高科</t>
  </si>
  <si>
    <t>www.lixinger.com/analytics/company/sz/002106/2106/detail</t>
  </si>
  <si>
    <t>上港集团</t>
  </si>
  <si>
    <t>www.lixinger.com/analytics/company/sh/600018/600018/detail</t>
  </si>
  <si>
    <t>兴化股份</t>
  </si>
  <si>
    <t>www.lixinger.com/analytics/company/sz/002109/2109/detail</t>
  </si>
  <si>
    <t>丰林集团</t>
  </si>
  <si>
    <t>www.lixinger.com/analytics/company/sh/601996/601996/detail</t>
  </si>
  <si>
    <t>国药现代</t>
  </si>
  <si>
    <t>www.lixinger.com/analytics/company/sh/600420/600420/detail</t>
  </si>
  <si>
    <t>京东方Ａ</t>
  </si>
  <si>
    <t>www.lixinger.com/analytics/company/sz/000725/725/detail</t>
  </si>
  <si>
    <t>春兰股份</t>
  </si>
  <si>
    <t>空调</t>
  </si>
  <si>
    <t>www.lixinger.com/analytics/company/sh/600854/600854/detail</t>
  </si>
  <si>
    <t>新智认知</t>
  </si>
  <si>
    <t>www.lixinger.com/analytics/company/sh/603869/603869/detail</t>
  </si>
  <si>
    <t>新世界</t>
  </si>
  <si>
    <t>www.lixinger.com/analytics/company/sh/600628/600628/detail</t>
  </si>
  <si>
    <t>铁龙物流</t>
  </si>
  <si>
    <t>www.lixinger.com/analytics/company/sh/600125/600125/detail</t>
  </si>
  <si>
    <t>英力特</t>
  </si>
  <si>
    <t>www.lixinger.com/analytics/company/sz/000635/635/detail</t>
  </si>
  <si>
    <t>ST中珠</t>
  </si>
  <si>
    <t>www.lixinger.com/analytics/company/sh/600568/600568/detail</t>
  </si>
  <si>
    <t>东莞控股</t>
  </si>
  <si>
    <t>www.lixinger.com/analytics/company/sz/000828/828/detail</t>
  </si>
  <si>
    <t>中铁特货</t>
  </si>
  <si>
    <t>www.lixinger.com/analytics/company/sz/001213/1213/detail</t>
  </si>
  <si>
    <t>江苏国泰</t>
  </si>
  <si>
    <t>贸易</t>
  </si>
  <si>
    <t>www.lixinger.com/analytics/company/sz/002091/2091/detail</t>
  </si>
  <si>
    <t>众兴菌业</t>
  </si>
  <si>
    <t>www.lixinger.com/analytics/company/sz/002772/2772/detail</t>
  </si>
  <si>
    <t>皖通高速</t>
  </si>
  <si>
    <t>www.lixinger.com/analytics/company/sh/600012/600012/detail</t>
  </si>
  <si>
    <t>www.lixinger.com/analytics/company/sh/601811/601811/detail</t>
  </si>
  <si>
    <t>山东出版</t>
  </si>
  <si>
    <t>www.lixinger.com/analytics/company/sh/601019/601019/detail</t>
  </si>
  <si>
    <t>万年青</t>
  </si>
  <si>
    <t>www.lixinger.com/analytics/company/sz/000789/789/detail</t>
  </si>
  <si>
    <t>中原传媒</t>
  </si>
  <si>
    <t>www.lixinger.com/analytics/company/sz/000719/719/detail</t>
  </si>
  <si>
    <t>河钢资源</t>
  </si>
  <si>
    <t>www.lixinger.com/analytics/company/sz/000923/923/detail</t>
  </si>
  <si>
    <t>博迈科</t>
  </si>
  <si>
    <t>油气及炼化工程</t>
  </si>
  <si>
    <t>www.lixinger.com/analytics/company/sh/603727/603727/detail</t>
  </si>
  <si>
    <t>莱绅通灵</t>
  </si>
  <si>
    <t>www.lixinger.com/analytics/company/sh/603900/603900/detail</t>
  </si>
  <si>
    <t>宁波港</t>
  </si>
  <si>
    <t>www.lixinger.com/analytics/company/sh/601018/601018/detail</t>
  </si>
  <si>
    <t>明牌珠宝</t>
  </si>
  <si>
    <t>www.lixinger.com/analytics/company/sz/002574/2574/detail</t>
  </si>
  <si>
    <t>中国重工</t>
  </si>
  <si>
    <t>www.lixinger.com/analytics/company/sh/601989/601989/detail</t>
  </si>
  <si>
    <t>海航科技</t>
  </si>
  <si>
    <t>www.lixinger.com/analytics/company/sh/600751/600751/detail</t>
  </si>
  <si>
    <t>华宇软件</t>
  </si>
  <si>
    <t>www.lixinger.com/analytics/company/sz/300271/300271/detail</t>
  </si>
  <si>
    <t>龙江交通</t>
  </si>
  <si>
    <t>www.lixinger.com/analytics/company/sh/601188/601188/detail</t>
  </si>
  <si>
    <t>中红医疗</t>
  </si>
  <si>
    <t>www.lixinger.com/analytics/company/sz/300981/300981/detail</t>
  </si>
  <si>
    <t>远东传动</t>
  </si>
  <si>
    <t>www.lixinger.com/analytics/company/sz/002406/2406/detail</t>
  </si>
  <si>
    <t>新疆天业</t>
  </si>
  <si>
    <t>www.lixinger.com/analytics/company/sh/600075/600075/detail</t>
  </si>
  <si>
    <t>皖新传媒</t>
  </si>
  <si>
    <t>www.lixinger.com/analytics/company/sh/601801/601801/detail</t>
  </si>
  <si>
    <t>英科医疗</t>
  </si>
  <si>
    <t>www.lixinger.com/analytics/company/sz/300677/300677/detail</t>
  </si>
  <si>
    <t>红蜻蜓</t>
  </si>
  <si>
    <t>www.lixinger.com/analytics/company/sh/603116/603116/detail</t>
  </si>
  <si>
    <t>哈铁科技</t>
  </si>
  <si>
    <t>www.lixinger.com/analytics/company/sh/688459/688459/detail</t>
  </si>
  <si>
    <t>www.lixinger.com/analytics/company/sh/601326/601326/detail</t>
  </si>
  <si>
    <t>力生制药</t>
  </si>
  <si>
    <t>www.lixinger.com/analytics/company/sz/002393/2393/detail</t>
  </si>
  <si>
    <t>靖远煤电</t>
  </si>
  <si>
    <t>www.lixinger.com/analytics/company/sz/000552/552/detail</t>
  </si>
  <si>
    <t>www.lixinger.com/analytics/company/sh/601919/601919/detail</t>
  </si>
  <si>
    <t>闰土股份</t>
  </si>
  <si>
    <t>www.lixinger.com/analytics/company/sz/002440/2440/detail</t>
  </si>
  <si>
    <t>歌华有线</t>
  </si>
  <si>
    <t>www.lixinger.com/analytics/company/sh/600037/600037/detail</t>
  </si>
  <si>
    <t>南山铝业</t>
  </si>
  <si>
    <t>www.lixinger.com/analytics/company/sh/600219/600219/detail</t>
  </si>
  <si>
    <t>唐山港</t>
  </si>
  <si>
    <t>www.lixinger.com/analytics/company/sh/601000/601000/detail</t>
  </si>
  <si>
    <t>龙宇燃油</t>
  </si>
  <si>
    <t>www.lixinger.com/analytics/company/sh/603003/603003/detail</t>
  </si>
  <si>
    <t>昊华能源</t>
  </si>
  <si>
    <t>www.lixinger.com/analytics/company/sh/601101/601101/detail</t>
  </si>
  <si>
    <t>www.lixinger.com/analytics/company/sh/600585/600585/detail</t>
  </si>
  <si>
    <t>好想你</t>
  </si>
  <si>
    <t>零食</t>
  </si>
  <si>
    <t>www.lixinger.com/analytics/company/sz/002582/2582/detail</t>
  </si>
  <si>
    <t>恒源煤电</t>
  </si>
  <si>
    <t>www.lixinger.com/analytics/company/sh/600971/600971/detail</t>
  </si>
  <si>
    <t>大秦铁路</t>
  </si>
  <si>
    <t>www.lixinger.com/analytics/company/sh/601006/601006/detail</t>
  </si>
  <si>
    <t>景兴纸业</t>
  </si>
  <si>
    <t>www.lixinger.com/analytics/company/sz/002067/2067/detail</t>
  </si>
  <si>
    <t>东方明珠</t>
  </si>
  <si>
    <t>www.lixinger.com/analytics/company/sh/600637/600637/detail</t>
  </si>
  <si>
    <t>塔牌集团</t>
  </si>
  <si>
    <t>www.lixinger.com/analytics/company/sz/002233/2233/detail</t>
  </si>
  <si>
    <t>中文传媒</t>
  </si>
  <si>
    <t>www.lixinger.com/analytics/company/sh/600373/600373/detail</t>
  </si>
  <si>
    <t>开滦股份</t>
  </si>
  <si>
    <t>焦炭</t>
  </si>
  <si>
    <t>www.lixinger.com/analytics/company/sh/600997/600997/detail</t>
  </si>
  <si>
    <t>交运股份</t>
  </si>
  <si>
    <t>www.lixinger.com/analytics/company/sh/600676/600676/detail</t>
  </si>
  <si>
    <t>蓝帆医疗</t>
  </si>
  <si>
    <t>www.lixinger.com/analytics/company/sz/002382/2382/detail</t>
  </si>
  <si>
    <t>鲁泰Ａ</t>
  </si>
  <si>
    <t>棉纺</t>
  </si>
  <si>
    <t>www.lixinger.com/analytics/company/sz/000726/726/detail</t>
  </si>
  <si>
    <t>天茂集团</t>
  </si>
  <si>
    <t>www.lixinger.com/analytics/company/sz/000627/627/detail</t>
  </si>
  <si>
    <t>杭钢股份</t>
  </si>
  <si>
    <t>板材</t>
  </si>
  <si>
    <t>www.lixinger.com/analytics/company/sh/600126/600126/detail</t>
  </si>
  <si>
    <t>吉林敖东</t>
  </si>
  <si>
    <t>www.lixinger.com/analytics/company/sz/000623/623/detail</t>
  </si>
  <si>
    <t>凤凰股份</t>
  </si>
  <si>
    <t>www.lixinger.com/analytics/company/sh/600716/600716/detail</t>
  </si>
  <si>
    <t>四川成渝</t>
  </si>
  <si>
    <t>www.lixinger.com/analytics/company/sh/601107/601107/detail</t>
  </si>
  <si>
    <t>广日股份</t>
  </si>
  <si>
    <t>www.lixinger.com/analytics/company/sh/600894/600894/detail</t>
  </si>
  <si>
    <t>AMCX</t>
  </si>
  <si>
    <t>AGX</t>
  </si>
  <si>
    <t>ASRT</t>
  </si>
  <si>
    <t>AVIR</t>
  </si>
  <si>
    <t>ATKR</t>
  </si>
  <si>
    <t>BKE</t>
  </si>
  <si>
    <t>CLMB</t>
  </si>
  <si>
    <t>CODX</t>
  </si>
  <si>
    <t>DLHC</t>
  </si>
  <si>
    <t>DVAX</t>
  </si>
  <si>
    <t>MO</t>
  </si>
  <si>
    <t>AMN</t>
  </si>
  <si>
    <t>ERF</t>
  </si>
  <si>
    <t>EXPD</t>
  </si>
  <si>
    <t>FLGT</t>
  </si>
  <si>
    <t>GTX</t>
  </si>
  <si>
    <t>GPRO</t>
  </si>
  <si>
    <t>HVT</t>
  </si>
  <si>
    <t>HSII</t>
  </si>
  <si>
    <t>HPQ</t>
  </si>
  <si>
    <t>HDSN</t>
  </si>
  <si>
    <t>INVA</t>
  </si>
  <si>
    <t>IRWD</t>
  </si>
  <si>
    <t>ITOS</t>
  </si>
  <si>
    <t>MCFT</t>
  </si>
  <si>
    <t>MED</t>
  </si>
  <si>
    <t>MRNA</t>
  </si>
  <si>
    <t>PRDO</t>
  </si>
  <si>
    <t>PFE</t>
  </si>
  <si>
    <t>RHI</t>
  </si>
  <si>
    <t>SCPL</t>
  </si>
  <si>
    <t>SIGA</t>
  </si>
  <si>
    <t>SWN</t>
  </si>
  <si>
    <t>VNDA</t>
  </si>
  <si>
    <t>HCC</t>
  </si>
  <si>
    <t>WSM</t>
  </si>
  <si>
    <t>WW</t>
  </si>
  <si>
    <t>600507</t>
  </si>
  <si>
    <t>方大特钢</t>
  </si>
  <si>
    <t>特钢</t>
  </si>
  <si>
    <t>600662</t>
  </si>
  <si>
    <t>外服控股</t>
  </si>
  <si>
    <t>互联网信息服务</t>
  </si>
  <si>
    <t>000651</t>
  </si>
  <si>
    <t>格力电器</t>
  </si>
  <si>
    <t>600782</t>
  </si>
  <si>
    <t>新钢股份</t>
  </si>
  <si>
    <t>普钢</t>
  </si>
  <si>
    <t>000550</t>
  </si>
  <si>
    <t>江铃汽车</t>
  </si>
  <si>
    <t>商用载货车</t>
  </si>
  <si>
    <t>000523</t>
  </si>
  <si>
    <t>002116</t>
  </si>
  <si>
    <t>600546</t>
  </si>
  <si>
    <t>002668</t>
  </si>
  <si>
    <t>000928</t>
  </si>
  <si>
    <t>000921</t>
  </si>
  <si>
    <t>601699</t>
  </si>
  <si>
    <t>002356</t>
  </si>
  <si>
    <t>002030</t>
  </si>
  <si>
    <t>300390</t>
  </si>
  <si>
    <t>605166</t>
  </si>
  <si>
    <t>600777</t>
  </si>
  <si>
    <t>000626</t>
  </si>
  <si>
    <t>600511</t>
  </si>
  <si>
    <t>300158</t>
  </si>
  <si>
    <t>000822</t>
  </si>
  <si>
    <t>600078</t>
  </si>
  <si>
    <t>002758</t>
  </si>
  <si>
    <t>601117</t>
  </si>
  <si>
    <t>000707</t>
  </si>
  <si>
    <t>600846</t>
  </si>
  <si>
    <t>002756</t>
  </si>
  <si>
    <t>002164</t>
  </si>
  <si>
    <t>600389</t>
  </si>
  <si>
    <t>002240</t>
  </si>
  <si>
    <t>600820</t>
  </si>
  <si>
    <t>000404</t>
  </si>
  <si>
    <t>000792</t>
  </si>
  <si>
    <t>002460</t>
  </si>
  <si>
    <t>600438</t>
  </si>
  <si>
    <t>600113</t>
  </si>
  <si>
    <t>300639</t>
  </si>
  <si>
    <t>603565</t>
  </si>
  <si>
    <t>002466</t>
  </si>
  <si>
    <t>605399</t>
  </si>
  <si>
    <t>601928</t>
  </si>
  <si>
    <t>600188</t>
  </si>
  <si>
    <t>002175</t>
  </si>
  <si>
    <t>600403</t>
  </si>
  <si>
    <t>600035</t>
  </si>
  <si>
    <t>600596</t>
  </si>
  <si>
    <t>002759</t>
  </si>
  <si>
    <t>300256</t>
  </si>
  <si>
    <t>600382</t>
  </si>
  <si>
    <t>600104</t>
  </si>
  <si>
    <t>300343</t>
  </si>
  <si>
    <t>300773</t>
  </si>
  <si>
    <t>600348</t>
  </si>
  <si>
    <t>000848</t>
  </si>
  <si>
    <t>603519</t>
  </si>
  <si>
    <t>600284</t>
  </si>
  <si>
    <t>603071</t>
  </si>
  <si>
    <t>603213</t>
  </si>
  <si>
    <t>600518</t>
  </si>
  <si>
    <t>600121</t>
  </si>
  <si>
    <t>000408</t>
  </si>
  <si>
    <t>600123</t>
  </si>
  <si>
    <t>600970</t>
  </si>
  <si>
    <t>'301338.SZ','688322.SS','001316.SZ','002617.SZ','001339.SZ','002247.SZ','605068.SS','300701.SZ','002975.SZ','301212.SZ','603023.SS','688110.SS','301149.SZ','300239.SZ','301270.SZ','002892.SZ','605296.SS','301200.SZ','001238.SZ','600523.SS','601958.SS','300251.SZ','000975.SZ','600211.SS','300548.SZ','002275.SZ','688108.SS','300821.SZ','301234.SZ','300951.SZ','002577.SZ','605580.SS','001266.SZ','301128.SZ','300921.SZ','300887.SZ','000962.SZ','603888.SS','300943.SZ','300853.SZ','001234.SZ','600993.SS','000860.SZ','605339.SS','688291.SS','601975.SS','688080.SS','301349.SZ','002515.SZ','688511.SS','001259.SZ','688045.SS','688292.SS','605198.SS','603099.SS','300768.SZ','000810.SZ','688280.SS','301171.SZ','000913.SZ','002820.SZ','001226.SZ','002597.SZ','301175.SZ','301097.SZ','301056.SZ','603516.SS','688656.SS','300845.SZ','603992.SS','002145.SZ','688626.SS','000519.SZ','300817.SZ','603303.SS','688282.SS','600770.SS','603528.SS','300843.SZ','603160.SS','688020.SS','688058.SS','301023.SZ','002884.SZ','300445.SZ','300570.SZ','300494.SZ','605077.SS','688169.SS','002497.SZ','002749.SZ','688061.SS','002651.SZ','688076.SS','002486.SZ','300654.SZ','688689.SS','600749.SS','300502.SZ','002136.SZ','301298.SZ','301102.SZ','300351.SZ','300451.SZ','002695.SZ','600602.SS','301138.SZ','002362.SZ','688410.SS','600241.SS','605305.SS','301285.SZ','688033.SS','000935.SZ','688310.SS','002148.SZ','688409.SS','601890.SS','688137.SS','002835.SZ','300939.SZ','300888.SZ','603155.SS','688196.SS','300369.SZ','600426.SS','605009.SS','002315.SZ','300333.SZ','301159.SZ','600576.SS','601595.SS','300796.SZ','301181.SZ','301369.SZ','001231.SZ','605080.SS','002978.SZ','688267.SS','301238.SZ','688246.SS','603583.SS','300791.SZ','000893.SZ','301083.SZ','301191.SZ','300770.SZ','300766.SZ','603237.SS','000538.SZ','300993.SZ','603922.SS','301215.SZ','301119.SZ','300819.SZ','300915.SZ','603551.SS','688132.SS','603387.SS','002001.SZ','300667.SZ','000423.SZ','603533.SS','001216.SZ','300360.SZ','300922.SZ','603757.SS','301016.SZ','300378.SZ','688244.SS','600566.SS','600538.SS','300414.SZ','002760.SZ','002580.SZ','688566.SS','002984.SZ','003027.SZ','301282.SZ','301331.SZ','300497.SZ','300294.SZ','300018.SZ','301130.SZ','688030.SS','600557.SS','301218.SZ','688303.SS','002982.SZ','688286.SS','688087.SS','002646.SZ','002833.SZ','300531.SZ','300673.SZ','300397.SZ','301067.SZ','000403.SZ','605028.SS','002354.SZ','300792.SZ','301185.SZ','002033.SZ','300066.SZ','688613.SS','002970.SZ','688981.SS','301300.SZ','002561.SZ','601089.SS','300288.SZ','300527.SZ','688302.SS','002194.SZ','600750.SS','301188.SZ','300642.SZ','688273.SS','002166.SZ','301103.SZ','002609.SZ','603189.SS','301009.SZ','603128.SS','300112.SZ','300109.SZ','301132.SZ','300765.SZ','605398.SS','300928.SZ','002956.SZ','603217.SS','688580.SS','688136.SS','002127.SZ','002755.SZ','688387.SS','301152.SZ','300785.SZ','300825.SZ','001332.SZ','300786.SZ','301136.SZ','300985.SZ','300873.SZ','600616.SS','300365.SZ','605599.SS','603040.SS','300317.SZ','688658.SS','688608.SS','301000.SZ','603599.SS','001212.SZ','002660.SZ','301100.SZ','600226.SS','301121.SZ','301107.SZ','600783.SS','300305.SZ','601969.SS','301019.SZ','688203.SS','002650.SZ','000416.SZ','301077.SZ','002643.SZ','605086.SS','600645.SS','603068.SS','605377.SS','600053.SS','301049.SZ','688687.SS','000513.SZ','300248.SZ','301201.SZ','001331.SZ','688079.SS','300892.SZ','300543.SZ','605259.SS','301092.SZ','003010.SZ','300875.SZ','300448.SZ','688176.SS','300386.SZ','300456.SZ','603199.SS','002405.SZ','603258.SS','688182.SS','002933.SZ','300039.SZ','300660.SZ','605555.SS','002312.SZ','600110.SS','002678.SZ','301389.SZ','688217.SS','002020.SZ','600641.SS','002270.SZ','001217.SZ','605033.SS','300908.SZ','688168.SS','301187.SZ','688265.SS','603187.SS','300935.SZ','600246.SS','002993.SZ','300676.SZ','000997.SZ','688189.SS','688230.SS','688210.SS','600419.SS','300860.SZ','301027.SZ','002152.SZ','300798.SZ','600977.SS','002790.SZ','300105.SZ','605588.SS','300007.SZ','002308.SZ','301222.SZ','002869.SZ','688130.SS','002773.SZ','002825.SZ','300236.SZ','301003.SZ','301163.SZ','301047.SZ','605136.SS','605507.SS','300042.SZ','688163.SS','600868.SS','002332.SZ','603015.SS','600573.SS','002658.SZ','300139.SZ','000729.SZ','603698.SS','688039.SS','002273.SZ','603859.SS','600201.SS','688325.SS','002229.SZ','002705.SZ','600054.SS','300170.SZ','300562.SZ','300429.SZ','300901.SZ','002900.SZ','002495.SZ','603711.SS','300130.SZ','688455.SS','301326.SZ','688115.SS','301205.SZ','688125.SS','301220.SZ','603052.SS','600838.SS','688158.SS','301042.SZ','002819.SZ','301258.SZ','600062.SS','300810.SZ','301006.SZ','603798.SS','603587.SS','002263.SZ','300741.SZ','605090.SS','301248.SZ','603956.SS','000722.SZ','002444.SZ','002297.SZ','603087.SS','300597.SZ','605389.SS','603109.SS','300989.SZ','301127.SZ','000045.SZ','300107.SZ','603102.SS','300801.SZ','301197.SZ','603201.SS','300965.SZ','000888.SZ','688207.SS','003008.SZ','300959.SZ','600730.SS','300246.SZ','000565.SZ','603115.SS','688799.SS','688353.SS','600735.SS','301221.SZ','301086.SZ','603002.SS','002330.SZ','600880.SS','603810.SS','603535.SS','301190.SZ','688228.SS','001210.SZ','600724.SS','000869.SZ','605289.SS','301366.SZ','300683.SZ','688049.SS','301166.SZ','600794.SS','300148.SZ','300081.SZ','300006.SZ','300308.SZ','600640.SS','301135.SZ','688330.SS','300822.SZ','603687.SS','601156.SS','300435.SZ','300315.SZ','600613.SS','300155.SZ','603301.SS','300016.SZ','688175.SS','603106.SS','603010.SS','688227.SS','688767.SS','605018.SS','605180.SS','300183.SZ','603036.SS','688426.SS','301186.SZ','301217.SZ','300002.SZ','603393.SS','603948.SS','688416.SS','301309.SZ','001230.SZ','688335.SS','301227.SZ','300788.SZ','601579.SS','300609.SZ','002174.SZ','603339.SS','301106.SZ','603790.SS','688253.SS','601116.SS','605169.SS','301219.SZ','688275.SS','300818.SZ','300652.SZ','300805.SZ','301318.SZ','600007.SS','301110.SZ','688011.SS','688338.SS','688073.SS','688289.SS','600080.SS','301150.SZ','300771.SZ','003023.SZ','688553.SS','002012.SZ','600679.SS','000429.SZ','601225.SS','300968.SZ','301065.SZ','603168.SS','002461.SZ','605003.SS','003018.SZ','301176.SZ','601388.SS','301115.SZ','301139.SZ','300326.SZ','688332.SS','301265.SZ','002519.SZ','000715.SZ','300306.SZ','603390.SS','300245.SZ','688336.SS','003041.SZ','002962.SZ','301279.SZ','603630.SS','300193.SZ','603999.SS','688312.SS','600380.SS','000859.SZ','300079.SZ','301365.SZ','430139.SZ','600746.SS','301123.SZ','300289.SZ','002649.SZ','300485.SZ','688393.SS','688737.SS','603508.SS','603230.SS','002053.SZ','300641.SZ','603006.SS','002492.SZ','301330.SZ','000676.SZ','301290.SZ','300729.SZ','301206.SZ','688571.SS','002951.SZ','601568.SS','605336.SS','000096.SZ','000529.SZ','603950.SS','300834.SZ','301237.SZ','600866.SS','688550.SS','600135.SS','603079.SS','600398.SS','600859.SS','000886.SZ','688062.SS','001209.SZ','688184.SS','688095.SS','603096.SS','603165.SS','600636.SS','301199.SZ','603579.SS','688317.SS','301356.SZ','600059.SS','002331.SZ','605566.SS','300735.SZ','300154.SZ','000537.SZ','301108.SZ','603163.SS','600229.SS','688172.SS','600179.SS','002038.SZ','688151.SS','688068.SS','301087.SZ','002064.SZ','301088.SZ','002469.SZ','603767.SS','600527.SS','688569.SS','600516.SS','300004.SZ','603556.SS','600825.SS','002108.SZ','601360.SS','300017.SZ','002763.SZ','600814.SS','603758.SS','600618.SS','688069.SS','002173.SZ','301093.SZ','600187.SS','300137.SZ','603041.SS','002181.SZ','300196.SZ','600650.SS','002932.SZ','301148.SZ','000813.SZ','300133.SZ','600271.SS','002252.SZ','601872.SS','002243.SZ','600106.SS','000636.SZ','301196.SZ','300883.SZ','688788.SS','301151.SZ','601218.SS','601515.SS','603077.SS','301061.SZ','688399.SS','600167.SS','605189.SS','600987.SS','301276.SZ','002177.SZ','603590.SS','688075.SS','002100.SZ','601088.SS','300259.SZ','300381.SZ','688298.SS','600252.SS','605577.SS','603511.SS','000631.SZ','600052.SS','000833.SZ','688739.SS','605288.SS','600535.SS','603585.SS','002381.SZ','003016.SZ','600249.SS','600955.SS','001296.SZ','300800.SZ','300695.SZ','300970.SZ','688370.SS','601921.SS','601001.SS','603610.SS','605500.SS','002558.SZ','300976.SZ','000919.SZ','002026.SZ','601616.SS','605177.SS','001218.SZ','002224.SZ','001288.SZ','688606.SS','000655.SZ','002022.SZ','601222.SS','002588.SZ','600830.SS','000557.SZ','605100.SS','600395.SS','002659.SZ','603766.SS','600938.SS','002627.SZ','000690.SZ','603788.SS','688057.SS','300572.SZ','002435.SZ','000731.SZ','601098.SS','000639.SZ','002195.SZ','603586.SS','603095.SS','002432.SZ','000912.SZ','601228.SS','600097.SS','300230.SZ','000036.SZ','002887.SZ','002638.SZ','000088.SZ','000419.SZ','002282.SZ','600633.SS','300983.SZ','002322.SZ','300599.SZ','000099.SZ','600503.SS','600874.SS','300291.SZ','002106.SZ','600018.SS','002109.SZ','601996.SS','600420.SS','000725.SZ','600854.SS','603869.SS','600628.SS','600125.SS','000635.SZ','600568.SS','000828.SZ','001213.SZ','002091.SZ','002772.SZ','600012.SS','601811.SS','601019.SS','000789.SZ','000719.SZ','000923.SZ','603727.SS','603900.SS','601018.SS','002574.SZ','601989.SS','600751.SS','300271.SZ','601188.SS','300981.SZ','002406.SZ','600075.SS','601801.SS','300677.SZ','603116.SS','688459.SS','601326.SS','002393.SZ','000552.SZ','601919.SS','002440.SZ','600037.SS','600219.SS','601000.SS','603003.SS','601101.SS','600585.SS','002582.SZ','600971.SS','601006.SS','002067.SZ','600637.SS','002233.SZ','600373.SS','600997.SS','600676.SS','002382.SZ','000726.SZ','000627.SZ','600126.SS','000623.SZ','600716.SS','601107.SS','600894.SS','600507.SS','600662.SS','000651.SZ','600782.SS','000550.SZ','000523.SZ','002116.SZ','600546.SS','002668.SZ','000928.SZ','000921.SZ','601699.SS','002356.SZ','002030.SZ','300390.SZ','605166.SS','600777.SS','000626.SZ','600511.SS','300158.SZ','000822.SZ','600078.SS','002758.SZ','601117.SS','000707.SZ','600846.SS','002756.SZ','002164.SZ','600389.SS','002240.SZ','600820.SS','000404.SZ','000792.SZ','002460.SZ','600438.SS','600113.SS','300639.SZ','603565.SS','002466.SZ','605399.SS','601928.SS','600188.SS','002175.SZ','600403.SS','600035.SS','600596.SS','002759.SZ','300256.SZ','600382.SS','600104.SS','300343.SZ','300773.SZ','600348.SS','000848.SZ','603519.SS','600284.SS','603071.SS','603213.SS','600518.SS','600121.SS','000408.SZ','600123.SS','600970.SS'</t>
  </si>
  <si>
    <t>Date of Data</t>
  </si>
  <si>
    <t>Code</t>
  </si>
  <si>
    <t>Nikkei Industrial Classification</t>
  </si>
  <si>
    <t>Sector</t>
  </si>
  <si>
    <t>Weight</t>
  </si>
  <si>
    <t>NISSUI CORP.</t>
  </si>
  <si>
    <t>Fishery</t>
  </si>
  <si>
    <t>Consumer Goods</t>
  </si>
  <si>
    <t>INPEX CORP.</t>
  </si>
  <si>
    <t>Mining</t>
  </si>
  <si>
    <t>Materials</t>
  </si>
  <si>
    <t>COMSYS HOLDINGS CORP.</t>
  </si>
  <si>
    <t>Construction</t>
  </si>
  <si>
    <t>Capital Goods/Others</t>
  </si>
  <si>
    <t>TAISEI CORP.</t>
  </si>
  <si>
    <t>OBAYASHI CORP.</t>
  </si>
  <si>
    <t>SHIMIZU CORP.</t>
  </si>
  <si>
    <t>HASEKO CORP.</t>
  </si>
  <si>
    <t>KAJIMA CORP.</t>
  </si>
  <si>
    <t>DAIWA HOUSE IND. CO., LTD.</t>
  </si>
  <si>
    <t>SEKISUI HOUSE, LTD.</t>
  </si>
  <si>
    <t>JGC HOLDINGS CORP.</t>
  </si>
  <si>
    <t>NISSHIN SEIFUN GROUP INC.</t>
  </si>
  <si>
    <t>Foods</t>
  </si>
  <si>
    <t>MEIJI HOLDINGS CO., LTD.</t>
  </si>
  <si>
    <t>NH FOODS LTD.</t>
  </si>
  <si>
    <t>M3, INC.</t>
  </si>
  <si>
    <t>Services</t>
  </si>
  <si>
    <t>DENA CO., LTD.</t>
  </si>
  <si>
    <t>SAPPORO HOLDINGS LTD.</t>
  </si>
  <si>
    <t>ASAHI GROUP HOLDINGS, LTD.</t>
  </si>
  <si>
    <t>KIRIN HOLDINGS CO., LTD.</t>
  </si>
  <si>
    <t>TAKARA HOLDINGS INC.</t>
  </si>
  <si>
    <t>SOJITZ CORP.</t>
  </si>
  <si>
    <t>Trading Companies</t>
  </si>
  <si>
    <t>KIKKOMAN CORP.</t>
  </si>
  <si>
    <t>AJINOMOTO CO., INC.</t>
  </si>
  <si>
    <t>NICHIREI CORP.</t>
  </si>
  <si>
    <t>JAPAN TOBACCO INC.</t>
  </si>
  <si>
    <t>J.FRONT RETAILING CO., LTD.</t>
  </si>
  <si>
    <t>Retail</t>
  </si>
  <si>
    <t>ISETAN MITSUKOSHI HOLDINGS LTD.</t>
  </si>
  <si>
    <t>TOYOBO CO., LTD.</t>
  </si>
  <si>
    <t>Textiles &amp; Apparel</t>
  </si>
  <si>
    <t>TOKYU FUDOSAN HOLDINGS CORP.</t>
  </si>
  <si>
    <t>Real Estate</t>
  </si>
  <si>
    <t>SEVEN &amp; I HOLDINGS CO., LTD.</t>
  </si>
  <si>
    <t>TEIJIN LTD.</t>
  </si>
  <si>
    <t>TORAY INDUSTRIES, INC.</t>
  </si>
  <si>
    <t>KURARAY CO., LTD.</t>
  </si>
  <si>
    <t>Chemicals</t>
  </si>
  <si>
    <t>ASAHI KASEI CORP.</t>
  </si>
  <si>
    <t>SUMCO CORP.</t>
  </si>
  <si>
    <t>Nonferrous Metals</t>
  </si>
  <si>
    <t>NEXON CO., LTD.</t>
  </si>
  <si>
    <t>OJI HOLDINGS CORP.</t>
  </si>
  <si>
    <t>Pulp &amp; Paper</t>
  </si>
  <si>
    <t>NIPPON PAPER INDUSTRIES CO., LTD.</t>
  </si>
  <si>
    <t>SHOWA DENKO K.K.</t>
  </si>
  <si>
    <t>SUMITOMO CHEMICAL CO., LTD.</t>
  </si>
  <si>
    <t>NISSAN CHEMICAL CORP.</t>
  </si>
  <si>
    <t>TOSOH CORP.</t>
  </si>
  <si>
    <t>TOKUYAMA CORP.</t>
  </si>
  <si>
    <t>DENKA CO., LTD.</t>
  </si>
  <si>
    <t>SHIN-ETSU CHEMICAL CO., LTD.</t>
  </si>
  <si>
    <t>KYOWA KIRIN CO., LTD.</t>
  </si>
  <si>
    <t>Pharmaceuticals</t>
  </si>
  <si>
    <t>Technology</t>
  </si>
  <si>
    <t>MITSUI CHEMICALS, INC.</t>
  </si>
  <si>
    <t>MITSUBISHI CHEMICAL GROUP CORP.</t>
  </si>
  <si>
    <t>UBE CORP.</t>
  </si>
  <si>
    <t>DENTSU GROUP INC.</t>
  </si>
  <si>
    <t>KAO CORP.</t>
  </si>
  <si>
    <t>TAKEDA PHARMACEUTICAL CO., LTD.</t>
  </si>
  <si>
    <t>ASTELLAS PHARMA INC.</t>
  </si>
  <si>
    <t>SUMITOMO PHARMA CO., LTD.</t>
  </si>
  <si>
    <t>SHIONOGI &amp; CO., LTD.</t>
  </si>
  <si>
    <t>CHUGAI PHARMACEUTICAL CO., LTD.</t>
  </si>
  <si>
    <t>EISAI CO., LTD.</t>
  </si>
  <si>
    <t>TERUMO CORP.</t>
  </si>
  <si>
    <t>Precision Instruments</t>
  </si>
  <si>
    <t>DAIICHI SANKYO CO., LTD.</t>
  </si>
  <si>
    <t>OTSUKA HOLDINGS CO., LTD.</t>
  </si>
  <si>
    <t>DIC CORP.</t>
  </si>
  <si>
    <t>Z HOLDINGS CORP.</t>
  </si>
  <si>
    <t>TREND MICRO INC.</t>
  </si>
  <si>
    <t>CYBERAGENT, INC.</t>
  </si>
  <si>
    <t>RAKUTEN GROUP, INC.</t>
  </si>
  <si>
    <t>FUJIFILM HOLDINGS CORP.</t>
  </si>
  <si>
    <t>KONICA MINOLTA, INC.</t>
  </si>
  <si>
    <t>SHISEIDO CO., LTD.</t>
  </si>
  <si>
    <t>IDEMITSU KOSAN CO., LTD.</t>
  </si>
  <si>
    <t>Petroleum</t>
  </si>
  <si>
    <t>ENEOS HOLDINGS, INC.</t>
  </si>
  <si>
    <t>THE YOKOHAMA RUBBER CO., LTD.</t>
  </si>
  <si>
    <t>Rubber</t>
  </si>
  <si>
    <t>BRIDGESTONE CORP.</t>
  </si>
  <si>
    <t>AGC INC.</t>
  </si>
  <si>
    <t>Glass &amp; Ceramics</t>
  </si>
  <si>
    <t>NIPPON SHEET GLASS CO., LTD.</t>
  </si>
  <si>
    <t>NIPPON ELECTRIC GLASS CO., LTD.</t>
  </si>
  <si>
    <t>SUMITOMO OSAKA CEMENT CO., LTD.</t>
  </si>
  <si>
    <t>TAIHEIYO CEMENT CORP.</t>
  </si>
  <si>
    <t>TOKAI CARBON CO., LTD.</t>
  </si>
  <si>
    <t>TOTO LTD.</t>
  </si>
  <si>
    <t>NGK INSULATORS, LTD.</t>
  </si>
  <si>
    <t>NIPPON STEEL CORP.</t>
  </si>
  <si>
    <t>Steel</t>
  </si>
  <si>
    <t>KOBE STEEL, LTD.</t>
  </si>
  <si>
    <t>JFE HOLDINGS, INC.</t>
  </si>
  <si>
    <t>PACIFIC METALS CO., LTD.</t>
  </si>
  <si>
    <t>THE JAPAN STEEL WORKS, LTD.</t>
  </si>
  <si>
    <t>Machinery</t>
  </si>
  <si>
    <t>NIPPON LIGHT METAL HOLDINGS CO., LTD.</t>
  </si>
  <si>
    <t>MITSUI MINING &amp; SMELTING CO.</t>
  </si>
  <si>
    <t>TOHO ZINC CO., LTD.</t>
  </si>
  <si>
    <t>MITSUBISHI MATERIALS CORP.</t>
  </si>
  <si>
    <t>SUMITOMO METAL MINING CO., LTD.</t>
  </si>
  <si>
    <t>DOWA HOLDINGS CO., LTD.</t>
  </si>
  <si>
    <t>FURUKAWA ELECTRIC CO., LTD.</t>
  </si>
  <si>
    <t>SUMITOMO ELECTRIC IND., LTD.</t>
  </si>
  <si>
    <t>FUJIKURA LTD.</t>
  </si>
  <si>
    <t>SHIZUOKA FINANCIAL GROUP, INC.</t>
  </si>
  <si>
    <t>Banking</t>
  </si>
  <si>
    <t>Financials</t>
  </si>
  <si>
    <t>RECRUIT HOLDINGS CO., LTD.</t>
  </si>
  <si>
    <t>OKUMA CORP.</t>
  </si>
  <si>
    <t>AMADA CO., LTD.</t>
  </si>
  <si>
    <t>JAPAN POST HOLDINGS CO., LTD.</t>
  </si>
  <si>
    <t>SMC CORP.</t>
  </si>
  <si>
    <t>KOMATSU LTD.</t>
  </si>
  <si>
    <t>SUMITOMO HEAVY IND., LTD.</t>
  </si>
  <si>
    <t>HITACHI CONST. MACH. CO., LTD.</t>
  </si>
  <si>
    <t>KUBOTA CORP.</t>
  </si>
  <si>
    <t>EBARA CORP.</t>
  </si>
  <si>
    <t>DAIKIN INDUSTRIES, LTD.</t>
  </si>
  <si>
    <t>NSK LTD.</t>
  </si>
  <si>
    <t>NTN CORP.</t>
  </si>
  <si>
    <t>JTEKT CORP.</t>
  </si>
  <si>
    <t>MINEBEA MITSUMI INC.</t>
  </si>
  <si>
    <t>Electric Machinery</t>
  </si>
  <si>
    <t>HITACHI, LTD.</t>
  </si>
  <si>
    <t>MITSUBISHI ELECTRIC CORP.</t>
  </si>
  <si>
    <t>FUJI ELECTRIC CO., LTD.</t>
  </si>
  <si>
    <t>YASKAWA ELECTRIC CORP.</t>
  </si>
  <si>
    <t>NIDEC CORP.</t>
  </si>
  <si>
    <t>OMRON CORP.</t>
  </si>
  <si>
    <t>GS YUASA CORP.</t>
  </si>
  <si>
    <t>NEC CORP.</t>
  </si>
  <si>
    <t>FUJITSU LTD.</t>
  </si>
  <si>
    <t>SEIKO EPSON CORP.</t>
  </si>
  <si>
    <t>PANASONIC HOLDINGS CORP.</t>
  </si>
  <si>
    <t>SHARP CORP.</t>
  </si>
  <si>
    <t>SONY GROUP CORP.</t>
  </si>
  <si>
    <t>TDK CORP.</t>
  </si>
  <si>
    <t>ALPS ALPINE CO., LTD.</t>
  </si>
  <si>
    <t>YOKOGAWA ELECTRIC CORP.</t>
  </si>
  <si>
    <t>ADVANTEST CORP.</t>
  </si>
  <si>
    <t>KEYENCE CORP.</t>
  </si>
  <si>
    <t>DENSO CORP.</t>
  </si>
  <si>
    <t>CASIO COMPUTER CO., LTD.</t>
  </si>
  <si>
    <t>FANUC CORP.</t>
  </si>
  <si>
    <t>KYOCERA CORP.</t>
  </si>
  <si>
    <t>TAIYO YUDEN CO., LTD.</t>
  </si>
  <si>
    <t>MURATA MANUFACTURING CO., LTD.</t>
  </si>
  <si>
    <t>NITTO DENKO CORP.</t>
  </si>
  <si>
    <t>MITSUI E&amp;S HOLDINGS CO., LTD.</t>
  </si>
  <si>
    <t>Shipbuilding</t>
  </si>
  <si>
    <t>HITACHI ZOSEN CORP.</t>
  </si>
  <si>
    <t>MITSUBISHI HEAVY IND., LTD.</t>
  </si>
  <si>
    <t>KAWASAKI HEAVY IND., LTD.</t>
  </si>
  <si>
    <t>IHI CORP.</t>
  </si>
  <si>
    <t>CONCORDIA FINANCIAL GROUP, LTD.</t>
  </si>
  <si>
    <t>NISSAN MOTOR CO., LTD.</t>
  </si>
  <si>
    <t>Automobiles &amp; Auto parts</t>
  </si>
  <si>
    <t>ISUZU MOTORS LTD.</t>
  </si>
  <si>
    <t>TOYOTA MOTOR CORP.</t>
  </si>
  <si>
    <t>HINO MOTORS, LTD.</t>
  </si>
  <si>
    <t>MITSUBISHI MOTORS CORP.</t>
  </si>
  <si>
    <t>MAZDA MOTOR CORP.</t>
  </si>
  <si>
    <t>HONDA MOTOR CO., LTD.</t>
  </si>
  <si>
    <t>SUZUKI MOTOR CORP.</t>
  </si>
  <si>
    <t>SUBARU CORP.</t>
  </si>
  <si>
    <t>YAMAHA MOTOR CO., LTD.</t>
  </si>
  <si>
    <t>NIKON CORP.</t>
  </si>
  <si>
    <t>OLYMPUS CORP.</t>
  </si>
  <si>
    <t>SCREEN HOLDINGS CO., LTD.</t>
  </si>
  <si>
    <t>HOYA CORP.</t>
  </si>
  <si>
    <t>CANON INC.</t>
  </si>
  <si>
    <t>RICOH CO., LTD.</t>
  </si>
  <si>
    <t>CITIZEN WATCH CO., LTD.</t>
  </si>
  <si>
    <t>BANDAI NAMCO HOLDINGS INC.</t>
  </si>
  <si>
    <t>Other Manufacturing</t>
  </si>
  <si>
    <t>TOPPAN INC.</t>
  </si>
  <si>
    <t>DAI NIPPON PRINTING CO., LTD.</t>
  </si>
  <si>
    <t>YAMAHA CORP.</t>
  </si>
  <si>
    <t>NINTENDO CO., LTD.</t>
  </si>
  <si>
    <t>ITOCHU CORP.</t>
  </si>
  <si>
    <t>MARUBENI CORP.</t>
  </si>
  <si>
    <t>TOYOTA TSUSHO CORP.</t>
  </si>
  <si>
    <t>MITSUI &amp; CO., LTD.</t>
  </si>
  <si>
    <t>TOKYO ELECTRON LTD.</t>
  </si>
  <si>
    <t>SUMITOMO CORP.</t>
  </si>
  <si>
    <t>MITSUBISHI CORP.</t>
  </si>
  <si>
    <t>TAKASHIMAYA CO., LTD.</t>
  </si>
  <si>
    <t>MARUI GROUP CO., LTD.</t>
  </si>
  <si>
    <t>CREDIT SAISON CO., LTD.</t>
  </si>
  <si>
    <t>Other Financial Services</t>
  </si>
  <si>
    <t>AEON CO., LTD.</t>
  </si>
  <si>
    <t>AOZORA BANK, LTD.</t>
  </si>
  <si>
    <t>MITSUBISHI UFJ FINANCIAL GROUP, INC.</t>
  </si>
  <si>
    <t>RESONA HOLDINGS, INC.</t>
  </si>
  <si>
    <t>SUMITOMO MITSUI TRUST HOLDINGS, INC.</t>
  </si>
  <si>
    <t>SUMITOMO MITSUI FINANCIAL GROUP, INC.</t>
  </si>
  <si>
    <t>THE CHIBA BANK, LTD.</t>
  </si>
  <si>
    <t>FUKUOKA FINANCIAL GROUP, INC.</t>
  </si>
  <si>
    <t>MIZUHO FINANCIAL GROUP, INC.</t>
  </si>
  <si>
    <t>ORIX CORP.</t>
  </si>
  <si>
    <t>DAIWA SECURITIES GROUP INC.</t>
  </si>
  <si>
    <t>Securities</t>
  </si>
  <si>
    <t>NOMURA HOLDINGS, INC.</t>
  </si>
  <si>
    <t>MATSUI SECURITIES CO., LTD.</t>
  </si>
  <si>
    <t>SOMPO HOLDINGS, INC.</t>
  </si>
  <si>
    <t>Insurance</t>
  </si>
  <si>
    <t>JAPAN EXCHANGE GROUP, INC.</t>
  </si>
  <si>
    <t>MS&amp;AD INSURANCE GROUP HOLDINGS, INC.</t>
  </si>
  <si>
    <t>DAI-ICHI LIFE HOLDINGS, INC.</t>
  </si>
  <si>
    <t>TOKIO MARINE HOLDINGS, INC.</t>
  </si>
  <si>
    <t>T&amp;D HOLDINGS, INC.</t>
  </si>
  <si>
    <t>MITSUI FUDOSAN CO., LTD.</t>
  </si>
  <si>
    <t>MITSUBISHI ESTATE CO., LTD.</t>
  </si>
  <si>
    <t>TOKYO TATEMONO CO., LTD.</t>
  </si>
  <si>
    <t>SUMITOMO REALTY &amp; DEVELOPMENT CO., LTD.</t>
  </si>
  <si>
    <t>TOBU RAILWAY CO., LTD.</t>
  </si>
  <si>
    <t>Railway &amp; Bus</t>
  </si>
  <si>
    <t>Transportation and Utilities</t>
  </si>
  <si>
    <t>TOKYU CORP.</t>
  </si>
  <si>
    <t>ODAKYU ELECTRIC RAILWAY CO., LTD.</t>
  </si>
  <si>
    <t>KEIO CORP.</t>
  </si>
  <si>
    <t>KEISEI ELECTRIC RAILWAY CO., LTD.</t>
  </si>
  <si>
    <t>EAST JAPAN RAILWAY CO.</t>
  </si>
  <si>
    <t>WEST JAPAN RAILWAY CO.</t>
  </si>
  <si>
    <t>CENTRAL JAPAN RAILWAY CO., LTD.</t>
  </si>
  <si>
    <t>YAMATO HOLDINGS CO., LTD.</t>
  </si>
  <si>
    <t>Land Transport</t>
  </si>
  <si>
    <t>NIPPON YUSEN K.K.</t>
  </si>
  <si>
    <t>Marine Transport</t>
  </si>
  <si>
    <t>MITSUI O.S.K.LINES, LTD.</t>
  </si>
  <si>
    <t>KAWASAKI KISEN KAISHA, LTD.</t>
  </si>
  <si>
    <t>NIPPON EXPRESS HOLDINGS, INC.</t>
  </si>
  <si>
    <t>ANA HOLDINGS INC.</t>
  </si>
  <si>
    <t>Air Transport</t>
  </si>
  <si>
    <t>MITSUBISHI LOGISTICS CORP.</t>
  </si>
  <si>
    <t>Warehousing</t>
  </si>
  <si>
    <t>NIPPON TELEGRAPH &amp; TELEPHONE CORP.</t>
  </si>
  <si>
    <t>Communications</t>
  </si>
  <si>
    <t>KDDI CORP.</t>
  </si>
  <si>
    <t>SOFTBANK CORP.</t>
  </si>
  <si>
    <t>TOKYO ELECTRIC POWER COMPANY HOLDINGS, I</t>
  </si>
  <si>
    <t>Electric Power</t>
  </si>
  <si>
    <t>CHUBU ELECTRIC POWER CO., INC.</t>
  </si>
  <si>
    <t>THE KANSAI ELECTRIC POWER CO., INC.</t>
  </si>
  <si>
    <t>TOKYO GAS CO., LTD.</t>
  </si>
  <si>
    <t>Gas</t>
  </si>
  <si>
    <t>OSAKA GAS CO., LTD.</t>
  </si>
  <si>
    <t>TOHO CO., LTD</t>
  </si>
  <si>
    <t>NTT DATA CORP.</t>
  </si>
  <si>
    <t>SECOM CO., LTD.</t>
  </si>
  <si>
    <t>KONAMI GROUP CORP.</t>
  </si>
  <si>
    <t>FAST RETAILING CO., LTD.</t>
  </si>
  <si>
    <t>SOFTBANK GROUP CORP.</t>
  </si>
  <si>
    <t>This material is a copyrightable work of Nikkei. It is prohibited to copy, reproduce, reprint, or circulate all or part of this material in any form without Nikkeifs permission.</t>
  </si>
  <si>
    <t>1332T','1605T','1721T','1801T','1802T','1803T','1808T','1812T','1925T','1928T','1963T','2002T','2269T','2282T','2413T','2432T','2501T','2502T','2503T','2531T','2768T','2801T','2802T','2871T','2914T','3086T','3099T','3101T','3289T','3382T','3401T','3402T','3405T','3407T','3436T','3659T','3861T','3863T','4004T','4005T','4021T','4042T','4043T','4061T','4063T','4151T','4183T','4188T','4208T','4324T','4452T','4502T','4503T','4506T','4507T','4519T','4523T','4543T','4568T','4578T','4631T','4689T','4704T','4751T','4755T','4901T','4902T','4911T','5019T','5020T','5101T','5108T','5201T','5202T','5214T','5232T','5233T','5301T','5332T','5333T','5401T','5406T','5411T','5541T','5631T','5703T','5706T','5707T','5711T','5713T','5714T','5801T','5802T','5803T','5831T','6098T','6103T','6113T','6178T','6273T','6301T','6302T','6305T','6326T','6361T','6367T','6471T','6472T','6473T','6479T','6501T','6503T','6504T','6506T','6594T','6645T','6674T','6701T','6702T','6724T','6752T','6753T','6758T','6762T','6770T','6841T','6857T','6861T','6902T','6952T','6954T','6971T','6976T','6981T','6988T','7003T','7004T','7011T','7012T','7013T','7186T','7201T','7202T','7203T','7205T','7211T','7261T','7267T','7269T','7270T','7272T','7731T','7733T','7735T','7741T','7751T','7752T','7762T','7832T','7911T','7912T','7951T','7974T','8001T','8002T','8015T','8031T','8035T','8053T','8058T','8233T','8252T','8253T','8267T','8304T','8306T','8308T','8309T','8316T','8331T','8354T','8411T','8591T','8601T','8604T','8628T','8630T','8697T','8725T','8750T','8766T','8795T','8801T','8802T','8804T','8830T','9001T','9005T','9007T','9008T','9009T','9020T','9021T','9022T','9064T','9101T','9104T','9107T','9147T','9202T','9301T','9432T','9433T','9434T','9501T','9502T','9503T','9531T','9532T','9602T','9613T','9735T','9766T','9983T','9984T'</t>
  </si>
  <si>
    <t>Environmental Services</t>
  </si>
  <si>
    <t>Utilities</t>
  </si>
  <si>
    <t>United States</t>
  </si>
  <si>
    <t>Zurn Elkay Water Solutions Corporation Common Stock</t>
  </si>
  <si>
    <t>ZWS</t>
  </si>
  <si>
    <t>Biotechnology: Pharmaceutical Preparations</t>
  </si>
  <si>
    <t>Health Care</t>
  </si>
  <si>
    <t>Zoetis Inc. Class A Common Stock</t>
  </si>
  <si>
    <t>ZTS</t>
  </si>
  <si>
    <t>Investment Managers</t>
  </si>
  <si>
    <t>Finance</t>
  </si>
  <si>
    <t>Virtus Total Return Fund Inc.</t>
  </si>
  <si>
    <t>ZTR</t>
  </si>
  <si>
    <t>Industrial Specialties</t>
  </si>
  <si>
    <t>Zimmer Biomet Holdings Inc. Common Stock</t>
  </si>
  <si>
    <t>ZBH</t>
  </si>
  <si>
    <t>Restaurants</t>
  </si>
  <si>
    <t>Consumer Discretionary</t>
  </si>
  <si>
    <t>Yum China Holdings Inc. Common Stock</t>
  </si>
  <si>
    <t>YUMC</t>
  </si>
  <si>
    <t>Yum! Brands Inc.</t>
  </si>
  <si>
    <t>YUM</t>
  </si>
  <si>
    <t>EDP Services</t>
  </si>
  <si>
    <t>Yext Inc. Common Stock</t>
  </si>
  <si>
    <t>YEXT</t>
  </si>
  <si>
    <t>Movies/Entertainment</t>
  </si>
  <si>
    <t>YETI Holdings Inc. Common Stock</t>
  </si>
  <si>
    <t>YETI</t>
  </si>
  <si>
    <t>Internet and Information Services</t>
  </si>
  <si>
    <t>Yelp Inc. Common Stock</t>
  </si>
  <si>
    <t>YELP</t>
  </si>
  <si>
    <t>Fluid Controls</t>
  </si>
  <si>
    <t>Industrials</t>
  </si>
  <si>
    <t>Xylem Inc. Common Stock New</t>
  </si>
  <si>
    <t>XYL</t>
  </si>
  <si>
    <t>Construction/Ag Equipment/Trucks</t>
  </si>
  <si>
    <t>XPO Inc. Common Stock</t>
  </si>
  <si>
    <t>XPO</t>
  </si>
  <si>
    <t>Oil &amp; Gas Production</t>
  </si>
  <si>
    <t>Energy</t>
  </si>
  <si>
    <t>Exxon Mobil Corporation Common Stock</t>
  </si>
  <si>
    <t>XOM</t>
  </si>
  <si>
    <t>Real Estate Investment Trusts</t>
  </si>
  <si>
    <t>Xenia Hotels &amp; Resorts Inc. Common Stock</t>
  </si>
  <si>
    <t>XHR</t>
  </si>
  <si>
    <t>XAI Octagon Floating Rate &amp; Alternative Income Term Trust Common Shares of Beneficial Interest</t>
  </si>
  <si>
    <t>XFLT</t>
  </si>
  <si>
    <t>Steel/Iron Ore</t>
  </si>
  <si>
    <t>United States Steel Corporation Common Stock</t>
  </si>
  <si>
    <t>X</t>
  </si>
  <si>
    <t>Weyerhaeuser Company Common Stock</t>
  </si>
  <si>
    <t>WY</t>
  </si>
  <si>
    <t>Shoe Manufacturing</t>
  </si>
  <si>
    <t>Wolverine World Wide Inc. Common Stock</t>
  </si>
  <si>
    <t>WWW</t>
  </si>
  <si>
    <t>World Wrestling Entertainment Inc. Class A Common Stock</t>
  </si>
  <si>
    <t>WWE</t>
  </si>
  <si>
    <t>Business Services</t>
  </si>
  <si>
    <t>Western Union Company (The) Common Stock</t>
  </si>
  <si>
    <t>WU</t>
  </si>
  <si>
    <t>Select Energy Services Inc. Class A Common Stock</t>
  </si>
  <si>
    <t>WTTR</t>
  </si>
  <si>
    <t>Office Equipment/Supplies/Services</t>
  </si>
  <si>
    <t>Watts Water Technologies Inc. Class A Common Stock</t>
  </si>
  <si>
    <t>WTS</t>
  </si>
  <si>
    <t>Water Supply</t>
  </si>
  <si>
    <t>Essential Utilities Inc. Common Stock</t>
  </si>
  <si>
    <t>WTRG</t>
  </si>
  <si>
    <t>Property-Casualty Insurers</t>
  </si>
  <si>
    <t>White Mountains Insurance Group Ltd. Common Stock</t>
  </si>
  <si>
    <t>WTM</t>
  </si>
  <si>
    <t>W&amp;T Offshore Inc. Common Stock</t>
  </si>
  <si>
    <t>WTI</t>
  </si>
  <si>
    <t>WisdomTree Inc. Common Stock</t>
  </si>
  <si>
    <t>WT</t>
  </si>
  <si>
    <t>Medical/Dental Instruments</t>
  </si>
  <si>
    <t>West Pharmaceutical Services Inc. Common Stock</t>
  </si>
  <si>
    <t>WST</t>
  </si>
  <si>
    <t>Whitestone REIT Common Shares</t>
  </si>
  <si>
    <t>WSR</t>
  </si>
  <si>
    <t>Wholesale Distributors</t>
  </si>
  <si>
    <t>Watsco Inc. Common Stock</t>
  </si>
  <si>
    <t>WSO</t>
  </si>
  <si>
    <t>Other Specialty Stores</t>
  </si>
  <si>
    <t>Williams-Sonoma Inc. Common Stock (DE)</t>
  </si>
  <si>
    <t>W.R. Berkley Corporation Common Stock</t>
  </si>
  <si>
    <t>WRB</t>
  </si>
  <si>
    <t>Ireland</t>
  </si>
  <si>
    <t>WPP plc American Depositary Shares</t>
  </si>
  <si>
    <t>WPP</t>
  </si>
  <si>
    <t>Canada</t>
  </si>
  <si>
    <t>Wheaton Precious Metals Corp Common Shares (Canada)</t>
  </si>
  <si>
    <t>WPM</t>
  </si>
  <si>
    <t>W. P. Carey Inc. REIT</t>
  </si>
  <si>
    <t>WPC</t>
  </si>
  <si>
    <t>Telecommunications Equipment</t>
  </si>
  <si>
    <t>WideOpenWest Inc. Common Stock</t>
  </si>
  <si>
    <t>WOW</t>
  </si>
  <si>
    <t>Aerospace</t>
  </si>
  <si>
    <t>Worthington Industries Inc. Common Stock</t>
  </si>
  <si>
    <t>WOR</t>
  </si>
  <si>
    <t>Semiconductors</t>
  </si>
  <si>
    <t>Wolfspeed Inc. Common Stock</t>
  </si>
  <si>
    <t>WOLF</t>
  </si>
  <si>
    <t>India</t>
  </si>
  <si>
    <t>WNS (Holdings) Limited Sponsored ADR (Jersey)</t>
  </si>
  <si>
    <t>WNS</t>
  </si>
  <si>
    <t>Wabash National Corporation Common Stock</t>
  </si>
  <si>
    <t>WNC</t>
  </si>
  <si>
    <t>Department/Specialty Retail Stores</t>
  </si>
  <si>
    <t>Walmart Inc. Common Stock</t>
  </si>
  <si>
    <t>WMT</t>
  </si>
  <si>
    <t>Building Products</t>
  </si>
  <si>
    <t>Advanced Drainage Systems Inc. Common Stock</t>
  </si>
  <si>
    <t>WMS</t>
  </si>
  <si>
    <t>Food Chains</t>
  </si>
  <si>
    <t>Consumer Staples</t>
  </si>
  <si>
    <t>Weis Markets Inc. Common Stock</t>
  </si>
  <si>
    <t>WMK</t>
  </si>
  <si>
    <t>Western Asset Mortgage Capital Corporation Common Stock</t>
  </si>
  <si>
    <t>WMC</t>
  </si>
  <si>
    <t>Natural Gas Distribution</t>
  </si>
  <si>
    <t>Williams Companies Inc. (The) Common Stock</t>
  </si>
  <si>
    <t>WMB</t>
  </si>
  <si>
    <t>Waste Management Inc. Common Stock</t>
  </si>
  <si>
    <t>WM</t>
  </si>
  <si>
    <t>Books</t>
  </si>
  <si>
    <t>John Wiley &amp; Sons Inc. Common Stock</t>
  </si>
  <si>
    <t>WLYB</t>
  </si>
  <si>
    <t>WLY</t>
  </si>
  <si>
    <t>Major Chemicals</t>
  </si>
  <si>
    <t>Westlake Chemical Partners LP Common Units representing limited partner interests</t>
  </si>
  <si>
    <t>WLKP</t>
  </si>
  <si>
    <t>Westlake Corporation Common Stock</t>
  </si>
  <si>
    <t>WLK</t>
  </si>
  <si>
    <t>Computer Software: Prepackaged Software</t>
  </si>
  <si>
    <t>Workiva Inc. Class A Common Stock</t>
  </si>
  <si>
    <t>WK</t>
  </si>
  <si>
    <t>Finance Companies</t>
  </si>
  <si>
    <t>Western Asset Inflation-Linked Opportunities &amp; Income Fund</t>
  </si>
  <si>
    <t>WIW</t>
  </si>
  <si>
    <t>Wipro Limited Common Stock</t>
  </si>
  <si>
    <t>WIT</t>
  </si>
  <si>
    <t>Trusts Except Educational Religious and Charitable</t>
  </si>
  <si>
    <t>Western Asset Inflation-Linked Income Fund</t>
  </si>
  <si>
    <t>WIA</t>
  </si>
  <si>
    <t>Consumer Electronics/Appliances</t>
  </si>
  <si>
    <t>Whirlpool Corporation Common Stock</t>
  </si>
  <si>
    <t>WHR</t>
  </si>
  <si>
    <t>Westwood Holdings Group Inc Common Stock</t>
  </si>
  <si>
    <t>WHG</t>
  </si>
  <si>
    <t>Homebuilding</t>
  </si>
  <si>
    <t>Winnebago Industries Inc. Common Stock</t>
  </si>
  <si>
    <t>WGO</t>
  </si>
  <si>
    <t>Major Banks</t>
  </si>
  <si>
    <t>Wells Fargo &amp; Company Common Stock</t>
  </si>
  <si>
    <t>WFC</t>
  </si>
  <si>
    <t>Commercial Banks</t>
  </si>
  <si>
    <t>South Korea</t>
  </si>
  <si>
    <t>Woori Financial Group Inc. American Depositary Shares (each representing three (3) shares of Common Stock)</t>
  </si>
  <si>
    <t>WF</t>
  </si>
  <si>
    <t>WEX Inc. common stock</t>
  </si>
  <si>
    <t>WEX</t>
  </si>
  <si>
    <t>Oilfield Services/Equipment</t>
  </si>
  <si>
    <t>Western Midstream Partners LP Common Units Representing Limited Partner Interests</t>
  </si>
  <si>
    <t>WES</t>
  </si>
  <si>
    <t>Welltower Inc. Common Stock</t>
  </si>
  <si>
    <t>WELL</t>
  </si>
  <si>
    <t>Power Generation</t>
  </si>
  <si>
    <t>WEC Energy Group Inc. Common Stock</t>
  </si>
  <si>
    <t>WEC</t>
  </si>
  <si>
    <t>Western Asset Bond Fund Share of Beneficial Interest</t>
  </si>
  <si>
    <t>WEA</t>
  </si>
  <si>
    <t>Finance: Consumer Services</t>
  </si>
  <si>
    <t>Walker &amp; Dunlop Inc Common Stock</t>
  </si>
  <si>
    <t>WD</t>
  </si>
  <si>
    <t>Waste Connections Inc. Common Shares</t>
  </si>
  <si>
    <t>WCN</t>
  </si>
  <si>
    <t>WESCO International Inc. Common Stock</t>
  </si>
  <si>
    <t>WCC</t>
  </si>
  <si>
    <t>Spain</t>
  </si>
  <si>
    <t>Wallbox N.V. Class A Ordinary Shares</t>
  </si>
  <si>
    <t>WBX</t>
  </si>
  <si>
    <t>Webster Financial Corporation Common Stock</t>
  </si>
  <si>
    <t>WBS</t>
  </si>
  <si>
    <t>Medical Specialities</t>
  </si>
  <si>
    <t>Waters Corporation Common Stock</t>
  </si>
  <si>
    <t>WAT</t>
  </si>
  <si>
    <t>Western Alliance Bancorporation Common Stock (DE)</t>
  </si>
  <si>
    <t>WAL</t>
  </si>
  <si>
    <t>Railroads</t>
  </si>
  <si>
    <t>Westinghouse Air Brake Technologies Corporation Common Stock</t>
  </si>
  <si>
    <t>WAB</t>
  </si>
  <si>
    <t>Catalog/Specialty Distribution</t>
  </si>
  <si>
    <t>Wayfair Inc. Class A Common Stock</t>
  </si>
  <si>
    <t>W</t>
  </si>
  <si>
    <t>VIZIO Holding Corp. Class A Common Stock</t>
  </si>
  <si>
    <t>VZIO</t>
  </si>
  <si>
    <t>V2X Inc. Common Stock</t>
  </si>
  <si>
    <t>VVX</t>
  </si>
  <si>
    <t>Automotive Aftermarket</t>
  </si>
  <si>
    <t>Valvoline Inc. Common Stock</t>
  </si>
  <si>
    <t>VVV</t>
  </si>
  <si>
    <t>Invesco Senior Income Trust Common Stock (DE)</t>
  </si>
  <si>
    <t>VVR</t>
  </si>
  <si>
    <t>Viad Corp Common Stock</t>
  </si>
  <si>
    <t>VVI</t>
  </si>
  <si>
    <t>Ventas Inc. Common Stock</t>
  </si>
  <si>
    <t>VTR</t>
  </si>
  <si>
    <t>Metal Fabrications</t>
  </si>
  <si>
    <t>Bristow Group Inc. Common Stock</t>
  </si>
  <si>
    <t>VTOL</t>
  </si>
  <si>
    <t>Invesco Trust for Investment Grade New York Municipals Common Stock</t>
  </si>
  <si>
    <t>VTN</t>
  </si>
  <si>
    <t>Vital Energy Inc. Common Stock par value $0.01 per share</t>
  </si>
  <si>
    <t>VTLE</t>
  </si>
  <si>
    <t>Recreational Games/Products/Toys</t>
  </si>
  <si>
    <t>Vista Outdoor Inc. Common Stock</t>
  </si>
  <si>
    <t>VSTO</t>
  </si>
  <si>
    <t>Industrial Machinery/Components</t>
  </si>
  <si>
    <t>Vishay Intertechnology Inc. Common Stock</t>
  </si>
  <si>
    <t>VSH</t>
  </si>
  <si>
    <t>Electrical Products</t>
  </si>
  <si>
    <t>Vertiv Holdings LLC Class A Common Stock</t>
  </si>
  <si>
    <t>VRT</t>
  </si>
  <si>
    <t>Veris Residential Inc. Common Stock</t>
  </si>
  <si>
    <t>VRE</t>
  </si>
  <si>
    <t>Invesco Pennsylvania Value Municipal Income Trust Common Stock (DE)</t>
  </si>
  <si>
    <t>VPV</t>
  </si>
  <si>
    <t>Vishay Precision Group Inc. Common Stock</t>
  </si>
  <si>
    <t>VPG</t>
  </si>
  <si>
    <t>Voya Financial Inc. Common Stock</t>
  </si>
  <si>
    <t>VOYA</t>
  </si>
  <si>
    <t>VOC Energy Trust Units of Beneficial Interest</t>
  </si>
  <si>
    <t>VOC</t>
  </si>
  <si>
    <t>Vornado Realty Trust Common Stock</t>
  </si>
  <si>
    <t>VNO</t>
  </si>
  <si>
    <t>Vmware Inc. Common stock Class A</t>
  </si>
  <si>
    <t>VMW</t>
  </si>
  <si>
    <t>Invesco Municipal Opportunity Trust Common Stock</t>
  </si>
  <si>
    <t>VMO</t>
  </si>
  <si>
    <t>Valmont Industries Inc. Common Stock</t>
  </si>
  <si>
    <t>VMI</t>
  </si>
  <si>
    <t>Vulcan Materials Company (Holding Company) Common Stock</t>
  </si>
  <si>
    <t>VMC</t>
  </si>
  <si>
    <t>Volta Inc. Class A Common Stock</t>
  </si>
  <si>
    <t>VLTA</t>
  </si>
  <si>
    <t>Invesco High Income Trust II</t>
  </si>
  <si>
    <t>VLT</t>
  </si>
  <si>
    <t>Integrated oil Companies</t>
  </si>
  <si>
    <t>Valero Energy Corporation Common Stock</t>
  </si>
  <si>
    <t>VLO</t>
  </si>
  <si>
    <t>Invesco Municipal Trust Common Stock</t>
  </si>
  <si>
    <t>VKQ</t>
  </si>
  <si>
    <t>Multi-Sector Companies</t>
  </si>
  <si>
    <t>Valhi Inc. Common Stock</t>
  </si>
  <si>
    <t>VHI</t>
  </si>
  <si>
    <t>Miscellaneous</t>
  </si>
  <si>
    <t>VirnetX Holding Corp Common Stock</t>
  </si>
  <si>
    <t>VHC</t>
  </si>
  <si>
    <t xml:space="preserve"> Medicinal Chemicals and Botanical Products </t>
  </si>
  <si>
    <t>Vector Group Ltd. Common Stock</t>
  </si>
  <si>
    <t>VGR</t>
  </si>
  <si>
    <t>Invesco Trust for Investment Grade Municipals Common Stock (DE)</t>
  </si>
  <si>
    <t>VGM</t>
  </si>
  <si>
    <t>Virtus Global Multi-Sector Income Fund Common Shares of Beneficial Interest</t>
  </si>
  <si>
    <t>VGI</t>
  </si>
  <si>
    <t>Apparel</t>
  </si>
  <si>
    <t>V.F. Corporation Common Stock</t>
  </si>
  <si>
    <t>VFC</t>
  </si>
  <si>
    <t>Vermilion Energy Inc. Common (Canada)</t>
  </si>
  <si>
    <t>VET</t>
  </si>
  <si>
    <t>Invesco California Value Municipal Income Trust Common Stock</t>
  </si>
  <si>
    <t>VCV</t>
  </si>
  <si>
    <t>Invesco Bond Fund Common Stock</t>
  </si>
  <si>
    <t>VBF</t>
  </si>
  <si>
    <t>Military/Government/Technical</t>
  </si>
  <si>
    <t>INNOVATE Corp. Common Stock</t>
  </si>
  <si>
    <t>VATE</t>
  </si>
  <si>
    <t>Hotels/Resorts</t>
  </si>
  <si>
    <t>Marriott Vacations Worldwide Corporation Common Stock</t>
  </si>
  <si>
    <t>VAC</t>
  </si>
  <si>
    <t>Visa Inc.</t>
  </si>
  <si>
    <t>V</t>
  </si>
  <si>
    <t>UWM Holdings Corporation Class A Common Stock</t>
  </si>
  <si>
    <t>UWMC</t>
  </si>
  <si>
    <t>Tobacco</t>
  </si>
  <si>
    <t>Universal Corporation Common Stock</t>
  </si>
  <si>
    <t>UVV</t>
  </si>
  <si>
    <t>UNIVERSAL INSURANCE HOLDINGS INC Common Stock</t>
  </si>
  <si>
    <t>UVE</t>
  </si>
  <si>
    <t>Specialty Foods</t>
  </si>
  <si>
    <t xml:space="preserve">Utz Brands Inc Class A Common Stock </t>
  </si>
  <si>
    <t>UTZ</t>
  </si>
  <si>
    <t>UNITIL Corporation Common Stock</t>
  </si>
  <si>
    <t>UTL</t>
  </si>
  <si>
    <t>Universal Technical Institute Inc Common Stock</t>
  </si>
  <si>
    <t>UTI</t>
  </si>
  <si>
    <t>Cohen &amp; Steers Infrastructure Fund Inc Common Stock</t>
  </si>
  <si>
    <t>UTF</t>
  </si>
  <si>
    <t>Trucking Freight/Courier Services</t>
  </si>
  <si>
    <t>U.S. Xpress Enterprises Inc. Class A Common Stock</t>
  </si>
  <si>
    <t>USX</t>
  </si>
  <si>
    <t>U.S. Physical Therapy Inc. Common Stock</t>
  </si>
  <si>
    <t>USPH</t>
  </si>
  <si>
    <t>USANA Health Sciences Inc. Common Stock</t>
  </si>
  <si>
    <t>USNA</t>
  </si>
  <si>
    <t>Telecommunications</t>
  </si>
  <si>
    <t>United States Cellular Corporation Common Stock</t>
  </si>
  <si>
    <t>USM</t>
  </si>
  <si>
    <t>Food Distributors</t>
  </si>
  <si>
    <t>US Foods Holding Corp. Common Stock</t>
  </si>
  <si>
    <t>USFD</t>
  </si>
  <si>
    <t>USD Partners LP Common Units representing limited partner interest</t>
  </si>
  <si>
    <t>USDP</t>
  </si>
  <si>
    <t>U.S. Bancorp Common Stock</t>
  </si>
  <si>
    <t>USB</t>
  </si>
  <si>
    <t>USA Compression Partners LP Common Units Representing Limited Partner Interests</t>
  </si>
  <si>
    <t>USAC</t>
  </si>
  <si>
    <t>Liberty All-Star Equity Fund Common Stock</t>
  </si>
  <si>
    <t>USA</t>
  </si>
  <si>
    <t>Diversified Commercial Services</t>
  </si>
  <si>
    <t>United Rentals Inc. Common Stock</t>
  </si>
  <si>
    <t>URI</t>
  </si>
  <si>
    <t>Air Freight/Delivery Services</t>
  </si>
  <si>
    <t>United Parcel Service Inc. Common Stock</t>
  </si>
  <si>
    <t>UPS</t>
  </si>
  <si>
    <t>Singapore</t>
  </si>
  <si>
    <t>Wheels Up Experience Inc. Class A Common Stock</t>
  </si>
  <si>
    <t>UP</t>
  </si>
  <si>
    <t>Specialty Chemicals</t>
  </si>
  <si>
    <t>Univar Solutions Inc. Common Stock</t>
  </si>
  <si>
    <t>UNVR</t>
  </si>
  <si>
    <t>Union Pacific Corporation Common Stock</t>
  </si>
  <si>
    <t>UNP</t>
  </si>
  <si>
    <t>Accident &amp;Health Insurance</t>
  </si>
  <si>
    <t>Unum Group Common Stock</t>
  </si>
  <si>
    <t>UNM</t>
  </si>
  <si>
    <t>UnitedHealth Group Incorporated Common Stock (DE)</t>
  </si>
  <si>
    <t>UNH</t>
  </si>
  <si>
    <t>United Natural Foods Inc. Common Stock</t>
  </si>
  <si>
    <t>UNFI</t>
  </si>
  <si>
    <t>Unifirst Corporation Common Stock</t>
  </si>
  <si>
    <t>UNF</t>
  </si>
  <si>
    <t>UMH Properties Inc. Common Stock</t>
  </si>
  <si>
    <t>UMH</t>
  </si>
  <si>
    <t>Taiwan</t>
  </si>
  <si>
    <t>United Microelectronics Corporation (NEW) Common Stock</t>
  </si>
  <si>
    <t>UMC</t>
  </si>
  <si>
    <t>Farming/Seeds/Milling</t>
  </si>
  <si>
    <t>United Kingdom</t>
  </si>
  <si>
    <t>Unilever PLC Common Stock</t>
  </si>
  <si>
    <t>UL</t>
  </si>
  <si>
    <t>Unisys Corporation New Common Stock</t>
  </si>
  <si>
    <t>UIS</t>
  </si>
  <si>
    <t>Radio And Television Broadcasting And Communications Equipment</t>
  </si>
  <si>
    <t>Ubiquiti Inc. Common Stock</t>
  </si>
  <si>
    <t>UI</t>
  </si>
  <si>
    <t>Universal Health Realty Income Trust Common Stock</t>
  </si>
  <si>
    <t>UHT</t>
  </si>
  <si>
    <t>Hospital/Nursing Management</t>
  </si>
  <si>
    <t>Universal Health Services Inc. Common Stock</t>
  </si>
  <si>
    <t>UHS</t>
  </si>
  <si>
    <t>Rental/Leasing Companies</t>
  </si>
  <si>
    <t>U-Haul Holding Company Common Stock</t>
  </si>
  <si>
    <t>UHAL</t>
  </si>
  <si>
    <t>UGI Corporation Common Stock</t>
  </si>
  <si>
    <t>UGI</t>
  </si>
  <si>
    <t>Unifi Inc. New Common Stock</t>
  </si>
  <si>
    <t>UFI</t>
  </si>
  <si>
    <t>Urban Edge Properties Common Shares of Beneficial Interest</t>
  </si>
  <si>
    <t>UE</t>
  </si>
  <si>
    <t>UDR Inc. Common Stock</t>
  </si>
  <si>
    <t>UDR</t>
  </si>
  <si>
    <t>Switzerland</t>
  </si>
  <si>
    <t>UBS Group AG Registered Ordinary Shares</t>
  </si>
  <si>
    <t>UBS</t>
  </si>
  <si>
    <t>Urstadt Biddle Properties Inc. Common Stock</t>
  </si>
  <si>
    <t>UBP</t>
  </si>
  <si>
    <t>UBA</t>
  </si>
  <si>
    <t>Agricultural Chemicals</t>
  </si>
  <si>
    <t>CVR Partners LP Common Units representing Limited Partner Interests</t>
  </si>
  <si>
    <t>UAN</t>
  </si>
  <si>
    <t>Under Armour Inc. Class A Common Stock</t>
  </si>
  <si>
    <t>UAA</t>
  </si>
  <si>
    <t>Under Armour Inc. Class C Common Stock</t>
  </si>
  <si>
    <t>UA</t>
  </si>
  <si>
    <t>Retail: Computer Software &amp; Peripheral Equipment</t>
  </si>
  <si>
    <t>Unity Software Inc. Common Stock</t>
  </si>
  <si>
    <t>U</t>
  </si>
  <si>
    <t>Tyler Technologies Inc. Common Stock</t>
  </si>
  <si>
    <t>TYL</t>
  </si>
  <si>
    <t>Tortoise Energy Infrastructure Corporation Common Stock</t>
  </si>
  <si>
    <t>TYG</t>
  </si>
  <si>
    <t>Tri Continental Corporation Common Stock</t>
  </si>
  <si>
    <t>TY</t>
  </si>
  <si>
    <t>Textron Inc. Common Stock</t>
  </si>
  <si>
    <t>TXT</t>
  </si>
  <si>
    <t>Luxembourg</t>
  </si>
  <si>
    <t>Ternium S.A. Ternium S.A. American Depositary Shares (each representing ten shares USD1.00 par value)</t>
  </si>
  <si>
    <t>TX</t>
  </si>
  <si>
    <t>Two Harbors Investment Corp</t>
  </si>
  <si>
    <t>TWO</t>
  </si>
  <si>
    <t>Taiwan Fund Inc. (The) Common Stock</t>
  </si>
  <si>
    <t>TWN</t>
  </si>
  <si>
    <t>Twilio Inc. Class A Common Stock</t>
  </si>
  <si>
    <t>TWLO</t>
  </si>
  <si>
    <t>Titan International Inc. (DE) Common Stock</t>
  </si>
  <si>
    <t>TWI</t>
  </si>
  <si>
    <t>Broadcasting</t>
  </si>
  <si>
    <t>Mexico</t>
  </si>
  <si>
    <t>Grupo Televisa S.A. Common Stock</t>
  </si>
  <si>
    <t>TV</t>
  </si>
  <si>
    <t>Plastic Products</t>
  </si>
  <si>
    <t>Tupperware Brands Corporation Common Stock</t>
  </si>
  <si>
    <t>TUP</t>
  </si>
  <si>
    <t>Telus Corporation Ordinary Shares</t>
  </si>
  <si>
    <t>TU</t>
  </si>
  <si>
    <t>Tortoise Pipeline &amp; Energy Fund Inc. Common Stock</t>
  </si>
  <si>
    <t>TTP</t>
  </si>
  <si>
    <t>Tetra Technologies Inc. Common Stock</t>
  </si>
  <si>
    <t>TTI</t>
  </si>
  <si>
    <t>France</t>
  </si>
  <si>
    <t>TotalEnergies SE</t>
  </si>
  <si>
    <t>TTE</t>
  </si>
  <si>
    <t>Tools/Hardware</t>
  </si>
  <si>
    <t>Toro Company (The) Common Stock</t>
  </si>
  <si>
    <t>TTC</t>
  </si>
  <si>
    <t>Auto Parts:O.E.M.</t>
  </si>
  <si>
    <t>Trane Technologies plc</t>
  </si>
  <si>
    <t>TT</t>
  </si>
  <si>
    <t>Advertising</t>
  </si>
  <si>
    <t>Townsquare Media Inc. Class A Common Stock</t>
  </si>
  <si>
    <t>TSQ</t>
  </si>
  <si>
    <t>Meat/Poultry/Fish</t>
  </si>
  <si>
    <t>Tyson Foods Inc. Common Stock</t>
  </si>
  <si>
    <t>TSN</t>
  </si>
  <si>
    <t>Taiwan Semiconductor Manufacturing Company Ltd.</t>
  </si>
  <si>
    <t>TSM</t>
  </si>
  <si>
    <t>TCW Strategic Income Fund Inc. Common Stock</t>
  </si>
  <si>
    <t>TSI</t>
  </si>
  <si>
    <t>Tenaris S.A. American Depositary Shares</t>
  </si>
  <si>
    <t>TS</t>
  </si>
  <si>
    <t>The Travelers Companies Inc. Common Stock</t>
  </si>
  <si>
    <t>TRV</t>
  </si>
  <si>
    <t>TransUnion Common Stock</t>
  </si>
  <si>
    <t>TRU</t>
  </si>
  <si>
    <t>TPG RE Finance Trust Inc. Common Stock</t>
  </si>
  <si>
    <t>TRTX</t>
  </si>
  <si>
    <t>TC Energy Corporation Common Stock</t>
  </si>
  <si>
    <t>TRP</t>
  </si>
  <si>
    <t>Tronox Holdings plc Ordinary Shares (UK)</t>
  </si>
  <si>
    <t>TROX</t>
  </si>
  <si>
    <t>Terreno Realty Corporation Common Stock</t>
  </si>
  <si>
    <t>TRNO</t>
  </si>
  <si>
    <t>Trinity Industries Inc. Common Stock</t>
  </si>
  <si>
    <t>TRN</t>
  </si>
  <si>
    <t>Thomson Reuters Corp Ordinary Shares</t>
  </si>
  <si>
    <t>TRI</t>
  </si>
  <si>
    <t>Targa Resources Inc. Common Stock</t>
  </si>
  <si>
    <t>TRGP</t>
  </si>
  <si>
    <t>Trex Company Inc. Common Stock</t>
  </si>
  <si>
    <t>TREX</t>
  </si>
  <si>
    <t>Tejon Ranch Co Common Stock</t>
  </si>
  <si>
    <t>TRC</t>
  </si>
  <si>
    <t>Tootsie Roll Industries Inc. Common Stock</t>
  </si>
  <si>
    <t>TR</t>
  </si>
  <si>
    <t>Tortoise Power and Energy Infrastructure Fund Inc Common Stock</t>
  </si>
  <si>
    <t>TPZ</t>
  </si>
  <si>
    <t>Home Furnishings</t>
  </si>
  <si>
    <t>Tempur Sealy International Inc. Common Stock</t>
  </si>
  <si>
    <t>TPX</t>
  </si>
  <si>
    <t>Tapestry Inc. Common Stock</t>
  </si>
  <si>
    <t>TPR</t>
  </si>
  <si>
    <t>Texas Pacific Land Corporation Common Stock</t>
  </si>
  <si>
    <t>TPL</t>
  </si>
  <si>
    <t>Tri Pointe Homes Inc. Common Stock</t>
  </si>
  <si>
    <t>TPH</t>
  </si>
  <si>
    <t>Engineering &amp; Construction</t>
  </si>
  <si>
    <t>Tutor Perini Corporation Common Stock</t>
  </si>
  <si>
    <t>TPC</t>
  </si>
  <si>
    <t>Turning Point Brands Inc. Common Stock</t>
  </si>
  <si>
    <t>TPB</t>
  </si>
  <si>
    <t>Toll Brothers Inc. Common Stock</t>
  </si>
  <si>
    <t>TOL</t>
  </si>
  <si>
    <t>Marine Transportation</t>
  </si>
  <si>
    <t>Greece</t>
  </si>
  <si>
    <t>Tsakos Energy Navigation Ltd Common Shares</t>
  </si>
  <si>
    <t>TNP</t>
  </si>
  <si>
    <t>Other Consumer Services</t>
  </si>
  <si>
    <t>Travel   Leisure Co. Common  Stock</t>
  </si>
  <si>
    <t>TNL</t>
  </si>
  <si>
    <t>Tennant Company Common Stock</t>
  </si>
  <si>
    <t>TNC</t>
  </si>
  <si>
    <t>TimkenSteel Corporation Common Shares</t>
  </si>
  <si>
    <t>TMST</t>
  </si>
  <si>
    <t>Biotechnology: Laboratory Analytical Instruments</t>
  </si>
  <si>
    <t>Thermo Fisher Scientific Inc Common Stock</t>
  </si>
  <si>
    <t>TMO</t>
  </si>
  <si>
    <t>Taylor Morrison Home Corporation Common Stock</t>
  </si>
  <si>
    <t>TMHC</t>
  </si>
  <si>
    <t>Auto Manufacturing</t>
  </si>
  <si>
    <t>Japan</t>
  </si>
  <si>
    <t>Toyota Motor Corporation Common Stock</t>
  </si>
  <si>
    <t>TM</t>
  </si>
  <si>
    <t>Tilly's Inc. Common Stock</t>
  </si>
  <si>
    <t>TLYS</t>
  </si>
  <si>
    <t>Timken Company (The) Common Stock</t>
  </si>
  <si>
    <t>TKR</t>
  </si>
  <si>
    <t>TJX Companies Inc. (The) Common Stock</t>
  </si>
  <si>
    <t>TJX</t>
  </si>
  <si>
    <t>Tekla World Healthcare Fund Shares of Beneficial Interest</t>
  </si>
  <si>
    <t>THW</t>
  </si>
  <si>
    <t>Packaged Foods</t>
  </si>
  <si>
    <t>Treehouse Foods Inc. Common Stock</t>
  </si>
  <si>
    <t>THS</t>
  </si>
  <si>
    <t>Thermon Group Holdings Inc. Common Stock</t>
  </si>
  <si>
    <t>THR</t>
  </si>
  <si>
    <t>Tekla Healthcare Opportunies Fund Shares of Beneficial Interest</t>
  </si>
  <si>
    <t>THQ</t>
  </si>
  <si>
    <t>Thor Industries Inc. Common Stock</t>
  </si>
  <si>
    <t>THO</t>
  </si>
  <si>
    <t>Hanover Insurance Group Inc</t>
  </si>
  <si>
    <t>THG</t>
  </si>
  <si>
    <t>Tenet Healthcare Corporation Common Stock</t>
  </si>
  <si>
    <t>THC</t>
  </si>
  <si>
    <t>Target Corporation Common Stock</t>
  </si>
  <si>
    <t>TGT</t>
  </si>
  <si>
    <t>TEGNA Inc</t>
  </si>
  <si>
    <t>TGNA</t>
  </si>
  <si>
    <t>Triumph Group Inc. Common Stock</t>
  </si>
  <si>
    <t>TGI</t>
  </si>
  <si>
    <t>Tredegar Corporation Common Stock</t>
  </si>
  <si>
    <t>TG</t>
  </si>
  <si>
    <t>Teleflex Incorporated Common Stock</t>
  </si>
  <si>
    <t>TFX</t>
  </si>
  <si>
    <t>Truist Financial Corporation Common Stock</t>
  </si>
  <si>
    <t>TFC</t>
  </si>
  <si>
    <t>Terex Corporation Common Stock</t>
  </si>
  <si>
    <t>TEX</t>
  </si>
  <si>
    <t>Electronic Components</t>
  </si>
  <si>
    <t>TE Connectivity Ltd. New Switzerland Registered Shares</t>
  </si>
  <si>
    <t>TEL</t>
  </si>
  <si>
    <t>Templeton Emerging Markets Income Fund Inc. Common Stock</t>
  </si>
  <si>
    <t>TEI</t>
  </si>
  <si>
    <t>Telefonica SA Common Stock</t>
  </si>
  <si>
    <t>TEF</t>
  </si>
  <si>
    <t>Teck Resources Ltd Ordinary Shares</t>
  </si>
  <si>
    <t>TECK</t>
  </si>
  <si>
    <t>Teledyne Technologies Incorporated Common Stock</t>
  </si>
  <si>
    <t>TDY</t>
  </si>
  <si>
    <t>Tidewater Inc. Common Stock</t>
  </si>
  <si>
    <t>TDW</t>
  </si>
  <si>
    <t>Telephone and Data Systems Inc. Common Shares</t>
  </si>
  <si>
    <t>TDS</t>
  </si>
  <si>
    <t>Medical/Nursing Services</t>
  </si>
  <si>
    <t>Teladoc Health Inc. Common Stock</t>
  </si>
  <si>
    <t>TDOC</t>
  </si>
  <si>
    <t>Transdigm Group Incorporated Common Stock</t>
  </si>
  <si>
    <t>TDG</t>
  </si>
  <si>
    <t>Finance/Investors Services</t>
  </si>
  <si>
    <t>Templeton Dragon Fund Inc. Common Stock</t>
  </si>
  <si>
    <t>TDF</t>
  </si>
  <si>
    <t>Teradata Corporation Common Stock</t>
  </si>
  <si>
    <t>TDC</t>
  </si>
  <si>
    <t>Toronto Dominion Bank (The) Common Stock</t>
  </si>
  <si>
    <t>TD</t>
  </si>
  <si>
    <t>Transcontinental Realty Investors Inc. Common Stock</t>
  </si>
  <si>
    <t>TCI</t>
  </si>
  <si>
    <t>Professional Services</t>
  </si>
  <si>
    <t>TrueBlue Inc. Common Stock</t>
  </si>
  <si>
    <t>TBI</t>
  </si>
  <si>
    <t>Beverages (Production/Distribution)</t>
  </si>
  <si>
    <t>Molson Coors Beverage Company Class B Common Stock</t>
  </si>
  <si>
    <t>TAP</t>
  </si>
  <si>
    <t>Electric Utilities: Central</t>
  </si>
  <si>
    <t>TransAlta Corporation Ordinary Shares</t>
  </si>
  <si>
    <t>TAC</t>
  </si>
  <si>
    <t>AT&amp;T Inc.</t>
  </si>
  <si>
    <t>T</t>
  </si>
  <si>
    <t>Sysco Corporation Common Stock</t>
  </si>
  <si>
    <t>SYY</t>
  </si>
  <si>
    <t>Stryker Corporation Common Stock</t>
  </si>
  <si>
    <t>SYK</t>
  </si>
  <si>
    <t>Diversified Financial Services</t>
  </si>
  <si>
    <t>Synchrony Financial Common Stock</t>
  </si>
  <si>
    <t>SYF</t>
  </si>
  <si>
    <t>Sensient Technologies Corporation Common Stock</t>
  </si>
  <si>
    <t>SXT</t>
  </si>
  <si>
    <t>Standex International Corporation Common Stock</t>
  </si>
  <si>
    <t>SXI</t>
  </si>
  <si>
    <t>SunCoke Energy Inc. Common Stock</t>
  </si>
  <si>
    <t>SXC</t>
  </si>
  <si>
    <t>Swiss Helvetia Fund Inc. (The) Common Stock</t>
  </si>
  <si>
    <t>SWZ</t>
  </si>
  <si>
    <t>Southwest Gas Holdings Inc. Common Stock (DE)</t>
  </si>
  <si>
    <t>SWX</t>
  </si>
  <si>
    <t>Southwestern Energy Company Common Stock</t>
  </si>
  <si>
    <t>Diversified Manufacture</t>
  </si>
  <si>
    <t>Stanley Black &amp; Decker Inc. Common Stock</t>
  </si>
  <si>
    <t>SWK</t>
  </si>
  <si>
    <t>SolarWinds Corporation Common Stock</t>
  </si>
  <si>
    <t>SWI</t>
  </si>
  <si>
    <t>Superior Industries International Inc. Common Stock (DE)</t>
  </si>
  <si>
    <t>SUP</t>
  </si>
  <si>
    <t>Sunlight Financial Holdings Inc. Class A Common Stock</t>
  </si>
  <si>
    <t>SUNL</t>
  </si>
  <si>
    <t>Oil Refining/Marketing</t>
  </si>
  <si>
    <t>Sunoco LP Common Units representing limited partner interests</t>
  </si>
  <si>
    <t>SUN</t>
  </si>
  <si>
    <t>Building Materials</t>
  </si>
  <si>
    <t>Summit Materials Inc. Class A Common Stock</t>
  </si>
  <si>
    <t>SUM</t>
  </si>
  <si>
    <t>Sun Communities Inc. Common Stock</t>
  </si>
  <si>
    <t>SUI</t>
  </si>
  <si>
    <t>Suncor Energy  Inc. Common Stock</t>
  </si>
  <si>
    <t>SU</t>
  </si>
  <si>
    <t>Constellation Brands Inc. Common Stock</t>
  </si>
  <si>
    <t>STZ</t>
  </si>
  <si>
    <t>STARWOOD PROPERTY TRUST INC. Starwood Property Trust Inc.</t>
  </si>
  <si>
    <t>STWD</t>
  </si>
  <si>
    <t>State Street Corporation Common Stock</t>
  </si>
  <si>
    <t>STT</t>
  </si>
  <si>
    <t>Sitio Royalties Corp. Class A Common Stock</t>
  </si>
  <si>
    <t>STR</t>
  </si>
  <si>
    <t>STORE Capital Corporation Common Stock</t>
  </si>
  <si>
    <t>STOR</t>
  </si>
  <si>
    <t>Stantec Inc Common Stock</t>
  </si>
  <si>
    <t>STN</t>
  </si>
  <si>
    <t>STMicroelectronics N.V. Common Stock</t>
  </si>
  <si>
    <t>STM</t>
  </si>
  <si>
    <t>Stellantis N.V. Common Shares</t>
  </si>
  <si>
    <t>STLA</t>
  </si>
  <si>
    <t>Columbia Seligman Premium Technology Growth Fund Inc</t>
  </si>
  <si>
    <t>STK</t>
  </si>
  <si>
    <t>SRH Total Return Fund Inc. Common Stock</t>
  </si>
  <si>
    <t>STEW</t>
  </si>
  <si>
    <t>Stem Inc. Class A Common Stock</t>
  </si>
  <si>
    <t>STEM</t>
  </si>
  <si>
    <t>STERIS plc (Ireland) Ordinary Shares</t>
  </si>
  <si>
    <t>STE</t>
  </si>
  <si>
    <t>Specialty Insurers</t>
  </si>
  <si>
    <t>Stewart Information Services Corporation Common Stock</t>
  </si>
  <si>
    <t>STC</t>
  </si>
  <si>
    <t>iStar Inc. Common Stock</t>
  </si>
  <si>
    <t xml:space="preserve">STAR          </t>
  </si>
  <si>
    <t>Stag Industrial Inc. Common Stock</t>
  </si>
  <si>
    <t>STAG</t>
  </si>
  <si>
    <t>Netherlands</t>
  </si>
  <si>
    <t>Sensata Technologies Holding plc Ordinary Shares</t>
  </si>
  <si>
    <t>ST</t>
  </si>
  <si>
    <t>Interactive Media</t>
  </si>
  <si>
    <t>Shutterstock Inc. Common Stock</t>
  </si>
  <si>
    <t>SSTK</t>
  </si>
  <si>
    <t>System1 Inc. Class A Common Stock</t>
  </si>
  <si>
    <t>SST</t>
  </si>
  <si>
    <t>Simpson Manufacturing Company Inc. Common Stock</t>
  </si>
  <si>
    <t>SSD</t>
  </si>
  <si>
    <t>Cushing MLP &amp; Infrastructure Total Return Fund</t>
  </si>
  <si>
    <t>SRV</t>
  </si>
  <si>
    <t>StarTek Inc. Common Stock</t>
  </si>
  <si>
    <t>SRT</t>
  </si>
  <si>
    <t>Scully Royalty Ltd.</t>
  </si>
  <si>
    <t>SRL</t>
  </si>
  <si>
    <t>Stoneridge Inc. Common Stock</t>
  </si>
  <si>
    <t>SRI</t>
  </si>
  <si>
    <t>Building operators</t>
  </si>
  <si>
    <t>Seritage Growth Properties Class A Common Stock</t>
  </si>
  <si>
    <t>SRG</t>
  </si>
  <si>
    <t>Oil/Gas Transmission</t>
  </si>
  <si>
    <t>DBA Sempra Common Stock</t>
  </si>
  <si>
    <t>SRE</t>
  </si>
  <si>
    <t>Spirit Realty Capital Inc. Common Stock</t>
  </si>
  <si>
    <t>SRC</t>
  </si>
  <si>
    <t>Spire Inc. Common Stock</t>
  </si>
  <si>
    <t>SR</t>
  </si>
  <si>
    <t>Sequans Communications S.A. American Depositary Shares</t>
  </si>
  <si>
    <t>SQNS</t>
  </si>
  <si>
    <t>Block Inc. Class A Common Stock</t>
  </si>
  <si>
    <t>SQ</t>
  </si>
  <si>
    <t>Nuveen S&amp;P 500 Dynamic Overwrite Fund</t>
  </si>
  <si>
    <t>SPXX</t>
  </si>
  <si>
    <t>SPX Technologies Inc. Common Stock</t>
  </si>
  <si>
    <t>SPXC</t>
  </si>
  <si>
    <t>Spirit Aerosystems Holdings Inc. Common Stock</t>
  </si>
  <si>
    <t>SPR</t>
  </si>
  <si>
    <t>Spotify Technology S.A. Ordinary Shares</t>
  </si>
  <si>
    <t>SPOT</t>
  </si>
  <si>
    <t>Steel Partners Holdings LP LTD PARTNERSHIP UNIT</t>
  </si>
  <si>
    <t>SPLP</t>
  </si>
  <si>
    <t>Suburban Propane Partners L.P. Common Stock</t>
  </si>
  <si>
    <t>SPH</t>
  </si>
  <si>
    <t>S&amp;P Global Inc. Common Stock</t>
  </si>
  <si>
    <t>SPGI</t>
  </si>
  <si>
    <t>Simon Property Group Inc. Common Stock</t>
  </si>
  <si>
    <t>SPG</t>
  </si>
  <si>
    <t>Special Opportunities Fund Inc Common Stock</t>
  </si>
  <si>
    <t>SPE</t>
  </si>
  <si>
    <t>Spectrum Brands Holdings Inc. Common Stock</t>
  </si>
  <si>
    <t>SPB</t>
  </si>
  <si>
    <t>Source Capital Inc. Common Stock</t>
  </si>
  <si>
    <t>SOR</t>
  </si>
  <si>
    <t xml:space="preserve">Sony Group Corporation American Depositary Shares </t>
  </si>
  <si>
    <t>SONY</t>
  </si>
  <si>
    <t>Containers/Packaging</t>
  </si>
  <si>
    <t>Sonoco Products Company Common Stock</t>
  </si>
  <si>
    <t>SON</t>
  </si>
  <si>
    <t>Solaris Oilfield Infrastructure Inc. Class A Common Stock</t>
  </si>
  <si>
    <t>SOI</t>
  </si>
  <si>
    <t>Southern Company (The) Common Stock</t>
  </si>
  <si>
    <t>SO</t>
  </si>
  <si>
    <t>Electronics Distribution</t>
  </si>
  <si>
    <t>TD SYNNEX Corporation Common Stock</t>
  </si>
  <si>
    <t>SNX</t>
  </si>
  <si>
    <t>Synovus Financial Corp. Common Stock</t>
  </si>
  <si>
    <t>SNV</t>
  </si>
  <si>
    <t>Snowflake Inc. Class A Common Stock</t>
  </si>
  <si>
    <t>SNOW</t>
  </si>
  <si>
    <t>Smith &amp; Nephew SNATS Inc. Common Stock</t>
  </si>
  <si>
    <t>SNN</t>
  </si>
  <si>
    <t>Schneider National Inc. Common Stock</t>
  </si>
  <si>
    <t>SNDR</t>
  </si>
  <si>
    <t>Sonida Senior Living Inc. Common Stock</t>
  </si>
  <si>
    <t>SNDA</t>
  </si>
  <si>
    <t>Snap Inc. Class A Common Stock</t>
  </si>
  <si>
    <t>SNAP</t>
  </si>
  <si>
    <t>Snap-On Incorporated Common Stock</t>
  </si>
  <si>
    <t>SNA</t>
  </si>
  <si>
    <t>SmartRent Inc. Class A Common Stock</t>
  </si>
  <si>
    <t>SMRT</t>
  </si>
  <si>
    <t>Standard Motor Products Inc. Common Stock</t>
  </si>
  <si>
    <t>SMP</t>
  </si>
  <si>
    <t>Summit Midstream Partners LP Common Units Representing Limited Partner Interests</t>
  </si>
  <si>
    <t>SMLP</t>
  </si>
  <si>
    <t>Scotts Miracle-Gro Company (The) Common Stock</t>
  </si>
  <si>
    <t>SMG</t>
  </si>
  <si>
    <t>Sumitomo Mitsui Financial Group Inc Unsponsored American Depositary Shares (Japan)</t>
  </si>
  <si>
    <t>SMFG</t>
  </si>
  <si>
    <t>Smartsheet Inc. Class A Common Stock</t>
  </si>
  <si>
    <t>SMAR</t>
  </si>
  <si>
    <t>SM Energy Company Common Stock</t>
  </si>
  <si>
    <t>SM</t>
  </si>
  <si>
    <t>Paper</t>
  </si>
  <si>
    <t>Sylvamo Corporation Common Stock</t>
  </si>
  <si>
    <t>SLVM</t>
  </si>
  <si>
    <t>Silgan Holdings Inc. Common Stock</t>
  </si>
  <si>
    <t>SLGN</t>
  </si>
  <si>
    <t>SL Green Realty Corp Common Stock</t>
  </si>
  <si>
    <t>SLG</t>
  </si>
  <si>
    <t>Sun Life Financial Inc. Common Stock</t>
  </si>
  <si>
    <t>SLF</t>
  </si>
  <si>
    <t>U.S. Silica Holdings Inc. Common Stock</t>
  </si>
  <si>
    <t>SLCA</t>
  </si>
  <si>
    <t>Schlumberger N.V. Common Stock</t>
  </si>
  <si>
    <t>SLB</t>
  </si>
  <si>
    <t>Skyline Champion Corporation Common Stock</t>
  </si>
  <si>
    <t>SKY</t>
  </si>
  <si>
    <t>Skechers U.S.A. Inc. Common Stock</t>
  </si>
  <si>
    <t>SKX</t>
  </si>
  <si>
    <t>Tanger Factory Outlet Centers Inc. Common Stock</t>
  </si>
  <si>
    <t>SKT</t>
  </si>
  <si>
    <t>SK Telecom Co. Ltd. Common Stock</t>
  </si>
  <si>
    <t>SKM</t>
  </si>
  <si>
    <t>SJW Group Common Stock (DE)</t>
  </si>
  <si>
    <t>SJW</t>
  </si>
  <si>
    <t>San Juan Basin Royalty Trust Common Stock</t>
  </si>
  <si>
    <t>SJT</t>
  </si>
  <si>
    <t>Shaw Communications Inc. Common Stock</t>
  </si>
  <si>
    <t>SJR</t>
  </si>
  <si>
    <t>J.M. Smucker Company (The) New Common Stock</t>
  </si>
  <si>
    <t>SJM</t>
  </si>
  <si>
    <t>Six Flags Entertainment Corporation New Common Stock</t>
  </si>
  <si>
    <t>SIX</t>
  </si>
  <si>
    <t>SiteOne Landscape Supply Inc. Common Stock</t>
  </si>
  <si>
    <t>SITE</t>
  </si>
  <si>
    <t>SITE Centers Corp. Common Stock</t>
  </si>
  <si>
    <t>SITC</t>
  </si>
  <si>
    <t>Silvergate Capital Corporation Class A Common Stock</t>
  </si>
  <si>
    <t>SI</t>
  </si>
  <si>
    <t>Paints/Coatings</t>
  </si>
  <si>
    <t>Sherwin-Williams Company (The) Common Stock</t>
  </si>
  <si>
    <t>SHW</t>
  </si>
  <si>
    <t>Shopify Inc. Class A Subordinate Voting Shares</t>
  </si>
  <si>
    <t>SHOP</t>
  </si>
  <si>
    <t>Sunstone Hotel Investors Inc. Sunstone Hotel Investors Inc. Common Shares</t>
  </si>
  <si>
    <t>SHO</t>
  </si>
  <si>
    <t>Shinhan Financial Group Co Ltd American Depositary Shares</t>
  </si>
  <si>
    <t>SHG</t>
  </si>
  <si>
    <t xml:space="preserve">Royal Dutch Shell PLC American Depositary Shares (each representing two (2) Ordinary Shares) </t>
  </si>
  <si>
    <t>SHEL</t>
  </si>
  <si>
    <t>Shake Shack Inc. Class A Common Stock</t>
  </si>
  <si>
    <t>SHAK</t>
  </si>
  <si>
    <t>Star Group L.P. Common Stock</t>
  </si>
  <si>
    <t>SGU</t>
  </si>
  <si>
    <t>ServisFirst Bancshares Inc. Common Stock</t>
  </si>
  <si>
    <t>SFBS</t>
  </si>
  <si>
    <t>Investment Bankers/Brokers/Service</t>
  </si>
  <si>
    <t>Stifel Financial Corporation Common Stock</t>
  </si>
  <si>
    <t>SF</t>
  </si>
  <si>
    <t>Select Medical Holdings Corporation Common Stock</t>
  </si>
  <si>
    <t>SEM</t>
  </si>
  <si>
    <t>Sealed Air Corporation Common Stock</t>
  </si>
  <si>
    <t>SEE</t>
  </si>
  <si>
    <t>SeaWorld Entertainment Inc. Common Stock</t>
  </si>
  <si>
    <t>SEAS</t>
  </si>
  <si>
    <t>Sea Limited American Depositary Shares each representing one Class A Ordinary Share</t>
  </si>
  <si>
    <t>SE</t>
  </si>
  <si>
    <t>L.S. Starrett Company (The) Common Stock</t>
  </si>
  <si>
    <t>SCX</t>
  </si>
  <si>
    <t>Sculptor Capital Management Inc. Class A Common Stock</t>
  </si>
  <si>
    <t>SCU</t>
  </si>
  <si>
    <t>Steelcase Inc. Common Stock</t>
  </si>
  <si>
    <t>SCS</t>
  </si>
  <si>
    <t>Stellus Capital Investment Corporation Common Stock</t>
  </si>
  <si>
    <t>SCM</t>
  </si>
  <si>
    <t>Package Goods/Cosmetics</t>
  </si>
  <si>
    <t>Stepan Company Common Stock</t>
  </si>
  <si>
    <t>SCL</t>
  </si>
  <si>
    <t>Service Corporation International Common Stock</t>
  </si>
  <si>
    <t>SCI</t>
  </si>
  <si>
    <t>Charles Schwab Corporation (The) Common Stock</t>
  </si>
  <si>
    <t>SCHW</t>
  </si>
  <si>
    <t>LMP Capital and Income Fund Inc. Common Stock</t>
  </si>
  <si>
    <t>SCD</t>
  </si>
  <si>
    <t>Metal Mining</t>
  </si>
  <si>
    <t>Basic Materials</t>
  </si>
  <si>
    <t>Southern Copper Corporation Common Stock</t>
  </si>
  <si>
    <t>SCCO</t>
  </si>
  <si>
    <t>Sabine Royalty Trust Common Stock</t>
  </si>
  <si>
    <t>SBR</t>
  </si>
  <si>
    <t>Western Asset Intermediate Muni Fund Inc Common Stock</t>
  </si>
  <si>
    <t>SBI</t>
  </si>
  <si>
    <t>Sally Beauty Holdings Inc. (Name to be changed from Sally Holdings Inc.) Common Stock</t>
  </si>
  <si>
    <t>SBH</t>
  </si>
  <si>
    <t>Spirit Airlines Inc. Common Stock</t>
  </si>
  <si>
    <t>SAVE</t>
  </si>
  <si>
    <t>Saratoga Investment Corp New</t>
  </si>
  <si>
    <t>SAR</t>
  </si>
  <si>
    <t>Germany</t>
  </si>
  <si>
    <t>SAP  SE ADS</t>
  </si>
  <si>
    <t>SAP</t>
  </si>
  <si>
    <t>Sandstorm Gold Ltd. Ordinary Shares (Canada)</t>
  </si>
  <si>
    <t xml:space="preserve">SAND          </t>
  </si>
  <si>
    <t>Banco Santander S.A. Sponsored ADR (Spain)</t>
  </si>
  <si>
    <t>SAN</t>
  </si>
  <si>
    <t>Boston Beer Company Inc. (The) Common Stock</t>
  </si>
  <si>
    <t>SAM</t>
  </si>
  <si>
    <t>Sonic Automotive Inc. Common Stock</t>
  </si>
  <si>
    <t>SAH</t>
  </si>
  <si>
    <t>Safehold Inc. Common Stock</t>
  </si>
  <si>
    <t>SAFE</t>
  </si>
  <si>
    <t>Seabridge Gold Inc. Ordinary Shares (Canada)</t>
  </si>
  <si>
    <t>SA</t>
  </si>
  <si>
    <t>SentinelOne Inc. Class A Common Stock</t>
  </si>
  <si>
    <t>S</t>
  </si>
  <si>
    <t>Rayonier Inc. REIT Common Stock</t>
  </si>
  <si>
    <t>RYN</t>
  </si>
  <si>
    <t>Ryerson Holding Corporation Common Stock</t>
  </si>
  <si>
    <t>RYI</t>
  </si>
  <si>
    <t>Rayonier Advanced Materials Inc. Common Stock</t>
  </si>
  <si>
    <t>RYAM</t>
  </si>
  <si>
    <t>Royal Bank Of Canada Common Stock</t>
  </si>
  <si>
    <t>RY</t>
  </si>
  <si>
    <t>Redwood Trust Inc. Common Stock</t>
  </si>
  <si>
    <t>RWT</t>
  </si>
  <si>
    <t>Royce Value Trust Inc. Common Stock</t>
  </si>
  <si>
    <t>RVT</t>
  </si>
  <si>
    <t>Raytheon Technologies Corporation Common Stock</t>
  </si>
  <si>
    <t>RTX</t>
  </si>
  <si>
    <t>Republic Services Inc. Common Stock</t>
  </si>
  <si>
    <t>RSG</t>
  </si>
  <si>
    <t>Reliance Steel &amp; Aluminum Co. Common Stock (DE)</t>
  </si>
  <si>
    <t>RS</t>
  </si>
  <si>
    <t>Regal Rexnord Corporation Common Stock</t>
  </si>
  <si>
    <t>RRX</t>
  </si>
  <si>
    <t>Range Resources Corporation Common Stock</t>
  </si>
  <si>
    <t>RRC</t>
  </si>
  <si>
    <t>Cohen &amp; Steers Quality Income Realty Fund Inc Common Shares</t>
  </si>
  <si>
    <t>RQI</t>
  </si>
  <si>
    <t>RPT Realty Common Stock</t>
  </si>
  <si>
    <t>RPT</t>
  </si>
  <si>
    <t>RPM International Inc. Common Stock</t>
  </si>
  <si>
    <t>RPM</t>
  </si>
  <si>
    <t>Roper Technologies Inc. Common Stock</t>
  </si>
  <si>
    <t>ROP</t>
  </si>
  <si>
    <t>Rollins Inc. Common Stock</t>
  </si>
  <si>
    <t>ROL</t>
  </si>
  <si>
    <t>Rockwell Automation Inc. Common Stock</t>
  </si>
  <si>
    <t>ROK</t>
  </si>
  <si>
    <t>Rogers Corporation Common Stock</t>
  </si>
  <si>
    <t>ROG</t>
  </si>
  <si>
    <t>Cohen &amp; Steers REIT and Preferred and Income Fund Inc. Common Shares</t>
  </si>
  <si>
    <t>RNP</t>
  </si>
  <si>
    <t>Ranger Energy Services Inc. Class A Common Stock</t>
  </si>
  <si>
    <t>RNGR</t>
  </si>
  <si>
    <t>Royce Micro-Cap Trust Inc. Common Stock</t>
  </si>
  <si>
    <t>RMT</t>
  </si>
  <si>
    <t>ResMed Inc. Common Stock</t>
  </si>
  <si>
    <t>RMD</t>
  </si>
  <si>
    <t>Regional Management Corp. Common Stock</t>
  </si>
  <si>
    <t>RM</t>
  </si>
  <si>
    <t>RLJ Lodging Trust Common Shares of Beneficial Interest $0.01 par value</t>
  </si>
  <si>
    <t>RLJ</t>
  </si>
  <si>
    <t>RLI Corp. Common Stock (DE)</t>
  </si>
  <si>
    <t>RLI</t>
  </si>
  <si>
    <t>Ralph Lauren Corporation Common Stock</t>
  </si>
  <si>
    <t>RL</t>
  </si>
  <si>
    <t>Rocket Companies Inc. Class A Common Stock</t>
  </si>
  <si>
    <t>RKT</t>
  </si>
  <si>
    <t>Raymond James Financial Inc. Common Stock</t>
  </si>
  <si>
    <t>RJF</t>
  </si>
  <si>
    <t>Rithm Capital Corp. Common Stock</t>
  </si>
  <si>
    <t>RITM</t>
  </si>
  <si>
    <t>Australia</t>
  </si>
  <si>
    <t>Rio Tinto Plc Common Stock</t>
  </si>
  <si>
    <t>RIO</t>
  </si>
  <si>
    <t>Transocean Ltd (Switzerland) Common Stock</t>
  </si>
  <si>
    <t>RIG</t>
  </si>
  <si>
    <t>Ryman Hospitality Properties Inc. (REIT)</t>
  </si>
  <si>
    <t>RHP</t>
  </si>
  <si>
    <t>Robert Half International Inc. Common Stock</t>
  </si>
  <si>
    <t>RH Common Stock</t>
  </si>
  <si>
    <t>RH</t>
  </si>
  <si>
    <t>Regis Corporation Common Stock</t>
  </si>
  <si>
    <t>RGS</t>
  </si>
  <si>
    <t>Sturm Ruger &amp; Company Inc. Common Stock</t>
  </si>
  <si>
    <t>RGR</t>
  </si>
  <si>
    <t>Life Insurance</t>
  </si>
  <si>
    <t>Reinsurance Group of America Incorporated Common Stock</t>
  </si>
  <si>
    <t>RGA</t>
  </si>
  <si>
    <t>Resolute Forest Products Inc. Common Stock</t>
  </si>
  <si>
    <t>RFP</t>
  </si>
  <si>
    <t>Rafael Holdings Inc. Class B Common Stock</t>
  </si>
  <si>
    <t>RFL</t>
  </si>
  <si>
    <t>Cohen &amp; Steers Total Return Realty Fund Inc. Common Stock</t>
  </si>
  <si>
    <t>RFI</t>
  </si>
  <si>
    <t>Regions Financial Corporation Common Stock</t>
  </si>
  <si>
    <t>RF</t>
  </si>
  <si>
    <t>Rexford Industrial Realty Inc. Common Stock</t>
  </si>
  <si>
    <t>REXR</t>
  </si>
  <si>
    <t>REX American Resources Corporation</t>
  </si>
  <si>
    <t>REX</t>
  </si>
  <si>
    <t>REV Group Inc. Common Stock</t>
  </si>
  <si>
    <t>REVG</t>
  </si>
  <si>
    <t>RPC Inc. Common Stock</t>
  </si>
  <si>
    <t>RES</t>
  </si>
  <si>
    <t>RELX PLC PLC American Depositary Shares (Each representing One Ordinary Share)</t>
  </si>
  <si>
    <t>RELX</t>
  </si>
  <si>
    <t>Dr. Reddy's Laboratories Ltd Common Stock</t>
  </si>
  <si>
    <t>RDY</t>
  </si>
  <si>
    <t>Redwire Corporation Common Stock</t>
  </si>
  <si>
    <t>RDW</t>
  </si>
  <si>
    <t>Radian Group Inc. Common Stock</t>
  </si>
  <si>
    <t>RDN</t>
  </si>
  <si>
    <t>PIMCO Strategic Income Fund Inc.</t>
  </si>
  <si>
    <t>RCS</t>
  </si>
  <si>
    <t>D/B/A Royal Caribbean Cruises Ltd. Common Stock</t>
  </si>
  <si>
    <t>RCL</t>
  </si>
  <si>
    <t>Rogers Communication Inc. Common Stock</t>
  </si>
  <si>
    <t>RCI</t>
  </si>
  <si>
    <t>Ready Capital Corproation Common Stock</t>
  </si>
  <si>
    <t>RC</t>
  </si>
  <si>
    <t>Hong Kong</t>
  </si>
  <si>
    <t>Vicarious Surgical Inc. Class A Common Stock</t>
  </si>
  <si>
    <t>RBOT</t>
  </si>
  <si>
    <t>Roblox Corporation Class A Common Stock</t>
  </si>
  <si>
    <t>RBLX</t>
  </si>
  <si>
    <t>RBC Bearings Incorporated Common Stock</t>
  </si>
  <si>
    <t>RBC</t>
  </si>
  <si>
    <t>Ritchie Bros. Auctioneers Incorporated Common Stock</t>
  </si>
  <si>
    <t>RBA</t>
  </si>
  <si>
    <t>LiveRamp Holdings Inc. Common Stock</t>
  </si>
  <si>
    <t>RAMP</t>
  </si>
  <si>
    <t>Retail-Drug Stores and Proprietary Stores</t>
  </si>
  <si>
    <t>Rite Aid Corporation Common Stock</t>
  </si>
  <si>
    <t>RAD</t>
  </si>
  <si>
    <t>Ryder System Inc. Common Stock</t>
  </si>
  <si>
    <t>R</t>
  </si>
  <si>
    <t>Quad Graphics Inc Class A Common Stock</t>
  </si>
  <si>
    <t>QUAD</t>
  </si>
  <si>
    <t>Restaurant Brands International Inc. Common Shares</t>
  </si>
  <si>
    <t>QSR</t>
  </si>
  <si>
    <t>QuantumScape Corporation Class A Common Stock</t>
  </si>
  <si>
    <t>QS</t>
  </si>
  <si>
    <t>Biotechnology: Biological Products (No Diagnostic Substances)</t>
  </si>
  <si>
    <t xml:space="preserve">Qiagen N.V. Common Shares </t>
  </si>
  <si>
    <t>QGEN</t>
  </si>
  <si>
    <t>PIMCO California Municipal Income Fund III Common Shares of Beneficial Interest</t>
  </si>
  <si>
    <t>PZC</t>
  </si>
  <si>
    <t>Pioneer Natural Resources Company Common Stock</t>
  </si>
  <si>
    <t>PXD</t>
  </si>
  <si>
    <t>P10 Inc. Class A Common Stock</t>
  </si>
  <si>
    <t>PX</t>
  </si>
  <si>
    <t>PowerSchool Holdings Inc. Class A Common Stock</t>
  </si>
  <si>
    <t>PWSC</t>
  </si>
  <si>
    <t>Quanta Services Inc. Common Stock</t>
  </si>
  <si>
    <t>PWR</t>
  </si>
  <si>
    <t xml:space="preserve">Permianville Royalty Trust Trust Units </t>
  </si>
  <si>
    <t>PVL</t>
  </si>
  <si>
    <t>PVH Corp. Common Stock</t>
  </si>
  <si>
    <t>PVH</t>
  </si>
  <si>
    <t>ProPetro Holding Corp. Common Stock</t>
  </si>
  <si>
    <t>PUMP</t>
  </si>
  <si>
    <t>Prudential Public Limited Company Common Stock</t>
  </si>
  <si>
    <t>PUK</t>
  </si>
  <si>
    <t>Pimco Corporate &amp; Income Opportunity Fund</t>
  </si>
  <si>
    <t>PTY</t>
  </si>
  <si>
    <t>Phillips 66 Common Stock</t>
  </si>
  <si>
    <t>PSX</t>
  </si>
  <si>
    <t>Pearson Plc Common Stock</t>
  </si>
  <si>
    <t>PSO</t>
  </si>
  <si>
    <t>Public Storage Common Stock</t>
  </si>
  <si>
    <t>PSA</t>
  </si>
  <si>
    <t>Prudential Financial Inc. Common Stock</t>
  </si>
  <si>
    <t>PRU</t>
  </si>
  <si>
    <t>PermRock Royalty Trust Trust Units</t>
  </si>
  <si>
    <t>PRT</t>
  </si>
  <si>
    <t>Prudential Financial Inc. 5.625% Junior Subordinated Notes due 2058</t>
  </si>
  <si>
    <t>PRS</t>
  </si>
  <si>
    <t>PROS Holdings Inc. Common Stock</t>
  </si>
  <si>
    <t>PRO</t>
  </si>
  <si>
    <t>Primo Water Corporation Common Stock</t>
  </si>
  <si>
    <t>PRMW</t>
  </si>
  <si>
    <t>Proto Labs Inc. Common stock</t>
  </si>
  <si>
    <t>PRLB</t>
  </si>
  <si>
    <t>Primerica Inc. Common Stock</t>
  </si>
  <si>
    <t>PRI</t>
  </si>
  <si>
    <t>Perrigo Company plc Ordinary Shares</t>
  </si>
  <si>
    <t>PRGO</t>
  </si>
  <si>
    <t>PROG Holdings Inc. Common Stock</t>
  </si>
  <si>
    <t>PRG</t>
  </si>
  <si>
    <t>ProAssurance Corporation Common Stock</t>
  </si>
  <si>
    <t>PRA</t>
  </si>
  <si>
    <t>Permian Resources Corporation Class A Common Stock</t>
  </si>
  <si>
    <t>PR</t>
  </si>
  <si>
    <t>Putnam Premier Income Trust Common Stock</t>
  </si>
  <si>
    <t>PPT</t>
  </si>
  <si>
    <t>PPL Corporation Common Stock</t>
  </si>
  <si>
    <t>PPL</t>
  </si>
  <si>
    <t>PPG Industries Inc. Common Stock</t>
  </si>
  <si>
    <t>PPG</t>
  </si>
  <si>
    <t>Post Holdings Inc. Common Stock</t>
  </si>
  <si>
    <t>POST</t>
  </si>
  <si>
    <t>Portland General Electric Co Common Stock</t>
  </si>
  <si>
    <t>POR</t>
  </si>
  <si>
    <t>Pinnacle West Capital Corporation Common Stock</t>
  </si>
  <si>
    <t>PNW</t>
  </si>
  <si>
    <t>Pentair plc. Ordinary Share</t>
  </si>
  <si>
    <t>PNR</t>
  </si>
  <si>
    <t>PennantPark Investment Corporation Common Stock</t>
  </si>
  <si>
    <t>PNNT</t>
  </si>
  <si>
    <t>PNM Resources Inc. (Holding Co.) Common Stock</t>
  </si>
  <si>
    <t>PNM</t>
  </si>
  <si>
    <t>Pimco New York Municipal Income Fund II Common Shares of Beneficial Interest</t>
  </si>
  <si>
    <t>PNI</t>
  </si>
  <si>
    <t>PIMCO New York Municipal Income Fund Common Stock</t>
  </si>
  <si>
    <t>PNF</t>
  </si>
  <si>
    <t>PNC Financial Services Group Inc. (The) Common Stock</t>
  </si>
  <si>
    <t>PNC</t>
  </si>
  <si>
    <t>PIMCO Municipal Income Fund III Common Shares of Beneficial Interest</t>
  </si>
  <si>
    <t>PMX</t>
  </si>
  <si>
    <t>PennyMac Mortgage Investment Trust Common Shares of Beneficial Interest</t>
  </si>
  <si>
    <t>PMT</t>
  </si>
  <si>
    <t>Putnam Municipal Opportunities Trust Common Stock</t>
  </si>
  <si>
    <t>PMO</t>
  </si>
  <si>
    <t>Putnam Managed Municipal Income Trust Common Stock</t>
  </si>
  <si>
    <t>PMM</t>
  </si>
  <si>
    <t>Pimco Municipal Income Fund II Common Shares of Beneficial Interest</t>
  </si>
  <si>
    <t>PML</t>
  </si>
  <si>
    <t>PIMCO Municipal Income Fund Common Stock</t>
  </si>
  <si>
    <t>PMF</t>
  </si>
  <si>
    <t>Philip Morris International Inc Common Stock</t>
  </si>
  <si>
    <t>PM</t>
  </si>
  <si>
    <t>Plymouth Industrial REIT Inc. Common Stock</t>
  </si>
  <si>
    <t>PLYM</t>
  </si>
  <si>
    <t>Douglas Dynamics Inc. Common Stock</t>
  </si>
  <si>
    <t>PLOW</t>
  </si>
  <si>
    <t>Planet Fitness Inc. Common Stock</t>
  </si>
  <si>
    <t>PLNT</t>
  </si>
  <si>
    <t>Prologis Inc. Common Stock</t>
  </si>
  <si>
    <t>PLD</t>
  </si>
  <si>
    <t>POSCO Holdings Inc. American Depositary Shares (Each representing 1/4th of a share of Common Stock)</t>
  </si>
  <si>
    <t>PKX</t>
  </si>
  <si>
    <t>PerkinElmer Inc. Common Stock</t>
  </si>
  <si>
    <t>PKI</t>
  </si>
  <si>
    <t>Packaging Corporation of America Common Stock</t>
  </si>
  <si>
    <t>PKG</t>
  </si>
  <si>
    <t>Park Aerospace Corp. Common Stock</t>
  </si>
  <si>
    <t>PKE</t>
  </si>
  <si>
    <t xml:space="preserve">Park Hotels &amp; Resorts Inc. Common Stock </t>
  </si>
  <si>
    <t>PK</t>
  </si>
  <si>
    <t>PJT Partners Inc. Class A Common Stock</t>
  </si>
  <si>
    <t>PJT</t>
  </si>
  <si>
    <t>Piper Sandler Companies Common Stock</t>
  </si>
  <si>
    <t>PIPR</t>
  </si>
  <si>
    <t>Alpine Income Property Trust Inc. Common Stock</t>
  </si>
  <si>
    <t>PINE</t>
  </si>
  <si>
    <t>Putnam Master Intermediate Income Trust Common Stock</t>
  </si>
  <si>
    <t>PIM</t>
  </si>
  <si>
    <t>Polaris Inc. Common Stock</t>
  </si>
  <si>
    <t>PII</t>
  </si>
  <si>
    <t>PHX Minerals Inc. Common Stock</t>
  </si>
  <si>
    <t>PHX</t>
  </si>
  <si>
    <t>Pioneer High Income Fund Inc.</t>
  </si>
  <si>
    <t>PHT</t>
  </si>
  <si>
    <t>Managed Health Care</t>
  </si>
  <si>
    <t>Phreesia Inc. Common Stock</t>
  </si>
  <si>
    <t>PHR</t>
  </si>
  <si>
    <t>PulteGroup Inc. Common Stock</t>
  </si>
  <si>
    <t>PHM</t>
  </si>
  <si>
    <t>Pimco High Income Fund Pimco High Income Fund</t>
  </si>
  <si>
    <t>PHK</t>
  </si>
  <si>
    <t>Biotechnology: Electromedical &amp; Electrotherapeutic Apparatus</t>
  </si>
  <si>
    <t>Koninklijke Philips N.V. NY Registry Shares</t>
  </si>
  <si>
    <t>PHG</t>
  </si>
  <si>
    <t>Pioneer Floating Rate Fund Inc.</t>
  </si>
  <si>
    <t>PHD</t>
  </si>
  <si>
    <t>Parker-Hannifin Corporation Common Stock</t>
  </si>
  <si>
    <t>PH</t>
  </si>
  <si>
    <t>PGT Innovations Inc.</t>
  </si>
  <si>
    <t>PGTI</t>
  </si>
  <si>
    <t>Paramount Group Inc. Common Stock</t>
  </si>
  <si>
    <t>PGRE</t>
  </si>
  <si>
    <t>Progressive Corporation (The) Common Stock</t>
  </si>
  <si>
    <t>PGR</t>
  </si>
  <si>
    <t>Pimco Global Stocksplus &amp; Income Fund Pimco Global StocksPlus &amp; Income Fund Common Shares of Beneficial Interest</t>
  </si>
  <si>
    <t>PGP</t>
  </si>
  <si>
    <t>Procter &amp; Gamble Company (The) Common Stock</t>
  </si>
  <si>
    <t>PG</t>
  </si>
  <si>
    <t>PennyMac Financial Services Inc. Common Stock</t>
  </si>
  <si>
    <t>PFSI</t>
  </si>
  <si>
    <t>Savings Institutions</t>
  </si>
  <si>
    <t>Provident Financial Services Inc Common Stock</t>
  </si>
  <si>
    <t>PFS</t>
  </si>
  <si>
    <t>Flaherty &amp; Crumrine Preferred and Income Opportunity Fund Incorporated</t>
  </si>
  <si>
    <t>PFO</t>
  </si>
  <si>
    <t>PIMCO Income Strategy Fund II</t>
  </si>
  <si>
    <t>PFN</t>
  </si>
  <si>
    <t>PennantPark Floating Rate Capital Ltd. Common Stock</t>
  </si>
  <si>
    <t>PFLT</t>
  </si>
  <si>
    <t>PIMCO Income Strategy Fund Shares of Beneficial Interest</t>
  </si>
  <si>
    <t>PFL</t>
  </si>
  <si>
    <t>Performance Food Group Company Common Stock</t>
  </si>
  <si>
    <t>PFGC</t>
  </si>
  <si>
    <t>Pfizer Inc. Common Stock</t>
  </si>
  <si>
    <t>Flaherty &amp; Crumrine Preferred and Income Fund Incorporated</t>
  </si>
  <si>
    <t>PFD</t>
  </si>
  <si>
    <t>Adams Natural Resources Fund Inc. Common Stock</t>
  </si>
  <si>
    <t>PEO</t>
  </si>
  <si>
    <t>Public Service Enterprise Group Incorporated Common Stock</t>
  </si>
  <si>
    <t>PEG</t>
  </si>
  <si>
    <t>Pebblebrook Hotel Trust Common Shares of Beneficial Interest</t>
  </si>
  <si>
    <t>PEB</t>
  </si>
  <si>
    <t>Healthpeak Properties Inc. Common Stock</t>
  </si>
  <si>
    <t>PEAK</t>
  </si>
  <si>
    <t>John Hancock Premium Dividend Fund</t>
  </si>
  <si>
    <t>PDT</t>
  </si>
  <si>
    <t>Precision Drilling Corporation Common Stock</t>
  </si>
  <si>
    <t>PDS</t>
  </si>
  <si>
    <t>Piedmont Office Realty Trust Inc. Class A Common Stock</t>
  </si>
  <si>
    <t>PDM</t>
  </si>
  <si>
    <t>PIMCO Dynamic Income Fund Common Stock</t>
  </si>
  <si>
    <t>PDI</t>
  </si>
  <si>
    <t>PIMCO California Municipal Income Fund Common Stock</t>
  </si>
  <si>
    <t>PCQ</t>
  </si>
  <si>
    <t>Pimco Corporate &amp; Income Strategy Fund Common Stock</t>
  </si>
  <si>
    <t>PCN</t>
  </si>
  <si>
    <t>PCM Fund Inc. Common Stock</t>
  </si>
  <si>
    <t>PCM</t>
  </si>
  <si>
    <t>Pimco California Municipal Income Fund II Common Shares of Beneficial Interest</t>
  </si>
  <si>
    <t>PCK</t>
  </si>
  <si>
    <t>Pacific Gas &amp; Electric Co. Common Stock</t>
  </si>
  <si>
    <t>PCG</t>
  </si>
  <si>
    <t>High Income Securities Fund Common Stock</t>
  </si>
  <si>
    <t>PCF</t>
  </si>
  <si>
    <t>Permian Basin Royalty Trust Common Stock</t>
  </si>
  <si>
    <t>PBT</t>
  </si>
  <si>
    <t>Pitney Bowes Inc. Common Stock</t>
  </si>
  <si>
    <t>PBI</t>
  </si>
  <si>
    <t>Prestige Consumer Healthcare Inc. Common Stock</t>
  </si>
  <si>
    <t>PBH</t>
  </si>
  <si>
    <t>PBF Energy Inc. Class A Common Stock</t>
  </si>
  <si>
    <t>PBF</t>
  </si>
  <si>
    <t>Pembina Pipeline Corp. Ordinary Shares (Canada)</t>
  </si>
  <si>
    <t>PBA</t>
  </si>
  <si>
    <t>Prosperity Bancshares Inc. Common Stock</t>
  </si>
  <si>
    <t>PB</t>
  </si>
  <si>
    <t>Par Pacific Holdings Inc.  Common Stock</t>
  </si>
  <si>
    <t>PARR</t>
  </si>
  <si>
    <t>PAR Technology Corporation Common Stock</t>
  </si>
  <si>
    <t>PAR</t>
  </si>
  <si>
    <t>Western Asset Investment Grade Income Fund Inc.</t>
  </si>
  <si>
    <t>PAI</t>
  </si>
  <si>
    <t>Penske Automotive Group Inc. Common Stock</t>
  </si>
  <si>
    <t>PAG</t>
  </si>
  <si>
    <t>Grupo Aeroportuario Del Pacifico S.A. B. de C.V. Grupo Aeroportuario Del Pacifico S.A. de C.V. (each representing 10 Series B shares)</t>
  </si>
  <si>
    <t>PAC</t>
  </si>
  <si>
    <t>Occidental Petroleum Corporation Common Stock</t>
  </si>
  <si>
    <t>OXY</t>
  </si>
  <si>
    <t>Oxford Industries Inc. Common Stock</t>
  </si>
  <si>
    <t>OXM</t>
  </si>
  <si>
    <t>Blue Owl Capital Inc. Class A Common Stock</t>
  </si>
  <si>
    <t>OWL</t>
  </si>
  <si>
    <t>Ovintiv Inc. (DE)</t>
  </si>
  <si>
    <t>OVV</t>
  </si>
  <si>
    <t>Ouster Inc. Common Stock</t>
  </si>
  <si>
    <t>OUST</t>
  </si>
  <si>
    <t>Oshkosh Corporation (Holding Company)Common Stock</t>
  </si>
  <si>
    <t>OSK</t>
  </si>
  <si>
    <t>Assisted Living Services</t>
  </si>
  <si>
    <t>Oak Street Health Inc. Common Stock</t>
  </si>
  <si>
    <t>OSH</t>
  </si>
  <si>
    <t>Overseas Shipholding Group Inc. Class A Common Stock</t>
  </si>
  <si>
    <t>OSG</t>
  </si>
  <si>
    <t>Orion Group Holdings Inc. Common</t>
  </si>
  <si>
    <t>ORN</t>
  </si>
  <si>
    <t>Old Republic International Corporation Common Stock</t>
  </si>
  <si>
    <t>ORI</t>
  </si>
  <si>
    <t>Oracle Corporation Common Stock</t>
  </si>
  <si>
    <t>ORCL</t>
  </si>
  <si>
    <t>Orchid Island Capital Inc. Common Stock</t>
  </si>
  <si>
    <t>ORC</t>
  </si>
  <si>
    <t>Orange</t>
  </si>
  <si>
    <t>ORAN</t>
  </si>
  <si>
    <t>Ormat Technologies Inc. Common Stock</t>
  </si>
  <si>
    <t>ORA</t>
  </si>
  <si>
    <t>Oppenheimer Holdings Inc. Class A Common Stock (DE)</t>
  </si>
  <si>
    <t>OPY</t>
  </si>
  <si>
    <t>RiverNorth/DoubleLine Strategic Opportunity Fund Inc. Common Stock</t>
  </si>
  <si>
    <t>OPP</t>
  </si>
  <si>
    <t>Offerpad Solutions Inc. Class A Common Stock</t>
  </si>
  <si>
    <t>OPAD</t>
  </si>
  <si>
    <t>Onto Innovation Inc. Common Stock</t>
  </si>
  <si>
    <t>ONTO</t>
  </si>
  <si>
    <t>Owens &amp; Minor Inc. Common Stock</t>
  </si>
  <si>
    <t>OMI</t>
  </si>
  <si>
    <t>Omnicom Group Inc. Common Stock</t>
  </si>
  <si>
    <t>OMC</t>
  </si>
  <si>
    <t>One Liberty Properties Inc. Common Stock</t>
  </si>
  <si>
    <t>OLP</t>
  </si>
  <si>
    <t>Olin Corporation Common Stock</t>
  </si>
  <si>
    <t>OLN</t>
  </si>
  <si>
    <t>ONEOK Inc. Common Stock</t>
  </si>
  <si>
    <t>OKE</t>
  </si>
  <si>
    <t>Oil States International Inc. Common Stock</t>
  </si>
  <si>
    <t>OIS</t>
  </si>
  <si>
    <t>Oceaneering International Inc. Common Stock</t>
  </si>
  <si>
    <t>OII</t>
  </si>
  <si>
    <t>Invesco Municipal Income Opportunities Trust Common Stock</t>
  </si>
  <si>
    <t>OIA</t>
  </si>
  <si>
    <t>O-I Glass Inc. Common Stock</t>
  </si>
  <si>
    <t>OI</t>
  </si>
  <si>
    <t>Omega Healthcare Investors Inc. Common Stock</t>
  </si>
  <si>
    <t>OHI</t>
  </si>
  <si>
    <t>OGE Energy Corp Common Stock</t>
  </si>
  <si>
    <t>OGE</t>
  </si>
  <si>
    <t>Corporate Office Properties Trust Common Stock</t>
  </si>
  <si>
    <t>OFC</t>
  </si>
  <si>
    <t>Orion Engineered Carbons S.A Common Shares</t>
  </si>
  <si>
    <t>OEC</t>
  </si>
  <si>
    <t>Oil-Dri Corporation Of America Common Stock</t>
  </si>
  <si>
    <t>ODC</t>
  </si>
  <si>
    <t>Ocwen Financial Corporation NEW Common Stock</t>
  </si>
  <si>
    <t>OCN</t>
  </si>
  <si>
    <t>Owens Corning Inc Common Stock New</t>
  </si>
  <si>
    <t>OC</t>
  </si>
  <si>
    <t>Realty Income Corporation Common Stock</t>
  </si>
  <si>
    <t>O</t>
  </si>
  <si>
    <t xml:space="preserve">Nuveen Municipal Credit Income Fund </t>
  </si>
  <si>
    <t>NZF</t>
  </si>
  <si>
    <t>Newspapers/Magazines</t>
  </si>
  <si>
    <t>New York Times Company (The) Common Stock</t>
  </si>
  <si>
    <t>NYT</t>
  </si>
  <si>
    <t>Banks</t>
  </si>
  <si>
    <t>New York Community Bancorp Inc. Common Stock</t>
  </si>
  <si>
    <t>NYCB</t>
  </si>
  <si>
    <t>NexPoint Residential Trust Inc. Common Stock</t>
  </si>
  <si>
    <t>NXRT</t>
  </si>
  <si>
    <t>Nuveen Select Tax Free Income Portfolio Common Stock</t>
  </si>
  <si>
    <t>NXP</t>
  </si>
  <si>
    <t xml:space="preserve">Nuveen New Jersey Qualified Municipal Fund </t>
  </si>
  <si>
    <t>NXJ</t>
  </si>
  <si>
    <t>Nuveen California Select Tax-Free Income Portfolio Common Stock</t>
  </si>
  <si>
    <t>NXC</t>
  </si>
  <si>
    <t>Quanex Building Products Corporation Common Stock</t>
  </si>
  <si>
    <t>NX</t>
  </si>
  <si>
    <t>Northwest Natural Holding Company Common Stock</t>
  </si>
  <si>
    <t>NWN</t>
  </si>
  <si>
    <t>NatWest Group plc American Depositary Shares (each representing two (2) Ordinary Shares)</t>
  </si>
  <si>
    <t>NWG</t>
  </si>
  <si>
    <t>Invitae Corporation Common Stock</t>
  </si>
  <si>
    <t>NVTA</t>
  </si>
  <si>
    <t>Novartis AG Common Stock</t>
  </si>
  <si>
    <t>NVS</t>
  </si>
  <si>
    <t>Nevro Corp. Common Stock</t>
  </si>
  <si>
    <t>NVRO</t>
  </si>
  <si>
    <t>NVR Inc. Common Stock</t>
  </si>
  <si>
    <t>NVR</t>
  </si>
  <si>
    <t>Denmark</t>
  </si>
  <si>
    <t>Novo Nordisk A/S Common Stock</t>
  </si>
  <si>
    <t>NVO</t>
  </si>
  <si>
    <t xml:space="preserve">Nuveen AMT-Free Municipal Credit Income Fund </t>
  </si>
  <si>
    <t>NVG</t>
  </si>
  <si>
    <t>Nuveen AMT-Free Municipal Value Fund</t>
  </si>
  <si>
    <t>NUW</t>
  </si>
  <si>
    <t>Nuvation Bio Inc. Class A Common Stock</t>
  </si>
  <si>
    <t>NUVB</t>
  </si>
  <si>
    <t>Nuveen Municipal Value Fund Inc. Common Stock</t>
  </si>
  <si>
    <t>NUV</t>
  </si>
  <si>
    <t>Other Pharmaceuticals</t>
  </si>
  <si>
    <t>Nu Skin Enterprises Inc. Common Stock</t>
  </si>
  <si>
    <t>NUS</t>
  </si>
  <si>
    <t>Nuveen Ohio Quality Municipal Income Fund Common Stock</t>
  </si>
  <si>
    <t>NUO</t>
  </si>
  <si>
    <t>Nucor Corporation Common Stock</t>
  </si>
  <si>
    <t>NUE</t>
  </si>
  <si>
    <t>Italy</t>
  </si>
  <si>
    <t>Natuzzi S.p.A.</t>
  </si>
  <si>
    <t>NTZ</t>
  </si>
  <si>
    <t>NetSTREIT Corp. Common Stock</t>
  </si>
  <si>
    <t>NTST</t>
  </si>
  <si>
    <t>Insperity Inc. Common Stock</t>
  </si>
  <si>
    <t>NSP</t>
  </si>
  <si>
    <t>Nuveen Senior Income Fund Common Stock</t>
  </si>
  <si>
    <t>NSL</t>
  </si>
  <si>
    <t>Norfolk Southern Corporation Common Stock</t>
  </si>
  <si>
    <t>NSC</t>
  </si>
  <si>
    <t>Nustar Energy L.P.  Common Units</t>
  </si>
  <si>
    <t>NS</t>
  </si>
  <si>
    <t>North European Oil Royality Trust Common Stock</t>
  </si>
  <si>
    <t>NRT</t>
  </si>
  <si>
    <t>Coal Mining</t>
  </si>
  <si>
    <t>Natural Resource Partners LP Limited Partnership</t>
  </si>
  <si>
    <t>NRP</t>
  </si>
  <si>
    <t xml:space="preserve">Nuveen New York AMT-Free Quality Municipal Income Fund </t>
  </si>
  <si>
    <t>NRK</t>
  </si>
  <si>
    <t>NRG Energy Inc. Common Stock</t>
  </si>
  <si>
    <t>NRG</t>
  </si>
  <si>
    <t>Nerdy Inc. Class A Common Stock</t>
  </si>
  <si>
    <t>NRDY</t>
  </si>
  <si>
    <t>Newpark Resources Inc. Common Stock</t>
  </si>
  <si>
    <t>NR</t>
  </si>
  <si>
    <t>Nuveen Pennsylvania Quality Municipal Income Fund Common Stock</t>
  </si>
  <si>
    <t>NQP</t>
  </si>
  <si>
    <t>Nuveen Virginia Quality Municipal Income Fund Common Stock</t>
  </si>
  <si>
    <t>NPV</t>
  </si>
  <si>
    <t>EnPro Industries Inc</t>
  </si>
  <si>
    <t>NPO</t>
  </si>
  <si>
    <t>National Presto Industries Inc. Common Stock</t>
  </si>
  <si>
    <t>NPK</t>
  </si>
  <si>
    <t>ServiceNow Inc. Common Stock</t>
  </si>
  <si>
    <t>NOW</t>
  </si>
  <si>
    <t>Sunnova Energy International Inc. Common Stock</t>
  </si>
  <si>
    <t>NOVA</t>
  </si>
  <si>
    <t>NOV Inc. Common Stock</t>
  </si>
  <si>
    <t>NOV</t>
  </si>
  <si>
    <t>Finland</t>
  </si>
  <si>
    <t>Nokia Corporation Sponsored American Depositary Shares</t>
  </si>
  <si>
    <t>NOK</t>
  </si>
  <si>
    <t>Northern Oil and Gas Inc. Common Stock</t>
  </si>
  <si>
    <t>NOG</t>
  </si>
  <si>
    <t>Security Systems Services</t>
  </si>
  <si>
    <t>Northrop Grumman Corporation Common Stock</t>
  </si>
  <si>
    <t>NOC</t>
  </si>
  <si>
    <t>North American Construction Group Ltd. Common Shares (no par)</t>
  </si>
  <si>
    <t>NOA</t>
  </si>
  <si>
    <t>Nuveen New York Municipal Value Fund Common Stock</t>
  </si>
  <si>
    <t>NNY</t>
  </si>
  <si>
    <t>National Retail Properties Common Stock</t>
  </si>
  <si>
    <t>NNN</t>
  </si>
  <si>
    <t>Nelnet Inc. Common Stock</t>
  </si>
  <si>
    <t>NNI</t>
  </si>
  <si>
    <t>Nuveen Municipal High Income Opportunity Fund Common Stock $0.01 par value per share</t>
  </si>
  <si>
    <t>NMZ</t>
  </si>
  <si>
    <t>Nuveen Massachusetts Quality Municipal Income Fund Common Stock</t>
  </si>
  <si>
    <t>NMT</t>
  </si>
  <si>
    <t xml:space="preserve">Nuveen Minnesota Quality Municipal Income Fund </t>
  </si>
  <si>
    <t>NMS</t>
  </si>
  <si>
    <t>Nomura Holdings Inc ADR American Depositary Shares</t>
  </si>
  <si>
    <t>NMR</t>
  </si>
  <si>
    <t>Navios Maritime Partners LP Common Units Representing Limited Partner Interests</t>
  </si>
  <si>
    <t>NMM</t>
  </si>
  <si>
    <t>Nuveen Municipal Income Fund Inc. Common Stock</t>
  </si>
  <si>
    <t>NMI</t>
  </si>
  <si>
    <t>Annaly Capital Management Inc. Common Stock</t>
  </si>
  <si>
    <t>NLY</t>
  </si>
  <si>
    <t>Nautilus Inc. Common Stock</t>
  </si>
  <si>
    <t>NLS</t>
  </si>
  <si>
    <t>NL Industries Inc. Common Stock</t>
  </si>
  <si>
    <t>NL</t>
  </si>
  <si>
    <t>Nuveen California AMT-Free Quality Municipal Income Fund</t>
  </si>
  <si>
    <t>NKX</t>
  </si>
  <si>
    <t xml:space="preserve">Nuveen Georgia Quality Municipal Income Fund </t>
  </si>
  <si>
    <t>NKG</t>
  </si>
  <si>
    <t>Nike Inc. Common Stock</t>
  </si>
  <si>
    <t>NKE</t>
  </si>
  <si>
    <t>NewJersey Resources Corporation Common Stock</t>
  </si>
  <si>
    <t>NJR</t>
  </si>
  <si>
    <t>Nine Energy Service Inc. Common Stock</t>
  </si>
  <si>
    <t>NINE</t>
  </si>
  <si>
    <t>Nuveen Select Maturities Municipal Fund Common Stock</t>
  </si>
  <si>
    <t>NIM</t>
  </si>
  <si>
    <t>Virtus Equity &amp; Convertible Income Fund Common Shares of Beneficial Interest</t>
  </si>
  <si>
    <t>NIE</t>
  </si>
  <si>
    <t>Nuveen Intermediate Duration Municipal Term Fund Common Shares of Beneficial Interest</t>
  </si>
  <si>
    <t>NID</t>
  </si>
  <si>
    <t>Nicolet Bankshares Inc. Common Stock</t>
  </si>
  <si>
    <t>NIC</t>
  </si>
  <si>
    <t>NiSource Inc Common Stock</t>
  </si>
  <si>
    <t>NI</t>
  </si>
  <si>
    <t>National Health Investors Inc. Common Stock</t>
  </si>
  <si>
    <t>NHI</t>
  </si>
  <si>
    <t>Natural Grocers by Vitamin Cottage Inc. Common Stock</t>
  </si>
  <si>
    <t>NGVC</t>
  </si>
  <si>
    <t>Natural Gas Services Group Inc. Common Stock</t>
  </si>
  <si>
    <t>NGS</t>
  </si>
  <si>
    <t>NGL ENERGY PARTNERS LP Common Units representing Limited Partner Interests</t>
  </si>
  <si>
    <t>NGL</t>
  </si>
  <si>
    <t>National Grid Transco PLC National Grid PLC (NEW) American Depositary Shares</t>
  </si>
  <si>
    <t>NGG</t>
  </si>
  <si>
    <t>Virtus Dividend Interest &amp; Premium Strategy Fund Common Shares of Beneficial Interest</t>
  </si>
  <si>
    <t>NFJ</t>
  </si>
  <si>
    <t>National Fuel Gas Company Common Stock</t>
  </si>
  <si>
    <t>NFG</t>
  </si>
  <si>
    <t>NexTier Oilfield Solutions Inc. Common Stock</t>
  </si>
  <si>
    <t>NEX</t>
  </si>
  <si>
    <t>New Relic Inc. Common Stock</t>
  </si>
  <si>
    <t>NEWR</t>
  </si>
  <si>
    <t>NewMarket Corp Common Stock</t>
  </si>
  <si>
    <t>NEU</t>
  </si>
  <si>
    <t>Cloudflare Inc. Class A Common Stock</t>
  </si>
  <si>
    <t>NET</t>
  </si>
  <si>
    <t>NextEra Energy Partners LP Common Units representing limited partner interests</t>
  </si>
  <si>
    <t>NEP</t>
  </si>
  <si>
    <t>Precious Metals</t>
  </si>
  <si>
    <t>Newmont Corporation</t>
  </si>
  <si>
    <t>NEM</t>
  </si>
  <si>
    <t>NextEra Energy Inc. Common Stock</t>
  </si>
  <si>
    <t>NEE</t>
  </si>
  <si>
    <t>Nuveen AMT-Free Quality Municipal Income Fund Common Shares of Beneficial Interest Par Value $.01</t>
  </si>
  <si>
    <t>NEA</t>
  </si>
  <si>
    <t>Tortoise Energy Independence Fund Inc. Common Stock</t>
  </si>
  <si>
    <t>NDP</t>
  </si>
  <si>
    <t>Virtus Convertible &amp; Income Fund II Common Shares of Beneficial Interest</t>
  </si>
  <si>
    <t>NCZ</t>
  </si>
  <si>
    <t>Virtus Convertible &amp; Income Fund Common Shares of Beneficial Interest</t>
  </si>
  <si>
    <t>NCV</t>
  </si>
  <si>
    <t>NCR Corporation Common Stock</t>
  </si>
  <si>
    <t>NCR</t>
  </si>
  <si>
    <t>Norwegian Cruise Line Holdings Ltd. Ordinary Shares</t>
  </si>
  <si>
    <t>NCLH</t>
  </si>
  <si>
    <t>Nuveen California Municipal Value Fund</t>
  </si>
  <si>
    <t>NCA</t>
  </si>
  <si>
    <t>NACCO Industries Inc. Common Stock</t>
  </si>
  <si>
    <t>NC</t>
  </si>
  <si>
    <t>National Bank Holdings Corporation Common Stock</t>
  </si>
  <si>
    <t>NBHC</t>
  </si>
  <si>
    <t>Nuveen Taxable Municipal Income Fund Common Shares of Beneficial Interest</t>
  </si>
  <si>
    <t>NBB</t>
  </si>
  <si>
    <t>Nuveen Arizona Quality Municipal Income Fund Common Stock</t>
  </si>
  <si>
    <t>NAZ</t>
  </si>
  <si>
    <t>Nuveen New York Quality Municipal Income Fund Common Stock</t>
  </si>
  <si>
    <t>NAN</t>
  </si>
  <si>
    <t>Nuveen Quality Municipal Income Fund Common Stock</t>
  </si>
  <si>
    <t>NAD</t>
  </si>
  <si>
    <t>Nuveen California Quality Municipal Income Fund</t>
  </si>
  <si>
    <t>NAC</t>
  </si>
  <si>
    <t>Myovant Sciences Ltd. Common Shares</t>
  </si>
  <si>
    <t>MYOV</t>
  </si>
  <si>
    <t>Blackrock MuniYield New York Quality Fund Inc.Common Stock</t>
  </si>
  <si>
    <t>MYN</t>
  </si>
  <si>
    <t>Blackrock MuniYield Quality Fund III Inc Common Stock</t>
  </si>
  <si>
    <t>MYI</t>
  </si>
  <si>
    <t>Myers Industries Inc. Common Stock</t>
  </si>
  <si>
    <t>MYE</t>
  </si>
  <si>
    <t>Blackrock MuniYield Fund Inc.  Common Stock</t>
  </si>
  <si>
    <t>MYD</t>
  </si>
  <si>
    <t>Mexico Fund Inc. (The) Common Stock</t>
  </si>
  <si>
    <t>MXF</t>
  </si>
  <si>
    <t>Magnachip Semiconductor Corporation Common Stock</t>
  </si>
  <si>
    <t>MX</t>
  </si>
  <si>
    <t>MUELLER WATER PRODUCTS Common Stock</t>
  </si>
  <si>
    <t>MWA</t>
  </si>
  <si>
    <t>Blackrock MuniVest Fund II Inc.  Common Stock</t>
  </si>
  <si>
    <t>MVT</t>
  </si>
  <si>
    <t>MV Oil Trust Units of Beneficial Interests</t>
  </si>
  <si>
    <t>MVO</t>
  </si>
  <si>
    <t>Blackrock MuniVest Fund Inc. Common Stock</t>
  </si>
  <si>
    <t>MVF</t>
  </si>
  <si>
    <t>Other Metals and Minerals</t>
  </si>
  <si>
    <t>McEwen Mining Inc. Common Stock</t>
  </si>
  <si>
    <t>MUX</t>
  </si>
  <si>
    <t>Murphy USA Inc. Common Stock</t>
  </si>
  <si>
    <t>MUSA</t>
  </si>
  <si>
    <t>Murphy Oil Corporation Common Stock</t>
  </si>
  <si>
    <t>MUR</t>
  </si>
  <si>
    <t>Blackrock MuniHoldings New Jersey Quality Fund Inc. Common Stock</t>
  </si>
  <si>
    <t>MUJ</t>
  </si>
  <si>
    <t>BlackRock Municipal Income Fund Inc. Common Stock</t>
  </si>
  <si>
    <t>MUI</t>
  </si>
  <si>
    <t>Mitsubishi UFJ Financial Group Inc. Common Stock</t>
  </si>
  <si>
    <t>MUFG</t>
  </si>
  <si>
    <t>Blackrock MuniHoldings Quality Fund II Inc. Common Stock</t>
  </si>
  <si>
    <t>MUE</t>
  </si>
  <si>
    <t>Blackrock MuniHoldings California Quality Fund Inc.  Common Stock</t>
  </si>
  <si>
    <t>MUC</t>
  </si>
  <si>
    <t>Blackrock MuniAssets Fund Inc Common Stock</t>
  </si>
  <si>
    <t>MUA</t>
  </si>
  <si>
    <t>Water Sewer Pipeline Comm &amp; Power Line Construction</t>
  </si>
  <si>
    <t>MasTec Inc. Common Stock</t>
  </si>
  <si>
    <t>MTZ</t>
  </si>
  <si>
    <t>Minerals Technologies Inc. Common Stock</t>
  </si>
  <si>
    <t>MTX</t>
  </si>
  <si>
    <t>Manitowoc Company Inc. (The) Common Stock</t>
  </si>
  <si>
    <t>MTW</t>
  </si>
  <si>
    <t>Materion Corporation</t>
  </si>
  <si>
    <t>MTRN</t>
  </si>
  <si>
    <t>Vail Resorts Inc. Common Stock</t>
  </si>
  <si>
    <t>MTN</t>
  </si>
  <si>
    <t>Meritage Homes Corporation Common Stock</t>
  </si>
  <si>
    <t>MTH</t>
  </si>
  <si>
    <t>MGIC Investment Corporation Common Stock</t>
  </si>
  <si>
    <t>MTG</t>
  </si>
  <si>
    <t>Matador Resources Company Common Stock</t>
  </si>
  <si>
    <t>MTDR</t>
  </si>
  <si>
    <t>Mettler-Toledo International Inc. Common Stock</t>
  </si>
  <si>
    <t>MTD</t>
  </si>
  <si>
    <t>M&amp;T Bank Corporation Common Stock</t>
  </si>
  <si>
    <t>MTB</t>
  </si>
  <si>
    <t>Arcelor Mittal NY Registry Shares NEW</t>
  </si>
  <si>
    <t>MT</t>
  </si>
  <si>
    <t>MSC Industrial Direct Company Inc. Common Stock</t>
  </si>
  <si>
    <t>MSM</t>
  </si>
  <si>
    <t>Motorola Solutions Inc. Common Stock</t>
  </si>
  <si>
    <t>MSI</t>
  </si>
  <si>
    <t>Madison Square Garden Sports Corp. Class A Common Stock (New)</t>
  </si>
  <si>
    <t>MSGS</t>
  </si>
  <si>
    <t>Morgan Stanley Emerging Markets Debt Fund Inc. Common Stock</t>
  </si>
  <si>
    <t>MSD</t>
  </si>
  <si>
    <t>MSCI Inc Common Stock</t>
  </si>
  <si>
    <t>MSCI</t>
  </si>
  <si>
    <t>Mesabi Trust Common Stock</t>
  </si>
  <si>
    <t>MSB</t>
  </si>
  <si>
    <t>MSA Safety Incorporated Common Stock</t>
  </si>
  <si>
    <t>MSA</t>
  </si>
  <si>
    <t>Morgan Stanley Common Stock</t>
  </si>
  <si>
    <t>MS</t>
  </si>
  <si>
    <t>Marathon Oil Corporation Common Stock</t>
  </si>
  <si>
    <t>MRO</t>
  </si>
  <si>
    <t>Merck &amp; Company Inc. Common Stock (new)</t>
  </si>
  <si>
    <t>MRK</t>
  </si>
  <si>
    <t>MRC Global Inc. Common Stock</t>
  </si>
  <si>
    <t>MRC</t>
  </si>
  <si>
    <t>Blackrock MuniYield Quality Fund Inc. Common Stock</t>
  </si>
  <si>
    <t>MQY</t>
  </si>
  <si>
    <t>Blackrock MuniYield Quality Fund II Inc. Common Stock</t>
  </si>
  <si>
    <t>MQT</t>
  </si>
  <si>
    <t>Marine Products Corporation Common Stock</t>
  </si>
  <si>
    <t>MPX</t>
  </si>
  <si>
    <t>Medical Properties Trust Inc. common stock</t>
  </si>
  <si>
    <t>MPW</t>
  </si>
  <si>
    <t>Barings Participation Investors Common Stock</t>
  </si>
  <si>
    <t>MPV</t>
  </si>
  <si>
    <t>MPLX LP Common Units Representing Limited Partner Interests</t>
  </si>
  <si>
    <t>MPLX</t>
  </si>
  <si>
    <t>Marathon Petroleum Corporation Common Stock</t>
  </si>
  <si>
    <t>MPC</t>
  </si>
  <si>
    <t>Blackrock MuniYield Pennsylvania Quality Fund Common Stock</t>
  </si>
  <si>
    <t>MPA</t>
  </si>
  <si>
    <t>Consumer Specialties</t>
  </si>
  <si>
    <t>Movado Group Inc. Common Stock</t>
  </si>
  <si>
    <t>MOV</t>
  </si>
  <si>
    <t>Mosaic Company (The) Common Stock</t>
  </si>
  <si>
    <t>MOS</t>
  </si>
  <si>
    <t>Molina Healthcare Inc Common Stock</t>
  </si>
  <si>
    <t>MOH</t>
  </si>
  <si>
    <t>Model N Inc. Common Stock</t>
  </si>
  <si>
    <t>MODN</t>
  </si>
  <si>
    <t>Topgolf Callaway Brands Corp. Common Stock</t>
  </si>
  <si>
    <t>MODG</t>
  </si>
  <si>
    <t>Modine Manufacturing Company Common Stock</t>
  </si>
  <si>
    <t>MOD</t>
  </si>
  <si>
    <t>Altria Group Inc.</t>
  </si>
  <si>
    <t>Western Asset Municipal Partners Fund Inc. Common Stock</t>
  </si>
  <si>
    <t>MNP</t>
  </si>
  <si>
    <t>Western Asset Managed Municipals Fund Inc. Common Stock</t>
  </si>
  <si>
    <t>MMU</t>
  </si>
  <si>
    <t>MFS Multimarket Income Trust Common Stock</t>
  </si>
  <si>
    <t>MMT</t>
  </si>
  <si>
    <t>Maximus Inc. Common Stock</t>
  </si>
  <si>
    <t>MMS</t>
  </si>
  <si>
    <t>Magellan Midstream Partners L.P. Limited Partnership</t>
  </si>
  <si>
    <t>MMP</t>
  </si>
  <si>
    <t>3M Company Common Stock</t>
  </si>
  <si>
    <t>MMM</t>
  </si>
  <si>
    <t>MainStay MacKay DefinedTerm Municipal Opportunities Fund</t>
  </si>
  <si>
    <t>MMD</t>
  </si>
  <si>
    <t>Marsh &amp; McLennan Companies Inc. Common Stock</t>
  </si>
  <si>
    <t>MMC</t>
  </si>
  <si>
    <t>Miller Industries Inc. Common Stock</t>
  </si>
  <si>
    <t>MLR</t>
  </si>
  <si>
    <t>Maui Land &amp; Pineapple Company Inc. Common Stock</t>
  </si>
  <si>
    <t>MLP</t>
  </si>
  <si>
    <t>Martin Marietta Materials Inc. Common Stock</t>
  </si>
  <si>
    <t>MLM</t>
  </si>
  <si>
    <t>Mueller Industries Inc. Common Stock</t>
  </si>
  <si>
    <t>MLI</t>
  </si>
  <si>
    <t>MoneyLion Inc. Class A Common Stock</t>
  </si>
  <si>
    <t>ML</t>
  </si>
  <si>
    <t>Markel Corporation Common Stock</t>
  </si>
  <si>
    <t>MKL</t>
  </si>
  <si>
    <t>Markforged Holding Corporation Common Stock</t>
  </si>
  <si>
    <t>MKFG</t>
  </si>
  <si>
    <t>McCormick &amp; Company Incorporated Common Stock</t>
  </si>
  <si>
    <t>MKC</t>
  </si>
  <si>
    <t>Blackrock MuniYield Michigan Quality Fund Inc. Common Stock</t>
  </si>
  <si>
    <t>MIY</t>
  </si>
  <si>
    <t>AG Mortgage Investment Trust Inc. Common Stock</t>
  </si>
  <si>
    <t>MITT</t>
  </si>
  <si>
    <t>Mirion Technologies Inc. Class A Common Stock</t>
  </si>
  <si>
    <t>MIR</t>
  </si>
  <si>
    <t>MFS Intermediate Income Trust Common Stock</t>
  </si>
  <si>
    <t>MIN</t>
  </si>
  <si>
    <t>M/I Homes Inc. Common Stock</t>
  </si>
  <si>
    <t>MHO</t>
  </si>
  <si>
    <t>Blackrock MuniHoldings New York Quality Fund Inc. Common Stock</t>
  </si>
  <si>
    <t>MHN</t>
  </si>
  <si>
    <t>Mohawk Industries Inc. Common Stock</t>
  </si>
  <si>
    <t>MHK</t>
  </si>
  <si>
    <t>Pioneer Municipal High Income Fund Inc.</t>
  </si>
  <si>
    <t>MHI</t>
  </si>
  <si>
    <t>Western Asset Municipal High Income Fund Inc. Common Stock</t>
  </si>
  <si>
    <t>MHF</t>
  </si>
  <si>
    <t>Blackrock MuniHoldings Fund Inc. Common Stock</t>
  </si>
  <si>
    <t>MHD</t>
  </si>
  <si>
    <t>Magnolia Oil &amp; Gas Corporation Class A Common Stock</t>
  </si>
  <si>
    <t>MGY</t>
  </si>
  <si>
    <t>Macquarie Global Infrastructure Total Return Fund Inc. Common Stock</t>
  </si>
  <si>
    <t>MGU</t>
  </si>
  <si>
    <t>MGM Resorts International Common Stock</t>
  </si>
  <si>
    <t>MGM</t>
  </si>
  <si>
    <t>MFS Government Markets Income Trust Common Stock</t>
  </si>
  <si>
    <t>MGF</t>
  </si>
  <si>
    <t>Magna International Inc. Common Stock</t>
  </si>
  <si>
    <t>MGA</t>
  </si>
  <si>
    <t>Mistras Group Inc Common Stock</t>
  </si>
  <si>
    <t>MG</t>
  </si>
  <si>
    <t>MFS Municipal Income Trust Common Stock</t>
  </si>
  <si>
    <t>MFM</t>
  </si>
  <si>
    <t>Mizuho Financial Group Inc. Sponosred ADR (Japan)</t>
  </si>
  <si>
    <t>MFG</t>
  </si>
  <si>
    <t>Macquarie First Trust Global Common Stock</t>
  </si>
  <si>
    <t>MFD</t>
  </si>
  <si>
    <t>Manulife Financial Corporation Common Stock</t>
  </si>
  <si>
    <t>MFC</t>
  </si>
  <si>
    <t>MFA Financial Inc.</t>
  </si>
  <si>
    <t>MFA</t>
  </si>
  <si>
    <t>MetLife Inc. Common Stock</t>
  </si>
  <si>
    <t>MET</t>
  </si>
  <si>
    <t>Methode Electronics Inc. Common Stock</t>
  </si>
  <si>
    <t>MEI</t>
  </si>
  <si>
    <t>Montrose Environmental Group Inc. Common Stock</t>
  </si>
  <si>
    <t>MEG</t>
  </si>
  <si>
    <t>MEDIFAST INC Common Stock</t>
  </si>
  <si>
    <t>MDU Resources Group Inc. Common Stock (Holding Company)</t>
  </si>
  <si>
    <t>MDU</t>
  </si>
  <si>
    <t>Medtronic plc. Ordinary Shares</t>
  </si>
  <si>
    <t>MDT</t>
  </si>
  <si>
    <t>M.D.C. Holdings Inc. Common Stock</t>
  </si>
  <si>
    <t>MDC</t>
  </si>
  <si>
    <t>Pediatrix Medical Group Inc. Common Stock</t>
  </si>
  <si>
    <t>MD</t>
  </si>
  <si>
    <t>Mercury General Corporation Common Stock</t>
  </si>
  <si>
    <t>MCY</t>
  </si>
  <si>
    <t>Marcus Corporation (The) Common Stock</t>
  </si>
  <si>
    <t>MCS</t>
  </si>
  <si>
    <t>MFS Charter Income Trust Common Stock</t>
  </si>
  <si>
    <t>MCR</t>
  </si>
  <si>
    <t>Moody's Corporation Common Stock</t>
  </si>
  <si>
    <t>MCO</t>
  </si>
  <si>
    <t>Madison Covered Call &amp; Equity Strategy Fund Common Stock</t>
  </si>
  <si>
    <t>MCN</t>
  </si>
  <si>
    <t>McKesson Corporation Common Stock</t>
  </si>
  <si>
    <t>MCK</t>
  </si>
  <si>
    <t>Barings Corporate Investors Common Stock</t>
  </si>
  <si>
    <t>MCI</t>
  </si>
  <si>
    <t>McDonald's Corporation Common Stock</t>
  </si>
  <si>
    <t>MCD</t>
  </si>
  <si>
    <t>MBIA Inc. Common Stock</t>
  </si>
  <si>
    <t>MBI</t>
  </si>
  <si>
    <t>Pioneer Municipal High Income Advantage Fund Inc.</t>
  </si>
  <si>
    <t>MAV</t>
  </si>
  <si>
    <t>Matson Inc. Common Stock</t>
  </si>
  <si>
    <t>MATX</t>
  </si>
  <si>
    <t>Mativ Holdings Inc. Common Stock</t>
  </si>
  <si>
    <t>MATV</t>
  </si>
  <si>
    <t>Masco Corporation Common Stock</t>
  </si>
  <si>
    <t>MAS</t>
  </si>
  <si>
    <t>Manchester United Ltd. Class A Ordinary Shares</t>
  </si>
  <si>
    <t>MANU</t>
  </si>
  <si>
    <t>ManpowerGroup Common Stock</t>
  </si>
  <si>
    <t>MAN</t>
  </si>
  <si>
    <t>Main Street Capital Corporation Common Stock</t>
  </si>
  <si>
    <t>MAIN</t>
  </si>
  <si>
    <t>Macerich Company (The) Common Stock</t>
  </si>
  <si>
    <t>MAC</t>
  </si>
  <si>
    <t>Mid-America Apartment Communities Inc. Common Stock</t>
  </si>
  <si>
    <t>MAA</t>
  </si>
  <si>
    <t>Mastercard Incorporated Common Stock</t>
  </si>
  <si>
    <t>MA</t>
  </si>
  <si>
    <t>Macy's Inc Common Stock</t>
  </si>
  <si>
    <t>M</t>
  </si>
  <si>
    <t>La-Z-Boy Incorporated Common Stock</t>
  </si>
  <si>
    <t>LZB</t>
  </si>
  <si>
    <t>Live Nation Entertainment Inc. Common Stock</t>
  </si>
  <si>
    <t>LYV</t>
  </si>
  <si>
    <t>Lloyds Banking Group Plc American Depositary Shares</t>
  </si>
  <si>
    <t>LYG</t>
  </si>
  <si>
    <t>LyondellBasell Industries NV Ordinary Shares Class A (Netherlands)</t>
  </si>
  <si>
    <t>LYB</t>
  </si>
  <si>
    <t>LSB Industries Inc. Common Stock</t>
  </si>
  <si>
    <t>LXU</t>
  </si>
  <si>
    <t>LXP Industrial Trust Common Stock (Maryland REIT)</t>
  </si>
  <si>
    <t>LXP</t>
  </si>
  <si>
    <t>Las Vegas Sands Corp. Common Stock</t>
  </si>
  <si>
    <t>LVS</t>
  </si>
  <si>
    <t>Southwest Airlines Company Common Stock</t>
  </si>
  <si>
    <t>LUV</t>
  </si>
  <si>
    <t>Lumen Technologies Inc. Common Stock</t>
  </si>
  <si>
    <t>LUMN</t>
  </si>
  <si>
    <t>Livent Corporation Common Stock</t>
  </si>
  <si>
    <t>LTHM</t>
  </si>
  <si>
    <t>LTC Properties Inc. Common Stock</t>
  </si>
  <si>
    <t>LTC</t>
  </si>
  <si>
    <t>Life Storage Inc. Common Stock</t>
  </si>
  <si>
    <t>LSI</t>
  </si>
  <si>
    <t>Stride Inc. Common Stock</t>
  </si>
  <si>
    <t>LRN</t>
  </si>
  <si>
    <t>Louisiana-Pacific Corporation Common Stock</t>
  </si>
  <si>
    <t>LPX</t>
  </si>
  <si>
    <t>LG Display Co Ltd AMERICAN DEPOSITORY SHARES</t>
  </si>
  <si>
    <t>LPL</t>
  </si>
  <si>
    <t>RETAIL: Building Materials</t>
  </si>
  <si>
    <t>Lowe's Companies Inc. Common Stock</t>
  </si>
  <si>
    <t>LOW</t>
  </si>
  <si>
    <t>Live Oak Bancshares Inc. Common Stock</t>
  </si>
  <si>
    <t>LOB</t>
  </si>
  <si>
    <t>Lindsay Corporation Common Stock</t>
  </si>
  <si>
    <t>LNN</t>
  </si>
  <si>
    <t>Lincoln National Corporation Common Stock</t>
  </si>
  <si>
    <t>LNC</t>
  </si>
  <si>
    <t>Lockheed Martin Corporation Common Stock</t>
  </si>
  <si>
    <t>LMT</t>
  </si>
  <si>
    <t>Lemonade Inc. Common Stock</t>
  </si>
  <si>
    <t>LMND</t>
  </si>
  <si>
    <t>Eli Lilly and Company Common Stock</t>
  </si>
  <si>
    <t>LLY</t>
  </si>
  <si>
    <t>LL Flooring Holdings Inc. Common Stock</t>
  </si>
  <si>
    <t>LL</t>
  </si>
  <si>
    <t>Lennox International Inc. Common Stock</t>
  </si>
  <si>
    <t>LII</t>
  </si>
  <si>
    <t>Li-Cycle Holdings Corp. Common Shares</t>
  </si>
  <si>
    <t>LICY</t>
  </si>
  <si>
    <t>L3Harris Technologies Inc. Common Stock</t>
  </si>
  <si>
    <t>LHX</t>
  </si>
  <si>
    <t>Laboratory Corporation of America Holdings Common Stock</t>
  </si>
  <si>
    <t>LH</t>
  </si>
  <si>
    <t>Lazard Global Total Return and Income Fund Common Stock</t>
  </si>
  <si>
    <t>LGI</t>
  </si>
  <si>
    <t>Lument Finance Trust Inc. Common Stock</t>
  </si>
  <si>
    <t>LFT</t>
  </si>
  <si>
    <t>Levi Strauss &amp; Co Class A Common Stock</t>
  </si>
  <si>
    <t>LEVI</t>
  </si>
  <si>
    <t>The Lion Electric Company Common Shares</t>
  </si>
  <si>
    <t>LEV</t>
  </si>
  <si>
    <t>BNY Mellon Strategic Municipals Inc. Common Stock</t>
  </si>
  <si>
    <t>LEO</t>
  </si>
  <si>
    <t>Lennar Corporation Class A Common Stock</t>
  </si>
  <si>
    <t>LEN</t>
  </si>
  <si>
    <t>Leggett &amp; Platt Incorporated Common Stock</t>
  </si>
  <si>
    <t>LEG</t>
  </si>
  <si>
    <t>Lear Corporation Common Stock</t>
  </si>
  <si>
    <t>LEA</t>
  </si>
  <si>
    <t>Cohen &amp; Steers Limited Duration Preferred and Income Fund Inc.</t>
  </si>
  <si>
    <t>LDP</t>
  </si>
  <si>
    <t>Leidos Holdings Inc. Common Stock</t>
  </si>
  <si>
    <t>LDOS</t>
  </si>
  <si>
    <t>LCI Industries</t>
  </si>
  <si>
    <t>LCII</t>
  </si>
  <si>
    <t>LendingClub Corporation Common Stock</t>
  </si>
  <si>
    <t>LC</t>
  </si>
  <si>
    <t>Liberty Energy Inc. Class A common stock</t>
  </si>
  <si>
    <t>LBRT</t>
  </si>
  <si>
    <t>CS Disco Inc. Common Stock</t>
  </si>
  <si>
    <t>LAW</t>
  </si>
  <si>
    <t>Lithia Motors Inc. Common Stock</t>
  </si>
  <si>
    <t>LAD</t>
  </si>
  <si>
    <t>Lithium Americas Corp. Common Shares</t>
  </si>
  <si>
    <t>LAC</t>
  </si>
  <si>
    <t>Loews Corporation Common Stock</t>
  </si>
  <si>
    <t>L</t>
  </si>
  <si>
    <t>Kayne Anderson Energy Infrastructure Fund Inc.</t>
  </si>
  <si>
    <t>KYN</t>
  </si>
  <si>
    <t>Quaker Houghton Common Stock</t>
  </si>
  <si>
    <t>KWR</t>
  </si>
  <si>
    <t>Kennedy-Wilson Holdings Inc. Common Stock</t>
  </si>
  <si>
    <t>KW</t>
  </si>
  <si>
    <t>DWS Municipal Income Trust</t>
  </si>
  <si>
    <t>KTF</t>
  </si>
  <si>
    <t>KT Corporation Common Stock</t>
  </si>
  <si>
    <t>KT</t>
  </si>
  <si>
    <t>Kohl's Corporation Common Stock</t>
  </si>
  <si>
    <t>KSS</t>
  </si>
  <si>
    <t>DWS Strategic Municipal Income Trust</t>
  </si>
  <si>
    <t>KSM</t>
  </si>
  <si>
    <t>Kimbell Royalty Partners Common Units Representing Limited Partner Interests</t>
  </si>
  <si>
    <t>KRP</t>
  </si>
  <si>
    <t>Kronos Worldwide Inc Common Stock</t>
  </si>
  <si>
    <t>KRO</t>
  </si>
  <si>
    <t>Kite Realty Group Trust Common Stock</t>
  </si>
  <si>
    <t>KRG</t>
  </si>
  <si>
    <t>KKR Real Estate Finance Trust Inc. Common Stock</t>
  </si>
  <si>
    <t>KREF</t>
  </si>
  <si>
    <t>Kilroy Realty Corporation Common Stock</t>
  </si>
  <si>
    <t>KRC</t>
  </si>
  <si>
    <t>Kroger Company (The) Common Stock</t>
  </si>
  <si>
    <t>KR</t>
  </si>
  <si>
    <t>Koppers Holdings Inc. Koppers Holdings Inc. Common Stock</t>
  </si>
  <si>
    <t>KOP</t>
  </si>
  <si>
    <t>Coca Cola Femsa S.A.B. de C.V.  American Depositary Shares each representing 10 Units (each Unit consists of 3 Series B Shares and 5 Series L Shares)</t>
  </si>
  <si>
    <t>KOF</t>
  </si>
  <si>
    <t>Eastman Kodak Company Common New</t>
  </si>
  <si>
    <t>KODK</t>
  </si>
  <si>
    <t>Coca-Cola Company (The) Common Stock</t>
  </si>
  <si>
    <t>KO</t>
  </si>
  <si>
    <t>Knight-Swift Transportation Holdings Inc.</t>
  </si>
  <si>
    <t>KNX</t>
  </si>
  <si>
    <t>Kinetik Holdings Inc. Class A Common Stock</t>
  </si>
  <si>
    <t>KNTK</t>
  </si>
  <si>
    <t>Kinsale Capital Group Inc. Common Stock</t>
  </si>
  <si>
    <t>KNSL</t>
  </si>
  <si>
    <t>KNOT Offshore Partners LP Common Units representing Limited Partner Interests</t>
  </si>
  <si>
    <t>KNOP</t>
  </si>
  <si>
    <t>CarMax Inc</t>
  </si>
  <si>
    <t>KMX</t>
  </si>
  <si>
    <t>Kennametal Inc. Common Stock</t>
  </si>
  <si>
    <t>KMT</t>
  </si>
  <si>
    <t>Kemper Corporation</t>
  </si>
  <si>
    <t>KMPR</t>
  </si>
  <si>
    <t>Kinder Morgan Inc. Common Stock</t>
  </si>
  <si>
    <t>KMI</t>
  </si>
  <si>
    <t>Kimberly-Clark Corporation Common Stock</t>
  </si>
  <si>
    <t>KMB</t>
  </si>
  <si>
    <t>Kaleyra Inc. Common Stock</t>
  </si>
  <si>
    <t>KLR</t>
  </si>
  <si>
    <t>KKR &amp; Co. Inc. Common Stock</t>
  </si>
  <si>
    <t>KKR</t>
  </si>
  <si>
    <t>Nextdoor Holdings Inc. Class A Common Stock</t>
  </si>
  <si>
    <t>KIND</t>
  </si>
  <si>
    <t>Kimco Realty Corporation (HC) Common Stock</t>
  </si>
  <si>
    <t>KIM</t>
  </si>
  <si>
    <t>Kinross Gold Corporation Common Stock</t>
  </si>
  <si>
    <t>KGC</t>
  </si>
  <si>
    <t>Korn Ferry Common Stock</t>
  </si>
  <si>
    <t>KFY</t>
  </si>
  <si>
    <t>Kingsway Financial Services Inc. Common Stock (DE)</t>
  </si>
  <si>
    <t>KFS</t>
  </si>
  <si>
    <t>Korea Fund Inc. (The) New Common Stock</t>
  </si>
  <si>
    <t>KF</t>
  </si>
  <si>
    <t>Keysight Technologies Inc. Common Stock</t>
  </si>
  <si>
    <t>KEYS</t>
  </si>
  <si>
    <t>KeyCorp Common Stock</t>
  </si>
  <si>
    <t>KEY</t>
  </si>
  <si>
    <t>Kirby Corporation Common Stock</t>
  </si>
  <si>
    <t>KEX</t>
  </si>
  <si>
    <t>Korea Electric Power Corporation Common Stock</t>
  </si>
  <si>
    <t>KEP</t>
  </si>
  <si>
    <t>Kenon Holdings Ltd. Ordinary Shares</t>
  </si>
  <si>
    <t>KEN</t>
  </si>
  <si>
    <t>KBR Inc. Common Stock</t>
  </si>
  <si>
    <t>KBR</t>
  </si>
  <si>
    <t>KB Home Common Stock</t>
  </si>
  <si>
    <t>KBH</t>
  </si>
  <si>
    <t>KB Financial Group Inc</t>
  </si>
  <si>
    <t>KB</t>
  </si>
  <si>
    <t>KAR Auction Services Inc Common Stock</t>
  </si>
  <si>
    <t>KAR</t>
  </si>
  <si>
    <t>Kaman Corporation Common Stock</t>
  </si>
  <si>
    <t>KAMN</t>
  </si>
  <si>
    <t>Kadant Inc Common Stock</t>
  </si>
  <si>
    <t>KAI</t>
  </si>
  <si>
    <t>Kellogg Company Common Stock</t>
  </si>
  <si>
    <t>K</t>
  </si>
  <si>
    <t>Clothing/Shoe/Accessory Stores</t>
  </si>
  <si>
    <t>Nordstrom Inc. Common Stock</t>
  </si>
  <si>
    <t>JWN</t>
  </si>
  <si>
    <t>Nuveen Short Duration Credit Opportunities Fund Common Shares of Beneficial Interest</t>
  </si>
  <si>
    <t>JSD</t>
  </si>
  <si>
    <t>Nuveen Real Estate Income Fund Common Shares of Beneficial Interest</t>
  </si>
  <si>
    <t>JRS</t>
  </si>
  <si>
    <t>Nuveen Floating Rate Income Opportuntiy Fund Shares of Beneficial Interest</t>
  </si>
  <si>
    <t>JRO</t>
  </si>
  <si>
    <t>Nuveen Real Asset Income and Growth Fund Common Shares of Beneficial Interest</t>
  </si>
  <si>
    <t>JRI</t>
  </si>
  <si>
    <t>Nuveen Credit Strategies Income Fund Shares of Beneficial Interest</t>
  </si>
  <si>
    <t>JQC</t>
  </si>
  <si>
    <t>Nuveen Preferred and Income Fund Common Shares of Beneficial Interest</t>
  </si>
  <si>
    <t>JPT</t>
  </si>
  <si>
    <t>Nuveen Preferred &amp; Income Securities Fund</t>
  </si>
  <si>
    <t>JPS</t>
  </si>
  <si>
    <t>JP Morgan Chase &amp; Co. Common Stock</t>
  </si>
  <si>
    <t>JPM</t>
  </si>
  <si>
    <t>Nuveen Preferred &amp; Income Opportunities Fund</t>
  </si>
  <si>
    <t>JPC</t>
  </si>
  <si>
    <t>Japan Smaller Capitalization Fund Inc Common Stock</t>
  </si>
  <si>
    <t>JOF</t>
  </si>
  <si>
    <t>St. Joe Company (The) Common Stock</t>
  </si>
  <si>
    <t>JOE</t>
  </si>
  <si>
    <t>Joby Aviation Inc. Common Stock</t>
  </si>
  <si>
    <t>JOBY</t>
  </si>
  <si>
    <t>Computer peripheral equipment</t>
  </si>
  <si>
    <t>Juniper Networks Inc. Common Stock</t>
  </si>
  <si>
    <t>JNPR</t>
  </si>
  <si>
    <t>Johnson &amp; Johnson Common Stock</t>
  </si>
  <si>
    <t>JNJ</t>
  </si>
  <si>
    <t>Nuveen Multi-Market Income Fund (MA)</t>
  </si>
  <si>
    <t>JMM</t>
  </si>
  <si>
    <t>Nuveen Mortgage and Income Fund</t>
  </si>
  <si>
    <t>JLS</t>
  </si>
  <si>
    <t>Jones Lang LaSalle Incorporated Common Stock</t>
  </si>
  <si>
    <t>JLL</t>
  </si>
  <si>
    <t>James Hardie Industries plc American Depositary Shares (Ireland)</t>
  </si>
  <si>
    <t>JHX</t>
  </si>
  <si>
    <t>John Hancock Income Securities Trust Common Stock</t>
  </si>
  <si>
    <t>JHS</t>
  </si>
  <si>
    <t>John Hancock Investors Trust Common Stock</t>
  </si>
  <si>
    <t>JHI</t>
  </si>
  <si>
    <t>Nuveen Global High Income Fund Common Shares of Beneficial Interest</t>
  </si>
  <si>
    <t>JGH</t>
  </si>
  <si>
    <t>Nuveen Floating Rate Income Fund Common Stock</t>
  </si>
  <si>
    <t>JFR</t>
  </si>
  <si>
    <t>abrdn Japan Equity Fund Inc. Common Stock</t>
  </si>
  <si>
    <t>JEQ</t>
  </si>
  <si>
    <t>JELD-WEN Holding Inc. Common Stock</t>
  </si>
  <si>
    <t>JELD</t>
  </si>
  <si>
    <t>Jefferies Financial Group Inc. Common Stock</t>
  </si>
  <si>
    <t>JEF</t>
  </si>
  <si>
    <t>Johnson Controls International plc Ordinary Share</t>
  </si>
  <si>
    <t>JCI</t>
  </si>
  <si>
    <t>Nuveen Core Equity Alpha Fund Nuveen Core Equity Alpha Fund Common Shares of Beneficial Interest</t>
  </si>
  <si>
    <t>JCE</t>
  </si>
  <si>
    <t>John Bean Technologies Corporation Common Stock</t>
  </si>
  <si>
    <t>JBT</t>
  </si>
  <si>
    <t>Jabil Inc. Common Stock</t>
  </si>
  <si>
    <t>JBL</t>
  </si>
  <si>
    <t xml:space="preserve">JBG SMITH Properties Common Shares </t>
  </si>
  <si>
    <t>JBGS</t>
  </si>
  <si>
    <t>Orix Corp Ads Common Stock</t>
  </si>
  <si>
    <t>IX</t>
  </si>
  <si>
    <t>Invesco Ltd Common Stock</t>
  </si>
  <si>
    <t>IVZ</t>
  </si>
  <si>
    <t>INVESCO MORTGAGE CAPITAL INC Common Stock</t>
  </si>
  <si>
    <t>IVR</t>
  </si>
  <si>
    <t>Illinois Tool Works Inc. Common Stock</t>
  </si>
  <si>
    <t>ITW</t>
  </si>
  <si>
    <t xml:space="preserve">ITT Inc. Common Stock </t>
  </si>
  <si>
    <t>ITT</t>
  </si>
  <si>
    <t>Integer Holdings Corporation Common Stock</t>
  </si>
  <si>
    <t>ITGR</t>
  </si>
  <si>
    <t>Gartner Inc. Common Stock</t>
  </si>
  <si>
    <t>IT</t>
  </si>
  <si>
    <t>PGIM High Yield Bond Fund Inc.</t>
  </si>
  <si>
    <t>ISD</t>
  </si>
  <si>
    <t>Independence Realty Trust Inc. Common Stock</t>
  </si>
  <si>
    <t>IRT</t>
  </si>
  <si>
    <t>Iron Mountain Incorporated (Delaware)Common Stock REIT</t>
  </si>
  <si>
    <t>IRM</t>
  </si>
  <si>
    <t>Ingersoll Rand Inc. Common Stock</t>
  </si>
  <si>
    <t>IR</t>
  </si>
  <si>
    <t>IQVIA Holdings Inc. Common Stock</t>
  </si>
  <si>
    <t>IQV</t>
  </si>
  <si>
    <t>Invesco Quality Municipal Income Trust Common Stock</t>
  </si>
  <si>
    <t>IQI</t>
  </si>
  <si>
    <t>Intrepid Potash Inc Common Stock</t>
  </si>
  <si>
    <t>IPI</t>
  </si>
  <si>
    <t>Interpublic Group of Companies Inc. (The) Common Stock</t>
  </si>
  <si>
    <t>IPG</t>
  </si>
  <si>
    <t>International Paper Company Common Stock</t>
  </si>
  <si>
    <t>IP</t>
  </si>
  <si>
    <t>IonQ Inc. Common Stock</t>
  </si>
  <si>
    <t>IONQ</t>
  </si>
  <si>
    <t>Invitation Homes Inc. Common Stock</t>
  </si>
  <si>
    <t>INVH</t>
  </si>
  <si>
    <t>World Fuel Services Corporation Common Stock</t>
  </si>
  <si>
    <t>INT</t>
  </si>
  <si>
    <t>Inspire Medical Systems Inc. Common Stock</t>
  </si>
  <si>
    <t>INSP</t>
  </si>
  <si>
    <t>Insight Select Income Fund</t>
  </si>
  <si>
    <t>INSI</t>
  </si>
  <si>
    <t>Summit Hotel Properties Inc. Common Stock</t>
  </si>
  <si>
    <t>INN</t>
  </si>
  <si>
    <t>Ingredion Incorporated Common Stock</t>
  </si>
  <si>
    <t>INGR</t>
  </si>
  <si>
    <t>ING Group N.V. Common Stock</t>
  </si>
  <si>
    <t>ING</t>
  </si>
  <si>
    <t>Infosys Limited American Depositary Shares</t>
  </si>
  <si>
    <t>INFY</t>
  </si>
  <si>
    <t>Imax Corporation Common Stock</t>
  </si>
  <si>
    <t>IMAX</t>
  </si>
  <si>
    <t>Innovative Industrial Properties Inc. Common Stock</t>
  </si>
  <si>
    <t>IIPR</t>
  </si>
  <si>
    <t>Invesco Value Municipal Income Trust Common Stock</t>
  </si>
  <si>
    <t>IIM</t>
  </si>
  <si>
    <t>Insteel Industries Inc. Common Stock</t>
  </si>
  <si>
    <t>IIIN</t>
  </si>
  <si>
    <t>Morgan Stanley India Investment Fund Inc. Common Stock</t>
  </si>
  <si>
    <t>IIF</t>
  </si>
  <si>
    <t>Invesco High Income 2023 Target Term Fund Common Shares of Beneficial Interest</t>
  </si>
  <si>
    <t>IHIT</t>
  </si>
  <si>
    <t>Intercontinental Hotels Group American Depositary Shares (Each representing one Ordinary Share)</t>
  </si>
  <si>
    <t>IHG</t>
  </si>
  <si>
    <t>Voya Emerging Markets High Income Dividend Equity Fund Common Shares</t>
  </si>
  <si>
    <t>IHD</t>
  </si>
  <si>
    <t>iHuman Inc. American depositary shares each representing five Class A ordinary shares</t>
  </si>
  <si>
    <t>IH</t>
  </si>
  <si>
    <t>International Game Technology Ordinary Shares</t>
  </si>
  <si>
    <t>IGT</t>
  </si>
  <si>
    <t>CBRE Global Real Estate Income Fund Common Shares of Beneficial Interest</t>
  </si>
  <si>
    <t>IGR</t>
  </si>
  <si>
    <t>Western Asset Investment Grade Defined Opportunity Trust Inc. Common Stock</t>
  </si>
  <si>
    <t>IGI</t>
  </si>
  <si>
    <t>Voya Global Equity Dividend and Premium Opportunity Fund</t>
  </si>
  <si>
    <t>IGD</t>
  </si>
  <si>
    <t>Voya Global Advantage and Premium Opportunity Fund Common Shares of Beneficial Interest</t>
  </si>
  <si>
    <t>IGA</t>
  </si>
  <si>
    <t>India Fund Inc. (The) Common Stock</t>
  </si>
  <si>
    <t>IFN</t>
  </si>
  <si>
    <t>International Flavors &amp; Fragrances Inc. Common Stock</t>
  </si>
  <si>
    <t>IFF</t>
  </si>
  <si>
    <t>IDEX Corporation Common Stock</t>
  </si>
  <si>
    <t>IEX</t>
  </si>
  <si>
    <t>IDT Corporation Class B Common Stock</t>
  </si>
  <si>
    <t>IDT</t>
  </si>
  <si>
    <t>Voya Infrastructure Industrials and Materials Fund Common Shares of Beneficial Interest</t>
  </si>
  <si>
    <t>IDE</t>
  </si>
  <si>
    <t>IDACORP Inc. Common Stock</t>
  </si>
  <si>
    <t>IDA</t>
  </si>
  <si>
    <t>Intercontinental Exchange Inc. Common Stock</t>
  </si>
  <si>
    <t>ICE</t>
  </si>
  <si>
    <t>ICICI Bank Limited Common Stock</t>
  </si>
  <si>
    <t>IBN</t>
  </si>
  <si>
    <t>International Business Machines Corporation Common Stock</t>
  </si>
  <si>
    <t>IBM</t>
  </si>
  <si>
    <t>Industrias Bachoco S.A.B. de C.V. Common Stock</t>
  </si>
  <si>
    <t>IBA</t>
  </si>
  <si>
    <t>Iamgold Corporation Ordinary Shares</t>
  </si>
  <si>
    <t>IAG</t>
  </si>
  <si>
    <t>Voya Asia Pacific High Dividend Equity Income Fund ING Asia Pacific High Dividend Equity Income Fund Common Shares of Beneficial Interest</t>
  </si>
  <si>
    <t>IAE</t>
  </si>
  <si>
    <t>MarineMax Inc.  (FL) Common Stock</t>
  </si>
  <si>
    <t>HZO</t>
  </si>
  <si>
    <t>Blackrock Corporate High Yield Fund Inc. Common Stock</t>
  </si>
  <si>
    <t>HYT</t>
  </si>
  <si>
    <t>New America High Income Fund Inc. (The) Common Stock</t>
  </si>
  <si>
    <t>HYB</t>
  </si>
  <si>
    <t>Hyster-Yale Materials Handling Inc. Class A Common Stock</t>
  </si>
  <si>
    <t>HY</t>
  </si>
  <si>
    <t>Hexcel Corporation Common Stock</t>
  </si>
  <si>
    <t>HXL</t>
  </si>
  <si>
    <t>Howmet Aerospace Inc. Common Stock</t>
  </si>
  <si>
    <t>HWM</t>
  </si>
  <si>
    <t>Haverty Furniture Companies Inc. Common Stock</t>
  </si>
  <si>
    <t>HUYA Inc. American depositary shares each  representing one Class A ordinary share</t>
  </si>
  <si>
    <t>HUYA</t>
  </si>
  <si>
    <t>Huntsman Corporation Common Stock</t>
  </si>
  <si>
    <t>HUN</t>
  </si>
  <si>
    <t>Humana Inc. Common Stock</t>
  </si>
  <si>
    <t>HUM</t>
  </si>
  <si>
    <t>HubSpot Inc. Common Stock</t>
  </si>
  <si>
    <t>HUBS</t>
  </si>
  <si>
    <t>Hubbell Inc Common Stock</t>
  </si>
  <si>
    <t>HUBB</t>
  </si>
  <si>
    <t>John Hancock Tax-Advantaged Global Shareholder Yield Fund Common Shares of Beneficial Interest</t>
  </si>
  <si>
    <t>HTY</t>
  </si>
  <si>
    <t>Hilltop Holdings Inc.</t>
  </si>
  <si>
    <t>HTH</t>
  </si>
  <si>
    <t>Hercules Capital Inc. Common Stock</t>
  </si>
  <si>
    <t>HTGC</t>
  </si>
  <si>
    <t>John Hancock Tax Advantaged Dividend Income Fund Common Shares of Beneficial Interest</t>
  </si>
  <si>
    <t>HTD</t>
  </si>
  <si>
    <t>Hersha Hospitality Trust Class A Common Shares of Beneficial Interest</t>
  </si>
  <si>
    <t>HT</t>
  </si>
  <si>
    <t>The Hershey Company Common Stock</t>
  </si>
  <si>
    <t>HSY</t>
  </si>
  <si>
    <t>Harsco Corporation Common Stock</t>
  </si>
  <si>
    <t>HSC</t>
  </si>
  <si>
    <t>HSBC Holdings plc. Common Stock</t>
  </si>
  <si>
    <t>HSBC</t>
  </si>
  <si>
    <t>Hormel Foods Corporation Common Stock</t>
  </si>
  <si>
    <t>HRL</t>
  </si>
  <si>
    <t>H&amp;R Block Inc. Common Stock</t>
  </si>
  <si>
    <t>HRB</t>
  </si>
  <si>
    <t>Healthcare Realty Trust Incorporated Common Stock</t>
  </si>
  <si>
    <t>HR</t>
  </si>
  <si>
    <t>TeklaLife Sciences Investors Common Stock</t>
  </si>
  <si>
    <t>HQL</t>
  </si>
  <si>
    <t>Tekla Healthcare Investors Common Stock</t>
  </si>
  <si>
    <t>HQH</t>
  </si>
  <si>
    <t>John Hancock Preferred Income Fund III Preferred Income Fund III</t>
  </si>
  <si>
    <t>HPS</t>
  </si>
  <si>
    <t>Computer Manufacturing</t>
  </si>
  <si>
    <t>HP Inc. Common Stock</t>
  </si>
  <si>
    <t>Hudson Pacific Properties Inc. Common Stock</t>
  </si>
  <si>
    <t>HPP</t>
  </si>
  <si>
    <t>John Hancock Preferred Income Fund Common Shares of Beneficial Interest</t>
  </si>
  <si>
    <t>HPI</t>
  </si>
  <si>
    <t>John Hancock Pfd Income Fund II Pfd Income Fund II</t>
  </si>
  <si>
    <t>HPF</t>
  </si>
  <si>
    <t>Hewlett Packard Enterprise Company Common Stock</t>
  </si>
  <si>
    <t>HPE</t>
  </si>
  <si>
    <t>Helmerich &amp; Payne Inc. Common Stock</t>
  </si>
  <si>
    <t>HP</t>
  </si>
  <si>
    <t>Hovnanian Enterprises Inc. Class A Common Stock</t>
  </si>
  <si>
    <t>HOV</t>
  </si>
  <si>
    <t>Anywhere Real Estate Inc. Common Stock</t>
  </si>
  <si>
    <t>HOUS</t>
  </si>
  <si>
    <t>Home BancShares Inc. Common Stock</t>
  </si>
  <si>
    <t>HOMB</t>
  </si>
  <si>
    <t>Motor Vehicles</t>
  </si>
  <si>
    <t>Harley-Davidson Inc. Common Stock</t>
  </si>
  <si>
    <t>HOG</t>
  </si>
  <si>
    <t>HNI Corporation Common Stock</t>
  </si>
  <si>
    <t>HNI</t>
  </si>
  <si>
    <t>Horace Mann Educators Corporation Common Stock</t>
  </si>
  <si>
    <t>HMN</t>
  </si>
  <si>
    <t>Honda Motor Company Ltd. Common Stock</t>
  </si>
  <si>
    <t>HMC</t>
  </si>
  <si>
    <t>Helix Energy Solutions Group Inc. Common Stock</t>
  </si>
  <si>
    <t>HLX</t>
  </si>
  <si>
    <t>Holley Inc. Common Stock</t>
  </si>
  <si>
    <t>HLLY</t>
  </si>
  <si>
    <t>Helios Technologies Inc. Common Stock</t>
  </si>
  <si>
    <t>HLIO</t>
  </si>
  <si>
    <t>Houlihan Lokey Inc. Class A Common Stock</t>
  </si>
  <si>
    <t>HLI</t>
  </si>
  <si>
    <t>Hecla Mining Company Common Stock</t>
  </si>
  <si>
    <t>HL</t>
  </si>
  <si>
    <t>Western Asset High Income Fund II Inc. Common Stock</t>
  </si>
  <si>
    <t>HIX</t>
  </si>
  <si>
    <t>Highwoods Properties Inc. Common Stock</t>
  </si>
  <si>
    <t>HIW</t>
  </si>
  <si>
    <t>Hippo Holdings Inc. Common Stock</t>
  </si>
  <si>
    <t>HIPO</t>
  </si>
  <si>
    <t>Western Asset High Income Opportunity Fund Inc. Common Stock</t>
  </si>
  <si>
    <t>HIO</t>
  </si>
  <si>
    <t>Huntington Ingalls Industries Inc. Common Stock</t>
  </si>
  <si>
    <t>HII</t>
  </si>
  <si>
    <t>Hartford Financial Services Group Inc. (The) Common Stock</t>
  </si>
  <si>
    <t>HIG</t>
  </si>
  <si>
    <t>Miller/Howard High Income Equity Fund Common Shares of Beneficial Interest</t>
  </si>
  <si>
    <t>HIE</t>
  </si>
  <si>
    <t>Hillenbrand Inc Common Stock</t>
  </si>
  <si>
    <t>HI</t>
  </si>
  <si>
    <t>Howard Hughes Corporation (The) Common Stock</t>
  </si>
  <si>
    <t>HHC</t>
  </si>
  <si>
    <t>Hess Midstream LP Class A Share</t>
  </si>
  <si>
    <t>HESM</t>
  </si>
  <si>
    <t>Hess Corporation Common Stock</t>
  </si>
  <si>
    <t>HES</t>
  </si>
  <si>
    <t>John Hancock Hedged Equity &amp; Income Fund Common Shares of Beneficial Interest</t>
  </si>
  <si>
    <t>HEQ</t>
  </si>
  <si>
    <t>Holly Energy Partners L.P. Common Stock</t>
  </si>
  <si>
    <t>HEP</t>
  </si>
  <si>
    <t>Heico Corporation Common Stock</t>
  </si>
  <si>
    <t>HEI</t>
  </si>
  <si>
    <t>Hawaiian Electric Industries Inc. Common Stock</t>
  </si>
  <si>
    <t>HE</t>
  </si>
  <si>
    <t>HDFC Bank Limited Common Stock</t>
  </si>
  <si>
    <t>HDB</t>
  </si>
  <si>
    <t>Home Depot Inc. (The) Common Stock</t>
  </si>
  <si>
    <t>HD</t>
  </si>
  <si>
    <t>HCI Group Inc. Common Stock</t>
  </si>
  <si>
    <t>HCI</t>
  </si>
  <si>
    <t>Warrior Met Coal Inc. Common Stock</t>
  </si>
  <si>
    <t>HCA Healthcare Inc. Common Stock</t>
  </si>
  <si>
    <t>HCA</t>
  </si>
  <si>
    <t>Hudbay Minerals Inc. Ordinary Shares (Canada)</t>
  </si>
  <si>
    <t>HBM</t>
  </si>
  <si>
    <t>Hanesbrands Inc. Common Stock</t>
  </si>
  <si>
    <t>HBI</t>
  </si>
  <si>
    <t>Hannon Armstrong Sustainable Infrastructure Capital Inc. Common Stock</t>
  </si>
  <si>
    <t>HASI</t>
  </si>
  <si>
    <t>Halliburton Company Common Stock</t>
  </si>
  <si>
    <t>HAL</t>
  </si>
  <si>
    <t>Haemonetics Corporation Common Stock</t>
  </si>
  <si>
    <t>HAE</t>
  </si>
  <si>
    <t>Hyatt Hotels Corporation Class A Common Stock</t>
  </si>
  <si>
    <t>H</t>
  </si>
  <si>
    <t>W.W. Grainger Inc. Common Stock</t>
  </si>
  <si>
    <t>GWW</t>
  </si>
  <si>
    <t>Guidewire Software Inc. Common Stock</t>
  </si>
  <si>
    <t>GWRE</t>
  </si>
  <si>
    <t>ESS Tech Inc. Common Stock</t>
  </si>
  <si>
    <t>GWH</t>
  </si>
  <si>
    <t>Granite Construction Incorporated Common Stock</t>
  </si>
  <si>
    <t>GVA</t>
  </si>
  <si>
    <t>Gabelli Utility Trust (The) Common Stock</t>
  </si>
  <si>
    <t>GUT</t>
  </si>
  <si>
    <t>Getty Realty Corporation Common Stock</t>
  </si>
  <si>
    <t>GTY</t>
  </si>
  <si>
    <t>Gray Television Inc. Common Stock</t>
  </si>
  <si>
    <t>GTN</t>
  </si>
  <si>
    <t>Chart Industries Inc. Common Stock</t>
  </si>
  <si>
    <t>GTLS</t>
  </si>
  <si>
    <t>Global Ship Lease Inc New Class A Common Shares</t>
  </si>
  <si>
    <t>GSL</t>
  </si>
  <si>
    <t>GSK plc American Depositary Shares (Each representing two Ordinary Shares)</t>
  </si>
  <si>
    <t>GSK</t>
  </si>
  <si>
    <t>Goldman Sachs BDC Inc. Common Stock</t>
  </si>
  <si>
    <t>GSBD</t>
  </si>
  <si>
    <t>Goldman Sachs Group Inc. (The) Common Stock</t>
  </si>
  <si>
    <t>GS</t>
  </si>
  <si>
    <t>The Gabelli Healthcare &amp; Wellness Trust Common Shares of Beneficial Interest</t>
  </si>
  <si>
    <t>GRX</t>
  </si>
  <si>
    <t>Grindr Inc. Common Stock</t>
  </si>
  <si>
    <t>GRND</t>
  </si>
  <si>
    <t>Garmin Ltd. Common Stock (Switzerland)</t>
  </si>
  <si>
    <t>GRMN</t>
  </si>
  <si>
    <t>Gorman-Rupp Company (The) Common Stock</t>
  </si>
  <si>
    <t>GRC</t>
  </si>
  <si>
    <t>Green Brick Partners Inc. Common Stock</t>
  </si>
  <si>
    <t>GRBK</t>
  </si>
  <si>
    <t>Gap Inc. (The) Common Stock</t>
  </si>
  <si>
    <t>GPS</t>
  </si>
  <si>
    <t>Gulfport Energy Corporation Common Shares</t>
  </si>
  <si>
    <t>GPOR</t>
  </si>
  <si>
    <t>Global Payments Inc. Common Stock</t>
  </si>
  <si>
    <t>GPN</t>
  </si>
  <si>
    <t>Graphic Packaging Holding Company</t>
  </si>
  <si>
    <t>GPK</t>
  </si>
  <si>
    <t>Group 1 Automotive Inc. Common Stock</t>
  </si>
  <si>
    <t>GPI</t>
  </si>
  <si>
    <t>Genuine Parts Company Common Stock</t>
  </si>
  <si>
    <t>GPC</t>
  </si>
  <si>
    <t>Acushnet Holdings Corp. Common Stock</t>
  </si>
  <si>
    <t>GOLF</t>
  </si>
  <si>
    <t>Barrick Gold Corporation Common Stock (BC)</t>
  </si>
  <si>
    <t>GOLD</t>
  </si>
  <si>
    <t>Guggenheim Strategic Opportunities Fund Common Shares of Beneficial Interest</t>
  </si>
  <si>
    <t>GOF</t>
  </si>
  <si>
    <t>Genworth Financial Inc Common Stock</t>
  </si>
  <si>
    <t>GNW</t>
  </si>
  <si>
    <t>GAMCO Natural Resources Gold &amp; Income Trust</t>
  </si>
  <si>
    <t>GNT</t>
  </si>
  <si>
    <t>Generac Holdlings Inc. Common Stock</t>
  </si>
  <si>
    <t>GNRC</t>
  </si>
  <si>
    <t>Global Net Lease Inc. Common Stock</t>
  </si>
  <si>
    <t>GNL</t>
  </si>
  <si>
    <t>Genco Shipping &amp; Trading Limited Ordinary Shares New (Marshall Islands)</t>
  </si>
  <si>
    <t>GNK</t>
  </si>
  <si>
    <t>Genie Energy Ltd. Class B Common Stock Stock</t>
  </si>
  <si>
    <t>GNE</t>
  </si>
  <si>
    <t>GMS Inc. Common Stock</t>
  </si>
  <si>
    <t>GMS</t>
  </si>
  <si>
    <t>Globus Medical Inc. Class A Common Stock</t>
  </si>
  <si>
    <t>GMED</t>
  </si>
  <si>
    <t>GameStop Corporation Common Stock</t>
  </si>
  <si>
    <t>GME</t>
  </si>
  <si>
    <t>General Motors Company Common Stock</t>
  </si>
  <si>
    <t>GM</t>
  </si>
  <si>
    <t>Corning Incorporated Common Stock</t>
  </si>
  <si>
    <t>GLW</t>
  </si>
  <si>
    <t>Glatfelter Corporation Common Stock</t>
  </si>
  <si>
    <t>GLT</t>
  </si>
  <si>
    <t>Global Partners LP Global Partners LP Common Units representing Limited Partner Interests</t>
  </si>
  <si>
    <t>GLP</t>
  </si>
  <si>
    <t>Globe Life Inc. Common Stock</t>
  </si>
  <si>
    <t>GL</t>
  </si>
  <si>
    <t>Glaukos Corporation Common Stock</t>
  </si>
  <si>
    <t>GKOS</t>
  </si>
  <si>
    <t>General Mills Inc. Common Stock</t>
  </si>
  <si>
    <t>GIS</t>
  </si>
  <si>
    <t>Templeton Global Income Fund Inc. Common Stock</t>
  </si>
  <si>
    <t>GIM</t>
  </si>
  <si>
    <t>Gildan Activewear Inc. Class A Sub. Vot. Common Stock</t>
  </si>
  <si>
    <t>GIL</t>
  </si>
  <si>
    <t>Global Industrial Company Common Stock</t>
  </si>
  <si>
    <t>GIC</t>
  </si>
  <si>
    <t>CGI Inc. Common Stock</t>
  </si>
  <si>
    <t>GIB</t>
  </si>
  <si>
    <t>PGIM Global High Yield Fund Inc.</t>
  </si>
  <si>
    <t>GHY</t>
  </si>
  <si>
    <t>Graham Corporation Common Stock</t>
  </si>
  <si>
    <t>GHM</t>
  </si>
  <si>
    <t>Greenhill &amp; Co. Inc. Common Stock</t>
  </si>
  <si>
    <t>GHL</t>
  </si>
  <si>
    <t>Greystone Housing Impact Investors LP Beneficial Unit Certificates representing assignments of limited partnership interests</t>
  </si>
  <si>
    <t>GHI</t>
  </si>
  <si>
    <t>Service to the Health Industry</t>
  </si>
  <si>
    <t>Graham Holdings Company Common Stock</t>
  </si>
  <si>
    <t>GHC</t>
  </si>
  <si>
    <t>Gabelli Multi-Media Trust Inc. (The) Common Stock</t>
  </si>
  <si>
    <t>GGT</t>
  </si>
  <si>
    <t>Graco Inc. Common Stock</t>
  </si>
  <si>
    <t>GGG</t>
  </si>
  <si>
    <t>Griffon Corporation Common Stock</t>
  </si>
  <si>
    <t>GFF</t>
  </si>
  <si>
    <t>New Germany Fund Inc. (The) Common Stock</t>
  </si>
  <si>
    <t>GF</t>
  </si>
  <si>
    <t>Guess? Inc. Common Stock</t>
  </si>
  <si>
    <t>GES</t>
  </si>
  <si>
    <t>Geo Group Inc (The) REIT</t>
  </si>
  <si>
    <t>GEO</t>
  </si>
  <si>
    <t>Genesis Energy L.P. Common Units</t>
  </si>
  <si>
    <t>GEL</t>
  </si>
  <si>
    <t>Greif Inc. Class A Common Stock</t>
  </si>
  <si>
    <t>GEF</t>
  </si>
  <si>
    <t>General Electric Company Common Stock</t>
  </si>
  <si>
    <t>GE</t>
  </si>
  <si>
    <t>Gabelli Dividend &amp; Income Trust Common Shares of Beneficial Interest</t>
  </si>
  <si>
    <t>GDV</t>
  </si>
  <si>
    <t>Green Dot Corporation Class A Common Stock $0.001 par value</t>
  </si>
  <si>
    <t>GDOT</t>
  </si>
  <si>
    <t>Western Asset Global Corporate Defined Opportunity Fund Inc. Western Asset Global Corporate Defined Opportunity Fund Inc.</t>
  </si>
  <si>
    <t>GDO</t>
  </si>
  <si>
    <t>GDL Fund The Common Shares of Beneficial Interest</t>
  </si>
  <si>
    <t>GDL</t>
  </si>
  <si>
    <t>GoDaddy Inc. Class A Common Stock</t>
  </si>
  <si>
    <t>GDDY</t>
  </si>
  <si>
    <t>General Dynamics Corporation Common Stock</t>
  </si>
  <si>
    <t>GD</t>
  </si>
  <si>
    <t>Gabelli Convertible and Income Securities Fund Inc. (The) Common Stock</t>
  </si>
  <si>
    <t>GCV</t>
  </si>
  <si>
    <t>Genesco Inc. Common Stock</t>
  </si>
  <si>
    <t>GCO</t>
  </si>
  <si>
    <t>Greenbrier Companies Inc. (The) Common Stock</t>
  </si>
  <si>
    <t>GBX</t>
  </si>
  <si>
    <t>Global Business Travel Group Inc. Class A Common Stock</t>
  </si>
  <si>
    <t>GBTG</t>
  </si>
  <si>
    <t>Global Indemnity Group LLC Class A Common Stock (DE)</t>
  </si>
  <si>
    <t>GBLI</t>
  </si>
  <si>
    <t>Glacier Bancorp Inc. Common Stock</t>
  </si>
  <si>
    <t>GBCI</t>
  </si>
  <si>
    <t>Guggenheim Taxable Municipal Bond &amp; Investment Grade Debt Trust Common Shares of Beneficial Interest</t>
  </si>
  <si>
    <t>GBAB</t>
  </si>
  <si>
    <t>GATX Corporation Common Stock</t>
  </si>
  <si>
    <t>GATX</t>
  </si>
  <si>
    <t>Gatos Silver Inc. Common Stock</t>
  </si>
  <si>
    <t>GATO</t>
  </si>
  <si>
    <t>General American Investors Inc. Common Stock</t>
  </si>
  <si>
    <t>GAM</t>
  </si>
  <si>
    <t>Gabelli Equity Trust Inc. (The) Common Stock</t>
  </si>
  <si>
    <t>GAB</t>
  </si>
  <si>
    <t>Cedar Fair L.P. Common Stock</t>
  </si>
  <si>
    <t>FUN</t>
  </si>
  <si>
    <t>H. B. Fuller Company Common Stock</t>
  </si>
  <si>
    <t>FUL</t>
  </si>
  <si>
    <t>Flotek Industries Inc. Common Stock</t>
  </si>
  <si>
    <t>FTK</t>
  </si>
  <si>
    <t>First Trust High Yield Opportunities 2027 Term Fund Common Stock</t>
  </si>
  <si>
    <t>FTHY</t>
  </si>
  <si>
    <t>Franklin Universal Trust Common Stock</t>
  </si>
  <si>
    <t>FT</t>
  </si>
  <si>
    <t>Federal Signal Corporation Common Stock</t>
  </si>
  <si>
    <t>FSS</t>
  </si>
  <si>
    <t>Fortuna Silver Mines Inc Ordinary Shares (Canada)</t>
  </si>
  <si>
    <t>FSM</t>
  </si>
  <si>
    <t>Federal Realty Investment Trust Common Stock</t>
  </si>
  <si>
    <t>FRT</t>
  </si>
  <si>
    <t>FIRST REPUBLIC BANK Common Stock</t>
  </si>
  <si>
    <t>FRC</t>
  </si>
  <si>
    <t>Blackrock Floating Rate Income Strategies Fund Inc  Common Stock</t>
  </si>
  <si>
    <t>FRA</t>
  </si>
  <si>
    <t>First Industrial Realty Trust Inc. Common Stock</t>
  </si>
  <si>
    <t>FR</t>
  </si>
  <si>
    <t>Five Point Holdings LLC Class A Common Shares</t>
  </si>
  <si>
    <t>FPH</t>
  </si>
  <si>
    <t>Shift4 Payments Inc. Class A Common Stock</t>
  </si>
  <si>
    <t>FOUR</t>
  </si>
  <si>
    <t xml:space="preserve">Forestar Group Inc Common Stock </t>
  </si>
  <si>
    <t>FOR</t>
  </si>
  <si>
    <t>Cohen &amp; Steers Closed-End Opportunity Fund Inc. Common Stock</t>
  </si>
  <si>
    <t>FOF</t>
  </si>
  <si>
    <t>Franco-Nevada Corporation</t>
  </si>
  <si>
    <t>FNV</t>
  </si>
  <si>
    <t>FNF Group of Fidelity National Financial Inc. Common Stock</t>
  </si>
  <si>
    <t>FNF</t>
  </si>
  <si>
    <t>F.N.B. Corporation Common Stock</t>
  </si>
  <si>
    <t>FNB</t>
  </si>
  <si>
    <t>Fomento Economico Mexicano S.A.B. de C.V. Common Stock</t>
  </si>
  <si>
    <t>FMX</t>
  </si>
  <si>
    <t>Fresenius Medical Care AG Common Stock</t>
  </si>
  <si>
    <t>FMS</t>
  </si>
  <si>
    <t>Federated Hermes Premier Municipal Income Fund</t>
  </si>
  <si>
    <t>FMN</t>
  </si>
  <si>
    <t>FMC Corporation Common Stock</t>
  </si>
  <si>
    <t>FMC</t>
  </si>
  <si>
    <t>FleetCor Technologies Inc. Common Stock</t>
  </si>
  <si>
    <t>FLT</t>
  </si>
  <si>
    <t>Flowserve Corporation Common Stock</t>
  </si>
  <si>
    <t>FLS</t>
  </si>
  <si>
    <t>Fluor Corporation Common Stock</t>
  </si>
  <si>
    <t>FLR</t>
  </si>
  <si>
    <t>Flowers Foods Inc. Common Stock</t>
  </si>
  <si>
    <t>FLO</t>
  </si>
  <si>
    <t>Flaherty &amp; Crumrine Total Return Fund Inc Common Stock</t>
  </si>
  <si>
    <t>FLC</t>
  </si>
  <si>
    <t>Foot Locker Inc.</t>
  </si>
  <si>
    <t>FL</t>
  </si>
  <si>
    <t>Comfort Systems USA Inc. Common Stock</t>
  </si>
  <si>
    <t>FIX</t>
  </si>
  <si>
    <t>Fidelity National Information Services Inc. Common Stock</t>
  </si>
  <si>
    <t>FIS</t>
  </si>
  <si>
    <t>FinVolution Group American Depositary Shares</t>
  </si>
  <si>
    <t>FINV</t>
  </si>
  <si>
    <t>First Trust Energy Infrastructure Fund Common Shares of Beneficial Interest</t>
  </si>
  <si>
    <t>FIF</t>
  </si>
  <si>
    <t>Fair Isaac Corproation Common Stock</t>
  </si>
  <si>
    <t>FICO</t>
  </si>
  <si>
    <t>First Horizon Corporation Common Stock</t>
  </si>
  <si>
    <t>FHN</t>
  </si>
  <si>
    <t>Federated Hermes Inc. Common Stock</t>
  </si>
  <si>
    <t>FHI</t>
  </si>
  <si>
    <t>First Trust Enhanced Equity Income Fund</t>
  </si>
  <si>
    <t>FFA</t>
  </si>
  <si>
    <t>FutureFuel Corp.  Common shares</t>
  </si>
  <si>
    <t>FF</t>
  </si>
  <si>
    <t>Forum Energy Technologies Inc. Common Stock</t>
  </si>
  <si>
    <t>FET</t>
  </si>
  <si>
    <t>FirstEnergy Corp. Common Stock</t>
  </si>
  <si>
    <t>FE</t>
  </si>
  <si>
    <t>FedEx Corporation Common Stock</t>
  </si>
  <si>
    <t>FDX</t>
  </si>
  <si>
    <t>Freeport-McMoRan Inc. Common Stock</t>
  </si>
  <si>
    <t>FCX</t>
  </si>
  <si>
    <t>First Trust Senior Floating Rate Income Fund II Common Shares of Beneficial Interest</t>
  </si>
  <si>
    <t>FCT</t>
  </si>
  <si>
    <t>Four Corners Property Trust Inc. Common Stock</t>
  </si>
  <si>
    <t>FCPT</t>
  </si>
  <si>
    <t>FTI Consulting Inc. Common Stock</t>
  </si>
  <si>
    <t>FCN</t>
  </si>
  <si>
    <t>First Commonwealth Financial Corporation Common Stock</t>
  </si>
  <si>
    <t>FCF</t>
  </si>
  <si>
    <t>Franklin Covey Company Common Stock</t>
  </si>
  <si>
    <t>FC</t>
  </si>
  <si>
    <t>FB Financial Corporation Common Stock</t>
  </si>
  <si>
    <t>FBK</t>
  </si>
  <si>
    <t>Fortune Brands Innovations Inc. Common Stock</t>
  </si>
  <si>
    <t>FBIN</t>
  </si>
  <si>
    <t>First Trust/abrdn Global Opportunity Income Fund Common Shares of Beneficial Interest</t>
  </si>
  <si>
    <t>FAM</t>
  </si>
  <si>
    <t>First American Corporation (New) Common Stock</t>
  </si>
  <si>
    <t>FAF</t>
  </si>
  <si>
    <t>Ford Motor Company Common Stock</t>
  </si>
  <si>
    <t>F</t>
  </si>
  <si>
    <t>Extra Space Storage Inc Common Stock</t>
  </si>
  <si>
    <t>EXR</t>
  </si>
  <si>
    <t>Express Inc. Common Stock</t>
  </si>
  <si>
    <t>EXPR</t>
  </si>
  <si>
    <t>Eagle Materials Inc Common Stock</t>
  </si>
  <si>
    <t>EXP</t>
  </si>
  <si>
    <t>Endeavour Silver Corporation Ordinary Shares (Canada)</t>
  </si>
  <si>
    <t>EXK</t>
  </si>
  <si>
    <t>Eaton Vance Tax-Managed Global Diversified Equity Income Fund Eaton Vance Tax-Managed Global Diversified Equity Income Fund Common Shares of Beneficial Interest</t>
  </si>
  <si>
    <t>EXG</t>
  </si>
  <si>
    <t>Eaton Vance Tax-Managed Buy-Write Strategy Fund Common Shares of Beneficial Interest</t>
  </si>
  <si>
    <t>EXD</t>
  </si>
  <si>
    <t>Edwards Lifesciences Corporation Common Stock</t>
  </si>
  <si>
    <t>EW</t>
  </si>
  <si>
    <t>Eaton Vance Tax Advantaged Dividend Income Fund Common Shares of Beneficial Interest</t>
  </si>
  <si>
    <t>EVT</t>
  </si>
  <si>
    <t>Everi Holdings Inc. Common Stock</t>
  </si>
  <si>
    <t>EVRI</t>
  </si>
  <si>
    <t>Evercore Inc. Class A Common Stock</t>
  </si>
  <si>
    <t>EVR</t>
  </si>
  <si>
    <t>Eaton Vance Municipal Income Trust Common Stock</t>
  </si>
  <si>
    <t>EVN</t>
  </si>
  <si>
    <t>Evolent Health Inc Class A Common Stock</t>
  </si>
  <si>
    <t>EVH</t>
  </si>
  <si>
    <t>Eaton Vance Short Diversified Income Fund Eaton Vance Short Duration Diversified Income Fund Common Shares of Beneficial Interest</t>
  </si>
  <si>
    <t>EVG</t>
  </si>
  <si>
    <t>Eaton Vance Senior Income Trust Common Stock</t>
  </si>
  <si>
    <t>EVF</t>
  </si>
  <si>
    <t>Entravision Communications Corporation Common Stock</t>
  </si>
  <si>
    <t>EVC</t>
  </si>
  <si>
    <t>Enviva Inc. Common Stock</t>
  </si>
  <si>
    <t>EVA</t>
  </si>
  <si>
    <t>Eaton Vance Tax-Managed Diversified Equity Income Fund Common Shares of Beneficial Interest</t>
  </si>
  <si>
    <t>ETY</t>
  </si>
  <si>
    <t>Eaton Vance Corporation Eaton Vance Tax-Managed Global Buy-Write Opportunites Fund Common Shares of Beneficial Interest</t>
  </si>
  <si>
    <t>ETW</t>
  </si>
  <si>
    <t>Eaton Vance Corporation Eaton Vance Tax-Managed Buy-Write Opportunities Fund Common Shares of Beneficial Interest</t>
  </si>
  <si>
    <t>ETV</t>
  </si>
  <si>
    <t>Entergy Corporation Common Stock</t>
  </si>
  <si>
    <t>ETR</t>
  </si>
  <si>
    <t>Eaton Vance Tax-Advantage Global Dividend Opp Common Stock</t>
  </si>
  <si>
    <t>ETO</t>
  </si>
  <si>
    <t>Eaton Corporation PLC Ordinary Shares</t>
  </si>
  <si>
    <t>ETN</t>
  </si>
  <si>
    <t>Eaton Vance Risk-Managed Diversified Equity Income Fund Common Shares of Beneficial Interest</t>
  </si>
  <si>
    <t>ETJ</t>
  </si>
  <si>
    <t>Eaton Vance Tax-Advantaged Global Dividend Income Fund Common Shares of Beneficial Interest</t>
  </si>
  <si>
    <t>ETG</t>
  </si>
  <si>
    <t>Ethan Allen Interiors Inc. Common Stock</t>
  </si>
  <si>
    <t>ETD</t>
  </si>
  <si>
    <t>Eaton Vance Tax-Managed Buy-Write Income Fund Eaton Vance Tax-Managed Buy-Write Income Fund Common Shares of Beneficial Interest</t>
  </si>
  <si>
    <t>ETB</t>
  </si>
  <si>
    <t xml:space="preserve">Energy Transfer LP Common Units </t>
  </si>
  <si>
    <t>ET</t>
  </si>
  <si>
    <t>Earthstone Energy Inc. Class A Common Stock</t>
  </si>
  <si>
    <t>ESTE</t>
  </si>
  <si>
    <t>Elastic N.V. Ordinary Shares</t>
  </si>
  <si>
    <t>ESTC</t>
  </si>
  <si>
    <t>Essex Property Trust Inc. Common Stock</t>
  </si>
  <si>
    <t>ESS</t>
  </si>
  <si>
    <t>Empire State Realty Trust Inc. Class A Common Stock</t>
  </si>
  <si>
    <t>ESRT</t>
  </si>
  <si>
    <t>Element Solutions Inc. Common Stock</t>
  </si>
  <si>
    <t>ESI</t>
  </si>
  <si>
    <t>ESCO Technologies Inc. Common Stock</t>
  </si>
  <si>
    <t>ESE</t>
  </si>
  <si>
    <t>Eversource Energy (D/B/A) Common Stock</t>
  </si>
  <si>
    <t>ES</t>
  </si>
  <si>
    <t>Enerplus Corporation Common Stock</t>
  </si>
  <si>
    <t>EQT Corporation Common Stock</t>
  </si>
  <si>
    <t>EQT</t>
  </si>
  <si>
    <t>Equity Residential Common Shares of Beneficial Interest</t>
  </si>
  <si>
    <t>EQR</t>
  </si>
  <si>
    <t>Norway</t>
  </si>
  <si>
    <t>Equinor ASA</t>
  </si>
  <si>
    <t>EQNR</t>
  </si>
  <si>
    <t>Equitable Holdings Inc. Common Stock</t>
  </si>
  <si>
    <t>EQH</t>
  </si>
  <si>
    <t>Equity Commonwealth Common Shares of Beneficial Interest</t>
  </si>
  <si>
    <t>EQC</t>
  </si>
  <si>
    <t>Essential Properties Realty Trust Inc. Common Stock</t>
  </si>
  <si>
    <t>EPRT</t>
  </si>
  <si>
    <t>EPR Properties Common Stock</t>
  </si>
  <si>
    <t>EPR</t>
  </si>
  <si>
    <t>Enterprise Products Partners L.P. Common Stock</t>
  </si>
  <si>
    <t>EPD</t>
  </si>
  <si>
    <t>EPAM Systems Inc. Common Stock</t>
  </si>
  <si>
    <t>EPAM</t>
  </si>
  <si>
    <t>Enerpac Tool Group Corp. Common Stock</t>
  </si>
  <si>
    <t>EPAC</t>
  </si>
  <si>
    <t>Eaton Vance Municipal Income Trust EATON VANCE NATIONAL MUNICIPAL OPPORTUNITIES TRUST</t>
  </si>
  <si>
    <t>EOT</t>
  </si>
  <si>
    <t>Eaton Vance Enhance Equity Income Fund Eaton Vance Enhanced Equity Income Fund Shares of Beneficial Interest</t>
  </si>
  <si>
    <t>EOI</t>
  </si>
  <si>
    <t>EOG Resources Inc. Common Stock</t>
  </si>
  <si>
    <t>EOG</t>
  </si>
  <si>
    <t>Allspring Global Dividend Opportunity Fund Common Shares of Beneficial Interest</t>
  </si>
  <si>
    <t>EOD</t>
  </si>
  <si>
    <t>Enzo Biochem Inc. Common Stock ($0.01 Par Value)</t>
  </si>
  <si>
    <t>ENZ</t>
  </si>
  <si>
    <t>Enova International Inc. Common Stock</t>
  </si>
  <si>
    <t>ENVA</t>
  </si>
  <si>
    <t>Envestnet Inc Common Stock</t>
  </si>
  <si>
    <t>ENV</t>
  </si>
  <si>
    <t>EnerSys Common Stock</t>
  </si>
  <si>
    <t>ENS</t>
  </si>
  <si>
    <t>Energizer Holdings Inc. Common Stock</t>
  </si>
  <si>
    <t>ENR</t>
  </si>
  <si>
    <t>Enovis Corporation Common Stock</t>
  </si>
  <si>
    <t>ENOV</t>
  </si>
  <si>
    <t>Enbridge Inc Common Stock</t>
  </si>
  <si>
    <t>ENB</t>
  </si>
  <si>
    <t>Emerson Electric Company Common Stock</t>
  </si>
  <si>
    <t>EMR</t>
  </si>
  <si>
    <t>ClearBridge Energy Midstream Opportunity Fund Inc. Common Stock</t>
  </si>
  <si>
    <t>EMO</t>
  </si>
  <si>
    <t>Eastman Chemical Company Common Stock</t>
  </si>
  <si>
    <t>EMN</t>
  </si>
  <si>
    <t>Templeton Emerging Markets Fund Common Stock</t>
  </si>
  <si>
    <t>EMF</t>
  </si>
  <si>
    <t>EMCOR Group Inc. Common Stock</t>
  </si>
  <si>
    <t>EME</t>
  </si>
  <si>
    <t>Western Asset Emerging Markets Debt Fund Inc Common Stock</t>
  </si>
  <si>
    <t>EMD</t>
  </si>
  <si>
    <t>Elevate Credit Inc. Common Stock</t>
  </si>
  <si>
    <t>ELVT</t>
  </si>
  <si>
    <t>Elevance Health Inc. Common Stock</t>
  </si>
  <si>
    <t>ELV</t>
  </si>
  <si>
    <t>Equity Lifestyle Properties Inc. Common Stock</t>
  </si>
  <si>
    <t>ELS</t>
  </si>
  <si>
    <t>Elme Communities Common Stock</t>
  </si>
  <si>
    <t>ELME</t>
  </si>
  <si>
    <t>e.l.f. Beauty Inc. Common Stock</t>
  </si>
  <si>
    <t>ELF</t>
  </si>
  <si>
    <t>Elanco Animal Health Incorporated Common Stock</t>
  </si>
  <si>
    <t>ELAN</t>
  </si>
  <si>
    <t>Estee Lauder Companies Inc. (The) Common Stock</t>
  </si>
  <si>
    <t>EL</t>
  </si>
  <si>
    <t>Edison International Common Stock</t>
  </si>
  <si>
    <t>EIX</t>
  </si>
  <si>
    <t>Employers Holdings Inc Common Stock</t>
  </si>
  <si>
    <t>EIG</t>
  </si>
  <si>
    <t>Western Asset Global High Income Fund Inc Common Stock</t>
  </si>
  <si>
    <t>EHI</t>
  </si>
  <si>
    <t>Encompass Health Corporation Common Stock</t>
  </si>
  <si>
    <t>EHC</t>
  </si>
  <si>
    <t>VAALCO Energy Inc.  Common Stock</t>
  </si>
  <si>
    <t>EGY</t>
  </si>
  <si>
    <t>EastGroup Properties Inc. Common Stock</t>
  </si>
  <si>
    <t>EGP</t>
  </si>
  <si>
    <t>Eldorado Gold Corporation Ordinary Shares</t>
  </si>
  <si>
    <t>EGO</t>
  </si>
  <si>
    <t>Eagle Bulk Shipping Inc. Common Stock</t>
  </si>
  <si>
    <t>EGLE</t>
  </si>
  <si>
    <t>Enerflex Ltd Common Shares</t>
  </si>
  <si>
    <t>EFXT</t>
  </si>
  <si>
    <t>Equifax Inc. Common Stock</t>
  </si>
  <si>
    <t>EFX</t>
  </si>
  <si>
    <t>Eaton Vance Floating Rate Income Trust Common Shares of Beneficial Interest</t>
  </si>
  <si>
    <t>EFT</t>
  </si>
  <si>
    <t>Eaton Vance Senior Floating-Rate Fund Common Shares of Beneficial Interest</t>
  </si>
  <si>
    <t>EFR</t>
  </si>
  <si>
    <t xml:space="preserve">Ellington Financial Inc. Common Stock </t>
  </si>
  <si>
    <t>EFC</t>
  </si>
  <si>
    <t>Emerald Holding Inc. Common Stock</t>
  </si>
  <si>
    <t>EEX</t>
  </si>
  <si>
    <t>The European Equity Fund Inc. Common Stock</t>
  </si>
  <si>
    <t>EEA</t>
  </si>
  <si>
    <t>Virtus Stone Harbor Emerging Markets Total Income Fund Common Shares of Beneficial Interest</t>
  </si>
  <si>
    <t>EDI</t>
  </si>
  <si>
    <t>Virtus Stone Harbor Emerging Markets Income Fund Common Shares of Beneficial Interest</t>
  </si>
  <si>
    <t>EDF</t>
  </si>
  <si>
    <t>Morgan Stanley Emerging Markets Domestic Debt Fund Inc. Morgan Stanley Emerging Markets Domestic Debt Fund Inc. Common Stock</t>
  </si>
  <si>
    <t>EDD</t>
  </si>
  <si>
    <t>Consolidated Edison Inc. Common Stock</t>
  </si>
  <si>
    <t>ED</t>
  </si>
  <si>
    <t>Ecovyst Inc. Common Stock</t>
  </si>
  <si>
    <t>ECVT</t>
  </si>
  <si>
    <t>Ecolab Inc. Common Stock</t>
  </si>
  <si>
    <t>ECL</t>
  </si>
  <si>
    <t>Eagle Point Credit Company Inc. Common Stock</t>
  </si>
  <si>
    <t xml:space="preserve">ECC           </t>
  </si>
  <si>
    <t>Emergent Biosolutions Inc. Common Stock</t>
  </si>
  <si>
    <t>EBS</t>
  </si>
  <si>
    <t>Ennis Inc. Common Stock</t>
  </si>
  <si>
    <t>EBF</t>
  </si>
  <si>
    <t>Eventbrite Inc. Class A Common Stock</t>
  </si>
  <si>
    <t>EB</t>
  </si>
  <si>
    <t>Brinker International Inc. Common Stock</t>
  </si>
  <si>
    <t>EAT</t>
  </si>
  <si>
    <t>Ellington Residential Mortgage REIT Common Shares of Beneficial Interest</t>
  </si>
  <si>
    <t>EARN</t>
  </si>
  <si>
    <t>GrafTech International Ltd. Common Stock</t>
  </si>
  <si>
    <t>EAF</t>
  </si>
  <si>
    <t>ENI S.p.A. Common Stock</t>
  </si>
  <si>
    <t>E</t>
  </si>
  <si>
    <t>Dycom Industries Inc. Common Stock</t>
  </si>
  <si>
    <t>DY</t>
  </si>
  <si>
    <t>Dynex Capital Inc. Common Stock</t>
  </si>
  <si>
    <t>DX</t>
  </si>
  <si>
    <t>Devon Energy Corporation Common Stock</t>
  </si>
  <si>
    <t>DVN</t>
  </si>
  <si>
    <t>DaVita Inc. Common Stock</t>
  </si>
  <si>
    <t>DVA</t>
  </si>
  <si>
    <t>Duke Energy Corporation (Holding Company) Common Stock</t>
  </si>
  <si>
    <t>DUK</t>
  </si>
  <si>
    <t>DTF Tax-Free Income 2028 Term Fund Inc. Common Stock</t>
  </si>
  <si>
    <t>DTF</t>
  </si>
  <si>
    <t>DTE Energy Company Common Stock</t>
  </si>
  <si>
    <t>DTE</t>
  </si>
  <si>
    <t>Dynatrace Inc. Common Stock</t>
  </si>
  <si>
    <t>DT</t>
  </si>
  <si>
    <t>Diana Shipping inc. common stock</t>
  </si>
  <si>
    <t>DSX</t>
  </si>
  <si>
    <t>Blackrock Debt Strategies Fund Inc. Common Stock</t>
  </si>
  <si>
    <t>DSU</t>
  </si>
  <si>
    <t>BNY Mellon Strategic Municipal Bond Fund Inc. Common Stock</t>
  </si>
  <si>
    <t>DSM</t>
  </si>
  <si>
    <t>Dril-Quip Inc. Common Stock</t>
  </si>
  <si>
    <t>DRQ</t>
  </si>
  <si>
    <t>Darden Restaurants Inc. Common Stock</t>
  </si>
  <si>
    <t>DRI</t>
  </si>
  <si>
    <t>Diamondrock Hospitality Company Common Stock</t>
  </si>
  <si>
    <t>DRH</t>
  </si>
  <si>
    <t>Domino's Pizza Inc Common Stock</t>
  </si>
  <si>
    <t>DPZ</t>
  </si>
  <si>
    <t>Duff &amp; Phelps Utility and Infrastructure Fund Inc.</t>
  </si>
  <si>
    <t>DPG</t>
  </si>
  <si>
    <t>Dover Corporation Common Stock</t>
  </si>
  <si>
    <t>DOV</t>
  </si>
  <si>
    <t>Masonite International Corporation Ordinary Shares (Canada)</t>
  </si>
  <si>
    <t>DOOR</t>
  </si>
  <si>
    <t>DigitalOcean Holdings Inc. Common Stock</t>
  </si>
  <si>
    <t>DOCN</t>
  </si>
  <si>
    <t>Physicians Realty Trust Common Shares of Beneficial Interest</t>
  </si>
  <si>
    <t>DOC</t>
  </si>
  <si>
    <t>Diamond Offshore Drilling Inc. Common Stock</t>
  </si>
  <si>
    <t>DO</t>
  </si>
  <si>
    <t>DNP Select Income Fund Inc. Common Stock</t>
  </si>
  <si>
    <t>DNP</t>
  </si>
  <si>
    <t>Dun &amp; Bradstreet Holdings Inc. Common Stock</t>
  </si>
  <si>
    <t>DNB</t>
  </si>
  <si>
    <t>Ginkgo Bioworks Holdings Inc. Class A Common Stock</t>
  </si>
  <si>
    <t>DNA</t>
  </si>
  <si>
    <t>Digital Media Solutions Inc. Class A Ordinary Shares</t>
  </si>
  <si>
    <t>DMS</t>
  </si>
  <si>
    <t>Western Asset Mortgage Opportunity Fund Inc. Common Stock</t>
  </si>
  <si>
    <t>DMO</t>
  </si>
  <si>
    <t>Deluxe Corporation Common Stock</t>
  </si>
  <si>
    <t>DLX</t>
  </si>
  <si>
    <t>Digital Realty Trust Inc. Common Stock</t>
  </si>
  <si>
    <t>DLR</t>
  </si>
  <si>
    <t>Dynagas LNG Partners LP Common Units</t>
  </si>
  <si>
    <t>DLNG</t>
  </si>
  <si>
    <t>Dolby Laboratories Common Stock</t>
  </si>
  <si>
    <t>DLB</t>
  </si>
  <si>
    <t>Dick's Sporting Goods Inc Common Stock</t>
  </si>
  <si>
    <t>DKS</t>
  </si>
  <si>
    <t>Delek Logistics Partners L.P. Common Units representing Limited Partner Interests</t>
  </si>
  <si>
    <t>DKL</t>
  </si>
  <si>
    <t>Delek US Holdings Inc. Common Stock</t>
  </si>
  <si>
    <t>DK</t>
  </si>
  <si>
    <t>Walt Disney Company (The) Common Stock</t>
  </si>
  <si>
    <t>DIS</t>
  </si>
  <si>
    <t>HF Sinclair Corporation Common Stock</t>
  </si>
  <si>
    <t>DINO</t>
  </si>
  <si>
    <t>Dine Brands Global Inc. Common Stock</t>
  </si>
  <si>
    <t>DIN</t>
  </si>
  <si>
    <t>DHI Group Inc. Common Stock</t>
  </si>
  <si>
    <t>DHX</t>
  </si>
  <si>
    <t>Jersey</t>
  </si>
  <si>
    <t>DHT Holdings Inc.</t>
  </si>
  <si>
    <t>DHT</t>
  </si>
  <si>
    <t>Danaher Corporation Common Stock</t>
  </si>
  <si>
    <t>DHR</t>
  </si>
  <si>
    <t>D.R. Horton Inc. Common Stock</t>
  </si>
  <si>
    <t>DHI</t>
  </si>
  <si>
    <t>BNY Mellon High Yield Strategies Fund Common Stock</t>
  </si>
  <si>
    <t>DHF</t>
  </si>
  <si>
    <t>Quest Diagnostics Incorporated Common Stock</t>
  </si>
  <si>
    <t>DGX</t>
  </si>
  <si>
    <t>Dollar General Corporation Common Stock</t>
  </si>
  <si>
    <t>DG</t>
  </si>
  <si>
    <t>Discover Financial Services Common Stock</t>
  </si>
  <si>
    <t>DFS</t>
  </si>
  <si>
    <t>Dream Finders Homes Inc. Class A Common Stock</t>
  </si>
  <si>
    <t>DFH</t>
  </si>
  <si>
    <t>Delaware Enhanced Global Dividend Common Shares of Beneficial Interest</t>
  </si>
  <si>
    <t>DEX</t>
  </si>
  <si>
    <t>Diageo plc Common Stock</t>
  </si>
  <si>
    <t>DEO</t>
  </si>
  <si>
    <t>Douglas Emmett Inc. Common Stock</t>
  </si>
  <si>
    <t>DEI</t>
  </si>
  <si>
    <t>Deckers Outdoor Corporation Common Stock</t>
  </si>
  <si>
    <t>DECK</t>
  </si>
  <si>
    <t>Easterly Government Properties Inc. Common Stock</t>
  </si>
  <si>
    <t>DEA</t>
  </si>
  <si>
    <t>Deere &amp; Company Common Stock</t>
  </si>
  <si>
    <t>DE</t>
  </si>
  <si>
    <t>Dillard's Inc. Common Stock</t>
  </si>
  <si>
    <t>DDS</t>
  </si>
  <si>
    <t>Delaware Investments Dividend &amp; Income Fund Inc. Common Stock</t>
  </si>
  <si>
    <t>DDF</t>
  </si>
  <si>
    <t>3D Systems Corporation Common Stock</t>
  </si>
  <si>
    <t>DDD</t>
  </si>
  <si>
    <t xml:space="preserve">DCP Midstream  LP Common Units </t>
  </si>
  <si>
    <t>DCP</t>
  </si>
  <si>
    <t>Ducommun Incorporated Common Stock</t>
  </si>
  <si>
    <t>DCO</t>
  </si>
  <si>
    <t>Pollution Control Equipment</t>
  </si>
  <si>
    <t>Donaldson Company Inc. Common Stock</t>
  </si>
  <si>
    <t>DCI</t>
  </si>
  <si>
    <t>DigitalBridge Group Inc.</t>
  </si>
  <si>
    <t>DBRG</t>
  </si>
  <si>
    <t>DoubleLine Opportunistic Credit Fund Common Shares of Beneficial Interest</t>
  </si>
  <si>
    <t>DBL</t>
  </si>
  <si>
    <t>Designer Brands Inc. Class A Common Stock</t>
  </si>
  <si>
    <t>DBI</t>
  </si>
  <si>
    <t>Diebold Nixdorf Incorporated Common Stock</t>
  </si>
  <si>
    <t>DBD</t>
  </si>
  <si>
    <t>Deutsche Bank AG Common Stock</t>
  </si>
  <si>
    <t>DB</t>
  </si>
  <si>
    <t>Endava plc American Depositary Shares (each representing one Class A Ordinary Share)</t>
  </si>
  <si>
    <t>DAVA</t>
  </si>
  <si>
    <t>Darling Ingredients Inc. Common Stock</t>
  </si>
  <si>
    <t>DAR</t>
  </si>
  <si>
    <t xml:space="preserve">Dana Incorporated Common Stock </t>
  </si>
  <si>
    <t>DAN</t>
  </si>
  <si>
    <t>Delta Air Lines Inc. Common Stock</t>
  </si>
  <si>
    <t>DAL</t>
  </si>
  <si>
    <t>Danaos Corporation Common Stock</t>
  </si>
  <si>
    <t>DAC</t>
  </si>
  <si>
    <t>Dominion Energy Inc. Common Stock</t>
  </si>
  <si>
    <t>D</t>
  </si>
  <si>
    <t>Community Health Systems Inc. Common Stock</t>
  </si>
  <si>
    <t>CYH</t>
  </si>
  <si>
    <t>China Yuchai International Limited Common Stock</t>
  </si>
  <si>
    <t>CYD</t>
  </si>
  <si>
    <t>CoreCivic Inc. Common Stock</t>
  </si>
  <si>
    <t>CXW</t>
  </si>
  <si>
    <t>MFS Investment Grade Municipal Trust Common Stock</t>
  </si>
  <si>
    <t>CXH</t>
  </si>
  <si>
    <t>MFS High Income Municipal Trust Common Stock</t>
  </si>
  <si>
    <t>CXE</t>
  </si>
  <si>
    <t>Cemex S.A.B. de C.V. Sponsored ADR</t>
  </si>
  <si>
    <t>CX</t>
  </si>
  <si>
    <t>California Water Service Group Common Stock</t>
  </si>
  <si>
    <t>CWT</t>
  </si>
  <si>
    <t>Camping World Holdings Inc. Class A Common Stock</t>
  </si>
  <si>
    <t>CWH</t>
  </si>
  <si>
    <t>Clearway Energy Inc. Class C Common Stock</t>
  </si>
  <si>
    <t>CWEN</t>
  </si>
  <si>
    <t>Curtiss-Wright Corporation Common Stock</t>
  </si>
  <si>
    <t>CW</t>
  </si>
  <si>
    <t>Chevron Corporation Common Stock</t>
  </si>
  <si>
    <t>CVX</t>
  </si>
  <si>
    <t>CVS Health Corporation Common Stock</t>
  </si>
  <si>
    <t>CVS</t>
  </si>
  <si>
    <t>Carvana Co. Class A Common Stock</t>
  </si>
  <si>
    <t>CVNA</t>
  </si>
  <si>
    <t>CVR Energy Inc. Common Stock</t>
  </si>
  <si>
    <t>CVI</t>
  </si>
  <si>
    <t>Cenovus Energy Inc Common Stock</t>
  </si>
  <si>
    <t>CVE</t>
  </si>
  <si>
    <t>Cousins Properties Incorporated Common Stock</t>
  </si>
  <si>
    <t>CUZ</t>
  </si>
  <si>
    <t>Textiles</t>
  </si>
  <si>
    <t>Culp Inc. Common Stock</t>
  </si>
  <si>
    <t>CULP</t>
  </si>
  <si>
    <t>Carnival Plc ADS ADS</t>
  </si>
  <si>
    <t>CUK</t>
  </si>
  <si>
    <t>Customers Bancorp Inc Common Stock</t>
  </si>
  <si>
    <t>CUBI</t>
  </si>
  <si>
    <t>CubeSmart Common Shares</t>
  </si>
  <si>
    <t>CUBE</t>
  </si>
  <si>
    <t>CTS Corporation Common Stock</t>
  </si>
  <si>
    <t>CTS</t>
  </si>
  <si>
    <t>CareTrust REIT Inc. Common Stock</t>
  </si>
  <si>
    <t>CTRE</t>
  </si>
  <si>
    <t>Coterra Energy Inc. Common Stock</t>
  </si>
  <si>
    <t>CTRA</t>
  </si>
  <si>
    <t>ClearBridge MLP and Midstream Total Return Fund Inc. Common Stock</t>
  </si>
  <si>
    <t>CTR</t>
  </si>
  <si>
    <t>CTO Realty Growth Inc. Common Stock</t>
  </si>
  <si>
    <t>CTO</t>
  </si>
  <si>
    <t>Catalent Inc. Common Stock</t>
  </si>
  <si>
    <t>CTLT</t>
  </si>
  <si>
    <t>Carriage Services Inc. Common Stock</t>
  </si>
  <si>
    <t>CSV</t>
  </si>
  <si>
    <t>Aluminum</t>
  </si>
  <si>
    <t>Constellium SE Ordinary Shares (France)</t>
  </si>
  <si>
    <t>CSTM</t>
  </si>
  <si>
    <t>D/B/A Centerspace Common Stock</t>
  </si>
  <si>
    <t>CSR</t>
  </si>
  <si>
    <t>Carlisle Companies Incorporated Common Stock</t>
  </si>
  <si>
    <t>CSL</t>
  </si>
  <si>
    <t>Credit Suisse Group American Depositary Shares</t>
  </si>
  <si>
    <t>CS</t>
  </si>
  <si>
    <t>Cross Timbers Royalty Trust Common Stock</t>
  </si>
  <si>
    <t>CRT</t>
  </si>
  <si>
    <t>Carpenter Technology Corporation Common Stock</t>
  </si>
  <si>
    <t>CRS</t>
  </si>
  <si>
    <t>Salesforce Inc. Common Stock</t>
  </si>
  <si>
    <t>CRM</t>
  </si>
  <si>
    <t>Charles River Laboratories International Inc. Common Stock</t>
  </si>
  <si>
    <t>CRL</t>
  </si>
  <si>
    <t>Comstock Resources Inc. Common Stock</t>
  </si>
  <si>
    <t>CRK</t>
  </si>
  <si>
    <t>Carter's Inc. Common Stock</t>
  </si>
  <si>
    <t>CRI</t>
  </si>
  <si>
    <t>CRH PLC American Depositary Shares</t>
  </si>
  <si>
    <t>CRH</t>
  </si>
  <si>
    <t>Crane Holdings Co. Common Stock</t>
  </si>
  <si>
    <t>CR</t>
  </si>
  <si>
    <t>Camden Property Trust Common Stock</t>
  </si>
  <si>
    <t>CPT</t>
  </si>
  <si>
    <t>Cooper-Standard Holdings Inc. Common Stock</t>
  </si>
  <si>
    <t>CPS</t>
  </si>
  <si>
    <t>Capri Holdings Limited Ordinary Shares</t>
  </si>
  <si>
    <t>CPRI</t>
  </si>
  <si>
    <t>Chesapeake Utilities Corporation Common Stock</t>
  </si>
  <si>
    <t>CPK</t>
  </si>
  <si>
    <t>Crescent Point Energy Corporation Ordinary Shares (Canada)</t>
  </si>
  <si>
    <t>CPG</t>
  </si>
  <si>
    <t>Central Pacific Financial Corp New</t>
  </si>
  <si>
    <t>CPF</t>
  </si>
  <si>
    <t>Callon Petroleum Company Common Stock</t>
  </si>
  <si>
    <t>CPE</t>
  </si>
  <si>
    <t>Campbell Soup Company Common Stock</t>
  </si>
  <si>
    <t>CPB</t>
  </si>
  <si>
    <t>Canadian Pacific Railway Limited Common Stock</t>
  </si>
  <si>
    <t>CP</t>
  </si>
  <si>
    <t>Coty Inc. Class A Common Stock</t>
  </si>
  <si>
    <t>COTY</t>
  </si>
  <si>
    <t>ConocoPhillips Common Stock</t>
  </si>
  <si>
    <t>COP</t>
  </si>
  <si>
    <t>Ophthalmic Goods</t>
  </si>
  <si>
    <t>The Cooper Companies Inc. Common Stock</t>
  </si>
  <si>
    <t>COO</t>
  </si>
  <si>
    <t>Americold Realty Trust Inc. Common Stock</t>
  </si>
  <si>
    <t>COLD</t>
  </si>
  <si>
    <t>Capital One Financial Corporation Common Stock</t>
  </si>
  <si>
    <t>COF</t>
  </si>
  <si>
    <t>D/B/A Compass Diversified Holdings Shares of Beneficial Interest</t>
  </si>
  <si>
    <t>CODI</t>
  </si>
  <si>
    <t>CNX Resources Corporation Common Stock</t>
  </si>
  <si>
    <t>CNX</t>
  </si>
  <si>
    <t>Cohen &amp; Steers Inc Common Stock</t>
  </si>
  <si>
    <t>CNS</t>
  </si>
  <si>
    <t>Canadian Natural Resources Limited Common Stock</t>
  </si>
  <si>
    <t>CNQ</t>
  </si>
  <si>
    <t>CenterPoint Energy Inc (Holding Co) Common Stock</t>
  </si>
  <si>
    <t>CNP</t>
  </si>
  <si>
    <t>CNO Financial Group Inc. Common Stock</t>
  </si>
  <si>
    <t>CNO</t>
  </si>
  <si>
    <t>CONMED Corporation Common Stock</t>
  </si>
  <si>
    <t>CNMD</t>
  </si>
  <si>
    <t>Cinemark Holdings Inc Cinemark Holdings Inc. Common Stock</t>
  </si>
  <si>
    <t>CNK</t>
  </si>
  <si>
    <t>Canadian National Railway Company Common Stock</t>
  </si>
  <si>
    <t>CNI</t>
  </si>
  <si>
    <t>Centene Corporation Common Stock</t>
  </si>
  <si>
    <t>CNC</t>
  </si>
  <si>
    <t>CNA Financial Corporation Common Stock</t>
  </si>
  <si>
    <t>CNA</t>
  </si>
  <si>
    <t>CMU</t>
  </si>
  <si>
    <t>CMS Energy Corporation Common Stock</t>
  </si>
  <si>
    <t>CMS</t>
  </si>
  <si>
    <t>Costamare Inc. Common Stock $0.0001 par value</t>
  </si>
  <si>
    <t>CMRE</t>
  </si>
  <si>
    <t>Compass Minerals Intl Inc Common Stock</t>
  </si>
  <si>
    <t>CMP</t>
  </si>
  <si>
    <t>Cummins Inc. Common Stock</t>
  </si>
  <si>
    <t>CMI</t>
  </si>
  <si>
    <t>Chipotle Mexican Grill Inc. Common Stock</t>
  </si>
  <si>
    <t>CMG</t>
  </si>
  <si>
    <t>Commercial Metals Company Common Stock</t>
  </si>
  <si>
    <t>CMC</t>
  </si>
  <si>
    <t>Comerica Incorporated Common Stock</t>
  </si>
  <si>
    <t>CMA</t>
  </si>
  <si>
    <t>Canadian Imperial Bank of Commerce Common Stock</t>
  </si>
  <si>
    <t>CM</t>
  </si>
  <si>
    <t>Clorox Company (The) Common Stock</t>
  </si>
  <si>
    <t>CLX</t>
  </si>
  <si>
    <t>Clearwater Paper Corporation Common Stock</t>
  </si>
  <si>
    <t>CLW</t>
  </si>
  <si>
    <t>Celestica Inc. Common Stock</t>
  </si>
  <si>
    <t>CLS</t>
  </si>
  <si>
    <t>Clipper Realty Inc. Common Stock</t>
  </si>
  <si>
    <t>CLPR</t>
  </si>
  <si>
    <t>Clean Harbors Inc. Common Stock</t>
  </si>
  <si>
    <t>CLH</t>
  </si>
  <si>
    <t>Cleveland-Cliffs Inc. Common Stock</t>
  </si>
  <si>
    <t>CLF</t>
  </si>
  <si>
    <t>Chatham Lodging Trust (REIT) Common Shares of Beneficial Interest</t>
  </si>
  <si>
    <t>CLDT</t>
  </si>
  <si>
    <t>Core Laboratories N.V. Common Stock</t>
  </si>
  <si>
    <t>CLB</t>
  </si>
  <si>
    <t>Colgate-Palmolive Company Common Stock</t>
  </si>
  <si>
    <t>CL</t>
  </si>
  <si>
    <t>Civitas Resources Inc. Common Stock</t>
  </si>
  <si>
    <t>CIVI</t>
  </si>
  <si>
    <t>CIRCOR International Inc. Common Stock</t>
  </si>
  <si>
    <t>CIR</t>
  </si>
  <si>
    <t>Chimera Investment Corporation Common Stock</t>
  </si>
  <si>
    <t>CIM</t>
  </si>
  <si>
    <t>Blackrock Capital and Income Fund Inc.</t>
  </si>
  <si>
    <t>CII</t>
  </si>
  <si>
    <t>Ciena Corporation Common Stock</t>
  </si>
  <si>
    <t>CIEN</t>
  </si>
  <si>
    <t>Citizens Inc. Class A Common Stock ($1.00 Par)</t>
  </si>
  <si>
    <t>CIA</t>
  </si>
  <si>
    <t>Cigna Corporation Common Stock</t>
  </si>
  <si>
    <t>CI</t>
  </si>
  <si>
    <t>Chunghwa Telecom Co. Ltd.</t>
  </si>
  <si>
    <t>CHT</t>
  </si>
  <si>
    <t>Chico's FAS Inc. Common Stock</t>
  </si>
  <si>
    <t>CHS</t>
  </si>
  <si>
    <t>ChargePoint Holdings Inc. Common Stock</t>
  </si>
  <si>
    <t>CHPT</t>
  </si>
  <si>
    <t>China Fund Inc. (The) Common Stock</t>
  </si>
  <si>
    <t>CHN</t>
  </si>
  <si>
    <t>Choice Hotels International Inc. Common Stock</t>
  </si>
  <si>
    <t>CHH</t>
  </si>
  <si>
    <t>Chemed Corp</t>
  </si>
  <si>
    <t>CHE</t>
  </si>
  <si>
    <t>Church &amp; Dwight Company Inc. Common Stock</t>
  </si>
  <si>
    <t>CHD</t>
  </si>
  <si>
    <t>Community Healthcare Trust Incorporated Common Stock</t>
  </si>
  <si>
    <t>CHCT</t>
  </si>
  <si>
    <t>Cullen/Frost Bankers Inc. Common Stock</t>
  </si>
  <si>
    <t>CFR</t>
  </si>
  <si>
    <t>Citizens Financial Group Inc. Common Stock</t>
  </si>
  <si>
    <t>CFG</t>
  </si>
  <si>
    <t>CF Industries Holdings Inc. Common Stock</t>
  </si>
  <si>
    <t>CF</t>
  </si>
  <si>
    <t>Crestwood Equity Partners LP</t>
  </si>
  <si>
    <t>CEQP</t>
  </si>
  <si>
    <t>Center Coast Brookfield MLP &amp; Energy Infrastructure Fund</t>
  </si>
  <si>
    <t>CEN</t>
  </si>
  <si>
    <t>ClearBridge MLP and Midstream Fund Inc. Common Stock</t>
  </si>
  <si>
    <t>CEM</t>
  </si>
  <si>
    <t>The Central and Eastern Europe Fund Inc. (The) Common Stock</t>
  </si>
  <si>
    <t>CEE</t>
  </si>
  <si>
    <t>Celanese Corporation Celanese Corporation Common Stock</t>
  </si>
  <si>
    <t>CE</t>
  </si>
  <si>
    <t>Coeur Mining Inc. Common Stock</t>
  </si>
  <si>
    <t>CDE</t>
  </si>
  <si>
    <t>Ceridian HCM Holding Inc. Common Stock</t>
  </si>
  <si>
    <t>CDAY</t>
  </si>
  <si>
    <t>Century Communities Inc. Common Stock</t>
  </si>
  <si>
    <t>CCS</t>
  </si>
  <si>
    <t>CoreCard Corporation Common Stock</t>
  </si>
  <si>
    <t>CCRD</t>
  </si>
  <si>
    <t>Clear Channel Outdoor Holdings Inc. Common Stock</t>
  </si>
  <si>
    <t>CCO</t>
  </si>
  <si>
    <t>Carnival Corporation Common Stock</t>
  </si>
  <si>
    <t>CCL</t>
  </si>
  <si>
    <t>Crown Holdings Inc.</t>
  </si>
  <si>
    <t>CCK</t>
  </si>
  <si>
    <t>Cameco Corporation Common Stock</t>
  </si>
  <si>
    <t>CCJ</t>
  </si>
  <si>
    <t>Crown Castle Inc. Common Stock</t>
  </si>
  <si>
    <t>CCI</t>
  </si>
  <si>
    <t>Chemours Company (The) Common Stock</t>
  </si>
  <si>
    <t>CC</t>
  </si>
  <si>
    <t>CBIZ Inc. Common Stock</t>
  </si>
  <si>
    <t>CBZ</t>
  </si>
  <si>
    <t>Community Bank System Inc. Common Stock</t>
  </si>
  <si>
    <t>CBU</t>
  </si>
  <si>
    <t>Cabot Corporation Common Stock</t>
  </si>
  <si>
    <t>CBT</t>
  </si>
  <si>
    <t>CBRE Group Inc Common Stock Class A</t>
  </si>
  <si>
    <t>CBRE</t>
  </si>
  <si>
    <t>CBL &amp; Associates Properties Inc. Common Stock</t>
  </si>
  <si>
    <t>CBL</t>
  </si>
  <si>
    <t>Virtus Convertible &amp; Income 2024 Target Term Fund Common Shares of Beneficial Interest</t>
  </si>
  <si>
    <t>CBH</t>
  </si>
  <si>
    <t>Chubb Limited  Common Stock</t>
  </si>
  <si>
    <t>CB</t>
  </si>
  <si>
    <t>Cato Corporation (The) Class A Common Stock</t>
  </si>
  <si>
    <t>CATO</t>
  </si>
  <si>
    <t>Caterpillar Inc. Common Stock</t>
  </si>
  <si>
    <t>CAT</t>
  </si>
  <si>
    <t>CrossAmerica Partners LP Common Units representing limited partner interests</t>
  </si>
  <si>
    <t>CAPL</t>
  </si>
  <si>
    <t>Calix Inc Common Stock</t>
  </si>
  <si>
    <t>CALX</t>
  </si>
  <si>
    <t>Caleres Inc. Common Stock</t>
  </si>
  <si>
    <t>CAL</t>
  </si>
  <si>
    <t>Canon Inc. American Depositary Shares</t>
  </si>
  <si>
    <t>CAJ</t>
  </si>
  <si>
    <t>Cardinal Health Inc. Common Stock</t>
  </si>
  <si>
    <t>CAH</t>
  </si>
  <si>
    <t>ConAgra Brands Inc. Common Stock</t>
  </si>
  <si>
    <t>CAG</t>
  </si>
  <si>
    <t>Morgan Stanley China A Share Fund Inc. Common Stock</t>
  </si>
  <si>
    <t>CAF</t>
  </si>
  <si>
    <t>CAE Inc. Ordinary Shares</t>
  </si>
  <si>
    <t>CAE</t>
  </si>
  <si>
    <t>Cadence Bank Common Stock</t>
  </si>
  <si>
    <t>CADE</t>
  </si>
  <si>
    <t>CACI International Inc. Class A Common Stock</t>
  </si>
  <si>
    <t>CACI</t>
  </si>
  <si>
    <t>Cable One Inc. Common Stock</t>
  </si>
  <si>
    <t>CABO</t>
  </si>
  <si>
    <t>Citigroup Inc. Common Stock</t>
  </si>
  <si>
    <t>C</t>
  </si>
  <si>
    <t>Beazer Homes USA Inc. Common Stock</t>
  </si>
  <si>
    <t>BZH</t>
  </si>
  <si>
    <t>Blackrock Municipal Income Quality Trust Common Shares of Beneficial Interest</t>
  </si>
  <si>
    <t>BYM</t>
  </si>
  <si>
    <t>Boyd Gaming Corporation Common Stock</t>
  </si>
  <si>
    <t>BYD</t>
  </si>
  <si>
    <t>Byline Bancorp Inc. Common Stock</t>
  </si>
  <si>
    <t>BY</t>
  </si>
  <si>
    <t>Boston Properties Inc. Common Stock</t>
  </si>
  <si>
    <t>BXP</t>
  </si>
  <si>
    <t>Nuveen S&amp;P 500 Buy-Write Income Fund Common Shares of Beneficial Interest</t>
  </si>
  <si>
    <t>BXMX</t>
  </si>
  <si>
    <t>Blackstone Mortgage Trust Inc. Common Stock</t>
  </si>
  <si>
    <t>BXMT</t>
  </si>
  <si>
    <t>Bluelinx Holdings Inc. Common Stock</t>
  </si>
  <si>
    <t>BXC</t>
  </si>
  <si>
    <t>Blackstone Inc. Common Stock</t>
  </si>
  <si>
    <t>BX</t>
  </si>
  <si>
    <t>BWX Technologies Inc. Common Stock</t>
  </si>
  <si>
    <t>BWXT</t>
  </si>
  <si>
    <t>BrandywineGLOBAL Global Income Opportunities Fund Inc.</t>
  </si>
  <si>
    <t>BWG</t>
  </si>
  <si>
    <t>BorgWarner Inc. Common Stock</t>
  </si>
  <si>
    <t>BWA</t>
  </si>
  <si>
    <t>Babcock &amp; Wilcox Enterprises Inc. Common Stock</t>
  </si>
  <si>
    <t>BW</t>
  </si>
  <si>
    <t>Bluegreen Vacations Holding Corporation Class A Common Stock</t>
  </si>
  <si>
    <t>BVH</t>
  </si>
  <si>
    <t>BrightView Holdings Inc. Common Stock</t>
  </si>
  <si>
    <t>BV</t>
  </si>
  <si>
    <t>BlackRock Utility Infrastructure &amp; Power Opportunities Trust</t>
  </si>
  <si>
    <t>BUI</t>
  </si>
  <si>
    <t>Belgium</t>
  </si>
  <si>
    <t>Anheuser-Busch Inbev SA Sponsored ADR (Belgium)</t>
  </si>
  <si>
    <t>BUD</t>
  </si>
  <si>
    <t>BlackRock Credit Allocation Income Trust</t>
  </si>
  <si>
    <t>BTZ</t>
  </si>
  <si>
    <t xml:space="preserve">Peabody Energy Corporation Common Stock </t>
  </si>
  <si>
    <t>BTU</t>
  </si>
  <si>
    <t>BlackRock Municipal 2030 Target Term Trust</t>
  </si>
  <si>
    <t>BTT</t>
  </si>
  <si>
    <t>John Hancock Financial Opportunities Fund Common Stock</t>
  </si>
  <si>
    <t>BTO</t>
  </si>
  <si>
    <t>British American Tobacco  Industries p.l.c. Common Stock ADR</t>
  </si>
  <si>
    <t>BTI</t>
  </si>
  <si>
    <t>BlackRock Long-Term Municipal Advantage Trust BlackRock Long-Term Municipal Advantage Trust Common Shares of Beneficial Interest</t>
  </si>
  <si>
    <t>BTA</t>
  </si>
  <si>
    <t>Boston Scientific Corporation Common Stock</t>
  </si>
  <si>
    <t>BSX</t>
  </si>
  <si>
    <t>BlackRock Science and Technology Trust Common Shares of Beneficial Interest</t>
  </si>
  <si>
    <t>BST</t>
  </si>
  <si>
    <t>Banco Santander Mexico S.A. Institucion de Banca Multiple Grupo Financiero Santander Mexico</t>
  </si>
  <si>
    <t>BSMX</t>
  </si>
  <si>
    <t>Black Stone Minerals L.P. Common units representing limited partner interests</t>
  </si>
  <si>
    <t>BSM</t>
  </si>
  <si>
    <t>Blackstone Senior Floating Rate Term Fund Common Shares of Beneficial Interest</t>
  </si>
  <si>
    <t>BSL</t>
  </si>
  <si>
    <t>BrightSphere Investment Group Inc. Common Stock</t>
  </si>
  <si>
    <t>BSIG</t>
  </si>
  <si>
    <t>Saba Capital Income &amp; Opportunities Fund SBI</t>
  </si>
  <si>
    <t>BRW</t>
  </si>
  <si>
    <t>BRT Apartments Corp. (MD) Common Stock</t>
  </si>
  <si>
    <t>BRT</t>
  </si>
  <si>
    <t>Brown &amp; Brown Inc. Common Stock</t>
  </si>
  <si>
    <t>BRO</t>
  </si>
  <si>
    <t>Broadmark Realty Capital Inc. Common Stock</t>
  </si>
  <si>
    <t>BRMK</t>
  </si>
  <si>
    <t>Berkshire Hathaway Inc.</t>
  </si>
  <si>
    <t>BRK/B</t>
  </si>
  <si>
    <t>BRK/A</t>
  </si>
  <si>
    <t>Brady Corporation Common Stock</t>
  </si>
  <si>
    <t>BRC</t>
  </si>
  <si>
    <t xml:space="preserve">BellRing Brands Inc. Common Stock </t>
  </si>
  <si>
    <t>BRBR</t>
  </si>
  <si>
    <t>Broadridge Financial Solutions Inc. Common Stock</t>
  </si>
  <si>
    <t>BR</t>
  </si>
  <si>
    <t>BP Prudhoe Bay Royalty Trust Common Stock</t>
  </si>
  <si>
    <t>BPT</t>
  </si>
  <si>
    <t>BP p.l.c. Common Stock</t>
  </si>
  <si>
    <t>BP</t>
  </si>
  <si>
    <t>Box Inc. Class A Common Stock</t>
  </si>
  <si>
    <t>BOX</t>
  </si>
  <si>
    <t>Bowlero Corp. Class A Common Stock</t>
  </si>
  <si>
    <t>BOWL</t>
  </si>
  <si>
    <t>Boot Barn Holdings Inc. Common Stock</t>
  </si>
  <si>
    <t>BOOT</t>
  </si>
  <si>
    <t>Bank of Hawaii Corporation Common Stock</t>
  </si>
  <si>
    <t>BOH</t>
  </si>
  <si>
    <t>Blackrock Enhanced Global Dividend Trust Common Shares of Beneficial Interest</t>
  </si>
  <si>
    <t>BOE</t>
  </si>
  <si>
    <t>The Beachbody Company Inc. Class A Common Stock</t>
  </si>
  <si>
    <t>BODY</t>
  </si>
  <si>
    <t>Boston Omaha Corporation Class A Common Stock</t>
  </si>
  <si>
    <t>BOC</t>
  </si>
  <si>
    <t>Bluescape Opportunities Acquisition Corp. Class A Ordinary Shares</t>
  </si>
  <si>
    <t>BOAC</t>
  </si>
  <si>
    <t>BlackRock New York Municipal Income Trust</t>
  </si>
  <si>
    <t>BNY</t>
  </si>
  <si>
    <t>Bank Nova Scotia Halifax Pfd 3 Ordinary Shares</t>
  </si>
  <si>
    <t>BNS</t>
  </si>
  <si>
    <t>Broadstone Net Lease Inc. Common Stock</t>
  </si>
  <si>
    <t>BNL</t>
  </si>
  <si>
    <t>Barnes &amp; Noble Education Inc Common Stock</t>
  </si>
  <si>
    <t>BNED</t>
  </si>
  <si>
    <t>Brookfield Corporation Class A Limited Voting Shares</t>
  </si>
  <si>
    <t>BN</t>
  </si>
  <si>
    <t>Bristol-Myers Squibb Company Common Stock</t>
  </si>
  <si>
    <t>BMY</t>
  </si>
  <si>
    <t>Bank Of Montreal Common Stock</t>
  </si>
  <si>
    <t>BMO</t>
  </si>
  <si>
    <t>Badger Meter Inc. Common Stock</t>
  </si>
  <si>
    <t>BMI</t>
  </si>
  <si>
    <t>Blackrock Health Sciences Trust</t>
  </si>
  <si>
    <t>BME</t>
  </si>
  <si>
    <t>Blackrock Limited Duration Income Trust</t>
  </si>
  <si>
    <t>BLW</t>
  </si>
  <si>
    <t>BlackRock Inc. Common Stock</t>
  </si>
  <si>
    <t>BLK</t>
  </si>
  <si>
    <t>BlackRock Municipal Income Trust II</t>
  </si>
  <si>
    <t>BLE</t>
  </si>
  <si>
    <t>Builders FirstSource Inc. Common Stock</t>
  </si>
  <si>
    <t>BLDR</t>
  </si>
  <si>
    <t>TopBuild Corp. Common Stock</t>
  </si>
  <si>
    <t>BLD</t>
  </si>
  <si>
    <t>BankUnited Inc. Common Stock</t>
  </si>
  <si>
    <t>BKU</t>
  </si>
  <si>
    <t>BlackRock Income Trust Inc. (The)</t>
  </si>
  <si>
    <t>BKT</t>
  </si>
  <si>
    <t>BlackRock Investment Quality Municipal Trust Inc. (The)</t>
  </si>
  <si>
    <t>BKN</t>
  </si>
  <si>
    <t>Bakkt Holdings Inc. Class A Common Stock</t>
  </si>
  <si>
    <t>BKKT</t>
  </si>
  <si>
    <t>Black Hills Corporation Common Stock</t>
  </si>
  <si>
    <t>BKH</t>
  </si>
  <si>
    <t>Buckle Inc. (The) Common Stock</t>
  </si>
  <si>
    <t>Brookdale Senior Living Inc. Common Stock</t>
  </si>
  <si>
    <t>BKD</t>
  </si>
  <si>
    <t>The Bank of New York Mellon Corporation Common Stock</t>
  </si>
  <si>
    <t>BK</t>
  </si>
  <si>
    <t>BJ's Wholesale Club Holdings Inc. Common Stock</t>
  </si>
  <si>
    <t>BJ</t>
  </si>
  <si>
    <t>Bio-Rad Laboratories Inc. Class A Common Stock</t>
  </si>
  <si>
    <t>BIO</t>
  </si>
  <si>
    <t>Big Lots Inc. Common Stock</t>
  </si>
  <si>
    <t>BIG</t>
  </si>
  <si>
    <t>Braemar Hotels &amp; Resorts Inc. Common Stock</t>
  </si>
  <si>
    <t>BHR</t>
  </si>
  <si>
    <t>BHP Group Limited American Depositary Shares (Each representing two Ordinary Shares)</t>
  </si>
  <si>
    <t>BHP</t>
  </si>
  <si>
    <t>Berkshire Hills Bancorp Inc. Common Stock</t>
  </si>
  <si>
    <t>BHLB</t>
  </si>
  <si>
    <t>Blackrock Core Bond Trust Blackrock Core Bond Trust</t>
  </si>
  <si>
    <t>BHK</t>
  </si>
  <si>
    <t>Benchmark Electronics Inc. Common Stock</t>
  </si>
  <si>
    <t>BHE</t>
  </si>
  <si>
    <t>Pharmaceuticals and Biotechnology</t>
  </si>
  <si>
    <t>Bausch Health Companies Inc. Common Stock</t>
  </si>
  <si>
    <t>BHC</t>
  </si>
  <si>
    <t>Biglari Holdings Inc. Class B Common Stock</t>
  </si>
  <si>
    <t>BH</t>
  </si>
  <si>
    <t>Blackrock Enhanced International Dividend Trust</t>
  </si>
  <si>
    <t>BGY</t>
  </si>
  <si>
    <t>BlackRock Floating Rate Income Trust</t>
  </si>
  <si>
    <t>BGT</t>
  </si>
  <si>
    <t>BGSF Inc. Common Stock</t>
  </si>
  <si>
    <t>BGSF</t>
  </si>
  <si>
    <t>B&amp;G Foods Inc. B&amp;G Foods Inc. Common Stock</t>
  </si>
  <si>
    <t>BGS</t>
  </si>
  <si>
    <t>BlackRock Energy and Resources Trust</t>
  </si>
  <si>
    <t>BGR</t>
  </si>
  <si>
    <t>Barings Global Short Duration High Yield Fund Common Shares of Beneficial Interests</t>
  </si>
  <si>
    <t>BGH</t>
  </si>
  <si>
    <t>Bunge Limited Bunge Limited</t>
  </si>
  <si>
    <t>BG</t>
  </si>
  <si>
    <t>BlackRock California Municipal Income Trust</t>
  </si>
  <si>
    <t>BFZ</t>
  </si>
  <si>
    <t>Saul Centers Inc. Common Stock</t>
  </si>
  <si>
    <t>BFS</t>
  </si>
  <si>
    <t>BlackRock Municipal Income Trust</t>
  </si>
  <si>
    <t>BFK</t>
  </si>
  <si>
    <t>Bread Financial Holdings Inc. Common Stock</t>
  </si>
  <si>
    <t>BFH</t>
  </si>
  <si>
    <t>Bright Horizons Family Solutions Inc. Common Stock</t>
  </si>
  <si>
    <t>BFAM</t>
  </si>
  <si>
    <t>Berry Global Group Inc. Common Stock</t>
  </si>
  <si>
    <t>BERY</t>
  </si>
  <si>
    <t xml:space="preserve">Brookfield Renewable Partners L.P. </t>
  </si>
  <si>
    <t>BEP</t>
  </si>
  <si>
    <t>Franklin Resources Inc. Common Stock</t>
  </si>
  <si>
    <t>BEN</t>
  </si>
  <si>
    <t>Becton Dickinson and Company Common Stock</t>
  </si>
  <si>
    <t>BDX</t>
  </si>
  <si>
    <t>Brandywine Realty Trust Common Stock</t>
  </si>
  <si>
    <t>BDN</t>
  </si>
  <si>
    <t>Blackrock Enhanced Equity Dividend Trust</t>
  </si>
  <si>
    <t>BDJ</t>
  </si>
  <si>
    <t>Belden Inc Common Stock</t>
  </si>
  <si>
    <t>BDC</t>
  </si>
  <si>
    <t>BlackRock Resources Common Shares of Beneficial Interest</t>
  </si>
  <si>
    <t>BCX</t>
  </si>
  <si>
    <t>Bain Capital Specialty Finance Inc. Common Stock</t>
  </si>
  <si>
    <t>BCSF</t>
  </si>
  <si>
    <t>Barclays PLC Common Stock</t>
  </si>
  <si>
    <t>BCS</t>
  </si>
  <si>
    <t>Brinks Company (The) Common Stock</t>
  </si>
  <si>
    <t>BCO</t>
  </si>
  <si>
    <t>BCE Inc. Common Stock</t>
  </si>
  <si>
    <t>BCE</t>
  </si>
  <si>
    <t>Boise Cascade L.L.C. Common Stock</t>
  </si>
  <si>
    <t>BCC</t>
  </si>
  <si>
    <t>BlackRock Capital Allocation Trust Common Shares of Beneficial Interest</t>
  </si>
  <si>
    <t>BCAT</t>
  </si>
  <si>
    <t>Brunswick Corporation Common Stock</t>
  </si>
  <si>
    <t>BC</t>
  </si>
  <si>
    <t>Consumer Electronics/Video Chains</t>
  </si>
  <si>
    <t>Best Buy Co. Inc. Common Stock</t>
  </si>
  <si>
    <t>BBY</t>
  </si>
  <si>
    <t>Bath &amp; Body Works Inc.</t>
  </si>
  <si>
    <t>BBWI</t>
  </si>
  <si>
    <t>Build-A-Bear Workshop Inc. Common Stock</t>
  </si>
  <si>
    <t>BBW</t>
  </si>
  <si>
    <t>Banco Bilbao Vizcaya Argentaria S.A. Common Stock</t>
  </si>
  <si>
    <t>BBVA</t>
  </si>
  <si>
    <t>BlackRock Taxable Municipal Bond Trust Common Shares of Beneficial Interest</t>
  </si>
  <si>
    <t>BBN</t>
  </si>
  <si>
    <t>Babylon Holdings Limited Class A Ordinary Shares</t>
  </si>
  <si>
    <t>BBLN</t>
  </si>
  <si>
    <t>Barings BDC Inc. Common Stock</t>
  </si>
  <si>
    <t>BBDC</t>
  </si>
  <si>
    <t>BlackBerry Limited Common Stock</t>
  </si>
  <si>
    <t>BB</t>
  </si>
  <si>
    <t>Baxter International Inc. Common Stock</t>
  </si>
  <si>
    <t>BAX</t>
  </si>
  <si>
    <t>Banc of California Inc. Common Stock</t>
  </si>
  <si>
    <t>BANC</t>
  </si>
  <si>
    <t>Brookfield Asset Management Inc Class A Limited Voting Shares</t>
  </si>
  <si>
    <t>BAM</t>
  </si>
  <si>
    <t>Ball Corporation Common Stock</t>
  </si>
  <si>
    <t>BALL</t>
  </si>
  <si>
    <t>Booz Allen Hamilton Holding Corporation Common Stock</t>
  </si>
  <si>
    <t>BAH</t>
  </si>
  <si>
    <t>Bank of America Corporation Common Stock</t>
  </si>
  <si>
    <t>BAC</t>
  </si>
  <si>
    <t>Boeing Company (The) Common Stock</t>
  </si>
  <si>
    <t>BA</t>
  </si>
  <si>
    <t>Barnes Group Inc. Common Stock</t>
  </si>
  <si>
    <t>B</t>
  </si>
  <si>
    <t>AZZ Inc.</t>
  </si>
  <si>
    <t>AZZ</t>
  </si>
  <si>
    <t>Azure Power Global Limited Equity Shares</t>
  </si>
  <si>
    <t>AZRE</t>
  </si>
  <si>
    <t>AutoZone Inc. Common Stock</t>
  </si>
  <si>
    <t>AZO</t>
  </si>
  <si>
    <t>The AZEK Company Inc. Class A Common Stock</t>
  </si>
  <si>
    <t>AZEK</t>
  </si>
  <si>
    <t>Alteryx Inc. Class A Common Stock</t>
  </si>
  <si>
    <t>AYX</t>
  </si>
  <si>
    <t xml:space="preserve">Acuity Brands Inc. </t>
  </si>
  <si>
    <t>AYI</t>
  </si>
  <si>
    <t>Axalta Coating Systems Ltd. Common Shares</t>
  </si>
  <si>
    <t>AXTA</t>
  </si>
  <si>
    <t>AMREP Corporation Common Stock</t>
  </si>
  <si>
    <t>AXR</t>
  </si>
  <si>
    <t>American Express Company Common Stock</t>
  </si>
  <si>
    <t>AXP</t>
  </si>
  <si>
    <t>American Axle &amp; Manufacturing Holdings Inc. Common Stock</t>
  </si>
  <si>
    <t>AXL</t>
  </si>
  <si>
    <t>Axos Financial Inc. Common Stock</t>
  </si>
  <si>
    <t>AX</t>
  </si>
  <si>
    <t>American States Water Company Common Stock</t>
  </si>
  <si>
    <t>AWR</t>
  </si>
  <si>
    <t>abrdn Global Premier Properties Fund Common Shares of Beneficial Interest</t>
  </si>
  <si>
    <t>AWP</t>
  </si>
  <si>
    <t>American Water Works Company Inc. Common Stock</t>
  </si>
  <si>
    <t>AWK</t>
  </si>
  <si>
    <t>Armstrong World Industries Inc Common Stock</t>
  </si>
  <si>
    <t>AWI</t>
  </si>
  <si>
    <t>Alliancebernstein Global High Income Fund</t>
  </si>
  <si>
    <t>AWF</t>
  </si>
  <si>
    <t>Avery Dennison Corporation Common Stock</t>
  </si>
  <si>
    <t>AVY</t>
  </si>
  <si>
    <t>Avient Corporation Common Stock</t>
  </si>
  <si>
    <t>AVNT</t>
  </si>
  <si>
    <t>Avanos Medical Inc. Common Stock</t>
  </si>
  <si>
    <t>AVNS</t>
  </si>
  <si>
    <t>Advent Convertible and Income Fund</t>
  </si>
  <si>
    <t>AVK</t>
  </si>
  <si>
    <t>American Vanguard Corporation Common Stock ($0.10 Par Value)</t>
  </si>
  <si>
    <t>AVD</t>
  </si>
  <si>
    <t>AvalonBay Communities Inc. Common Stock</t>
  </si>
  <si>
    <t>AVB</t>
  </si>
  <si>
    <t>Avista Corporation Common Stock</t>
  </si>
  <si>
    <t>AVA</t>
  </si>
  <si>
    <t>Yamana Gold Inc. Ordinary Shares (Canada)</t>
  </si>
  <si>
    <t>AUY</t>
  </si>
  <si>
    <t>Atlantic Union Bankshares Corporation Common Stock</t>
  </si>
  <si>
    <t>AUB</t>
  </si>
  <si>
    <t>Altice USA Inc. Class A Common Stock</t>
  </si>
  <si>
    <t>ATUS</t>
  </si>
  <si>
    <t>AptarGroup Inc. Common Stock</t>
  </si>
  <si>
    <t>ATR</t>
  </si>
  <si>
    <t>Atmos Energy Corporation Common Stock</t>
  </si>
  <si>
    <t>ATO</t>
  </si>
  <si>
    <t>Atkore Inc. Common Stock</t>
  </si>
  <si>
    <t>ATI Inc. Common Stock</t>
  </si>
  <si>
    <t>ATI</t>
  </si>
  <si>
    <t>Adtalem Global Education Inc. Common Stock</t>
  </si>
  <si>
    <t>ATGE</t>
  </si>
  <si>
    <t>Atlas Corp. Common Shares</t>
  </si>
  <si>
    <t>ATCO</t>
  </si>
  <si>
    <t>Grupo Aeroportuario del Sureste S.A. de C.V. Common Stock</t>
  </si>
  <si>
    <t>ASR</t>
  </si>
  <si>
    <t>Aspen Aerogels Inc. Common Stock</t>
  </si>
  <si>
    <t>ASPN</t>
  </si>
  <si>
    <t xml:space="preserve">AdvanSix Inc. Common Stock </t>
  </si>
  <si>
    <t>ASIX</t>
  </si>
  <si>
    <t>Ashland Inc. Common Stock</t>
  </si>
  <si>
    <t>ASH</t>
  </si>
  <si>
    <t>ASGN Incorporated Common Stock</t>
  </si>
  <si>
    <t>ASGN</t>
  </si>
  <si>
    <t>Liberty All-Star Growth Fund Inc.</t>
  </si>
  <si>
    <t>ASG</t>
  </si>
  <si>
    <t>Associated Banc-Corp Common Stock</t>
  </si>
  <si>
    <t>ASB</t>
  </si>
  <si>
    <t>ASA  Gold and Precious Metals Limited</t>
  </si>
  <si>
    <t>ASA</t>
  </si>
  <si>
    <t>Arrow Electronics Inc. Common Stock</t>
  </si>
  <si>
    <t>ARW</t>
  </si>
  <si>
    <t>ARMOUR Residential REIT Inc.</t>
  </si>
  <si>
    <t>ARR</t>
  </si>
  <si>
    <t>Archrock Inc. Common Stock</t>
  </si>
  <si>
    <t>AROC</t>
  </si>
  <si>
    <t>Arlo Technologies Inc. Common Stock</t>
  </si>
  <si>
    <t>ARLO</t>
  </si>
  <si>
    <t>American Realty Investors Inc. Common Stock</t>
  </si>
  <si>
    <t>ARL</t>
  </si>
  <si>
    <t>Apollo Commercial Real Estate Finance Inc</t>
  </si>
  <si>
    <t>ARI</t>
  </si>
  <si>
    <t>Alexandria Real Estate Equities Inc. Common Stock</t>
  </si>
  <si>
    <t>ARE</t>
  </si>
  <si>
    <t>Ares Dynamic Credit Allocation Fund Inc. Common Shares</t>
  </si>
  <si>
    <t>ARDC</t>
  </si>
  <si>
    <t>Arch Resources Inc. Class A Common Stock</t>
  </si>
  <si>
    <t>ARCH</t>
  </si>
  <si>
    <t>ARC Document Solutions Inc. Common Stock</t>
  </si>
  <si>
    <t>ARC</t>
  </si>
  <si>
    <t>Evoqua Water Technologies Corp. Common Stock</t>
  </si>
  <si>
    <t>AQUA</t>
  </si>
  <si>
    <t>Aptiv PLC Ordinary Shares</t>
  </si>
  <si>
    <t>APTV</t>
  </si>
  <si>
    <t>Apple Hospitality REIT Inc. Common Shares</t>
  </si>
  <si>
    <t>APLE</t>
  </si>
  <si>
    <t>Amphenol Corporation Common Stock</t>
  </si>
  <si>
    <t>APH</t>
  </si>
  <si>
    <t>Air Products and Chemicals Inc. Common Stock</t>
  </si>
  <si>
    <t>APD</t>
  </si>
  <si>
    <t>Artisan Partners Asset Management Inc. Class A Common Stock</t>
  </si>
  <si>
    <t>APAM</t>
  </si>
  <si>
    <t>Ampco-Pittsburgh Corporation Common Stock</t>
  </si>
  <si>
    <t>AP</t>
  </si>
  <si>
    <t>A.O. Smith Corporation Common Stock</t>
  </si>
  <si>
    <t>AOS</t>
  </si>
  <si>
    <t>Artivion Inc. Common Stock</t>
  </si>
  <si>
    <t>AORT</t>
  </si>
  <si>
    <t>Aon plc Class A Ordinary Shares (Ireland)</t>
  </si>
  <si>
    <t>AON</t>
  </si>
  <si>
    <t>abrdn Total Dynamic Dividend Fund Common Shares of Beneficial Interest</t>
  </si>
  <si>
    <t>AOD</t>
  </si>
  <si>
    <t>Annovis Bio Inc. Common Stock</t>
  </si>
  <si>
    <t>ANVS</t>
  </si>
  <si>
    <t>Abercrombie &amp; Fitch Company Common Stock</t>
  </si>
  <si>
    <t>ANF</t>
  </si>
  <si>
    <t>AutoNation Inc. Common Stock</t>
  </si>
  <si>
    <t>AN</t>
  </si>
  <si>
    <t>America Movil S.A.B. de C.V. American Depository Receipt Series L</t>
  </si>
  <si>
    <t>AMX</t>
  </si>
  <si>
    <t>American Well Corporation Class A Common Stock</t>
  </si>
  <si>
    <t>AMWL</t>
  </si>
  <si>
    <t>American Tower Corporation (REIT) Common Stock</t>
  </si>
  <si>
    <t>AMT</t>
  </si>
  <si>
    <t>Ameresco Inc. Class A Common Stock</t>
  </si>
  <si>
    <t>AMRC</t>
  </si>
  <si>
    <t>Alpha Metallurgical Resources Inc. Common Stock</t>
  </si>
  <si>
    <t>AMR</t>
  </si>
  <si>
    <t>Amplify Energy Corp. Common Stock</t>
  </si>
  <si>
    <t>AMPY</t>
  </si>
  <si>
    <t>Ameriprise Financial Inc. Common Stock</t>
  </si>
  <si>
    <t>AMP</t>
  </si>
  <si>
    <t>America Movil S.A.B. de C.V. Class A American Depositary Shares</t>
  </si>
  <si>
    <t>AMOV</t>
  </si>
  <si>
    <t>AMN Healthcare Services Inc AMN Healthcare Services Inc</t>
  </si>
  <si>
    <t>AssetMark Financial Holdings Inc. Common Stock</t>
  </si>
  <si>
    <t>AMK</t>
  </si>
  <si>
    <t>Affiliated Managers Group Inc. Common Stock</t>
  </si>
  <si>
    <t>AMG</t>
  </si>
  <si>
    <t>AMETEK Inc.</t>
  </si>
  <si>
    <t>AME</t>
  </si>
  <si>
    <t>Ambac Financial Group Inc. Common Stock</t>
  </si>
  <si>
    <t>AMBC</t>
  </si>
  <si>
    <t>Antero Midstream Corporation Common Stock</t>
  </si>
  <si>
    <t>AM</t>
  </si>
  <si>
    <t>Alexander's Inc. Common Stock</t>
  </si>
  <si>
    <t>ALX</t>
  </si>
  <si>
    <t>Sweden</t>
  </si>
  <si>
    <t>Autoliv Inc. Common Stock</t>
  </si>
  <si>
    <t>ALV</t>
  </si>
  <si>
    <t>Allison Transmission Holdings Inc. Common Stock</t>
  </si>
  <si>
    <t>ALSN</t>
  </si>
  <si>
    <t>Ally Financial Inc. Common Stock</t>
  </si>
  <si>
    <t>ALLY</t>
  </si>
  <si>
    <t>Allego N.V. Ordinary Share</t>
  </si>
  <si>
    <t>ALLG</t>
  </si>
  <si>
    <t>Allegion plc Ordinary Shares</t>
  </si>
  <si>
    <t>ALLE</t>
  </si>
  <si>
    <t>Allstate Corporation (The) Common Stock</t>
  </si>
  <si>
    <t>ALL</t>
  </si>
  <si>
    <t>Alaska Air Group Inc. Common Stock</t>
  </si>
  <si>
    <t>ALK</t>
  </si>
  <si>
    <t>Alamo Group Inc. Common Stock</t>
  </si>
  <si>
    <t>ALG</t>
  </si>
  <si>
    <t>Alexander &amp; Baldwin Inc. Common Stock REIT Holding Company</t>
  </si>
  <si>
    <t>ALEX</t>
  </si>
  <si>
    <t>Allete Inc.</t>
  </si>
  <si>
    <t>ALE</t>
  </si>
  <si>
    <t>Alcon Inc. Ordinary Shares</t>
  </si>
  <si>
    <t>ALC</t>
  </si>
  <si>
    <t>Albemarle Corporation Common Stock</t>
  </si>
  <si>
    <t>ALB</t>
  </si>
  <si>
    <t>Air Lease Corporation Class A Common Stock</t>
  </si>
  <si>
    <t>AL</t>
  </si>
  <si>
    <t>Acadia Realty Trust Common Stock</t>
  </si>
  <si>
    <t>AKR</t>
  </si>
  <si>
    <t>Great Ajax Corp. Common Stock</t>
  </si>
  <si>
    <t>AJX</t>
  </si>
  <si>
    <t>Aerojet Rocketdyne Holdings Inc. Common Stock</t>
  </si>
  <si>
    <t>AJRD</t>
  </si>
  <si>
    <t>Arthur J. Gallagher &amp; Co. Common Stock</t>
  </si>
  <si>
    <t>AJG</t>
  </si>
  <si>
    <t>Assurant Inc. Common Stock</t>
  </si>
  <si>
    <t>AIZ</t>
  </si>
  <si>
    <t>Apartment Investment and Management Company Common Stock</t>
  </si>
  <si>
    <t>AIV</t>
  </si>
  <si>
    <t>Applied Industrial Technologies Inc. Common Stock</t>
  </si>
  <si>
    <t>AIT</t>
  </si>
  <si>
    <t>AAR Corp. Common Stock</t>
  </si>
  <si>
    <t>AIR</t>
  </si>
  <si>
    <t>Albany International Corporation Common Stock</t>
  </si>
  <si>
    <t>AIN</t>
  </si>
  <si>
    <t>American International Group Inc. New Common Stock</t>
  </si>
  <si>
    <t>AIG</t>
  </si>
  <si>
    <t>Ashford Hospitality Trust Inc Common Stock</t>
  </si>
  <si>
    <t>AHT</t>
  </si>
  <si>
    <t>Armada Hoffler Properties Inc. Common Stock</t>
  </si>
  <si>
    <t>AHH</t>
  </si>
  <si>
    <t>Argan Inc. Common Stock</t>
  </si>
  <si>
    <t>PlayAGS Inc. Common Stock</t>
  </si>
  <si>
    <t>AGS</t>
  </si>
  <si>
    <t>Adecoagro S.A. Common Shares</t>
  </si>
  <si>
    <t>AGRO</t>
  </si>
  <si>
    <t>Avangrid Inc. Common Stock</t>
  </si>
  <si>
    <t>AGR</t>
  </si>
  <si>
    <t>Federal Agricultural Mortgage Corporation Common Stock</t>
  </si>
  <si>
    <t>AGM</t>
  </si>
  <si>
    <t>Alamos Gold Inc. Class A Common Shares</t>
  </si>
  <si>
    <t>AGI</t>
  </si>
  <si>
    <t>abrdn Global Dynamic Dividend Fund Common Shares of Beneficial Interest</t>
  </si>
  <si>
    <t>AGD</t>
  </si>
  <si>
    <t>AGCO Corporation Common Stock</t>
  </si>
  <si>
    <t>AGCO</t>
  </si>
  <si>
    <t>First Majestic Silver Corp. Ordinary Shares (Canada)</t>
  </si>
  <si>
    <t>AG</t>
  </si>
  <si>
    <t>AFLAC Incorporated Common Stock</t>
  </si>
  <si>
    <t>AFL</t>
  </si>
  <si>
    <t>American Financial Group Inc. Common Stock</t>
  </si>
  <si>
    <t>AFG</t>
  </si>
  <si>
    <t>AllianceBernstein National Municipal Income Fund Inc</t>
  </si>
  <si>
    <t>AFB</t>
  </si>
  <si>
    <t>The AES Corporation Common Stock</t>
  </si>
  <si>
    <t>AES</t>
  </si>
  <si>
    <t>AerCap Holdings N.V. Ordinary Shares</t>
  </si>
  <si>
    <t>AER</t>
  </si>
  <si>
    <t>American Eagle Outfitters Inc. Common Stock</t>
  </si>
  <si>
    <t>AEO</t>
  </si>
  <si>
    <t>Agnico Eagle Mines Limited Common Stock</t>
  </si>
  <si>
    <t>AEM</t>
  </si>
  <si>
    <t>American Equity Investment Life Holding Company Common Stock</t>
  </si>
  <si>
    <t>AEL</t>
  </si>
  <si>
    <t>AEGON N.V. Common Stock</t>
  </si>
  <si>
    <t>AEG</t>
  </si>
  <si>
    <t>Ameren Corporation Common Stock</t>
  </si>
  <si>
    <t>AEE</t>
  </si>
  <si>
    <t>Adams Diversified Equity Fund Inc.</t>
  </si>
  <si>
    <t>ADX</t>
  </si>
  <si>
    <t>ADT Inc. Common Stock</t>
  </si>
  <si>
    <t>ADT</t>
  </si>
  <si>
    <t>Archer-Daniels-Midland Company Common Stock</t>
  </si>
  <si>
    <t>ADM</t>
  </si>
  <si>
    <t>Agree Realty Corporation Common Stock</t>
  </si>
  <si>
    <t>ADC</t>
  </si>
  <si>
    <t>Virtus Diversified Income &amp; Convertible Fund Common Shares of Beneficial Interest</t>
  </si>
  <si>
    <t>ACV</t>
  </si>
  <si>
    <t>Ares Commercial Real Estate Corporation Common Stock</t>
  </si>
  <si>
    <t>ACRE</t>
  </si>
  <si>
    <t>ACRES Commercial Realty Corp. Common Stock</t>
  </si>
  <si>
    <t>ACR</t>
  </si>
  <si>
    <t>abrdn Income Credit Strategies Fund Common Shares</t>
  </si>
  <si>
    <t>ACP</t>
  </si>
  <si>
    <t>Accenture plc Class A Ordinary Shares (Ireland)</t>
  </si>
  <si>
    <t>ACN</t>
  </si>
  <si>
    <t>AECOM Common Stock</t>
  </si>
  <si>
    <t>ACM</t>
  </si>
  <si>
    <t>Albertsons Companies Inc. Class A Common Stock</t>
  </si>
  <si>
    <t>ACI</t>
  </si>
  <si>
    <t>Archer Aviation Inc. Class A Common Stock</t>
  </si>
  <si>
    <t>ACHR</t>
  </si>
  <si>
    <t xml:space="preserve">Accel Entertainment Inc. </t>
  </si>
  <si>
    <t>ACEL</t>
  </si>
  <si>
    <t>Acco Brands Corporation Common Stock</t>
  </si>
  <si>
    <t>ACCO</t>
  </si>
  <si>
    <t>Associated Capital Group Inc. Common Stock</t>
  </si>
  <si>
    <t>AC</t>
  </si>
  <si>
    <t>Abbott Laboratories Common Stock</t>
  </si>
  <si>
    <t>ABT</t>
  </si>
  <si>
    <t>Arbor Realty Trust Common Stock</t>
  </si>
  <si>
    <t>ABR</t>
  </si>
  <si>
    <t>ABM Industries Incorporated Common Stock</t>
  </si>
  <si>
    <t>ABM</t>
  </si>
  <si>
    <t>Asbury Automotive Group Inc Common Stock</t>
  </si>
  <si>
    <t>ABG</t>
  </si>
  <si>
    <t>AmerisourceBergen Corporation Common Stock</t>
  </si>
  <si>
    <t>ABC</t>
  </si>
  <si>
    <t>AbbVie Inc. Common Stock</t>
  </si>
  <si>
    <t>ABBV</t>
  </si>
  <si>
    <t>ABB Ltd Common Stock</t>
  </si>
  <si>
    <t>ABB</t>
  </si>
  <si>
    <t>AllianceBernstein Holding L.P.  Units</t>
  </si>
  <si>
    <t>AB</t>
  </si>
  <si>
    <t>American Assets Trust Inc. Common Stock</t>
  </si>
  <si>
    <t>AAT</t>
  </si>
  <si>
    <t>Auto &amp; Home Supply Stores</t>
  </si>
  <si>
    <t>Advance Auto Parts Inc.</t>
  </si>
  <si>
    <t>AAP</t>
  </si>
  <si>
    <t>Arlington Asset Investment Corp Class A (new)</t>
  </si>
  <si>
    <t>AAIC</t>
  </si>
  <si>
    <t>Agilent Technologies Inc. Common Stock</t>
  </si>
  <si>
    <t>A</t>
  </si>
  <si>
    <t>Industry</t>
  </si>
  <si>
    <t>Volume</t>
  </si>
  <si>
    <t>IPO Year</t>
  </si>
  <si>
    <t>Country</t>
  </si>
  <si>
    <t>Market Cap</t>
  </si>
  <si>
    <t>% Change</t>
  </si>
  <si>
    <t>Net Change</t>
  </si>
  <si>
    <t>Last Sale</t>
  </si>
  <si>
    <t>Name</t>
  </si>
  <si>
    <t>Symbol</t>
  </si>
  <si>
    <t>AACI</t>
  </si>
  <si>
    <t>Armada Acquisition Corp. I Common Stock</t>
  </si>
  <si>
    <t>AADI</t>
  </si>
  <si>
    <t>Aadi Bioscience Inc. Common Stock</t>
  </si>
  <si>
    <t>AAL</t>
  </si>
  <si>
    <t>American Airlines Group Inc. Common Stock</t>
  </si>
  <si>
    <t>AAME</t>
  </si>
  <si>
    <t>Atlantic American Corporation Common Stock</t>
  </si>
  <si>
    <t>AAOI</t>
  </si>
  <si>
    <t>Applied Optoelectronics Inc. Common Stock</t>
  </si>
  <si>
    <t>AAON</t>
  </si>
  <si>
    <t>AAON Inc. Common Stock</t>
  </si>
  <si>
    <t>AAPL</t>
  </si>
  <si>
    <t>Apple Inc. Common Stock</t>
  </si>
  <si>
    <t>AAWW</t>
  </si>
  <si>
    <t>Atlas Air Worldwide Holdings NEW Common Stock</t>
  </si>
  <si>
    <t>Transportation Services</t>
  </si>
  <si>
    <t>ABCB</t>
  </si>
  <si>
    <t>Ameris Bancorp Common Stock</t>
  </si>
  <si>
    <t>ABCL</t>
  </si>
  <si>
    <t>AbCellera Biologics Inc. Common Shares</t>
  </si>
  <si>
    <t>ABCM</t>
  </si>
  <si>
    <t>Abcam plc American Depositary Shares</t>
  </si>
  <si>
    <t>ABGI</t>
  </si>
  <si>
    <t>ABG Acquisition Corp. I Class A Ordinary Shares</t>
  </si>
  <si>
    <t>ABNB</t>
  </si>
  <si>
    <t>Airbnb Inc. Class A Common Stock</t>
  </si>
  <si>
    <t>ABOS</t>
  </si>
  <si>
    <t>Acumen Pharmaceuticals Inc. Common Stock</t>
  </si>
  <si>
    <t>ABSI</t>
  </si>
  <si>
    <t>Absci Corporation Common Stock</t>
  </si>
  <si>
    <t>ABST</t>
  </si>
  <si>
    <t>Absolute Software Corporation Common Stock</t>
  </si>
  <si>
    <t>ABUS</t>
  </si>
  <si>
    <t>Arbutus Biopharma Corporation Common Stock</t>
  </si>
  <si>
    <t>ACAB</t>
  </si>
  <si>
    <t>Atlantic Coastal Acquisition Corp. II Class A Common Stock</t>
  </si>
  <si>
    <t>ACAC</t>
  </si>
  <si>
    <t>Acri Capital Acquisition Corporation Class A Common Stock</t>
  </si>
  <si>
    <t>ACAD</t>
  </si>
  <si>
    <t>ACADIA Pharmaceuticals Inc. Common Stock</t>
  </si>
  <si>
    <t>ACAH</t>
  </si>
  <si>
    <t>Atlantic Coastal Acquisition Corp. Class A Common Stock</t>
  </si>
  <si>
    <t>ACAX</t>
  </si>
  <si>
    <t>Alset Capital Acquisition Corp. Class A Common Stock</t>
  </si>
  <si>
    <t>ACB</t>
  </si>
  <si>
    <t>Aurora Cannabis Inc. Common Shares</t>
  </si>
  <si>
    <t>ACBA</t>
  </si>
  <si>
    <t>Ace Global Business Acquisition Limited Ordinary Shares</t>
  </si>
  <si>
    <t>ACCD</t>
  </si>
  <si>
    <t>Accolade Inc. Common Stock</t>
  </si>
  <si>
    <t>ACDC</t>
  </si>
  <si>
    <t>ProFrac Holding Corp. Class A Common Stock</t>
  </si>
  <si>
    <t>ACET</t>
  </si>
  <si>
    <t xml:space="preserve">Adicet Bio Inc. Common Stock </t>
  </si>
  <si>
    <t>ACHC</t>
  </si>
  <si>
    <t>Acadia Healthcare Company Inc. Common Stock</t>
  </si>
  <si>
    <t>ACHL</t>
  </si>
  <si>
    <t>Achilles Therapeutics plc American Depositary Shares</t>
  </si>
  <si>
    <t>ACHV</t>
  </si>
  <si>
    <t>Achieve Life Sciences Inc. Common Shares</t>
  </si>
  <si>
    <t>Biotechnology: In Vitro &amp; In Vivo Diagnostic Substances</t>
  </si>
  <si>
    <t>ACIU</t>
  </si>
  <si>
    <t>AC Immune SA Common Stock</t>
  </si>
  <si>
    <t>ACIW</t>
  </si>
  <si>
    <t>ACI Worldwide Inc. Common Stock</t>
  </si>
  <si>
    <t>ACLS</t>
  </si>
  <si>
    <t>Axcelis Technologies Inc. Common Stock</t>
  </si>
  <si>
    <t>ACLX</t>
  </si>
  <si>
    <t>Arcellx Inc. Common Stock</t>
  </si>
  <si>
    <t>ACMR</t>
  </si>
  <si>
    <t>ACM Research Inc. Class A Common Stock</t>
  </si>
  <si>
    <t>ACNB</t>
  </si>
  <si>
    <t>ACNB Corporation Common Stock</t>
  </si>
  <si>
    <t>ACNT</t>
  </si>
  <si>
    <t>Ascent Industries Co. Common Stock</t>
  </si>
  <si>
    <t>ACQR</t>
  </si>
  <si>
    <t>Independence Holdings Corp. Class A Ordinary Share</t>
  </si>
  <si>
    <t>ACRS</t>
  </si>
  <si>
    <t>Aclaris Therapeutics Inc. Common Stock</t>
  </si>
  <si>
    <t>Biotechnology: Commercial Physical &amp; Biological Resarch</t>
  </si>
  <si>
    <t>ACRV</t>
  </si>
  <si>
    <t>Acrivon Therapeutics Inc. Common Stock</t>
  </si>
  <si>
    <t>ACT</t>
  </si>
  <si>
    <t>Enact Holdings Inc. Common Stock</t>
  </si>
  <si>
    <t>ACTG</t>
  </si>
  <si>
    <t>Acacia Research Corporation (Acacia Tech) Common Stock</t>
  </si>
  <si>
    <t>ACVA</t>
  </si>
  <si>
    <t>ACV Auctions Inc. Class A Common Stock</t>
  </si>
  <si>
    <t>ADAL</t>
  </si>
  <si>
    <t>Anthemis Digital Acquisitions I Corp Class A Ordinary Shares</t>
  </si>
  <si>
    <t>ADAP</t>
  </si>
  <si>
    <t>Adaptimmune Therapeutics plc American Depositary Shares</t>
  </si>
  <si>
    <t>ADBE</t>
  </si>
  <si>
    <t>Adobe Inc. Common Stock</t>
  </si>
  <si>
    <t>ADEA</t>
  </si>
  <si>
    <t>Adeia Inc. Common Stock</t>
  </si>
  <si>
    <t>ADER</t>
  </si>
  <si>
    <t>26 Capital Acquisition Corp. Class A Common Stock</t>
  </si>
  <si>
    <t>ADES</t>
  </si>
  <si>
    <t>Advanced Emissions Solutions Inc. Common Stock</t>
  </si>
  <si>
    <t>ADI</t>
  </si>
  <si>
    <t>Analog Devices Inc. Common Stock</t>
  </si>
  <si>
    <t>ADMA</t>
  </si>
  <si>
    <t>ADMA Biologics Inc Common Stock</t>
  </si>
  <si>
    <t>ADOC</t>
  </si>
  <si>
    <t>Edoc Acquisition Corp. Class A Ordinary Share</t>
  </si>
  <si>
    <t>ADP</t>
  </si>
  <si>
    <t>Automatic Data Processing Inc. Common Stock</t>
  </si>
  <si>
    <t>ADPT</t>
  </si>
  <si>
    <t>Adaptive Biotechnologies Corporation Common Stock</t>
  </si>
  <si>
    <t>ADSE</t>
  </si>
  <si>
    <t>ADS-TEC ENERGY PLC Ordinary Shares</t>
  </si>
  <si>
    <t>ADSK</t>
  </si>
  <si>
    <t>Autodesk Inc. Common Stock</t>
  </si>
  <si>
    <t>ADTH</t>
  </si>
  <si>
    <t>AdTheorent Holding Company Inc. Common Stock</t>
  </si>
  <si>
    <t>ADTN</t>
  </si>
  <si>
    <t>ADTRAN Holdings Inc. Common Stock</t>
  </si>
  <si>
    <t>ADUS</t>
  </si>
  <si>
    <t>Addus HomeCare Corporation Common Stock</t>
  </si>
  <si>
    <t>ADV</t>
  </si>
  <si>
    <t>Advantage Solutions Inc. Class A Common Stock</t>
  </si>
  <si>
    <t>ADVM</t>
  </si>
  <si>
    <t>Adverum Biotechnologies Inc. Common Stock</t>
  </si>
  <si>
    <t>AEAE</t>
  </si>
  <si>
    <t>AltEnergy Acquisition Corp. Class A Common Stock</t>
  </si>
  <si>
    <t>AEHA</t>
  </si>
  <si>
    <t>Aesther Healthcare Acquisition Corp Class A Common Stock</t>
  </si>
  <si>
    <t>AEHR</t>
  </si>
  <si>
    <t>Aehr Test Systems Common Stock</t>
  </si>
  <si>
    <t>AEIS</t>
  </si>
  <si>
    <t>Advanced Energy Industries Inc. Common Stock</t>
  </si>
  <si>
    <t>AEP</t>
  </si>
  <si>
    <t>American Electric Power Company Inc. Common Stock</t>
  </si>
  <si>
    <t>AEYE</t>
  </si>
  <si>
    <t>AudioEye Inc. Common Stock</t>
  </si>
  <si>
    <t>AFAR</t>
  </si>
  <si>
    <t>Aura FAT Projects Acquisition Corp Class A Ordinary Shares</t>
  </si>
  <si>
    <t>AFBI</t>
  </si>
  <si>
    <t>Affinity Bancshares Inc. Common Stock (MD)</t>
  </si>
  <si>
    <t>AFCG</t>
  </si>
  <si>
    <t>AFC Gamma Inc. Common Stock</t>
  </si>
  <si>
    <t>AFIB</t>
  </si>
  <si>
    <t>Acutus Medical Inc. Common Stock</t>
  </si>
  <si>
    <t>AFMD</t>
  </si>
  <si>
    <t>Affimed N.V.</t>
  </si>
  <si>
    <t>AFRM</t>
  </si>
  <si>
    <t>Affirm Holdings Inc. Class A Common Stock</t>
  </si>
  <si>
    <t>AGBA</t>
  </si>
  <si>
    <t>AGBA Group Holding Limited Ordinary Share</t>
  </si>
  <si>
    <t>AGEN</t>
  </si>
  <si>
    <t>Agenus Inc. Common Stock</t>
  </si>
  <si>
    <t>AGFS</t>
  </si>
  <si>
    <t>AgroFresh Solutions Inc. Common Stock</t>
  </si>
  <si>
    <t>AGGR</t>
  </si>
  <si>
    <t>Agile Growth Corp. Class A Ordinary Share</t>
  </si>
  <si>
    <t>AGIL</t>
  </si>
  <si>
    <t>AgileThought Inc. Class A Common Stock</t>
  </si>
  <si>
    <t>AGIO</t>
  </si>
  <si>
    <t>Agios Pharmaceuticals Inc. Common Stock</t>
  </si>
  <si>
    <t>AGNC</t>
  </si>
  <si>
    <t>AGNC Investment Corp. Common Stock</t>
  </si>
  <si>
    <t>AGYS</t>
  </si>
  <si>
    <t>Agilysys Inc. Common Stock (DE)</t>
  </si>
  <si>
    <t>AHCO</t>
  </si>
  <si>
    <t>AdaptHealth Corp. Common Stock</t>
  </si>
  <si>
    <t>AIB</t>
  </si>
  <si>
    <t>AIB Acquisition Corporation Class A Ordinary Shares</t>
  </si>
  <si>
    <t>AIMC</t>
  </si>
  <si>
    <t>Altra Industrial Motion Corp. Common Stock</t>
  </si>
  <si>
    <t>AIP</t>
  </si>
  <si>
    <t>Arteris Inc. Common Stock</t>
  </si>
  <si>
    <t>AIRG</t>
  </si>
  <si>
    <t>Airgain Inc. Common Stock</t>
  </si>
  <si>
    <t>AIRS</t>
  </si>
  <si>
    <t>AirSculpt Technologies Inc. Common Stock</t>
  </si>
  <si>
    <t>AIRT</t>
  </si>
  <si>
    <t>Air T Inc. Common Stock</t>
  </si>
  <si>
    <t>AKAM</t>
  </si>
  <si>
    <t>Akamai Technologies Inc. Common Stock</t>
  </si>
  <si>
    <t>AKBA</t>
  </si>
  <si>
    <t>Akebia Therapeutics Inc. Common Stock</t>
  </si>
  <si>
    <t>AKLI</t>
  </si>
  <si>
    <t>Akili Inc. Common Stock</t>
  </si>
  <si>
    <t>AKRO</t>
  </si>
  <si>
    <t>Akero Therapeutics Inc. Common Stock</t>
  </si>
  <si>
    <t>AKTS</t>
  </si>
  <si>
    <t>Akoustis Technologies Inc. Common Stock</t>
  </si>
  <si>
    <t>AKU</t>
  </si>
  <si>
    <t>Akumin Inc. Common Stock (DE)</t>
  </si>
  <si>
    <t>AKYA</t>
  </si>
  <si>
    <t>Akoya BioSciences Inc. Common Stock</t>
  </si>
  <si>
    <t>ALBO</t>
  </si>
  <si>
    <t>Albireo Pharma Inc. Common Stock</t>
  </si>
  <si>
    <t>ALCO</t>
  </si>
  <si>
    <t>Alico Inc. Common Stock</t>
  </si>
  <si>
    <t>ALDX</t>
  </si>
  <si>
    <t>Aldeyra Therapeutics Inc. Common Stock</t>
  </si>
  <si>
    <t>ALEC</t>
  </si>
  <si>
    <t>Alector Inc. Common Stock</t>
  </si>
  <si>
    <t>ALGM</t>
  </si>
  <si>
    <t>Allegro MicroSystems Inc. Common Stock</t>
  </si>
  <si>
    <t>ALGN</t>
  </si>
  <si>
    <t>Align Technology Inc. Common Stock</t>
  </si>
  <si>
    <t>ALGS</t>
  </si>
  <si>
    <t>Aligos Therapeutics Inc. Common Stock</t>
  </si>
  <si>
    <t>ALGT</t>
  </si>
  <si>
    <t>Allegiant Travel Company Common Stock</t>
  </si>
  <si>
    <t>ALHC</t>
  </si>
  <si>
    <t>Alignment Healthcare Inc. Common Stock</t>
  </si>
  <si>
    <t>ALKS</t>
  </si>
  <si>
    <t>Alkermes plc Ordinary Shares</t>
  </si>
  <si>
    <t>ALKT</t>
  </si>
  <si>
    <t>Alkami Technology Inc. Common Stock</t>
  </si>
  <si>
    <t>ALLK</t>
  </si>
  <si>
    <t>Allakos Inc. Common Stock</t>
  </si>
  <si>
    <t>ALLO</t>
  </si>
  <si>
    <t>Allogene Therapeutics Inc. Common Stock</t>
  </si>
  <si>
    <t>ALNY</t>
  </si>
  <si>
    <t>Alnylam Pharmaceuticals Inc. Common Stock</t>
  </si>
  <si>
    <t>ALOR</t>
  </si>
  <si>
    <t>ALSP Orchid Acquisition Corporation I Class A Ordinary Share</t>
  </si>
  <si>
    <t>ALOT</t>
  </si>
  <si>
    <t>AstroNova Inc. Common Stock</t>
  </si>
  <si>
    <t>ALPA</t>
  </si>
  <si>
    <t>Alpha Healthcare Acquisition Corp. III Class A Common Stock</t>
  </si>
  <si>
    <t>ALPN</t>
  </si>
  <si>
    <t>Alpine Immune Sciences Inc. Common Stock</t>
  </si>
  <si>
    <t>ALPP</t>
  </si>
  <si>
    <t>Alpine 4 Holdings Inc. Class A Common Stock</t>
  </si>
  <si>
    <t>ALPS</t>
  </si>
  <si>
    <t>Alpine Summit Energy Partners Inc. Class A Subordinate Voting Shares</t>
  </si>
  <si>
    <t>ALRM</t>
  </si>
  <si>
    <t>Alarm.com Holdings Inc. Common Stock</t>
  </si>
  <si>
    <t>ALRS</t>
  </si>
  <si>
    <t>Alerus Financial Corporation Common Stock</t>
  </si>
  <si>
    <t>ALSA</t>
  </si>
  <si>
    <t>Alpha Star Acquisition Corporation Ordinary Shares</t>
  </si>
  <si>
    <t>ALT</t>
  </si>
  <si>
    <t>Altimmune Inc. Common Stock</t>
  </si>
  <si>
    <t>ALTI</t>
  </si>
  <si>
    <t>Alvarium Tiedemann Holdings Inc. Class A Common Stock</t>
  </si>
  <si>
    <t>ALTO</t>
  </si>
  <si>
    <t>Alto Ingredients Inc. Common Stock</t>
  </si>
  <si>
    <t>ALTR</t>
  </si>
  <si>
    <t>Altair Engineering Inc. Class A Common Stock</t>
  </si>
  <si>
    <t>ALTU</t>
  </si>
  <si>
    <t>Altitude Acquisition Corp. Class A Common Stock</t>
  </si>
  <si>
    <t>ALVO</t>
  </si>
  <si>
    <t>Alvotech Ordinary Shares</t>
  </si>
  <si>
    <t>ALVR</t>
  </si>
  <si>
    <t>AlloVir Inc. Common Stock</t>
  </si>
  <si>
    <t>ALXO</t>
  </si>
  <si>
    <t>ALX Oncology Holdings Inc. Common Stock</t>
  </si>
  <si>
    <t>ALYA</t>
  </si>
  <si>
    <t>Alithya Group inc. Class A Subordinate Voting Shares</t>
  </si>
  <si>
    <t>ALZN</t>
  </si>
  <si>
    <t>Alzamend Neuro Inc. Common Stock</t>
  </si>
  <si>
    <t>AMAL</t>
  </si>
  <si>
    <t>Amalgamated Financial Corp. Common Stock (DE)</t>
  </si>
  <si>
    <t>AMAT</t>
  </si>
  <si>
    <t>Applied Materials Inc. Common Stock</t>
  </si>
  <si>
    <t>AMBA</t>
  </si>
  <si>
    <t>Ambarella Inc. Ordinary Shares</t>
  </si>
  <si>
    <t>AMCI</t>
  </si>
  <si>
    <t>AMCI Acquisition Corp. II Class A Common Stock</t>
  </si>
  <si>
    <t>AMC Networks Inc. Class A Common Stock</t>
  </si>
  <si>
    <t>AMD</t>
  </si>
  <si>
    <t>Advanced Micro Devices Inc. Common Stock</t>
  </si>
  <si>
    <t>AMED</t>
  </si>
  <si>
    <t>Amedisys Inc Common Stock</t>
  </si>
  <si>
    <t>AMEH</t>
  </si>
  <si>
    <t>Apollo Medical Holdings Inc. Common Stock</t>
  </si>
  <si>
    <t>AMGN</t>
  </si>
  <si>
    <t>Amgen Inc. Common Stock</t>
  </si>
  <si>
    <t>AMKR</t>
  </si>
  <si>
    <t>Amkor Technology Inc. Common Stock</t>
  </si>
  <si>
    <t>AMLI</t>
  </si>
  <si>
    <t>American Lithium Corp. Common Stock</t>
  </si>
  <si>
    <t>AMLX</t>
  </si>
  <si>
    <t>Amylyx Pharmaceuticals Inc. Common Stock</t>
  </si>
  <si>
    <t>AMNB</t>
  </si>
  <si>
    <t>American National Bankshares Inc. Common Stock</t>
  </si>
  <si>
    <t>AMOT</t>
  </si>
  <si>
    <t>Allied Motion Technologies Inc.</t>
  </si>
  <si>
    <t>AMPH</t>
  </si>
  <si>
    <t>Amphastar Pharmaceuticals Inc. Common Stock</t>
  </si>
  <si>
    <t>AMPL</t>
  </si>
  <si>
    <t>Amplitude Inc. Class A Common Stock</t>
  </si>
  <si>
    <t>AMRK</t>
  </si>
  <si>
    <t>A-Mark Precious Metals Inc. Common Stock</t>
  </si>
  <si>
    <t>AMRN</t>
  </si>
  <si>
    <t>Amarin Corporation plc</t>
  </si>
  <si>
    <t>AMRS</t>
  </si>
  <si>
    <t>Amyris Inc. Common Stock</t>
  </si>
  <si>
    <t>AMSC</t>
  </si>
  <si>
    <t>American Superconductor Corporation Common Stock</t>
  </si>
  <si>
    <t>AMSF</t>
  </si>
  <si>
    <t>AMERISAFE Inc. Common Stock</t>
  </si>
  <si>
    <t>AMSWA</t>
  </si>
  <si>
    <t>American Software Inc. Class A Common Stock</t>
  </si>
  <si>
    <t>AMTB</t>
  </si>
  <si>
    <t>Amerant Bancorp Inc. Class A Common Stock</t>
  </si>
  <si>
    <t>AMTX</t>
  </si>
  <si>
    <t>Aemetis Inc. (DE) Common Stock</t>
  </si>
  <si>
    <t>AMWD</t>
  </si>
  <si>
    <t>American Woodmark Corporation Common Stock</t>
  </si>
  <si>
    <t>AMYT</t>
  </si>
  <si>
    <t>Amryt Pharma plc American Depositary Shares</t>
  </si>
  <si>
    <t>AMZN</t>
  </si>
  <si>
    <t>Amazon.com Inc. Common Stock</t>
  </si>
  <si>
    <t>ANAB</t>
  </si>
  <si>
    <t>AnaptysBio Inc. Common Stock</t>
  </si>
  <si>
    <t>ANDE</t>
  </si>
  <si>
    <t>Andersons Inc. (The) Common Stock</t>
  </si>
  <si>
    <t>ANEB</t>
  </si>
  <si>
    <t>Anebulo Pharmaceuticals Inc. Common Stock</t>
  </si>
  <si>
    <t>ANGI</t>
  </si>
  <si>
    <t>Angi Inc. Class A Common Stock</t>
  </si>
  <si>
    <t>ANGO</t>
  </si>
  <si>
    <t>AngioDynamics Inc. Common Stock</t>
  </si>
  <si>
    <t>ANIK</t>
  </si>
  <si>
    <t>Anika Therapeutics Inc. Common Stock</t>
  </si>
  <si>
    <t>ANIP</t>
  </si>
  <si>
    <t>ANI Pharmaceuticals Inc.</t>
  </si>
  <si>
    <t>ANIX</t>
  </si>
  <si>
    <t>Anixa Biosciences Inc. Common Stock</t>
  </si>
  <si>
    <t>ANNX</t>
  </si>
  <si>
    <t>Annexon Inc. Common Stock</t>
  </si>
  <si>
    <t>ANSS</t>
  </si>
  <si>
    <t>ANSYS Inc. Common Stock</t>
  </si>
  <si>
    <t>ANTX</t>
  </si>
  <si>
    <t>AN2 Therapeutics Inc. Common Stock</t>
  </si>
  <si>
    <t>ANZU</t>
  </si>
  <si>
    <t>Anzu Special Acquisition Corp I Class A Common Stock</t>
  </si>
  <si>
    <t>AOGO</t>
  </si>
  <si>
    <t>Arogo Capital Acquisition Corp. Class A Common Stock</t>
  </si>
  <si>
    <t>AOUT</t>
  </si>
  <si>
    <t xml:space="preserve">American Outdoor Brands Inc. Common Stock </t>
  </si>
  <si>
    <t>APA</t>
  </si>
  <si>
    <t>APA Corporation Common Stock</t>
  </si>
  <si>
    <t>APAC</t>
  </si>
  <si>
    <t>StoneBridge Acquisition Corporation Class A Ordinary Shares</t>
  </si>
  <si>
    <t>APCX</t>
  </si>
  <si>
    <t>AppTech Payments Corp. Common Stock</t>
  </si>
  <si>
    <t>APEI</t>
  </si>
  <si>
    <t>American Public Education Inc. Common Stock</t>
  </si>
  <si>
    <t>APEN</t>
  </si>
  <si>
    <t>Apollo Endosurgery Inc. Common Stock</t>
  </si>
  <si>
    <t>APLD</t>
  </si>
  <si>
    <t>Applied Digital Corporation Common Stock</t>
  </si>
  <si>
    <t>APLS</t>
  </si>
  <si>
    <t>Apellis Pharmaceuticals Inc. Common Stock</t>
  </si>
  <si>
    <t>APLT</t>
  </si>
  <si>
    <t>Applied Therapeutics Inc. Common Stock</t>
  </si>
  <si>
    <t>APMI</t>
  </si>
  <si>
    <t>AxonPrime Infrastructure Acquisition Corporation Class A Common Stock</t>
  </si>
  <si>
    <t>APOG</t>
  </si>
  <si>
    <t>Apogee Enterprises Inc. Common Stock</t>
  </si>
  <si>
    <t>APP</t>
  </si>
  <si>
    <t>Applovin Corporation Class A Common Stock</t>
  </si>
  <si>
    <t>APPF</t>
  </si>
  <si>
    <t>AppFolio Inc. Class A Common Stock</t>
  </si>
  <si>
    <t>APPH</t>
  </si>
  <si>
    <t>AppHarvest Inc. Common Stock</t>
  </si>
  <si>
    <t>APPN</t>
  </si>
  <si>
    <t>Appian Corporation Class A Common Stock</t>
  </si>
  <si>
    <t>APPS</t>
  </si>
  <si>
    <t>Digital Turbine Inc. Common Stock</t>
  </si>
  <si>
    <t>APTM</t>
  </si>
  <si>
    <t>Alpha Partners Technology Merger Corp. Class A Ordinary Shares</t>
  </si>
  <si>
    <t>APTO</t>
  </si>
  <si>
    <t>Aptose Biosciences Inc. Common Shares</t>
  </si>
  <si>
    <t>APXI</t>
  </si>
  <si>
    <t>APx Acquisition Corp. I Class A Ordinary Share</t>
  </si>
  <si>
    <t>APYX</t>
  </si>
  <si>
    <t>Apyx Medical Corporation Common Stock</t>
  </si>
  <si>
    <t>AQB</t>
  </si>
  <si>
    <t>AquaBounty Technologies Inc. Common Stock</t>
  </si>
  <si>
    <t>AQMS</t>
  </si>
  <si>
    <t>Aqua Metals Inc. Common Stock</t>
  </si>
  <si>
    <t>ARAV</t>
  </si>
  <si>
    <t>Aravive Inc. Common Stock</t>
  </si>
  <si>
    <t>ARAY</t>
  </si>
  <si>
    <t>Accuray Incorporated Common Stock</t>
  </si>
  <si>
    <t>ARBG</t>
  </si>
  <si>
    <t>Aequi Acquisition Corp. Class A Common Stock</t>
  </si>
  <si>
    <t>ARBK</t>
  </si>
  <si>
    <t>Argo Blockchain plc American Depositary Shares</t>
  </si>
  <si>
    <t>ARCB</t>
  </si>
  <si>
    <t>ArcBest Corporation Common Stock</t>
  </si>
  <si>
    <t>ARCC</t>
  </si>
  <si>
    <t>Ares Capital Corporation Common Stock</t>
  </si>
  <si>
    <t>ARDX</t>
  </si>
  <si>
    <t>Ardelyx Inc. Common Stock</t>
  </si>
  <si>
    <t>AREC</t>
  </si>
  <si>
    <t>American Resources Corporation Class A Common Stock</t>
  </si>
  <si>
    <t>ARGX</t>
  </si>
  <si>
    <t>argenx SE American Depositary Shares</t>
  </si>
  <si>
    <t>ARHS</t>
  </si>
  <si>
    <t>Arhaus Inc. Class A Common Stock</t>
  </si>
  <si>
    <t>ARIZ</t>
  </si>
  <si>
    <t>Arisz Acquisition Corp. Common Stock</t>
  </si>
  <si>
    <t>ARKO</t>
  </si>
  <si>
    <t>ARKO Corp. Common Stock</t>
  </si>
  <si>
    <t>ARKR</t>
  </si>
  <si>
    <t>Ark Restaurants Corp. Common Stock</t>
  </si>
  <si>
    <t>ARLP</t>
  </si>
  <si>
    <t>Alliance Resource Partners L.P. Common Units representing Limited Partners Interests</t>
  </si>
  <si>
    <t>AROW</t>
  </si>
  <si>
    <t>Arrow Financial Corporation Common Stock</t>
  </si>
  <si>
    <t>ARQQ</t>
  </si>
  <si>
    <t>Arqit Quantum Inc. Ordinary Shares</t>
  </si>
  <si>
    <t>ARQT</t>
  </si>
  <si>
    <t>Arcutis Biotherapeutics Inc. Common Stock</t>
  </si>
  <si>
    <t>ARRW</t>
  </si>
  <si>
    <t>Arrowroot Acquisition Corp. Class A common stock</t>
  </si>
  <si>
    <t>ARRY</t>
  </si>
  <si>
    <t>Array Technologies Inc. Common Stock</t>
  </si>
  <si>
    <t>ARTE</t>
  </si>
  <si>
    <t>Artemis Strategic Investment Corporation Class A Common Stock</t>
  </si>
  <si>
    <t>ARTNA</t>
  </si>
  <si>
    <t>Artesian Resources Corporation Class A Common Stock</t>
  </si>
  <si>
    <t>ARVL</t>
  </si>
  <si>
    <t>Arrival Ordinary Shares</t>
  </si>
  <si>
    <t>ARVN</t>
  </si>
  <si>
    <t>Arvinas Inc. Common Stock</t>
  </si>
  <si>
    <t>ARWR</t>
  </si>
  <si>
    <t>Arrowhead Pharmaceuticals Inc. Common Stock</t>
  </si>
  <si>
    <t>ARYD</t>
  </si>
  <si>
    <t>ARYA Sciences Acquisition Corp IV Class A Odinary Shares</t>
  </si>
  <si>
    <t>ARYE</t>
  </si>
  <si>
    <t>ARYA Sciences Acquisition Corp V Class A Ordinary Shares</t>
  </si>
  <si>
    <t>ASCA</t>
  </si>
  <si>
    <t>A SPAC I Acquisition Corp. Class A Ordinary Share</t>
  </si>
  <si>
    <t>ASCB</t>
  </si>
  <si>
    <t>A SPAC II Acquisition Corp. Ordinary Shares</t>
  </si>
  <si>
    <t>ASLE</t>
  </si>
  <si>
    <t>AerSale Corporation Common Stock</t>
  </si>
  <si>
    <t>ASMB</t>
  </si>
  <si>
    <t>Assembly Biosciences Inc. Common Stock</t>
  </si>
  <si>
    <t>ASML</t>
  </si>
  <si>
    <t>ASML Holding N.V. New York Registry Shares</t>
  </si>
  <si>
    <t>ASND</t>
  </si>
  <si>
    <t>Ascendis Pharma A/S American Depositary Shares</t>
  </si>
  <si>
    <t>ASO</t>
  </si>
  <si>
    <t>Academy Sports and Outdoors Inc. Common Stock</t>
  </si>
  <si>
    <t>ASPA</t>
  </si>
  <si>
    <t>ABRI SPAC I INC. Common Stock</t>
  </si>
  <si>
    <t>ASPI</t>
  </si>
  <si>
    <t>ASP Isotopes Inc. Common Stock</t>
  </si>
  <si>
    <t>ASPS</t>
  </si>
  <si>
    <t>Altisource Portfolio Solutions S.A. Common Stock</t>
  </si>
  <si>
    <t>Assertio Holdings Inc. Common Stock</t>
  </si>
  <si>
    <t>ASRV</t>
  </si>
  <si>
    <t>AmeriServ Financial Inc. Common Stock</t>
  </si>
  <si>
    <t>ASTE</t>
  </si>
  <si>
    <t>Astec Industries Inc. Common Stock</t>
  </si>
  <si>
    <t>ASTL</t>
  </si>
  <si>
    <t>Algoma Steel Group Inc. Common Shares</t>
  </si>
  <si>
    <t>ASTR</t>
  </si>
  <si>
    <t xml:space="preserve">Astra Space Inc. Class A Common Stock </t>
  </si>
  <si>
    <t>ASTS</t>
  </si>
  <si>
    <t>AST SpaceMobile Inc. Class A Common Stock</t>
  </si>
  <si>
    <t>ASUR</t>
  </si>
  <si>
    <t>Asure Software Inc Common Stock</t>
  </si>
  <si>
    <t>ASYS</t>
  </si>
  <si>
    <t>Amtech Systems Inc. Common Stock</t>
  </si>
  <si>
    <t>ATAI</t>
  </si>
  <si>
    <t>ATAI Life Sciences N.V. Common Shares</t>
  </si>
  <si>
    <t>ATAK</t>
  </si>
  <si>
    <t>Aurora Technology Acquisition Corp. Class A Ordinary Shares</t>
  </si>
  <si>
    <t>ATCX</t>
  </si>
  <si>
    <t>Atlas Technical Consultants Inc. Class A Common Stock</t>
  </si>
  <si>
    <t>ATEC</t>
  </si>
  <si>
    <t>Alphatec Holdings Inc. Common Stock</t>
  </si>
  <si>
    <t>ATER</t>
  </si>
  <si>
    <t>Aterian Inc. Common Stock</t>
  </si>
  <si>
    <t>ATEX</t>
  </si>
  <si>
    <t>Anterix Inc. Common Stock</t>
  </si>
  <si>
    <t>ATHA</t>
  </si>
  <si>
    <t>Athira Pharma Inc. Common Stock</t>
  </si>
  <si>
    <t>ATLC</t>
  </si>
  <si>
    <t>Atlanticus Holdings Corporation Common Stock</t>
  </si>
  <si>
    <t>ATLO</t>
  </si>
  <si>
    <t>Ames National Corporation Common Stock</t>
  </si>
  <si>
    <t>ATMC</t>
  </si>
  <si>
    <t>AlphaTime Acquisition Corp Ordinary Shares</t>
  </si>
  <si>
    <t>ATNF</t>
  </si>
  <si>
    <t>180 Life Sciences Corp. Common Stock</t>
  </si>
  <si>
    <t>ATNI</t>
  </si>
  <si>
    <t>ATN International Inc. Common Stock</t>
  </si>
  <si>
    <t>ATOM</t>
  </si>
  <si>
    <t>Atomera Incorporated Common Stock</t>
  </si>
  <si>
    <t>ATOS</t>
  </si>
  <si>
    <t>Atossa Therapeutics Inc. Common Stock</t>
  </si>
  <si>
    <t>ATRA</t>
  </si>
  <si>
    <t>Atara Biotherapeutics Inc. Common Stock</t>
  </si>
  <si>
    <t>ATRC</t>
  </si>
  <si>
    <t>AtriCure Inc. Common Stock</t>
  </si>
  <si>
    <t>ATRI</t>
  </si>
  <si>
    <t>Atrion Corporation Common Stock</t>
  </si>
  <si>
    <t>ATRO</t>
  </si>
  <si>
    <t>Astronics Corporation Common Stock</t>
  </si>
  <si>
    <t>ATSG</t>
  </si>
  <si>
    <t>Air Transport Services Group Inc</t>
  </si>
  <si>
    <t>ATVI</t>
  </si>
  <si>
    <t>Activision Blizzard Inc. Common Stock</t>
  </si>
  <si>
    <t>ATXS</t>
  </si>
  <si>
    <t>Astria Therapeutics Inc. Common Stock</t>
  </si>
  <si>
    <t>ATY</t>
  </si>
  <si>
    <t>AcuityAds Holdings Inc. Common Shares</t>
  </si>
  <si>
    <t>AUBN</t>
  </si>
  <si>
    <t>Auburn National Bancorporation Inc. Common Stock</t>
  </si>
  <si>
    <t>AUGX</t>
  </si>
  <si>
    <t>Augmedix Inc. Common Stock</t>
  </si>
  <si>
    <t>AUPH</t>
  </si>
  <si>
    <t>Aurinia Pharmaceuticals Inc Ordinary Shares</t>
  </si>
  <si>
    <t>AUR</t>
  </si>
  <si>
    <t>Aurora Innovation Inc. Class A Common Stock</t>
  </si>
  <si>
    <t>AURA</t>
  </si>
  <si>
    <t>Aura Biosciences Inc. Common Stock</t>
  </si>
  <si>
    <t>AURC</t>
  </si>
  <si>
    <t>Aurora Acquisition Corp. Class A Ordinary Shares</t>
  </si>
  <si>
    <t>AUTL</t>
  </si>
  <si>
    <t>Autolus Therapeutics plc American Depositary Share</t>
  </si>
  <si>
    <t>AVAC</t>
  </si>
  <si>
    <t>Avalon Acquisition Inc. Class A Common Stock</t>
  </si>
  <si>
    <t>AVAH</t>
  </si>
  <si>
    <t>Aveanna Healthcare Holdings Inc. Common Stock</t>
  </si>
  <si>
    <t>AVAV</t>
  </si>
  <si>
    <t>AeroVironment Inc. Common Stock</t>
  </si>
  <si>
    <t>AVDL</t>
  </si>
  <si>
    <t>Avadel Pharmaceuticals plc American Depositary Shares</t>
  </si>
  <si>
    <t>AVDX</t>
  </si>
  <si>
    <t>AvidXchange Holdings Inc. Common Stock</t>
  </si>
  <si>
    <t>AVGO</t>
  </si>
  <si>
    <t>Broadcom Inc. Common Stock</t>
  </si>
  <si>
    <t>AVHI</t>
  </si>
  <si>
    <t>Achari Ventures Holdings Corp. I Common Stock</t>
  </si>
  <si>
    <t>AVID</t>
  </si>
  <si>
    <t>Avid Technology Inc. Common Stock</t>
  </si>
  <si>
    <t>Atea Pharmaceuticals Inc. Common Stock</t>
  </si>
  <si>
    <t>AVNW</t>
  </si>
  <si>
    <t>Aviat Networks Inc. Common Stock</t>
  </si>
  <si>
    <t>AVO</t>
  </si>
  <si>
    <t>Mission Produce Inc. Common Stock</t>
  </si>
  <si>
    <t>AVPT</t>
  </si>
  <si>
    <t>AvePoint Inc. Class A Common Stock</t>
  </si>
  <si>
    <t>AVT</t>
  </si>
  <si>
    <t>Avnet Inc. Common Stock</t>
  </si>
  <si>
    <t>AVTA</t>
  </si>
  <si>
    <t>Avantax Inc. Common Stock</t>
  </si>
  <si>
    <t>AVTE</t>
  </si>
  <si>
    <t>Aerovate Therapeutics Inc. Common Stock</t>
  </si>
  <si>
    <t>AVXL</t>
  </si>
  <si>
    <t>Anavex Life Sciences Corp. Common Stock</t>
  </si>
  <si>
    <t>AWH</t>
  </si>
  <si>
    <t>Aspira Women's Health Inc. Common Stock</t>
  </si>
  <si>
    <t>AXDX</t>
  </si>
  <si>
    <t>Accelerate Diagnostics Inc. Common Stock</t>
  </si>
  <si>
    <t>AXGN</t>
  </si>
  <si>
    <t>Axogen Inc. Common Stock</t>
  </si>
  <si>
    <t>AXNX</t>
  </si>
  <si>
    <t>Axonics Inc. Common Stock</t>
  </si>
  <si>
    <t>AXON</t>
  </si>
  <si>
    <t>Axon Enterprise Inc. Common Stock</t>
  </si>
  <si>
    <t>AXSM</t>
  </si>
  <si>
    <t>Axsome Therapeutics Inc. Common Stock</t>
  </si>
  <si>
    <t>AXTI</t>
  </si>
  <si>
    <t>AXT Inc Common Stock</t>
  </si>
  <si>
    <t>AY</t>
  </si>
  <si>
    <t>Atlantica Sustainable Infrastructure plc Ordinary Shares</t>
  </si>
  <si>
    <t>AZ</t>
  </si>
  <si>
    <t>A2Z Smart Technologies Corp. Common Shares</t>
  </si>
  <si>
    <t>AZN</t>
  </si>
  <si>
    <t>AstraZeneca PLC American Depositary Shares</t>
  </si>
  <si>
    <t>AZPN</t>
  </si>
  <si>
    <t>Aspen Technology Inc. Common Stock</t>
  </si>
  <si>
    <t>AZTA</t>
  </si>
  <si>
    <t>Azenta Inc.</t>
  </si>
  <si>
    <t>AZYO</t>
  </si>
  <si>
    <t>Aziyo Biologics Inc. Class A Common Stock</t>
  </si>
  <si>
    <t>BAER</t>
  </si>
  <si>
    <t>Bridger Aerospace Group Holdings Inc. Common Stock</t>
  </si>
  <si>
    <t>BAFN</t>
  </si>
  <si>
    <t>BayFirst Financial Corp. Common Stock</t>
  </si>
  <si>
    <t>BAND</t>
  </si>
  <si>
    <t>Bandwidth Inc. Class A Common Stock</t>
  </si>
  <si>
    <t>BANF</t>
  </si>
  <si>
    <t>BancFirst Corporation Common Stock</t>
  </si>
  <si>
    <t>BANR</t>
  </si>
  <si>
    <t>Banner Corporation Common Stock</t>
  </si>
  <si>
    <t>BANX</t>
  </si>
  <si>
    <t>ArrowMark Financial Corp. Common Stock</t>
  </si>
  <si>
    <t>BASE</t>
  </si>
  <si>
    <t>Couchbase Inc. Common Stock</t>
  </si>
  <si>
    <t>BATRA</t>
  </si>
  <si>
    <t>Liberty Media Corporation Series A Liberty Braves Common Stock</t>
  </si>
  <si>
    <t>BATRK</t>
  </si>
  <si>
    <t>Liberty Media Corporation Series C Liberty Braves Common Stock</t>
  </si>
  <si>
    <t>BBBY</t>
  </si>
  <si>
    <t>Bed Bath &amp; Beyond Inc. Common Stock</t>
  </si>
  <si>
    <t>BBCP</t>
  </si>
  <si>
    <t>Concrete Pumping Holdings Inc. Common Stock</t>
  </si>
  <si>
    <t>BBIG</t>
  </si>
  <si>
    <t>Vinco Ventures Inc. Common Stock</t>
  </si>
  <si>
    <t>BBIO</t>
  </si>
  <si>
    <t>BridgeBio Pharma Inc. Common Stock</t>
  </si>
  <si>
    <t>BBSI</t>
  </si>
  <si>
    <t>Barrett Business Services Inc. Common Stock</t>
  </si>
  <si>
    <t>BCAB</t>
  </si>
  <si>
    <t>BioAtla Inc. Common Stock</t>
  </si>
  <si>
    <t>BCAN</t>
  </si>
  <si>
    <t>BYND Cannasoft Enterprises Inc. Common Stock</t>
  </si>
  <si>
    <t>BCBP</t>
  </si>
  <si>
    <t>BCB Bancorp Inc. (NJ) Common Stock</t>
  </si>
  <si>
    <t>BCEL</t>
  </si>
  <si>
    <t>Atreca Inc. Class A Common Stock</t>
  </si>
  <si>
    <t>BCLI</t>
  </si>
  <si>
    <t>Brainstorm Cell Therapeutics Inc. Common Stock</t>
  </si>
  <si>
    <t>BCML</t>
  </si>
  <si>
    <t>BayCom Corp Common Stock</t>
  </si>
  <si>
    <t>BCOV</t>
  </si>
  <si>
    <t>Brightcove Inc. Common Stock</t>
  </si>
  <si>
    <t>BCOW</t>
  </si>
  <si>
    <t>1895 Bancorp of Wisconsin Inc. (MD) Common Stock</t>
  </si>
  <si>
    <t>BCPC</t>
  </si>
  <si>
    <t>Balchem Corporation Common Stock</t>
  </si>
  <si>
    <t>BCRX</t>
  </si>
  <si>
    <t>BioCryst Pharmaceuticals Inc. Common Stock</t>
  </si>
  <si>
    <t>BCTX</t>
  </si>
  <si>
    <t>BriaCell Therapeutics Corp. Common Shares</t>
  </si>
  <si>
    <t>BCYC</t>
  </si>
  <si>
    <t>Bicycle Therapeutics plc American Depositary Shares</t>
  </si>
  <si>
    <t>BDSX</t>
  </si>
  <si>
    <t>Biodesix Inc. Common Stock</t>
  </si>
  <si>
    <t>BDTX</t>
  </si>
  <si>
    <t>Black Diamond Therapeutics Inc. Common Stock</t>
  </si>
  <si>
    <t>BEAM</t>
  </si>
  <si>
    <t>Beam Therapeutics Inc. Common Stock</t>
  </si>
  <si>
    <t>BECN</t>
  </si>
  <si>
    <t>Beacon Roofing Supply Inc. Common Stock</t>
  </si>
  <si>
    <t>BEEM</t>
  </si>
  <si>
    <t>Beam Global Common Stock</t>
  </si>
  <si>
    <t>BELFA</t>
  </si>
  <si>
    <t>Bel Fuse Inc. Class A Common Stock</t>
  </si>
  <si>
    <t>BELFB</t>
  </si>
  <si>
    <t>Bel Fuse Inc. Class B Common Stock</t>
  </si>
  <si>
    <t>BFC</t>
  </si>
  <si>
    <t>Bank First Corporation Common Stock</t>
  </si>
  <si>
    <t>BFIN</t>
  </si>
  <si>
    <t>BankFinancial Corporation Common Stock</t>
  </si>
  <si>
    <t>BFST</t>
  </si>
  <si>
    <t>Business First Bancshares Inc. Common Stock</t>
  </si>
  <si>
    <t>BGCP</t>
  </si>
  <si>
    <t>BGC Partners Inc Class A Common Stock</t>
  </si>
  <si>
    <t>BGFV</t>
  </si>
  <si>
    <t>Big 5 Sporting Goods Corporation Common Stock</t>
  </si>
  <si>
    <t>BGRY</t>
  </si>
  <si>
    <t>Berkshire Grey Inc. Class A Common Stock</t>
  </si>
  <si>
    <t>BGXX</t>
  </si>
  <si>
    <t>Bright Green Corporation Common Stock</t>
  </si>
  <si>
    <t>BHF</t>
  </si>
  <si>
    <t>Brighthouse Financial Inc. Common Stock</t>
  </si>
  <si>
    <t>BIGC</t>
  </si>
  <si>
    <t>BigCommerce Holdings Inc. Series 1 Common Stock</t>
  </si>
  <si>
    <t>BIIB</t>
  </si>
  <si>
    <t>Biogen Inc. Common Stock</t>
  </si>
  <si>
    <t>BIOS</t>
  </si>
  <si>
    <t>BioPlus Acquisition Corp. Class A Ordinary Shares</t>
  </si>
  <si>
    <t>BIOT</t>
  </si>
  <si>
    <t>Biotech Acquisition Company Class A Ordinary Shares</t>
  </si>
  <si>
    <t>BIRD</t>
  </si>
  <si>
    <t>Allbirds Inc. Class A Common Stock</t>
  </si>
  <si>
    <t>BITF</t>
  </si>
  <si>
    <t>Bitfarms Ltd. Common Stock</t>
  </si>
  <si>
    <t>BIVI</t>
  </si>
  <si>
    <t>BioVie Inc. Class A Common Stock</t>
  </si>
  <si>
    <t>BJRI</t>
  </si>
  <si>
    <t>BJ's Restaurants Inc. Common Stock</t>
  </si>
  <si>
    <t>BKCC</t>
  </si>
  <si>
    <t>BlackRock Capital Investment Corporation Common Stock</t>
  </si>
  <si>
    <t>BKNG</t>
  </si>
  <si>
    <t>Booking Holdings Inc. Common Stock</t>
  </si>
  <si>
    <t>BKR</t>
  </si>
  <si>
    <t>Baker Hughes Company Class A Common Stock</t>
  </si>
  <si>
    <t>BKSC</t>
  </si>
  <si>
    <t>Bank of South Carolina Corp. Common Stock</t>
  </si>
  <si>
    <t>BL</t>
  </si>
  <si>
    <t>BlackLine Inc. Common Stock</t>
  </si>
  <si>
    <t>BLBD</t>
  </si>
  <si>
    <t>Blue Bird Corporation Common Stock</t>
  </si>
  <si>
    <t>BLDE</t>
  </si>
  <si>
    <t>Blade Air Mobility Inc. Class A Common Stock</t>
  </si>
  <si>
    <t>BLDP</t>
  </si>
  <si>
    <t>Ballard Power Systems Inc. Common Shares</t>
  </si>
  <si>
    <t>BLEU</t>
  </si>
  <si>
    <t>bleuacacia ltd Class A Ordinary Shares</t>
  </si>
  <si>
    <t>BLFS</t>
  </si>
  <si>
    <t>BioLife Solutions Inc. Common Stock</t>
  </si>
  <si>
    <t>BLFY</t>
  </si>
  <si>
    <t>Blue Foundry Bancorp Common Stock</t>
  </si>
  <si>
    <t>BLI</t>
  </si>
  <si>
    <t>Berkeley Lights Inc. Common Stock</t>
  </si>
  <si>
    <t>BLKB</t>
  </si>
  <si>
    <t>Blackbaud Inc. Common Stock</t>
  </si>
  <si>
    <t>BLMN</t>
  </si>
  <si>
    <t>Bloomin' Brands Inc. Common Stock</t>
  </si>
  <si>
    <t>BLNG</t>
  </si>
  <si>
    <t>Belong Acquisition Corp. Class A Common Stock</t>
  </si>
  <si>
    <t>BLNK</t>
  </si>
  <si>
    <t>Blink Charging Co. Common Stock</t>
  </si>
  <si>
    <t>BLTE</t>
  </si>
  <si>
    <t>Belite Bio Inc American Depositary Shares</t>
  </si>
  <si>
    <t>BLU</t>
  </si>
  <si>
    <t>BELLUS Health Inc. Common Shares</t>
  </si>
  <si>
    <t>BLUE</t>
  </si>
  <si>
    <t>bluebird bio Inc. Common Stock</t>
  </si>
  <si>
    <t>BLZE</t>
  </si>
  <si>
    <t>Backblaze Inc. Class A Common Stock</t>
  </si>
  <si>
    <t>BMAQ</t>
  </si>
  <si>
    <t>Blockchain Moon Acquisition Corp. Common Stock</t>
  </si>
  <si>
    <t>BMBL</t>
  </si>
  <si>
    <t>Bumble Inc. Class A Common Stock</t>
  </si>
  <si>
    <t>BMEA</t>
  </si>
  <si>
    <t>Biomea Fusion Inc. Common Stock</t>
  </si>
  <si>
    <t>BMRC</t>
  </si>
  <si>
    <t>Bank of Marin Bancorp Common Stock</t>
  </si>
  <si>
    <t>BMRN</t>
  </si>
  <si>
    <t>BioMarin Pharmaceutical Inc. Common Stock</t>
  </si>
  <si>
    <t>BNGO</t>
  </si>
  <si>
    <t>Bionano Genomics Inc. Common Stock</t>
  </si>
  <si>
    <t>BNIX</t>
  </si>
  <si>
    <t>Bannix Acquisition Corp. Common Stock</t>
  </si>
  <si>
    <t>BNNR</t>
  </si>
  <si>
    <t>Banner Acquisition Corp. Class A Common Stock</t>
  </si>
  <si>
    <t>BNTX</t>
  </si>
  <si>
    <t>BioNTech SE American Depositary Share</t>
  </si>
  <si>
    <t>BOCN</t>
  </si>
  <si>
    <t>Blue Ocean Acquisition Corp Class A Ordinary Shares</t>
  </si>
  <si>
    <t>BOKF</t>
  </si>
  <si>
    <t>BOK Financial Corporation Common Stock</t>
  </si>
  <si>
    <t>BOLT</t>
  </si>
  <si>
    <t>Bolt Biotherapeutics Inc. Common Stock</t>
  </si>
  <si>
    <t>BOOM</t>
  </si>
  <si>
    <t>DMC Global Inc. Common Stock</t>
  </si>
  <si>
    <t>BOTJ</t>
  </si>
  <si>
    <t>Bank of the James Financial Group Inc. Common Stock</t>
  </si>
  <si>
    <t>BPAC</t>
  </si>
  <si>
    <t>Bullpen Parlay Acquisition Company Class A Ordinary Share</t>
  </si>
  <si>
    <t>BPMC</t>
  </si>
  <si>
    <t>Blueprint Medicines Corporation Common Stock</t>
  </si>
  <si>
    <t>BPOP</t>
  </si>
  <si>
    <t>Popular Inc. Common Stock</t>
  </si>
  <si>
    <t>BPRN</t>
  </si>
  <si>
    <t>Princeton Bancorp Inc. Common Stock (PA)</t>
  </si>
  <si>
    <t>BRAC</t>
  </si>
  <si>
    <t>Broad Capital Acquisition Corp Common Stock</t>
  </si>
  <si>
    <t>BRAG</t>
  </si>
  <si>
    <t>Bragg Gaming Group Inc. Common Shares</t>
  </si>
  <si>
    <t>BREZ</t>
  </si>
  <si>
    <t>Breeze Holdings Acquisition Corp. Common Stock</t>
  </si>
  <si>
    <t>BRID</t>
  </si>
  <si>
    <t>Bridgford Foods Corporation Common Stock</t>
  </si>
  <si>
    <t>BRIV</t>
  </si>
  <si>
    <t>B. Riley Principal 250 Merger Corp. Class A common stock</t>
  </si>
  <si>
    <t>BRKH</t>
  </si>
  <si>
    <t>BurTech Acquisition Corp. Class A Common Stock</t>
  </si>
  <si>
    <t>BRKL</t>
  </si>
  <si>
    <t>Brookline Bancorp Inc. Common Stock</t>
  </si>
  <si>
    <t>BRKR</t>
  </si>
  <si>
    <t>Bruker Corporation Common Stock</t>
  </si>
  <si>
    <t>BRLT</t>
  </si>
  <si>
    <t>Brilliant Earth Group Inc. Class A Common Stock</t>
  </si>
  <si>
    <t>BROG</t>
  </si>
  <si>
    <t>Brooge Energy Limited Ordinary Shares</t>
  </si>
  <si>
    <t>BRY</t>
  </si>
  <si>
    <t>Berry Corporation (bry) Common Stock</t>
  </si>
  <si>
    <t>BRZE</t>
  </si>
  <si>
    <t>Braze Inc. Class A Common Stock</t>
  </si>
  <si>
    <t>BSBK</t>
  </si>
  <si>
    <t>Bogota Financial Corp. Common Stock</t>
  </si>
  <si>
    <t>BSET</t>
  </si>
  <si>
    <t>Bassett Furniture Industries Incorporated Common Stock</t>
  </si>
  <si>
    <t>BSRR</t>
  </si>
  <si>
    <t>Sierra Bancorp Common Stock</t>
  </si>
  <si>
    <t>BSVN</t>
  </si>
  <si>
    <t>Bank7 Corp. Common stock</t>
  </si>
  <si>
    <t>BSY</t>
  </si>
  <si>
    <t>Bentley Systems Incorporated Class B Common Stock</t>
  </si>
  <si>
    <t>BTAI</t>
  </si>
  <si>
    <t>BioXcel Therapeutics Inc. Common Stock</t>
  </si>
  <si>
    <t>BTBT</t>
  </si>
  <si>
    <t>Bit Digital Inc. Ordinary Shares</t>
  </si>
  <si>
    <t>BTWN</t>
  </si>
  <si>
    <t>Bridgetown Holdings Limited Class A Ordinary Shares</t>
  </si>
  <si>
    <t>BUSE</t>
  </si>
  <si>
    <t>First Busey Corporation Class A Common Stock</t>
  </si>
  <si>
    <t>BVS</t>
  </si>
  <si>
    <t>Bioventus Inc. Class A Common Stock</t>
  </si>
  <si>
    <t>BWAC</t>
  </si>
  <si>
    <t>Better World Acquisition Corp. Common Stock</t>
  </si>
  <si>
    <t>BWAQ</t>
  </si>
  <si>
    <t>Blue World Acquisition Corporation Class A Ordinary Shares</t>
  </si>
  <si>
    <t>BWB</t>
  </si>
  <si>
    <t>Bridgewater Bancshares Inc. Common Stock</t>
  </si>
  <si>
    <t>BWEN</t>
  </si>
  <si>
    <t>Broadwind Inc. Common Stock</t>
  </si>
  <si>
    <t>BWFG</t>
  </si>
  <si>
    <t>Bankwell Financial Group Inc. Common Stock</t>
  </si>
  <si>
    <t>BWMN</t>
  </si>
  <si>
    <t>Bowman Consulting Group Ltd. Common Stock</t>
  </si>
  <si>
    <t>BWMX</t>
  </si>
  <si>
    <t>Betterware de Mexico S.A.P.I. de C.V. Ordinary Shares</t>
  </si>
  <si>
    <t>BYFC</t>
  </si>
  <si>
    <t>Broadway Financial Corporation Common Stock</t>
  </si>
  <si>
    <t>BYND</t>
  </si>
  <si>
    <t>Beyond Meat Inc. Common Stock</t>
  </si>
  <si>
    <t>BYRN</t>
  </si>
  <si>
    <t>Byrna Technologies Inc. Common Stock</t>
  </si>
  <si>
    <t>BYSI</t>
  </si>
  <si>
    <t>BeyondSpring Inc. Ordinary Shares</t>
  </si>
  <si>
    <t>BYTS</t>
  </si>
  <si>
    <t>BYTE Acquisition Corp. Class A Ordinary Shares</t>
  </si>
  <si>
    <t>BZFD</t>
  </si>
  <si>
    <t>BuzzFeed Inc. Class A Common Stock</t>
  </si>
  <si>
    <t>CABA</t>
  </si>
  <si>
    <t>Cabaletta Bio Inc. Common Stock</t>
  </si>
  <si>
    <t>CAC</t>
  </si>
  <si>
    <t>Camden National Corporation Common Stock</t>
  </si>
  <si>
    <t>CACC</t>
  </si>
  <si>
    <t>Credit Acceptance Corporation Common Stock</t>
  </si>
  <si>
    <t>CADL</t>
  </si>
  <si>
    <t>Candel Therapeutics Inc. Common Stock</t>
  </si>
  <si>
    <t>CAKE</t>
  </si>
  <si>
    <t>Cheesecake Factory Incorporated (The) Common Stock</t>
  </si>
  <si>
    <t>CALB</t>
  </si>
  <si>
    <t>California BanCorp Common Stock</t>
  </si>
  <si>
    <t>CALM</t>
  </si>
  <si>
    <t>Cal-Maine Foods Inc. Common Stock</t>
  </si>
  <si>
    <t>CALT</t>
  </si>
  <si>
    <t>Calliditas Therapeutics AB American Depositary Shares</t>
  </si>
  <si>
    <t>CAMP</t>
  </si>
  <si>
    <t>CalAmp Corp. Common Stock</t>
  </si>
  <si>
    <t>CAPR</t>
  </si>
  <si>
    <t>Capricor Therapeutics Inc. Common Stock</t>
  </si>
  <si>
    <t>CAR</t>
  </si>
  <si>
    <t>Avis Budget Group Inc. Common Stock</t>
  </si>
  <si>
    <t>CARA</t>
  </si>
  <si>
    <t>Cara Therapeutics Inc. Common Stock</t>
  </si>
  <si>
    <t>CARE</t>
  </si>
  <si>
    <t>Carter Bankshares Inc. Common Stock</t>
  </si>
  <si>
    <t>CARG</t>
  </si>
  <si>
    <t xml:space="preserve">CarGurus Inc. Class A Common Stock </t>
  </si>
  <si>
    <t>CASA</t>
  </si>
  <si>
    <t>Casa Systems Inc. Common Stock</t>
  </si>
  <si>
    <t>CASH</t>
  </si>
  <si>
    <t>Pathward Financial Inc. Common Stock</t>
  </si>
  <si>
    <t>CASS</t>
  </si>
  <si>
    <t>Cass Information Systems Inc Common Stock</t>
  </si>
  <si>
    <t>CASY</t>
  </si>
  <si>
    <t>Casey's General Stores Inc. Common Stock</t>
  </si>
  <si>
    <t>CATC</t>
  </si>
  <si>
    <t>Cambridge Bancorp Common Stock</t>
  </si>
  <si>
    <t>CATY</t>
  </si>
  <si>
    <t>Cathay General Bancorp Common Stock</t>
  </si>
  <si>
    <t>CBAN</t>
  </si>
  <si>
    <t>Colony Bankcorp Inc. Common Stock</t>
  </si>
  <si>
    <t>CBAY</t>
  </si>
  <si>
    <t>CymaBay Therapeutics Inc. Common Stock</t>
  </si>
  <si>
    <t>CBFV</t>
  </si>
  <si>
    <t>CB Financial Services Inc. Common Stock</t>
  </si>
  <si>
    <t>CBNK</t>
  </si>
  <si>
    <t>Capital Bancorp Inc. Common Stock</t>
  </si>
  <si>
    <t>CBRG</t>
  </si>
  <si>
    <t>Chain Bridge I Class A Ordinary Shares</t>
  </si>
  <si>
    <t>CBRL</t>
  </si>
  <si>
    <t>Cracker Barrel Old Country Store Inc Common Stock</t>
  </si>
  <si>
    <t>CBSH</t>
  </si>
  <si>
    <t>Commerce Bancshares Inc. Common Stock</t>
  </si>
  <si>
    <t>CCAI</t>
  </si>
  <si>
    <t>Cascadia Acquisition Corp. Class A Common Stock</t>
  </si>
  <si>
    <t>CCAP</t>
  </si>
  <si>
    <t>Crescent Capital BDC Inc. Common stock</t>
  </si>
  <si>
    <t>CCB</t>
  </si>
  <si>
    <t>Coastal Financial Corporation Common Stock</t>
  </si>
  <si>
    <t>CCBG</t>
  </si>
  <si>
    <t>Capital City Bank Group Common Stock</t>
  </si>
  <si>
    <t>CCCC</t>
  </si>
  <si>
    <t>C4 Therapeutics Inc. Common Stock</t>
  </si>
  <si>
    <t>CCCS</t>
  </si>
  <si>
    <t>CCC Intelligent Solutions Holdings Inc. Common Stock</t>
  </si>
  <si>
    <t>CCD</t>
  </si>
  <si>
    <t>Calamos Dynamic Convertible &amp; Income Fund Common Stock</t>
  </si>
  <si>
    <t>CCEP</t>
  </si>
  <si>
    <t>Coca-Cola Europacific Partners plc Ordinary Shares</t>
  </si>
  <si>
    <t>CCLD</t>
  </si>
  <si>
    <t>CareCloud Inc. Common Stock</t>
  </si>
  <si>
    <t>CCLP</t>
  </si>
  <si>
    <t>CSI Compressco LP Common Units</t>
  </si>
  <si>
    <t>CCNE</t>
  </si>
  <si>
    <t>CNB Financial Corporation Common Stock</t>
  </si>
  <si>
    <t>CCOI</t>
  </si>
  <si>
    <t>Cogent Communications Holdings Inc.</t>
  </si>
  <si>
    <t>CCRN</t>
  </si>
  <si>
    <t>Cross Country Healthcare Inc. Common Stock $0.0001 Par Value</t>
  </si>
  <si>
    <t>CCSI</t>
  </si>
  <si>
    <t>Consensus Cloud Solutions Inc. Common Stock</t>
  </si>
  <si>
    <t>CCTS</t>
  </si>
  <si>
    <t>Cactus Acquisition Corp. 1 Limited Class A Ordinary Share</t>
  </si>
  <si>
    <t>CDAQ</t>
  </si>
  <si>
    <t>Compass Digital Acquisition Corp. Class A Ordinary Shares</t>
  </si>
  <si>
    <t>CDLX</t>
  </si>
  <si>
    <t>Cardlytics Inc. Common Stock</t>
  </si>
  <si>
    <t>CDMO</t>
  </si>
  <si>
    <t>Avid Bioservices Inc. Common Stock</t>
  </si>
  <si>
    <t>CDNA</t>
  </si>
  <si>
    <t>CareDx Inc. Common Stock</t>
  </si>
  <si>
    <t>CDNS</t>
  </si>
  <si>
    <t>Cadence Design Systems Inc. Common Stock</t>
  </si>
  <si>
    <t>CDRO</t>
  </si>
  <si>
    <t>Codere Online Luxembourg S.A. Ordinary Shares</t>
  </si>
  <si>
    <t>Services-Misc. Amusement &amp; Recreation</t>
  </si>
  <si>
    <t>CDTX</t>
  </si>
  <si>
    <t>Cidara Therapeutics Inc. Common Stock</t>
  </si>
  <si>
    <t>CDW</t>
  </si>
  <si>
    <t>CDW Corporation Common Stock</t>
  </si>
  <si>
    <t>CDXC</t>
  </si>
  <si>
    <t>ChromaDex Corporation Common Stock</t>
  </si>
  <si>
    <t>CDXS</t>
  </si>
  <si>
    <t>Codexis Inc. Common Stock</t>
  </si>
  <si>
    <t>CDZI</t>
  </si>
  <si>
    <t>CADIZ Inc. Common Stock</t>
  </si>
  <si>
    <t>CECO</t>
  </si>
  <si>
    <t>CECO Environmental Corp. Common Stock</t>
  </si>
  <si>
    <t>CEG</t>
  </si>
  <si>
    <t xml:space="preserve">Constellation Energy Corporation Common Stock </t>
  </si>
  <si>
    <t>CELC</t>
  </si>
  <si>
    <t>Celcuity Inc. Common Stock</t>
  </si>
  <si>
    <t>CELH</t>
  </si>
  <si>
    <t>Celsius Holdings Inc. Common Stock</t>
  </si>
  <si>
    <t>CELU</t>
  </si>
  <si>
    <t>Celularity Inc. Class A Common Stock</t>
  </si>
  <si>
    <t>CENQ</t>
  </si>
  <si>
    <t>CENAQ Energy Corp. Class A Ordinary Shares</t>
  </si>
  <si>
    <t>CENT</t>
  </si>
  <si>
    <t>Central Garden &amp; Pet Company Common Stock</t>
  </si>
  <si>
    <t>CENTA</t>
  </si>
  <si>
    <t>Central Garden &amp; Pet Company Class A Common Stock Nonvoting</t>
  </si>
  <si>
    <t>CENX</t>
  </si>
  <si>
    <t>Century Aluminum Company Common Stock</t>
  </si>
  <si>
    <t>CERE</t>
  </si>
  <si>
    <t>Cerevel Therapeutics Holdings Inc. Common Stock</t>
  </si>
  <si>
    <t>CERS</t>
  </si>
  <si>
    <t>Cerus Corporation Common Stock</t>
  </si>
  <si>
    <t>CERT</t>
  </si>
  <si>
    <t>Certara Inc. Common Stock</t>
  </si>
  <si>
    <t>CEVA</t>
  </si>
  <si>
    <t>CEVA Inc. Common Stock</t>
  </si>
  <si>
    <t>CFB</t>
  </si>
  <si>
    <t>CrossFirst Bankshares Inc. Common Stock</t>
  </si>
  <si>
    <t>CFBK</t>
  </si>
  <si>
    <t>CF Bankshares Inc. Common Stock</t>
  </si>
  <si>
    <t>CFFE</t>
  </si>
  <si>
    <t>CF Acquisition Corp. VIII Class A Common Stock</t>
  </si>
  <si>
    <t>CFFI</t>
  </si>
  <si>
    <t>C&amp;F Financial Corporation Common Stock</t>
  </si>
  <si>
    <t>CFFN</t>
  </si>
  <si>
    <t>Capitol Federal Financial Inc. Common Stock</t>
  </si>
  <si>
    <t>CFFS</t>
  </si>
  <si>
    <t>CF Acquisition Corp. VII Class A Common Stock</t>
  </si>
  <si>
    <t>CFIV</t>
  </si>
  <si>
    <t>CF Acquisition Corp. IV Class A common stock</t>
  </si>
  <si>
    <t>CFLT</t>
  </si>
  <si>
    <t>Confluent Inc. Class A Common Stock</t>
  </si>
  <si>
    <t>CFSB</t>
  </si>
  <si>
    <t>CFSB Bancorp Inc. Common Stock</t>
  </si>
  <si>
    <t>CG</t>
  </si>
  <si>
    <t>The Carlyle Group Inc. Common Stock</t>
  </si>
  <si>
    <t>CGBD</t>
  </si>
  <si>
    <t>Carlyle Secured Lending Inc. Common Stock</t>
  </si>
  <si>
    <t>CGC</t>
  </si>
  <si>
    <t>Canopy Growth Corporation Common Shares</t>
  </si>
  <si>
    <t>CGEM</t>
  </si>
  <si>
    <t>Cullinan Oncology Inc. Common Stock</t>
  </si>
  <si>
    <t>CGNX</t>
  </si>
  <si>
    <t>Cognex Corporation Common Stock</t>
  </si>
  <si>
    <t>CGO</t>
  </si>
  <si>
    <t>Calamos Global Total Return Fund Common Stock</t>
  </si>
  <si>
    <t>CGTX</t>
  </si>
  <si>
    <t>Cognition Therapeutics Inc. Common Stock</t>
  </si>
  <si>
    <t>CHCO</t>
  </si>
  <si>
    <t>City Holding Company Common Stock</t>
  </si>
  <si>
    <t>CHDN</t>
  </si>
  <si>
    <t>Churchill Downs Incorporated Common Stock</t>
  </si>
  <si>
    <t>CHEA</t>
  </si>
  <si>
    <t>Chenghe Acquisition Co. Class A Ordinary Share</t>
  </si>
  <si>
    <t>CHEF</t>
  </si>
  <si>
    <t>The Chefs' Warehouse Inc. Common Stock</t>
  </si>
  <si>
    <t>CHI</t>
  </si>
  <si>
    <t>Calamos Convertible Opportunities and Income Fund Common Stock</t>
  </si>
  <si>
    <t>CHK</t>
  </si>
  <si>
    <t>Chesapeake Energy Corporation Common Stock</t>
  </si>
  <si>
    <t>CHMG</t>
  </si>
  <si>
    <t>Chemung Financial Corp Common Stock</t>
  </si>
  <si>
    <t>CHRD</t>
  </si>
  <si>
    <t>Chord Energy Corporation Common Stock</t>
  </si>
  <si>
    <t>CHRS</t>
  </si>
  <si>
    <t>Coherus BioSciences Inc. Common Stock</t>
  </si>
  <si>
    <t>CHRW</t>
  </si>
  <si>
    <t>C.H. Robinson Worldwide Inc. Common Stock</t>
  </si>
  <si>
    <t>CHTR</t>
  </si>
  <si>
    <t>Charter Communications Inc. Class A Common Stock New</t>
  </si>
  <si>
    <t>CHUY</t>
  </si>
  <si>
    <t>Chuy's Holdings Inc. Common Stock</t>
  </si>
  <si>
    <t>CHW</t>
  </si>
  <si>
    <t>Calamos Global Dynamic Income Fund Common Stock</t>
  </si>
  <si>
    <t>CHX</t>
  </si>
  <si>
    <t xml:space="preserve">ChampionX Corporation Common Stock </t>
  </si>
  <si>
    <t>CHY</t>
  </si>
  <si>
    <t>Calamos Convertible and High Income Fund Common Stock</t>
  </si>
  <si>
    <t>CIDM</t>
  </si>
  <si>
    <t>Cinedigm Corp. Class A Common Stock</t>
  </si>
  <si>
    <t>CIFR</t>
  </si>
  <si>
    <t>Cipher Mining Inc. Common Stock</t>
  </si>
  <si>
    <t>CIGI</t>
  </si>
  <si>
    <t>Colliers International Group Inc. Subordinate Voting Shares</t>
  </si>
  <si>
    <t>CIIG</t>
  </si>
  <si>
    <t>CIIG Capital Partners II Inc. Class A Common Stock</t>
  </si>
  <si>
    <t>CINC</t>
  </si>
  <si>
    <t>CinCor Pharma Inc. Common Stock</t>
  </si>
  <si>
    <t>CINF</t>
  </si>
  <si>
    <t>Cincinnati Financial Corporation Common Stock</t>
  </si>
  <si>
    <t>CISO</t>
  </si>
  <si>
    <t>Cerberus Cyber Sentinel Corporation Common Stock</t>
  </si>
  <si>
    <t>CITE</t>
  </si>
  <si>
    <t>Cartica Acquisition Corp Class A Ordinary Shares</t>
  </si>
  <si>
    <t>CIVB</t>
  </si>
  <si>
    <t>Civista Bancshares Inc. Common Stock</t>
  </si>
  <si>
    <t>CIZN</t>
  </si>
  <si>
    <t>Citizens Holding Company Common Stock</t>
  </si>
  <si>
    <t>CKPT</t>
  </si>
  <si>
    <t>Checkpoint Therapeutics Inc. Common Stock</t>
  </si>
  <si>
    <t>CLAR</t>
  </si>
  <si>
    <t>Clarus Corporation Common Stock</t>
  </si>
  <si>
    <t>CLBK</t>
  </si>
  <si>
    <t>Columbia Financial Inc. Common Stock</t>
  </si>
  <si>
    <t>CLDX</t>
  </si>
  <si>
    <t>Celldex Therapeutics Inc.</t>
  </si>
  <si>
    <t>CLFD</t>
  </si>
  <si>
    <t>Clearfield Inc. Common Stock</t>
  </si>
  <si>
    <t>CLIN</t>
  </si>
  <si>
    <t>Clean Earth Acquisitions Corp. Class A Common Stock</t>
  </si>
  <si>
    <t>CLLS</t>
  </si>
  <si>
    <t>Cellectis S.A. American Depositary Shares</t>
  </si>
  <si>
    <t>Climb Global Solutions Inc. Common Stock</t>
  </si>
  <si>
    <t>CLMT</t>
  </si>
  <si>
    <t>Calumet Specialty Products Partners L.P. Common Units</t>
  </si>
  <si>
    <t>CLNE</t>
  </si>
  <si>
    <t>Clean Energy Fuels Corp. Common Stock</t>
  </si>
  <si>
    <t>CLNN</t>
  </si>
  <si>
    <t>Clene Inc. Common Stock</t>
  </si>
  <si>
    <t>CLOE</t>
  </si>
  <si>
    <t>Clover Leaf Capital Corp. Class A Common Stock</t>
  </si>
  <si>
    <t>CLOV</t>
  </si>
  <si>
    <t>Clover Health Investments Corp. Class A Common Stock</t>
  </si>
  <si>
    <t>CLPT</t>
  </si>
  <si>
    <t>ClearPoint Neuro Inc. Common Stock</t>
  </si>
  <si>
    <t>CLRC</t>
  </si>
  <si>
    <t>ClimateRock Class A Ordinary Shares</t>
  </si>
  <si>
    <t>CLSD</t>
  </si>
  <si>
    <t>Clearside Biomedical Inc. Common Stock</t>
  </si>
  <si>
    <t>CLSK</t>
  </si>
  <si>
    <t>CleanSpark Inc. Common Stock</t>
  </si>
  <si>
    <t>CLST</t>
  </si>
  <si>
    <t>Catalyst Bancorp Inc. Common Stock</t>
  </si>
  <si>
    <t>CMAX</t>
  </si>
  <si>
    <t>CareMax Inc. Class A Common Stock</t>
  </si>
  <si>
    <t>CMCA</t>
  </si>
  <si>
    <t>Capitalworks Emerging Markets Acquisition Corp Class A Ordinary Shares</t>
  </si>
  <si>
    <t>CMCO</t>
  </si>
  <si>
    <t>Columbus McKinnon Corporation Common Stock</t>
  </si>
  <si>
    <t>CMCSA</t>
  </si>
  <si>
    <t>Comcast Corporation Class A Common Stock</t>
  </si>
  <si>
    <t>CMCT</t>
  </si>
  <si>
    <t>Creative Media &amp; Community Trust Corporation Common stock</t>
  </si>
  <si>
    <t>CME</t>
  </si>
  <si>
    <t>CME Group Inc. Class A Common Stock</t>
  </si>
  <si>
    <t>CMLS</t>
  </si>
  <si>
    <t>Cumulus Media Inc. Class A Common Stock</t>
  </si>
  <si>
    <t>CMPO</t>
  </si>
  <si>
    <t>CompoSecure Inc. Class A Common Stock</t>
  </si>
  <si>
    <t>CMPR</t>
  </si>
  <si>
    <t>Cimpress plc Ordinary Shares (Ireland)</t>
  </si>
  <si>
    <t>CMPS</t>
  </si>
  <si>
    <t>COMPASS Pathways Plc American Depository Shares</t>
  </si>
  <si>
    <t>CMPX</t>
  </si>
  <si>
    <t>Compass Therapeutics Inc. Common Stock</t>
  </si>
  <si>
    <t>CMRX</t>
  </si>
  <si>
    <t>Chimerix Inc. Common Stock</t>
  </si>
  <si>
    <t>CMTL</t>
  </si>
  <si>
    <t>Comtech Telecommunications Corp. Common Stock</t>
  </si>
  <si>
    <t>CNCE</t>
  </si>
  <si>
    <t>Concert Pharmaceuticals Inc. Common Stock</t>
  </si>
  <si>
    <t>CNDT</t>
  </si>
  <si>
    <t xml:space="preserve">Conduent Incorporated Common Stock </t>
  </si>
  <si>
    <t>CNGL</t>
  </si>
  <si>
    <t>Canna-Global Acquisition Corp. Class A Common Stock</t>
  </si>
  <si>
    <t>CNOB</t>
  </si>
  <si>
    <t>ConnectOne Bancorp Inc. Common Stock</t>
  </si>
  <si>
    <t>CNSL</t>
  </si>
  <si>
    <t>Consolidated Communications Holdings Inc. Common Stock</t>
  </si>
  <si>
    <t>CNTA</t>
  </si>
  <si>
    <t>Centessa Pharmaceuticals plc American Depositary Shares</t>
  </si>
  <si>
    <t>CNTY</t>
  </si>
  <si>
    <t>Century Casinos Inc. Common Stock</t>
  </si>
  <si>
    <t>CNXC</t>
  </si>
  <si>
    <t>Concentrix Corporation Common Stock</t>
  </si>
  <si>
    <t>CNXN</t>
  </si>
  <si>
    <t>PC Connection Inc. Common Stock</t>
  </si>
  <si>
    <t>COCO</t>
  </si>
  <si>
    <t>The Vita Coco Company Inc. Common Stock</t>
  </si>
  <si>
    <t>CODA</t>
  </si>
  <si>
    <t>Coda Octopus Group Inc. Common stock</t>
  </si>
  <si>
    <t>Co-Diagnostics Inc. Common Stock</t>
  </si>
  <si>
    <t>COFS</t>
  </si>
  <si>
    <t>ChoiceOne Financial Services Inc. Common Stock</t>
  </si>
  <si>
    <t>COGT</t>
  </si>
  <si>
    <t>Cogent Biosciences Inc. Common Stock</t>
  </si>
  <si>
    <t>COHR</t>
  </si>
  <si>
    <t>Coherent Corp. Common Stock</t>
  </si>
  <si>
    <t>COHU</t>
  </si>
  <si>
    <t>Cohu Inc. Common Stock</t>
  </si>
  <si>
    <t>COIN</t>
  </si>
  <si>
    <t>Coinbase Global Inc. Class A Common Stock</t>
  </si>
  <si>
    <t>COKE</t>
  </si>
  <si>
    <t>Coca-Cola Consolidated Inc. Common Stock</t>
  </si>
  <si>
    <t>COLB</t>
  </si>
  <si>
    <t>Columbia Banking System Inc. Common Stock</t>
  </si>
  <si>
    <t>COLL</t>
  </si>
  <si>
    <t>Collegium Pharmaceutical Inc. Common Stock</t>
  </si>
  <si>
    <t>COLM</t>
  </si>
  <si>
    <t>Columbia Sportswear Company Common Stock</t>
  </si>
  <si>
    <t>COMM</t>
  </si>
  <si>
    <t>CommScope Holding Company Inc. Common Stock</t>
  </si>
  <si>
    <t>CONN</t>
  </si>
  <si>
    <t>Conn's Inc. Common Stock</t>
  </si>
  <si>
    <t>CONX</t>
  </si>
  <si>
    <t>CONX Corp. Class A Common Stock</t>
  </si>
  <si>
    <t>COOL</t>
  </si>
  <si>
    <t>Corner Growth Acquisition Corp. Class A Ordinary Shares</t>
  </si>
  <si>
    <t>COOP</t>
  </si>
  <si>
    <t>Mr. Cooper Group Inc. Common Stock</t>
  </si>
  <si>
    <t>CORT</t>
  </si>
  <si>
    <t>Corcept Therapeutics Incorporated Common Stock</t>
  </si>
  <si>
    <t>COSM</t>
  </si>
  <si>
    <t>Cosmos Health Inc. Common Stock</t>
  </si>
  <si>
    <t>COST</t>
  </si>
  <si>
    <t>Costco Wholesale Corporation Common Stock</t>
  </si>
  <si>
    <t>COUP</t>
  </si>
  <si>
    <t>Coupa Software Incorporated Common Stock</t>
  </si>
  <si>
    <t>COWN</t>
  </si>
  <si>
    <t>Cowen Inc. Class A Common Stock</t>
  </si>
  <si>
    <t>CPAA</t>
  </si>
  <si>
    <t>Conyers Park III Acquisition Corp. Class A Common Stock</t>
  </si>
  <si>
    <t>CPAQ</t>
  </si>
  <si>
    <t>Counter Press Acquisition Corporation Class A Ordinary Share</t>
  </si>
  <si>
    <t>CPHC</t>
  </si>
  <si>
    <t>Canterbury Park Holding Corporation 'New' Common Stock</t>
  </si>
  <si>
    <t>CPLP</t>
  </si>
  <si>
    <t>Capital Product Partners L.P. Common Units</t>
  </si>
  <si>
    <t>CPRT</t>
  </si>
  <si>
    <t>Copart Inc. (DE) Common Stock</t>
  </si>
  <si>
    <t>CPRX</t>
  </si>
  <si>
    <t>Catalyst Pharmaceuticals Inc. Common Stock</t>
  </si>
  <si>
    <t>CPSI</t>
  </si>
  <si>
    <t>Computer Programs and Systems Inc. Common Stock</t>
  </si>
  <si>
    <t>CPSS</t>
  </si>
  <si>
    <t>Consumer Portfolio Services Inc. Common Stock</t>
  </si>
  <si>
    <t>CPTN</t>
  </si>
  <si>
    <t>Cepton Inc. Common Stock</t>
  </si>
  <si>
    <t>CPZ</t>
  </si>
  <si>
    <t>Calamos Long/Short Equity &amp; Dynamic Income Trust Common Stock</t>
  </si>
  <si>
    <t>CRAI</t>
  </si>
  <si>
    <t>CRA International Inc. Common Stock</t>
  </si>
  <si>
    <t>CRBU</t>
  </si>
  <si>
    <t>Caribou Biosciences Inc. Common Stock</t>
  </si>
  <si>
    <t>CRCT</t>
  </si>
  <si>
    <t>Cricut Inc. Class A Common Stock</t>
  </si>
  <si>
    <t>CRDF</t>
  </si>
  <si>
    <t>Cardiff Oncology Inc. Common Stock</t>
  </si>
  <si>
    <t>CRDO</t>
  </si>
  <si>
    <t>Credo Technology Group Holding Ltd Ordinary Shares</t>
  </si>
  <si>
    <t>CRGE</t>
  </si>
  <si>
    <t>Charge Enterprises Inc. Common Stock</t>
  </si>
  <si>
    <t>CRIS</t>
  </si>
  <si>
    <t>Curis Inc. Common Stock</t>
  </si>
  <si>
    <t>CRMD</t>
  </si>
  <si>
    <t>CorMedix Inc. Common Stock</t>
  </si>
  <si>
    <t>CRMT</t>
  </si>
  <si>
    <t>America's Car-Mart Inc Common Stock</t>
  </si>
  <si>
    <t>CRNC</t>
  </si>
  <si>
    <t>Cerence Inc. Common Stock</t>
  </si>
  <si>
    <t>CRNX</t>
  </si>
  <si>
    <t>Crinetics Pharmaceuticals Inc. Common Stock</t>
  </si>
  <si>
    <t>CRON</t>
  </si>
  <si>
    <t>Cronos Group Inc. Common Share</t>
  </si>
  <si>
    <t>CROX</t>
  </si>
  <si>
    <t>Crocs Inc. Common Stock</t>
  </si>
  <si>
    <t>CRSP</t>
  </si>
  <si>
    <t>CRISPR Therapeutics AG Common Shares</t>
  </si>
  <si>
    <t>CRSR</t>
  </si>
  <si>
    <t>Corsair Gaming Inc. Common Stock</t>
  </si>
  <si>
    <t>CRTO</t>
  </si>
  <si>
    <t>Criteo S.A. American Depositary Shares</t>
  </si>
  <si>
    <t>CRUS</t>
  </si>
  <si>
    <t>Cirrus Logic Inc. Common Stock</t>
  </si>
  <si>
    <t>CRVL</t>
  </si>
  <si>
    <t>CorVel Corp. Common Stock</t>
  </si>
  <si>
    <t>CRWD</t>
  </si>
  <si>
    <t>CrowdStrike Holdings Inc. Class A Common Stock</t>
  </si>
  <si>
    <t>CRWS</t>
  </si>
  <si>
    <t>Crown Crafts Inc Common Stock</t>
  </si>
  <si>
    <t>CRZN</t>
  </si>
  <si>
    <t>Corazon Capital V838 Monoceros Corp Class A Ordinary Shares</t>
  </si>
  <si>
    <t>CSBR</t>
  </si>
  <si>
    <t>Champions Oncology Inc. Common Stock</t>
  </si>
  <si>
    <t>CSCO</t>
  </si>
  <si>
    <t>Cisco Systems Inc. Common Stock (DE)</t>
  </si>
  <si>
    <t>Computer Communications Equipment</t>
  </si>
  <si>
    <t>CSGP</t>
  </si>
  <si>
    <t>CoStar Group Inc. Common Stock</t>
  </si>
  <si>
    <t>CSGS</t>
  </si>
  <si>
    <t>CSG Systems International Inc. Common Stock</t>
  </si>
  <si>
    <t>CSII</t>
  </si>
  <si>
    <t>Cardiovascular Systems Inc. Common Stock</t>
  </si>
  <si>
    <t>CSIQ</t>
  </si>
  <si>
    <t>Canadian Solar Inc. Common Shares (ON)</t>
  </si>
  <si>
    <t>CSLM</t>
  </si>
  <si>
    <t>Consilium Acquisition Corp I Ltd. Class A Ordinary Share</t>
  </si>
  <si>
    <t>CSQ</t>
  </si>
  <si>
    <t>Calamos Strategic Total Return Common Stock</t>
  </si>
  <si>
    <t>CSSE</t>
  </si>
  <si>
    <t>Chicken Soup for the Soul Entertainment Inc. Class A Common Stock</t>
  </si>
  <si>
    <t>CSTL</t>
  </si>
  <si>
    <t>Castle Biosciences Inc. Common Stock</t>
  </si>
  <si>
    <t>CSTR</t>
  </si>
  <si>
    <t>CapStar Financial Holdings Inc. Common Stock</t>
  </si>
  <si>
    <t>CSWC</t>
  </si>
  <si>
    <t>Capital Southwest Corporation Common Stock</t>
  </si>
  <si>
    <t>CSWI</t>
  </si>
  <si>
    <t>CSW Industrials Inc. Common Stock</t>
  </si>
  <si>
    <t>CSX</t>
  </si>
  <si>
    <t>CSX Corporation Common Stock</t>
  </si>
  <si>
    <t>CTAQ</t>
  </si>
  <si>
    <t>Carney Technology Acquisition Corp. II Class A Common Stock</t>
  </si>
  <si>
    <t>CTAS</t>
  </si>
  <si>
    <t>Cintas Corporation Common Stock</t>
  </si>
  <si>
    <t>CTBI</t>
  </si>
  <si>
    <t>Community Trust Bancorp Inc. Common Stock</t>
  </si>
  <si>
    <t>CTG</t>
  </si>
  <si>
    <t>Computer Task Group Inc. Common Stock</t>
  </si>
  <si>
    <t>CTIC</t>
  </si>
  <si>
    <t>CTI BioPharma Corp. (DE) Common Stock</t>
  </si>
  <si>
    <t>CTKB</t>
  </si>
  <si>
    <t>Cytek Biosciences Inc. Common Stock</t>
  </si>
  <si>
    <t>CTLP</t>
  </si>
  <si>
    <t>Cantaloupe Inc. Common Stock</t>
  </si>
  <si>
    <t>CTMX</t>
  </si>
  <si>
    <t>CytomX Therapeutics Inc. Common Stock</t>
  </si>
  <si>
    <t>CTRN</t>
  </si>
  <si>
    <t>Citi Trends Inc. Common Stock</t>
  </si>
  <si>
    <t>CTSH</t>
  </si>
  <si>
    <t>Cognizant Technology Solutions Corporation Class A Common Stock</t>
  </si>
  <si>
    <t>CTSO</t>
  </si>
  <si>
    <t>Cytosorbents Corporation Common Stock</t>
  </si>
  <si>
    <t>CTXR</t>
  </si>
  <si>
    <t>Citius Pharmaceuticals Inc. Common Stock</t>
  </si>
  <si>
    <t>CUE</t>
  </si>
  <si>
    <t>Cue Biopharma Inc. Common Stock</t>
  </si>
  <si>
    <t>CULL</t>
  </si>
  <si>
    <t>Cullman Bancorp Inc. Common Stock</t>
  </si>
  <si>
    <t>CURI</t>
  </si>
  <si>
    <t>CuriosityStream Inc. Class A Common Stock</t>
  </si>
  <si>
    <t>CUTR</t>
  </si>
  <si>
    <t>Cutera Inc. Common Stock</t>
  </si>
  <si>
    <t>CVAC</t>
  </si>
  <si>
    <t>CureVac N.V. Ordinary Shares</t>
  </si>
  <si>
    <t>CVBF</t>
  </si>
  <si>
    <t>CVB Financial Corporation Common Stock</t>
  </si>
  <si>
    <t>CVCO</t>
  </si>
  <si>
    <t>Cavco Industries Inc. Common Stock When Issued</t>
  </si>
  <si>
    <t>CVCY</t>
  </si>
  <si>
    <t>Central Valley Community Bancorp Common Stock</t>
  </si>
  <si>
    <t>CVGI</t>
  </si>
  <si>
    <t>Commercial Vehicle Group Inc. Common Stock</t>
  </si>
  <si>
    <t>CVGW</t>
  </si>
  <si>
    <t>Calavo Growers Inc. Common Stock</t>
  </si>
  <si>
    <t>CVLG</t>
  </si>
  <si>
    <t>Covenant Logistics Group Inc. Class A Common Stock</t>
  </si>
  <si>
    <t>CVLT</t>
  </si>
  <si>
    <t>Commvault Systems Inc. Common Stock</t>
  </si>
  <si>
    <t>CVLY</t>
  </si>
  <si>
    <t>Codorus Valley Bancorp Inc Common Stock</t>
  </si>
  <si>
    <t>CVRX</t>
  </si>
  <si>
    <t>CVRx Inc. Common Stock</t>
  </si>
  <si>
    <t>CVT</t>
  </si>
  <si>
    <t>Cvent Holding Corp. Common Stock</t>
  </si>
  <si>
    <t>CVV</t>
  </si>
  <si>
    <t>CVD Equipment Corporation Common Stock</t>
  </si>
  <si>
    <t>CWBC</t>
  </si>
  <si>
    <t>Community West Bancshares Common Stock</t>
  </si>
  <si>
    <t>CWST</t>
  </si>
  <si>
    <t>Casella Waste Systems Inc. Class A Common Stock</t>
  </si>
  <si>
    <t>CYRX</t>
  </si>
  <si>
    <t>CryoPort Inc. Common Stock</t>
  </si>
  <si>
    <t>CYT</t>
  </si>
  <si>
    <t>Cyteir Therapeutics Inc. Common Stock</t>
  </si>
  <si>
    <t>CYTK</t>
  </si>
  <si>
    <t>Cytokinetics Incorporated Common Stock</t>
  </si>
  <si>
    <t>CYXT</t>
  </si>
  <si>
    <t>Cyxtera Technologies Inc. Class A Common Stock</t>
  </si>
  <si>
    <t>CZFS</t>
  </si>
  <si>
    <t>Citizens Financial Services Inc. Common Stock</t>
  </si>
  <si>
    <t>CZNC</t>
  </si>
  <si>
    <t>Citizens &amp; Northern Corp Common Stock</t>
  </si>
  <si>
    <t>CZR</t>
  </si>
  <si>
    <t>Caesars Entertainment Inc. Common Stock</t>
  </si>
  <si>
    <t>CZWI</t>
  </si>
  <si>
    <t>Citizens Community Bancorp Inc. Common Stock</t>
  </si>
  <si>
    <t>DAKT</t>
  </si>
  <si>
    <t>Daktronics Inc. Common Stock</t>
  </si>
  <si>
    <t>DALS</t>
  </si>
  <si>
    <t>DA32 Life Science Tech Acquisition Corp. Class A Common Stock</t>
  </si>
  <si>
    <t>DARE</t>
  </si>
  <si>
    <t>Dare Bioscience Inc. Common Stock</t>
  </si>
  <si>
    <t>DAVE</t>
  </si>
  <si>
    <t>Dave Inc. Class A Common Stock</t>
  </si>
  <si>
    <t>DAWN</t>
  </si>
  <si>
    <t>Day One Biopharmaceuticals Inc. Common Stock</t>
  </si>
  <si>
    <t>DBTX</t>
  </si>
  <si>
    <t>Decibel Therapeutics Inc. Common Stock</t>
  </si>
  <si>
    <t>DBVT</t>
  </si>
  <si>
    <t>DBV Technologies S.A. American Depositary Shares</t>
  </si>
  <si>
    <t>DBX</t>
  </si>
  <si>
    <t>Dropbox Inc. Class A Common Stock</t>
  </si>
  <si>
    <t>DCBO</t>
  </si>
  <si>
    <t>Docebo Inc. Common Shares</t>
  </si>
  <si>
    <t>DCFC</t>
  </si>
  <si>
    <t>Tritium DCFC Limited Ordinary Shares</t>
  </si>
  <si>
    <t>DCGO</t>
  </si>
  <si>
    <t>DocGo Inc. Common Stock</t>
  </si>
  <si>
    <t>DCOM</t>
  </si>
  <si>
    <t>Dime Community Bancshares Inc. Common Stock</t>
  </si>
  <si>
    <t>DCPH</t>
  </si>
  <si>
    <t>Deciphera Pharmaceuticals Inc. Common Stock</t>
  </si>
  <si>
    <t>DCRD</t>
  </si>
  <si>
    <t>Decarbonization Plus Acquisition Corporation IV Class A Ordinary Share</t>
  </si>
  <si>
    <t>DCT</t>
  </si>
  <si>
    <t>Duck Creek Technologies Inc. Common Stock</t>
  </si>
  <si>
    <t>DDI</t>
  </si>
  <si>
    <t>DoubleDown Interactive Co. Ltd. American Depository Shares</t>
  </si>
  <si>
    <t>DDOG</t>
  </si>
  <si>
    <t>Datadog Inc. Class A Common Stock</t>
  </si>
  <si>
    <t>DECA</t>
  </si>
  <si>
    <t>Denali Capital Acquisition Corp. Class A Ordinary Shares</t>
  </si>
  <si>
    <t>DENN</t>
  </si>
  <si>
    <t>Denny's Corporation Common Stock</t>
  </si>
  <si>
    <t>DFLI</t>
  </si>
  <si>
    <t>Dragonfly Energy Holdings Corp. Common Stock</t>
  </si>
  <si>
    <t>DGHI</t>
  </si>
  <si>
    <t>Digihost Technology Inc. Common Subordinate Voting Shares</t>
  </si>
  <si>
    <t>DGICA</t>
  </si>
  <si>
    <t>Donegal Group Inc. Class A Common Stock</t>
  </si>
  <si>
    <t>DGICB</t>
  </si>
  <si>
    <t>Donegal Group Inc. Class B Common Stock</t>
  </si>
  <si>
    <t>DGII</t>
  </si>
  <si>
    <t>Digi International Inc. Common Stock</t>
  </si>
  <si>
    <t>DGNU</t>
  </si>
  <si>
    <t>Dragoneer Growth Opportunities Corp. III Class A Ordinary Shares</t>
  </si>
  <si>
    <t>DH</t>
  </si>
  <si>
    <t>Definitive Healthcare Corp. Class A Common Stock</t>
  </si>
  <si>
    <t>DHC</t>
  </si>
  <si>
    <t>Diversified Healthcare Trust Common Shares of Beneficial Interest</t>
  </si>
  <si>
    <t>DHCA</t>
  </si>
  <si>
    <t>DHC Acquisition Corp. Class A ordinary share</t>
  </si>
  <si>
    <t>DHHC</t>
  </si>
  <si>
    <t>DiamondHead Holdings Corp. Class A Common Stock</t>
  </si>
  <si>
    <t>DHIL</t>
  </si>
  <si>
    <t>Diamond Hill Investment Group Inc. Class A Common Stock</t>
  </si>
  <si>
    <t>DIBS</t>
  </si>
  <si>
    <t>1stdibs.com Inc. Common Stock</t>
  </si>
  <si>
    <t>DICE</t>
  </si>
  <si>
    <t>DICE Therapeutics Inc. Common Stock</t>
  </si>
  <si>
    <t>DIOD</t>
  </si>
  <si>
    <t>Diodes Incorporated Common Stock</t>
  </si>
  <si>
    <t>DISA</t>
  </si>
  <si>
    <t>Disruptive Acquisition Corporation I Class A Ordinary Shares</t>
  </si>
  <si>
    <t>DISH</t>
  </si>
  <si>
    <t>DISH Network Corporation Class A Common Stock</t>
  </si>
  <si>
    <t>DJCO</t>
  </si>
  <si>
    <t>Daily Journal Corp. (S.C.) Common Stock</t>
  </si>
  <si>
    <t>DKDCA</t>
  </si>
  <si>
    <t>Data Knights Acquisition Corp. Class A Common Stock</t>
  </si>
  <si>
    <t>DKNG</t>
  </si>
  <si>
    <t>DraftKings Inc. Class A Common Stock</t>
  </si>
  <si>
    <t>DLH Holdings Corp.</t>
  </si>
  <si>
    <t>DLTH</t>
  </si>
  <si>
    <t>Duluth Holdings Inc. Class B Common Stock</t>
  </si>
  <si>
    <t>DLTR</t>
  </si>
  <si>
    <t>Dollar Tree Inc. Common Stock</t>
  </si>
  <si>
    <t>DMAQ</t>
  </si>
  <si>
    <t>Deep Medicine Acquisition Corp. Class A Common Stock</t>
  </si>
  <si>
    <t>DMLP</t>
  </si>
  <si>
    <t>Dorchester Minerals L.P. Common Units Representing Limited Partnership Interests</t>
  </si>
  <si>
    <t>DMRC</t>
  </si>
  <si>
    <t>Digimarc Corporation Common Stock</t>
  </si>
  <si>
    <t>DMTK</t>
  </si>
  <si>
    <t>DermTech Inc. Common Stock</t>
  </si>
  <si>
    <t>DNAB</t>
  </si>
  <si>
    <t>Social Capital Suvretta Holdings Corp. II Class A Ordinary Shares</t>
  </si>
  <si>
    <t>DNAD</t>
  </si>
  <si>
    <t>Social Capital Suvretta Holdings Corp. IV Class A Ordinary Shares</t>
  </si>
  <si>
    <t>DNLI</t>
  </si>
  <si>
    <t>Denali Therapeutics Inc. Common Stock</t>
  </si>
  <si>
    <t>DNUT</t>
  </si>
  <si>
    <t>Krispy Kreme Inc. Common Stock</t>
  </si>
  <si>
    <t>DOCU</t>
  </si>
  <si>
    <t>DocuSign Inc. Common Stock</t>
  </si>
  <si>
    <t>DOMO</t>
  </si>
  <si>
    <t>Domo Inc. Class B Common Stock</t>
  </si>
  <si>
    <t>DORM</t>
  </si>
  <si>
    <t>Dorman Products Inc. Common Stock</t>
  </si>
  <si>
    <t>DPCS</t>
  </si>
  <si>
    <t>DP Cap Acquisition Corp I Class A Ordinary Shares</t>
  </si>
  <si>
    <t>DPRO</t>
  </si>
  <si>
    <t>Draganfly Inc. Common Shares</t>
  </si>
  <si>
    <t>DRCT</t>
  </si>
  <si>
    <t>Direct Digital Holdings Inc. Class A Common Stock</t>
  </si>
  <si>
    <t>DRRX</t>
  </si>
  <si>
    <t>DURECT Corporation Common Stock</t>
  </si>
  <si>
    <t>DRTT</t>
  </si>
  <si>
    <t>DIRTT Environmental Solutions Ltd. Common Shares</t>
  </si>
  <si>
    <t>DRVN</t>
  </si>
  <si>
    <t>Driven Brands Holdings Inc. Common Stock</t>
  </si>
  <si>
    <t>DSEY</t>
  </si>
  <si>
    <t>Diversey Holdings Ltd. Ordinary Shares</t>
  </si>
  <si>
    <t>DSGN</t>
  </si>
  <si>
    <t>Design Therapeutics Inc. Common Stock</t>
  </si>
  <si>
    <t>DSGR</t>
  </si>
  <si>
    <t>Distribution Solutions Group Inc. Common Stock</t>
  </si>
  <si>
    <t>DSGX</t>
  </si>
  <si>
    <t>Descartes Systems Group Inc. (The) Common Stock</t>
  </si>
  <si>
    <t>DSKE</t>
  </si>
  <si>
    <t>Daseke Inc. Common Stock</t>
  </si>
  <si>
    <t>DSP</t>
  </si>
  <si>
    <t>Viant Technology Inc. Class A Common Stock</t>
  </si>
  <si>
    <t>DTIL</t>
  </si>
  <si>
    <t>Precision BioSciences Inc. Common Stock</t>
  </si>
  <si>
    <t>DTOC</t>
  </si>
  <si>
    <t>Digital Transformation Opportunities Corp. Class A Common Stock</t>
  </si>
  <si>
    <t>DTRT</t>
  </si>
  <si>
    <t>DTRT Health Acquisition Corp. Class A Common Stock</t>
  </si>
  <si>
    <t>DUNE</t>
  </si>
  <si>
    <t>Dune Acquisition Corporation Class A Common Stock</t>
  </si>
  <si>
    <t>DUOL</t>
  </si>
  <si>
    <t>Duolingo Inc. Class A Common Stock</t>
  </si>
  <si>
    <t>Dynavax Technologies Corporation Common Stock</t>
  </si>
  <si>
    <t>DWAC</t>
  </si>
  <si>
    <t>Digital World Acquisition Corp. Class A Common Stock</t>
  </si>
  <si>
    <t>DXCM</t>
  </si>
  <si>
    <t>DexCom Inc. Common Stock</t>
  </si>
  <si>
    <t>DXLG</t>
  </si>
  <si>
    <t>Destination XL Group Inc. Common Stock</t>
  </si>
  <si>
    <t>DXPE</t>
  </si>
  <si>
    <t>DXP Enterprises Inc. Common Stock</t>
  </si>
  <si>
    <t>DYAI</t>
  </si>
  <si>
    <t>Dyadic International Inc. Common Stock</t>
  </si>
  <si>
    <t>DYN</t>
  </si>
  <si>
    <t>Dyne Therapeutics Inc. Common Stock</t>
  </si>
  <si>
    <t>DZSI</t>
  </si>
  <si>
    <t>DZS Inc. Common Stock</t>
  </si>
  <si>
    <t>EA</t>
  </si>
  <si>
    <t>Electronic Arts Inc. Common Stock</t>
  </si>
  <si>
    <t>EAC</t>
  </si>
  <si>
    <t>Edify Acquisition Corp. Class A Common Stock</t>
  </si>
  <si>
    <t>EAR</t>
  </si>
  <si>
    <t>Eargo Inc. Common Stock</t>
  </si>
  <si>
    <t>EBAC</t>
  </si>
  <si>
    <t>European Biotech Acquisition Corp. Class A Ordinary Shares</t>
  </si>
  <si>
    <t>EBAY</t>
  </si>
  <si>
    <t>eBay Inc. Common Stock</t>
  </si>
  <si>
    <t>EBC</t>
  </si>
  <si>
    <t>Eastern Bankshares Inc. Common Stock</t>
  </si>
  <si>
    <t>EBIX</t>
  </si>
  <si>
    <t>Ebix Inc. Common Stock</t>
  </si>
  <si>
    <t>EBMT</t>
  </si>
  <si>
    <t>Eagle Bancorp Montana Inc. Common Stock</t>
  </si>
  <si>
    <t>EBTC</t>
  </si>
  <si>
    <t>Enterprise Bancorp Inc Common Stock</t>
  </si>
  <si>
    <t>ECBK</t>
  </si>
  <si>
    <t>ECB Bancorp Inc. Common Stock</t>
  </si>
  <si>
    <t>ECPG</t>
  </si>
  <si>
    <t>Encore Capital Group Inc Common Stock</t>
  </si>
  <si>
    <t>EDAP</t>
  </si>
  <si>
    <t>EDAP TMS S.A. American Depositary Shares</t>
  </si>
  <si>
    <t>EDIT</t>
  </si>
  <si>
    <t>Editas Medicine Inc. Common Stock</t>
  </si>
  <si>
    <t>EEFT</t>
  </si>
  <si>
    <t>Euronet Worldwide Inc. Common Stock</t>
  </si>
  <si>
    <t>EFHT</t>
  </si>
  <si>
    <t>EF Hutton Acquisition Corporation I Common Stock</t>
  </si>
  <si>
    <t>EFSC</t>
  </si>
  <si>
    <t>Enterprise Financial Services Corporation Common Stock</t>
  </si>
  <si>
    <t>EGAN</t>
  </si>
  <si>
    <t>eGain Corporation Common Stock</t>
  </si>
  <si>
    <t>EGBN</t>
  </si>
  <si>
    <t>Eagle Bancorp Inc. Common Stock</t>
  </si>
  <si>
    <t>EGHT</t>
  </si>
  <si>
    <t>8x8 Inc Common Stock</t>
  </si>
  <si>
    <t>EGIO</t>
  </si>
  <si>
    <t>Edgio Inc. Common Stock</t>
  </si>
  <si>
    <t>EGLX</t>
  </si>
  <si>
    <t>Enthusiast Gaming Holdings Inc. Common Stock</t>
  </si>
  <si>
    <t>EGRX</t>
  </si>
  <si>
    <t>Eagle Pharmaceuticals Inc. Common Stock</t>
  </si>
  <si>
    <t>EHTH</t>
  </si>
  <si>
    <t>eHealth Inc. Common Stock</t>
  </si>
  <si>
    <t>EIGR</t>
  </si>
  <si>
    <t>Eiger BioPharmaceuticals Inc. Common Stock</t>
  </si>
  <si>
    <t>ELBM</t>
  </si>
  <si>
    <t>Electra Battery Materials Corporation Common Stock</t>
  </si>
  <si>
    <t>ELYM</t>
  </si>
  <si>
    <t>Eliem Therapeutics Inc Common Stock</t>
  </si>
  <si>
    <t>EMBC</t>
  </si>
  <si>
    <t>Embecta Corp. Common Stock</t>
  </si>
  <si>
    <t>EMBK</t>
  </si>
  <si>
    <t>Embark Technology Inc. Common Stock</t>
  </si>
  <si>
    <t>EMCG</t>
  </si>
  <si>
    <t>Embrace Change Acquisition Corp Ordinary Shares</t>
  </si>
  <si>
    <t>EML</t>
  </si>
  <si>
    <t>Eastern Company (The) Common Stock</t>
  </si>
  <si>
    <t>EMLD</t>
  </si>
  <si>
    <t>FTAC Emerald Acquisition Corp. Class A Common Stock</t>
  </si>
  <si>
    <t>ENER</t>
  </si>
  <si>
    <t>Accretion Acquisition Corp. Common Stock</t>
  </si>
  <si>
    <t>ENOB</t>
  </si>
  <si>
    <t>Enochian Biosciences Inc. Common Stock</t>
  </si>
  <si>
    <t>ENPH</t>
  </si>
  <si>
    <t>Enphase Energy Inc. Common Stock</t>
  </si>
  <si>
    <t>ENSG</t>
  </si>
  <si>
    <t>The Ensign Group Inc. Common Stock</t>
  </si>
  <si>
    <t>ENTA</t>
  </si>
  <si>
    <t>Enanta Pharmaceuticals Inc. Common Stock</t>
  </si>
  <si>
    <t>ENTF</t>
  </si>
  <si>
    <t>Enterprise 4.0 Technology Acquisition Corp. Class A Ordinary Shares</t>
  </si>
  <si>
    <t>ENTG</t>
  </si>
  <si>
    <t>Entegris Inc. Common Stock</t>
  </si>
  <si>
    <t>ENVX</t>
  </si>
  <si>
    <t>Enovix Corporation Common Stock</t>
  </si>
  <si>
    <t>EOLS</t>
  </si>
  <si>
    <t>Evolus Inc. Common Stock</t>
  </si>
  <si>
    <t>EOSE</t>
  </si>
  <si>
    <t>Eos Energy Enterprises Inc. Class A Common Stock</t>
  </si>
  <si>
    <t>EPIX</t>
  </si>
  <si>
    <t>ESSA Pharma Inc. Common Stock</t>
  </si>
  <si>
    <t>EPSN</t>
  </si>
  <si>
    <t>Epsilon Energy Ltd. Common Share</t>
  </si>
  <si>
    <t>EQBK</t>
  </si>
  <si>
    <t>Equity Bancshares Inc. Class A Common Stock</t>
  </si>
  <si>
    <t>EQIX</t>
  </si>
  <si>
    <t>Equinix Inc. Common Stock REIT</t>
  </si>
  <si>
    <t>EQRX</t>
  </si>
  <si>
    <t>EQRx Inc.  Common Stock</t>
  </si>
  <si>
    <t>ERAS</t>
  </si>
  <si>
    <t>Erasca Inc. Common Stock</t>
  </si>
  <si>
    <t>ERES</t>
  </si>
  <si>
    <t>East Resources Acquisition Company Class A Common Stock</t>
  </si>
  <si>
    <t>ERIC</t>
  </si>
  <si>
    <t>Ericsson American Depositary Shares</t>
  </si>
  <si>
    <t>ERIE</t>
  </si>
  <si>
    <t>Erie Indemnity Company Class A Common Stock</t>
  </si>
  <si>
    <t>ERII</t>
  </si>
  <si>
    <t>Energy Recovery Inc. Common Stock</t>
  </si>
  <si>
    <t>ESAC</t>
  </si>
  <si>
    <t>ESGEN Acquisition Corporation Class A Ordinary Shares</t>
  </si>
  <si>
    <t>ESCA</t>
  </si>
  <si>
    <t>Escalade Incorporated Common Stock</t>
  </si>
  <si>
    <t>ESEA</t>
  </si>
  <si>
    <t>Euroseas Ltd. Common Stock (Marshall Islands)</t>
  </si>
  <si>
    <t>ESPR</t>
  </si>
  <si>
    <t>Esperion Therapeutics Inc. Common Stock</t>
  </si>
  <si>
    <t>ESQ</t>
  </si>
  <si>
    <t>Esquire Financial Holdings Inc. Common Stock</t>
  </si>
  <si>
    <t>ESSA</t>
  </si>
  <si>
    <t>ESSA Bancorp Inc. Common Stock</t>
  </si>
  <si>
    <t>ETNB</t>
  </si>
  <si>
    <t>89bio Inc. Common Stock</t>
  </si>
  <si>
    <t>ETON</t>
  </si>
  <si>
    <t>Eton Pharmaceuticals Inc. Common Stock</t>
  </si>
  <si>
    <t>ETSY</t>
  </si>
  <si>
    <t>Etsy Inc. Common Stock</t>
  </si>
  <si>
    <t>EVBG</t>
  </si>
  <si>
    <t>Everbridge Inc. Common Stock</t>
  </si>
  <si>
    <t>EVCM</t>
  </si>
  <si>
    <t>EverCommerce Inc. Common Stock</t>
  </si>
  <si>
    <t>EVER</t>
  </si>
  <si>
    <t>EverQuote Inc. Class A Common Stock</t>
  </si>
  <si>
    <t>EVGO</t>
  </si>
  <si>
    <t>EVgo Inc. Class A Common Stock</t>
  </si>
  <si>
    <t>EVLO</t>
  </si>
  <si>
    <t>Evelo Biosciences Inc. Common Stock</t>
  </si>
  <si>
    <t>EVLV</t>
  </si>
  <si>
    <t>Evolv Technologies Holdings Inc. Class A Common Stock</t>
  </si>
  <si>
    <t>EVO</t>
  </si>
  <si>
    <t>Evotec SE American Depositary Shares</t>
  </si>
  <si>
    <t>EVOP</t>
  </si>
  <si>
    <t>EVO Payments Inc. Class A Common Stock</t>
  </si>
  <si>
    <t>EVRG</t>
  </si>
  <si>
    <t>Evergy Inc. Common Stock</t>
  </si>
  <si>
    <t>EVTV</t>
  </si>
  <si>
    <t>Envirotech Vehicles Inc. Common Stock</t>
  </si>
  <si>
    <t>EWBC</t>
  </si>
  <si>
    <t>East West Bancorp Inc. Common Stock</t>
  </si>
  <si>
    <t>EWCZ</t>
  </si>
  <si>
    <t>European Wax Center Inc. Class A Common Stock</t>
  </si>
  <si>
    <t>EWTX</t>
  </si>
  <si>
    <t>Edgewise Therapeutics Inc. Common Stock</t>
  </si>
  <si>
    <t>EXAI</t>
  </si>
  <si>
    <t>Exscientia Plc American Depositary Shares</t>
  </si>
  <si>
    <t>EXAS</t>
  </si>
  <si>
    <t>Exact Sciences Corporation Common Stock</t>
  </si>
  <si>
    <t>EXC</t>
  </si>
  <si>
    <t>Exelon Corporation Common Stock</t>
  </si>
  <si>
    <t>EXEL</t>
  </si>
  <si>
    <t>Exelixis Inc. Common Stock</t>
  </si>
  <si>
    <t>EXFY</t>
  </si>
  <si>
    <t>Expensify Inc. Class A Common Stock</t>
  </si>
  <si>
    <t>EXLS</t>
  </si>
  <si>
    <t>ExlService Holdings Inc. Common Stock</t>
  </si>
  <si>
    <t>Expeditors International of Washington Inc. Common Stock</t>
  </si>
  <si>
    <t>EXPE</t>
  </si>
  <si>
    <t>Expedia Group Inc. Common Stock</t>
  </si>
  <si>
    <t>EXPI</t>
  </si>
  <si>
    <t>eXp World Holdings Inc. Common Stock</t>
  </si>
  <si>
    <t>EXPO</t>
  </si>
  <si>
    <t>Exponent Inc. Common Stock</t>
  </si>
  <si>
    <t>EXTR</t>
  </si>
  <si>
    <t>Extreme Networks Inc. Common Stock</t>
  </si>
  <si>
    <t>EYE</t>
  </si>
  <si>
    <t>National Vision Holdings Inc. Common Stock</t>
  </si>
  <si>
    <t>EYEN</t>
  </si>
  <si>
    <t>Eyenovia Inc. Common Stock</t>
  </si>
  <si>
    <t>EYPT</t>
  </si>
  <si>
    <t>EyePoint Pharmaceuticals Inc. Common Stock</t>
  </si>
  <si>
    <t>EZPW</t>
  </si>
  <si>
    <t>EZCORP Inc. Class A Non Voting Common Stock</t>
  </si>
  <si>
    <t>FA</t>
  </si>
  <si>
    <t>First Advantage Corporation Common Stock</t>
  </si>
  <si>
    <t>FANG</t>
  </si>
  <si>
    <t>Diamondback Energy Inc. Common Stock</t>
  </si>
  <si>
    <t>FARM</t>
  </si>
  <si>
    <t>Farmer Brothers Company Common Stock</t>
  </si>
  <si>
    <t>FARO</t>
  </si>
  <si>
    <t>FARO Technologies Inc. Common Stock</t>
  </si>
  <si>
    <t>FAST</t>
  </si>
  <si>
    <t>Fastenal Company Common Stock</t>
  </si>
  <si>
    <t>Construction Materials</t>
  </si>
  <si>
    <t>FAT</t>
  </si>
  <si>
    <t>FAT Brands Inc. Class A Common Stock</t>
  </si>
  <si>
    <t>FATBB</t>
  </si>
  <si>
    <t>FAT Brands Inc. Class B Common Stock</t>
  </si>
  <si>
    <t>FATE</t>
  </si>
  <si>
    <t>Fate Therapeutics Inc. Common Stock</t>
  </si>
  <si>
    <t>FATP</t>
  </si>
  <si>
    <t>Fat Projects Acquisition Corp Class A Ordinary Share</t>
  </si>
  <si>
    <t>FAZE</t>
  </si>
  <si>
    <t>FaZe Holdings Inc. Common Stock</t>
  </si>
  <si>
    <t>FBIO</t>
  </si>
  <si>
    <t>Fortress Biotech Inc. Common Stock</t>
  </si>
  <si>
    <t>FBIZ</t>
  </si>
  <si>
    <t>First Business Financial Services Inc. Common Stock</t>
  </si>
  <si>
    <t>FBMS</t>
  </si>
  <si>
    <t>First Bancshares Inc.</t>
  </si>
  <si>
    <t>FBNC</t>
  </si>
  <si>
    <t>First Bancorp Common Stock</t>
  </si>
  <si>
    <t>FCAP</t>
  </si>
  <si>
    <t>First Capital Inc. Common Stock</t>
  </si>
  <si>
    <t>FCBC</t>
  </si>
  <si>
    <t>First Community Bankshares Inc. (VA) Common Stock</t>
  </si>
  <si>
    <t>FCCO</t>
  </si>
  <si>
    <t>First Community Corporation Common Stock</t>
  </si>
  <si>
    <t>FCEL</t>
  </si>
  <si>
    <t>FuelCell Energy Inc. Common Stock</t>
  </si>
  <si>
    <t>FCFS</t>
  </si>
  <si>
    <t>FirstCash Holdings Inc. Common Stock</t>
  </si>
  <si>
    <t>FCNCA</t>
  </si>
  <si>
    <t>First Citizens BancShares Inc. Class A Common Stock</t>
  </si>
  <si>
    <t>FCRD</t>
  </si>
  <si>
    <t>First Eagle Alternative Capital BDC Inc. Common Stock</t>
  </si>
  <si>
    <t>FCUV</t>
  </si>
  <si>
    <t>Focus Universal Inc. Common Stock</t>
  </si>
  <si>
    <t>FDBC</t>
  </si>
  <si>
    <t>Fidelity D &amp; D Bancorp Inc. Common Stock</t>
  </si>
  <si>
    <t>FDMT</t>
  </si>
  <si>
    <t>4D Molecular Therapeutics Inc. Common Stock</t>
  </si>
  <si>
    <t>FDUS</t>
  </si>
  <si>
    <t>Fidus Investment Corporation Common Stock</t>
  </si>
  <si>
    <t>FEAM</t>
  </si>
  <si>
    <t>5E Advanced Materials Inc. Common Stock</t>
  </si>
  <si>
    <t>FEIM</t>
  </si>
  <si>
    <t>Frequency Electronics Inc. Common Stock</t>
  </si>
  <si>
    <t>FELE</t>
  </si>
  <si>
    <t>Franklin Electric Co. Inc. Common Stock</t>
  </si>
  <si>
    <t>FENC</t>
  </si>
  <si>
    <t>Fennec Pharmaceuticals Inc. Common Stock</t>
  </si>
  <si>
    <t>FEXD</t>
  </si>
  <si>
    <t>Fintech Ecosystem Development Corp. Class A Common Stock</t>
  </si>
  <si>
    <t>FFBC</t>
  </si>
  <si>
    <t>First Financial Bancorp. Common Stock</t>
  </si>
  <si>
    <t>FFBW</t>
  </si>
  <si>
    <t>FFBW Inc. Common Stock (MD)</t>
  </si>
  <si>
    <t>FFIC</t>
  </si>
  <si>
    <t>Flushing Financial Corporation Common Stock</t>
  </si>
  <si>
    <t>FFIE</t>
  </si>
  <si>
    <t>Faraday Future Intelligent Electric Inc. Common Stock</t>
  </si>
  <si>
    <t>FFIN</t>
  </si>
  <si>
    <t>First Financial Bankshares Inc. Common Stock</t>
  </si>
  <si>
    <t>FFIV</t>
  </si>
  <si>
    <t>F5 Inc. Common Stock</t>
  </si>
  <si>
    <t>FFNW</t>
  </si>
  <si>
    <t>First Financial Northwest Inc. Common Stock</t>
  </si>
  <si>
    <t>FFWM</t>
  </si>
  <si>
    <t>First Foundation Inc. Common Stock</t>
  </si>
  <si>
    <t>FGBI</t>
  </si>
  <si>
    <t>First Guaranty Bancshares Inc. Common Stock</t>
  </si>
  <si>
    <t>FGEN</t>
  </si>
  <si>
    <t>FibroGen Inc Common Stock</t>
  </si>
  <si>
    <t>FGMC</t>
  </si>
  <si>
    <t>FG Merger Corp. Common Stock</t>
  </si>
  <si>
    <t>FHB</t>
  </si>
  <si>
    <t>First Hawaiian Inc. Common Stock</t>
  </si>
  <si>
    <t>FHLT</t>
  </si>
  <si>
    <t>Future Health ESG Corp. Common stock</t>
  </si>
  <si>
    <t>FHTX</t>
  </si>
  <si>
    <t>Foghorn Therapeutics Inc. Common Stock</t>
  </si>
  <si>
    <t>FIAC</t>
  </si>
  <si>
    <t>Focus Impact Acquisition Corp. Class A Common Stock</t>
  </si>
  <si>
    <t>FIBK</t>
  </si>
  <si>
    <t>First Interstate BancSystem Inc. Class A Common Stock</t>
  </si>
  <si>
    <t>FICV</t>
  </si>
  <si>
    <t>Frontier Investment Corp Class A Ordinary Shares</t>
  </si>
  <si>
    <t>FINW</t>
  </si>
  <si>
    <t>FinWise Bancorp Common Stock</t>
  </si>
  <si>
    <t>FIP</t>
  </si>
  <si>
    <t xml:space="preserve">FTAI Infrastructure Inc. Common Stock </t>
  </si>
  <si>
    <t>FISI</t>
  </si>
  <si>
    <t>Financial Institutions Inc. Common Stock</t>
  </si>
  <si>
    <t>FISV</t>
  </si>
  <si>
    <t>Fiserv Inc. Common Stock</t>
  </si>
  <si>
    <t>FITB</t>
  </si>
  <si>
    <t>Fifth Third Bancorp Common Stock</t>
  </si>
  <si>
    <t>FIVE</t>
  </si>
  <si>
    <t>Five Below Inc. Common Stock</t>
  </si>
  <si>
    <t>FIVN</t>
  </si>
  <si>
    <t>Five9 Inc. Common Stock</t>
  </si>
  <si>
    <t>FIXX</t>
  </si>
  <si>
    <t>Homology Medicines Inc. Common Stock</t>
  </si>
  <si>
    <t>FIZZ</t>
  </si>
  <si>
    <t>National Beverage Corp. Common Stock</t>
  </si>
  <si>
    <t>FKWL</t>
  </si>
  <si>
    <t>Franklin Wireless Corp. Common Stock</t>
  </si>
  <si>
    <t>FLEX</t>
  </si>
  <si>
    <t>Flex Ltd. Ordinary Shares</t>
  </si>
  <si>
    <t>FLFV</t>
  </si>
  <si>
    <t>Feutune Light Acquisition Corporation Class A Common Stock</t>
  </si>
  <si>
    <t>FLGC</t>
  </si>
  <si>
    <t>Flora Growth Corp. Common Stock</t>
  </si>
  <si>
    <t>Fulgent Genetics Inc. Common Stock</t>
  </si>
  <si>
    <t>FLIC</t>
  </si>
  <si>
    <t>First of Long Island Corporation (The) Common Stock</t>
  </si>
  <si>
    <t>FLL</t>
  </si>
  <si>
    <t>Full House Resorts Inc. Common Stock</t>
  </si>
  <si>
    <t>FLNC</t>
  </si>
  <si>
    <t>Fluence Energy Inc. Class A Common Stock</t>
  </si>
  <si>
    <t>FLNT</t>
  </si>
  <si>
    <t>Fluent Inc. Common Stock</t>
  </si>
  <si>
    <t>FLUX</t>
  </si>
  <si>
    <t>Flux Power Holdings Inc. Common Stock</t>
  </si>
  <si>
    <t>FLWS</t>
  </si>
  <si>
    <t>1-800-FLOWERS.COM Inc. Common Stock</t>
  </si>
  <si>
    <t>FLXS</t>
  </si>
  <si>
    <t>Flexsteel Industries Inc. Common Stock</t>
  </si>
  <si>
    <t>FLYW</t>
  </si>
  <si>
    <t>Flywire Corporation Voting Common Stock</t>
  </si>
  <si>
    <t>FMAO</t>
  </si>
  <si>
    <t>Farmers &amp; Merchants Bancorp Inc. Common Stock</t>
  </si>
  <si>
    <t>FMBH</t>
  </si>
  <si>
    <t>First Mid Bancshares Inc. Common Stock</t>
  </si>
  <si>
    <t>FMIV</t>
  </si>
  <si>
    <t>Forum Merger IV Corporation Class A Common stock</t>
  </si>
  <si>
    <t>FMNB</t>
  </si>
  <si>
    <t>Farmers National Banc Corp. Common Stock</t>
  </si>
  <si>
    <t>FNCB</t>
  </si>
  <si>
    <t>FNCB Bancorp Inc. Common Stock</t>
  </si>
  <si>
    <t>FNGR</t>
  </si>
  <si>
    <t>FingerMotion Inc. Common Stock</t>
  </si>
  <si>
    <t>FNKO</t>
  </si>
  <si>
    <t>Funko Inc. Class A Common Stock</t>
  </si>
  <si>
    <t>FNLC</t>
  </si>
  <si>
    <t>First Bancorp Inc  (ME) Common Stock</t>
  </si>
  <si>
    <t>FNWB</t>
  </si>
  <si>
    <t>First Northwest Bancorp Common Stock</t>
  </si>
  <si>
    <t>FNWD</t>
  </si>
  <si>
    <t>Finward Bancorp Common Stock</t>
  </si>
  <si>
    <t>FOCS</t>
  </si>
  <si>
    <t>Focus Financial Partners Inc. Class A Common Stock</t>
  </si>
  <si>
    <t>FOLD</t>
  </si>
  <si>
    <t>Amicus Therapeutics Inc. Common Stock</t>
  </si>
  <si>
    <t>FONR</t>
  </si>
  <si>
    <t>Fonar Corporation Common Stock</t>
  </si>
  <si>
    <t>FORA</t>
  </si>
  <si>
    <t>Forian Inc. Common Stock</t>
  </si>
  <si>
    <t>FORM</t>
  </si>
  <si>
    <t>FormFactor Inc. FormFactor Inc. Common Stock</t>
  </si>
  <si>
    <t>FORR</t>
  </si>
  <si>
    <t>Forrester Research Inc. Common Stock</t>
  </si>
  <si>
    <t>FOSL</t>
  </si>
  <si>
    <t>Fossil Group Inc. Common Stock</t>
  </si>
  <si>
    <t>FOX</t>
  </si>
  <si>
    <t>Fox Corporation Class B Common Stock</t>
  </si>
  <si>
    <t>FOXA</t>
  </si>
  <si>
    <t>Fox Corporation Class A Common Stock</t>
  </si>
  <si>
    <t>FOXF</t>
  </si>
  <si>
    <t>Fox Factory Holding Corp. Common Stock</t>
  </si>
  <si>
    <t>FRAF</t>
  </si>
  <si>
    <t>Franklin Financial Services Corporation Common Stock</t>
  </si>
  <si>
    <t>FRBA</t>
  </si>
  <si>
    <t>First Bank Common Stock</t>
  </si>
  <si>
    <t>FRBK</t>
  </si>
  <si>
    <t>Republic First Bancorp Inc. Common Stock</t>
  </si>
  <si>
    <t>FRBN</t>
  </si>
  <si>
    <t>Forbion European Acquisition Corp. Class A Ordinary Shares</t>
  </si>
  <si>
    <t>FREE</t>
  </si>
  <si>
    <t>Whole Earth Brands Inc. Class A Common Stock</t>
  </si>
  <si>
    <t>FREQ</t>
  </si>
  <si>
    <t>Frequency Therapeutics Inc. Common Stock</t>
  </si>
  <si>
    <t>FRG</t>
  </si>
  <si>
    <t>Franchise Group Inc. Common Stock</t>
  </si>
  <si>
    <t>FRGI</t>
  </si>
  <si>
    <t>Fiesta Restaurant Group Inc. Common Stock</t>
  </si>
  <si>
    <t>FRME</t>
  </si>
  <si>
    <t>First Merchants Corporation Common Stock</t>
  </si>
  <si>
    <t>FROG</t>
  </si>
  <si>
    <t>JFrog Ltd. Ordinary Shares</t>
  </si>
  <si>
    <t>FRON</t>
  </si>
  <si>
    <t>Frontier Acquisition Corp. Class A Ordinary Shares</t>
  </si>
  <si>
    <t>FRPH</t>
  </si>
  <si>
    <t>FRP Holdings Inc. Common Stock</t>
  </si>
  <si>
    <t>FRPT</t>
  </si>
  <si>
    <t>Freshpet Inc. Common Stock</t>
  </si>
  <si>
    <t>FRSG</t>
  </si>
  <si>
    <t>First Reserve Sustainable Growth Corp. Class A Common Stock</t>
  </si>
  <si>
    <t>FRSH</t>
  </si>
  <si>
    <t>Freshworks Inc. Class A Common Stock</t>
  </si>
  <si>
    <t>FRST</t>
  </si>
  <si>
    <t>Primis Financial Corp. Common Stock</t>
  </si>
  <si>
    <t>FSBC</t>
  </si>
  <si>
    <t>Five Star Bancorp Common Stock</t>
  </si>
  <si>
    <t>FSBW</t>
  </si>
  <si>
    <t>FS Bancorp Inc. Common Stock</t>
  </si>
  <si>
    <t>FSEA</t>
  </si>
  <si>
    <t>First Seacoast Bancorp Inc. Common Stock</t>
  </si>
  <si>
    <t>FSFG</t>
  </si>
  <si>
    <t>First Savings Financial Group Inc. Common Stock</t>
  </si>
  <si>
    <t>FSLR</t>
  </si>
  <si>
    <t>First Solar Inc. Common Stock</t>
  </si>
  <si>
    <t>FSRX</t>
  </si>
  <si>
    <t>FinServ Acquisition Corp. II Class A Common Stock</t>
  </si>
  <si>
    <t>FSTR</t>
  </si>
  <si>
    <t>L.B. Foster Company Common Stock</t>
  </si>
  <si>
    <t>FSTX</t>
  </si>
  <si>
    <t>F-star Therapeutics Inc. Common Stock</t>
  </si>
  <si>
    <t>FSV</t>
  </si>
  <si>
    <t>FirstService Corporation Common Shares</t>
  </si>
  <si>
    <t>FTAA</t>
  </si>
  <si>
    <t>FTAC Athena Acquisition Corp. Class A Ordinary Share</t>
  </si>
  <si>
    <t>FTAI</t>
  </si>
  <si>
    <t>FTAI Aviation Ltd. Common Stock</t>
  </si>
  <si>
    <t>FTCI</t>
  </si>
  <si>
    <t>FTC Solar Inc. Common Stock</t>
  </si>
  <si>
    <t>FTDR</t>
  </si>
  <si>
    <t>Frontdoor Inc. Common Stock</t>
  </si>
  <si>
    <t>FTHM</t>
  </si>
  <si>
    <t>Fathom Holdings Inc. Common Stock</t>
  </si>
  <si>
    <t>FTII</t>
  </si>
  <si>
    <t>FutureTech II Acquisition Corp. Class A Common Stock</t>
  </si>
  <si>
    <t>FTNT</t>
  </si>
  <si>
    <t>Fortinet Inc. Common Stock</t>
  </si>
  <si>
    <t>FTPA</t>
  </si>
  <si>
    <t>FTAC Parnassus Acquisition Corp. Class A Common Stock</t>
  </si>
  <si>
    <t>FULC</t>
  </si>
  <si>
    <t>Fulcrum Therapeutics Inc. Common Stock</t>
  </si>
  <si>
    <t>FULT</t>
  </si>
  <si>
    <t>Fulton Financial Corporation Common Stock</t>
  </si>
  <si>
    <t>FUNC</t>
  </si>
  <si>
    <t>First United Corporation Common Stock</t>
  </si>
  <si>
    <t>FUND</t>
  </si>
  <si>
    <t>Sprott Focus Trust Inc. Common Stock</t>
  </si>
  <si>
    <t>FUSB</t>
  </si>
  <si>
    <t>First US Bancshares Inc. Common Stock</t>
  </si>
  <si>
    <t>FUSN</t>
  </si>
  <si>
    <t>Fusion Pharmaceuticals Inc. Common Shares</t>
  </si>
  <si>
    <t>FUTU</t>
  </si>
  <si>
    <t>Futu Holdings Limited American Depositary Shares</t>
  </si>
  <si>
    <t>FVCB</t>
  </si>
  <si>
    <t>FVCBankcorp Inc. Common Stock</t>
  </si>
  <si>
    <t>FWAC</t>
  </si>
  <si>
    <t>Fifth Wall Acquisition Corp. III Class A Ordinary Shares</t>
  </si>
  <si>
    <t>FWONA</t>
  </si>
  <si>
    <t>Liberty Media Corporation Series A Liberty Formula One Common Stock</t>
  </si>
  <si>
    <t>FWONK</t>
  </si>
  <si>
    <t>Liberty Media Corporation Series C Liberty Formula One Common Stock</t>
  </si>
  <si>
    <t>FWRD</t>
  </si>
  <si>
    <t>Forward Air Corporation Common Stock</t>
  </si>
  <si>
    <t>FWRG</t>
  </si>
  <si>
    <t>First Watch Restaurant Group Inc. Common Stock</t>
  </si>
  <si>
    <t>FXNC</t>
  </si>
  <si>
    <t>First National Corporation Common Stock</t>
  </si>
  <si>
    <t>FYBR</t>
  </si>
  <si>
    <t>Frontier Communications Parent Inc. Common Stock</t>
  </si>
  <si>
    <t>GABC</t>
  </si>
  <si>
    <t>German American Bancorp Inc. Common Stock</t>
  </si>
  <si>
    <t>GAIA</t>
  </si>
  <si>
    <t>Gaia Inc. Class A Common Stock</t>
  </si>
  <si>
    <t>GAIN</t>
  </si>
  <si>
    <t>Gladstone Investment Corporation Business Development Company</t>
  </si>
  <si>
    <t>GALT</t>
  </si>
  <si>
    <t>Galectin Therapeutics Inc. Common Stock</t>
  </si>
  <si>
    <t>GAMB</t>
  </si>
  <si>
    <t>Gambling.com Group Limited Ordinary Shares</t>
  </si>
  <si>
    <t>GAMC</t>
  </si>
  <si>
    <t>Golden Arrow Merger Corp. Class A Common Stock</t>
  </si>
  <si>
    <t>GAN</t>
  </si>
  <si>
    <t>GAN Limited Ordinary Shares</t>
  </si>
  <si>
    <t>Computer Software: Programming Data Processing</t>
  </si>
  <si>
    <t>GASS</t>
  </si>
  <si>
    <t>StealthGas Inc. Common Stock</t>
  </si>
  <si>
    <t>GATE</t>
  </si>
  <si>
    <t>Marblegate Acquisition Corp. Class A Common Stock</t>
  </si>
  <si>
    <t>GBBK</t>
  </si>
  <si>
    <t>Global Blockchain Acquisition Corp. Common Stock</t>
  </si>
  <si>
    <t>GBDC</t>
  </si>
  <si>
    <t>Golub Capital BDC Inc. Common Stock</t>
  </si>
  <si>
    <t>GBIO</t>
  </si>
  <si>
    <t>Generation Bio Co. Common Stock</t>
  </si>
  <si>
    <t>GBNH</t>
  </si>
  <si>
    <t>Greenbrook TMS Inc. Common Shares</t>
  </si>
  <si>
    <t>GBRG</t>
  </si>
  <si>
    <t>Goldenbridge Acquisition Limited Ordinary Shares</t>
  </si>
  <si>
    <t>GCBC</t>
  </si>
  <si>
    <t>Greene County Bancorp Inc. Common Stock</t>
  </si>
  <si>
    <t>GCMG</t>
  </si>
  <si>
    <t>GCM Grosvenor Inc. Class A Common Stock</t>
  </si>
  <si>
    <t>GCT</t>
  </si>
  <si>
    <t>GigaCloud Technology Inc Class A Ordinary Shares</t>
  </si>
  <si>
    <t>GDEN</t>
  </si>
  <si>
    <t>Golden Entertainment Inc. Common Stock</t>
  </si>
  <si>
    <t>GDRX</t>
  </si>
  <si>
    <t>GoodRx Holdings Inc. Class A Common Stock</t>
  </si>
  <si>
    <t>GDST</t>
  </si>
  <si>
    <t>Goldenstone Acquisition Limited Common Stock</t>
  </si>
  <si>
    <t>GDYN</t>
  </si>
  <si>
    <t>Grid Dynamics Holdings Inc. Class A Common Stock</t>
  </si>
  <si>
    <t>GECC</t>
  </si>
  <si>
    <t>Great Elm Capital Corp. Common Stock</t>
  </si>
  <si>
    <t>GEEX</t>
  </si>
  <si>
    <t>Games &amp; Esports Experience Acquisition Corp. Class A Ordinary Shares</t>
  </si>
  <si>
    <t>GEG</t>
  </si>
  <si>
    <t>Great Elm Group Inc. Common Stock</t>
  </si>
  <si>
    <t>GEHC</t>
  </si>
  <si>
    <t xml:space="preserve">GE HealthCare Technologies Inc. Common Stock </t>
  </si>
  <si>
    <t>GEN</t>
  </si>
  <si>
    <t>Gen Digital Inc. Common Stock</t>
  </si>
  <si>
    <t>GENQ</t>
  </si>
  <si>
    <t>Genesis Unicorn Capital Corp. Class A Common Stock</t>
  </si>
  <si>
    <t>GEOS</t>
  </si>
  <si>
    <t>Geospace Technologies Corporation Common Stock (Texas)</t>
  </si>
  <si>
    <t>GERN</t>
  </si>
  <si>
    <t>Geron Corporation Common Stock</t>
  </si>
  <si>
    <t>GEVO</t>
  </si>
  <si>
    <t>Gevo Inc. Common Stock</t>
  </si>
  <si>
    <t>GFGD</t>
  </si>
  <si>
    <t>The Growth for Good Acquisition Corporation Class A Ordinary Shares</t>
  </si>
  <si>
    <t>GFS</t>
  </si>
  <si>
    <t>GlobalFoundries Inc. Ordinary Shares</t>
  </si>
  <si>
    <t>GGAA</t>
  </si>
  <si>
    <t>Genesis Growth Tech Acquisition Corp. Class A Ordinary Shares</t>
  </si>
  <si>
    <t>GGR</t>
  </si>
  <si>
    <t>Gogoro Inc. Ordinary Shares</t>
  </si>
  <si>
    <t>GH</t>
  </si>
  <si>
    <t>Guardant Health Inc. Common Stock</t>
  </si>
  <si>
    <t>GHIX</t>
  </si>
  <si>
    <t>Gores Holdings IX Inc. Class A Common Stock</t>
  </si>
  <si>
    <t>GHRS</t>
  </si>
  <si>
    <t>GH Research PLC Ordinary Shares</t>
  </si>
  <si>
    <t>GIFI</t>
  </si>
  <si>
    <t>Gulf Island Fabrication Inc. Common Stock</t>
  </si>
  <si>
    <t>GIII</t>
  </si>
  <si>
    <t>G-III Apparel Group LTD. Common Stock</t>
  </si>
  <si>
    <t>GILD</t>
  </si>
  <si>
    <t>Gilead Sciences Inc. Common Stock</t>
  </si>
  <si>
    <t>GLAD</t>
  </si>
  <si>
    <t>Gladstone Capital Corporation Common Stock</t>
  </si>
  <si>
    <t>GLDD</t>
  </si>
  <si>
    <t>Great Lakes Dredge &amp; Dock Corporation Common Stock</t>
  </si>
  <si>
    <t>GLLI</t>
  </si>
  <si>
    <t>Globalink Investment Inc. Common Stock</t>
  </si>
  <si>
    <t>GLPG</t>
  </si>
  <si>
    <t>Galapagos NV American Depositary Shares</t>
  </si>
  <si>
    <t>GLPI</t>
  </si>
  <si>
    <t>Gaming and Leisure Properties Inc. Common Stock</t>
  </si>
  <si>
    <t>GLSI</t>
  </si>
  <si>
    <t>Greenwich LifeSciences Inc. Common Stock</t>
  </si>
  <si>
    <t>GLST</t>
  </si>
  <si>
    <t>Global Star Acquisition Inc. Class A Common Stock</t>
  </si>
  <si>
    <t>GLTO</t>
  </si>
  <si>
    <t>Galecto Inc. Common Stock</t>
  </si>
  <si>
    <t>GLUE</t>
  </si>
  <si>
    <t>Monte Rosa Therapeutics Inc. Common Stock</t>
  </si>
  <si>
    <t>GLYC</t>
  </si>
  <si>
    <t>GlycoMimetics Inc. Common Stock</t>
  </si>
  <si>
    <t>GMAB</t>
  </si>
  <si>
    <t>Genmab A/S ADS</t>
  </si>
  <si>
    <t>GMFI</t>
  </si>
  <si>
    <t>Aetherium Acquisition Corp. Class A Common Stock</t>
  </si>
  <si>
    <t>GMGI</t>
  </si>
  <si>
    <t>Golden Matrix Group Inc. Common Stock</t>
  </si>
  <si>
    <t>GNFT</t>
  </si>
  <si>
    <t>GENFIT S.A. American Depositary Shares</t>
  </si>
  <si>
    <t>GNLX</t>
  </si>
  <si>
    <t>Genelux Corporation Common Stock</t>
  </si>
  <si>
    <t>GNPX</t>
  </si>
  <si>
    <t>Genprex Inc. Common Stock</t>
  </si>
  <si>
    <t>GNSS</t>
  </si>
  <si>
    <t>Genasys Inc. Common Stock</t>
  </si>
  <si>
    <t>GNTA</t>
  </si>
  <si>
    <t>Genenta Science S.p.A. American Depositary Shares</t>
  </si>
  <si>
    <t>GNTX</t>
  </si>
  <si>
    <t>Gentex Corporation Common Stock</t>
  </si>
  <si>
    <t>GNTY</t>
  </si>
  <si>
    <t>Guaranty Bancshares Inc. Common Stock</t>
  </si>
  <si>
    <t>GNUS</t>
  </si>
  <si>
    <t>Genius Brands International Inc. Common Stock</t>
  </si>
  <si>
    <t>Publishing</t>
  </si>
  <si>
    <t>GO</t>
  </si>
  <si>
    <t>Grocery Outlet Holding Corp. Common Stock</t>
  </si>
  <si>
    <t>GOCO</t>
  </si>
  <si>
    <t>GoHealth Inc. Class A Common Stock</t>
  </si>
  <si>
    <t>GOEV</t>
  </si>
  <si>
    <t>Canoo Inc. Class A Common Stock</t>
  </si>
  <si>
    <t>GOGO</t>
  </si>
  <si>
    <t>Gogo Inc. Common Stock</t>
  </si>
  <si>
    <t>GOOD</t>
  </si>
  <si>
    <t>Gladstone Commercial Corporation Real Estate Investment Trust</t>
  </si>
  <si>
    <t>GOOG</t>
  </si>
  <si>
    <t>Alphabet Inc. Class C Capital Stock</t>
  </si>
  <si>
    <t>GOOGL</t>
  </si>
  <si>
    <t>Alphabet Inc. Class A Common Stock</t>
  </si>
  <si>
    <t>GOSS</t>
  </si>
  <si>
    <t>Gossamer Bio Inc. Common Stock</t>
  </si>
  <si>
    <t>GP</t>
  </si>
  <si>
    <t>GreenPower Motor Company Inc. Common Shares</t>
  </si>
  <si>
    <t>GPAC</t>
  </si>
  <si>
    <t>Global Partner Acquisition Corp II Class A Ordinary Share</t>
  </si>
  <si>
    <t>GPP</t>
  </si>
  <si>
    <t>Green Plains Partners LP Common Units</t>
  </si>
  <si>
    <t>GPRE</t>
  </si>
  <si>
    <t>Green Plains Inc. Common Stock</t>
  </si>
  <si>
    <t>GoPro Inc. Class A Common Stock</t>
  </si>
  <si>
    <t>GRAB</t>
  </si>
  <si>
    <t>Grab Holdings Limited Class A Ordinary Shares</t>
  </si>
  <si>
    <t>GRFS</t>
  </si>
  <si>
    <t>Grifols S.A. American Depositary Shares</t>
  </si>
  <si>
    <t>GRIN</t>
  </si>
  <si>
    <t>Grindrod Shipping Holdings Ltd. Ordinary Shares</t>
  </si>
  <si>
    <t>GRNA</t>
  </si>
  <si>
    <t>GreenLight Biosciences Holdings PBC Common Stock</t>
  </si>
  <si>
    <t>GROW</t>
  </si>
  <si>
    <t>U.S. Global Investors Inc. Class A Common Stock</t>
  </si>
  <si>
    <t>GRPH</t>
  </si>
  <si>
    <t>Graphite Bio Inc. Common Stock</t>
  </si>
  <si>
    <t>GRPN</t>
  </si>
  <si>
    <t>Groupon Inc. Common Stock</t>
  </si>
  <si>
    <t>GRRR</t>
  </si>
  <si>
    <t>Gorilla Technology Group Inc. Ordinary shares</t>
  </si>
  <si>
    <t>GRTS</t>
  </si>
  <si>
    <t>Gritstone bio Inc. Common Stock</t>
  </si>
  <si>
    <t>GRTX</t>
  </si>
  <si>
    <t>Galera Therapeutics Inc. Common Stock</t>
  </si>
  <si>
    <t>GRVY</t>
  </si>
  <si>
    <t>GRAVITY Co. Ltd. American Depository Shares</t>
  </si>
  <si>
    <t>GRWG</t>
  </si>
  <si>
    <t>GrowGeneration Corp. Common Stock</t>
  </si>
  <si>
    <t>GSBC</t>
  </si>
  <si>
    <t>Great Southern Bancorp Inc. Common Stock</t>
  </si>
  <si>
    <t>GSD</t>
  </si>
  <si>
    <t>Global Systems Dynamics Inc. Class A Common Stock</t>
  </si>
  <si>
    <t>GSHD</t>
  </si>
  <si>
    <t>Goosehead Insurance Inc. Class A Common Stock</t>
  </si>
  <si>
    <t>GSM</t>
  </si>
  <si>
    <t>Ferroglobe PLC Ordinary Shares</t>
  </si>
  <si>
    <t>GSRM</t>
  </si>
  <si>
    <t>GSR II Meteora Acquisition Corp. Class A Common Stock</t>
  </si>
  <si>
    <t>GT</t>
  </si>
  <si>
    <t>The Goodyear Tire &amp; Rubber Company Common Stock</t>
  </si>
  <si>
    <t>GTAC</t>
  </si>
  <si>
    <t>Global Technology Acquisition Corp. I Class A Ordinary Shares</t>
  </si>
  <si>
    <t>GTACU</t>
  </si>
  <si>
    <t>Global Technology Acquisition Corp. I Unit</t>
  </si>
  <si>
    <t>GTHX</t>
  </si>
  <si>
    <t>G1 Therapeutics Inc. Common Stock</t>
  </si>
  <si>
    <t>GTLB</t>
  </si>
  <si>
    <t>GitLab Inc. Class A Common Stock</t>
  </si>
  <si>
    <t>Garrett Motion Inc. Common Stock</t>
  </si>
  <si>
    <t>GVCI</t>
  </si>
  <si>
    <t>Green Visor Financial Technology Acquisition Corp. I Class A Ordinary Shares</t>
  </si>
  <si>
    <t>GWII</t>
  </si>
  <si>
    <t>Good Works II Acquisition Corp. Common Stock</t>
  </si>
  <si>
    <t>GWRS</t>
  </si>
  <si>
    <t>Global Water Resources Inc. Common Stock</t>
  </si>
  <si>
    <t>GXII</t>
  </si>
  <si>
    <t>GX Acquisition Corp. II Class A Common Stock</t>
  </si>
  <si>
    <t>HA</t>
  </si>
  <si>
    <t>Hawaiian Holdings Inc. Common Stock</t>
  </si>
  <si>
    <t>HAFC</t>
  </si>
  <si>
    <t>Hanmi Financial Corporation Common Stock</t>
  </si>
  <si>
    <t>HAIN</t>
  </si>
  <si>
    <t>Hain Celestial Group Inc. (The) Common Stock</t>
  </si>
  <si>
    <t>HALO</t>
  </si>
  <si>
    <t>Halozyme Therapeutics Inc. Common Stock</t>
  </si>
  <si>
    <t>HAS</t>
  </si>
  <si>
    <t>Hasbro Inc. Common Stock</t>
  </si>
  <si>
    <t>HAYN</t>
  </si>
  <si>
    <t>Haynes International Inc. Common Stock</t>
  </si>
  <si>
    <t>HBAN</t>
  </si>
  <si>
    <t>Huntington Bancshares Incorporated Common Stock</t>
  </si>
  <si>
    <t>HBCP</t>
  </si>
  <si>
    <t>Home Bancorp Inc. Common Stock</t>
  </si>
  <si>
    <t>HBIO</t>
  </si>
  <si>
    <t>Harvard Bioscience Inc. Common Stock</t>
  </si>
  <si>
    <t>HBNC</t>
  </si>
  <si>
    <t>Horizon Bancorp Inc. Common Stock</t>
  </si>
  <si>
    <t>HBT</t>
  </si>
  <si>
    <t>HBT Financial Inc. Common Stock</t>
  </si>
  <si>
    <t>HCAT</t>
  </si>
  <si>
    <t>Health Catalyst Inc Common Stock</t>
  </si>
  <si>
    <t>HCCI</t>
  </si>
  <si>
    <t>Heritage-Crystal Clean Inc. Common Stock</t>
  </si>
  <si>
    <t>HCKT</t>
  </si>
  <si>
    <t>Hackett Group Inc (The). Common Stock</t>
  </si>
  <si>
    <t>HCM</t>
  </si>
  <si>
    <t>HUTCHMED (China) Limited American Depositary Shares</t>
  </si>
  <si>
    <t>HCMA</t>
  </si>
  <si>
    <t>HCM Acquisition Corp Class A Ordinary Shares</t>
  </si>
  <si>
    <t>HCNE</t>
  </si>
  <si>
    <t>Jaws Hurricane Acquisition Corp. Class A Common Stock</t>
  </si>
  <si>
    <t>HCP</t>
  </si>
  <si>
    <t>HashiCorp Inc. Class A Common Stock</t>
  </si>
  <si>
    <t>HCSG</t>
  </si>
  <si>
    <t>Healthcare Services Group Inc. Common Stock</t>
  </si>
  <si>
    <t>HCVI</t>
  </si>
  <si>
    <t>Hennessy Capital Investment Corp. VI Class A Common Stock</t>
  </si>
  <si>
    <t>HCWB</t>
  </si>
  <si>
    <t>HCW Biologics Inc. Common Stock</t>
  </si>
  <si>
    <t>Hudson Technologies Inc. Common Stock</t>
  </si>
  <si>
    <t>HEAR</t>
  </si>
  <si>
    <t>Turtle Beach Corporation Common Stock</t>
  </si>
  <si>
    <t>HEES</t>
  </si>
  <si>
    <t>H&amp;E Equipment Services Inc. Common Stock</t>
  </si>
  <si>
    <t>HEPA</t>
  </si>
  <si>
    <t>Hepion Pharmaceuticals Inc. Common Stock</t>
  </si>
  <si>
    <t>HERA</t>
  </si>
  <si>
    <t>FTAC Hera Acquisition Corp. Class A Ordinary Shares</t>
  </si>
  <si>
    <t>HEXO</t>
  </si>
  <si>
    <t>HEXO Corp. Common Shares</t>
  </si>
  <si>
    <t>HFBL</t>
  </si>
  <si>
    <t>Home Federal Bancorp Inc. of Louisiana Common Stock</t>
  </si>
  <si>
    <t>HFFG</t>
  </si>
  <si>
    <t>HF Foods Group Inc. Common Stock</t>
  </si>
  <si>
    <t>HFWA</t>
  </si>
  <si>
    <t>Heritage Financial Corporation Common Stock</t>
  </si>
  <si>
    <t>HGBL</t>
  </si>
  <si>
    <t>Heritage Global Inc. Common Stock</t>
  </si>
  <si>
    <t>HHGC</t>
  </si>
  <si>
    <t>HHG Capital Corporation Ordinary Shares</t>
  </si>
  <si>
    <t>HHS</t>
  </si>
  <si>
    <t>Harte-Hanks Inc. Common Stock</t>
  </si>
  <si>
    <t>HIBB</t>
  </si>
  <si>
    <t>Hibbett Inc. Common Stock</t>
  </si>
  <si>
    <t>HIFS</t>
  </si>
  <si>
    <t>Hingham Institution for Savings Common Stock</t>
  </si>
  <si>
    <t>HIMX</t>
  </si>
  <si>
    <t>Himax Technologies Inc. American Depositary Shares</t>
  </si>
  <si>
    <t>HITI</t>
  </si>
  <si>
    <t>High Tide Inc. Common Shares</t>
  </si>
  <si>
    <t>HIVE</t>
  </si>
  <si>
    <t>Hive Blockchain Technologies Ltd. Common Shares</t>
  </si>
  <si>
    <t>HLIT</t>
  </si>
  <si>
    <t>Harmonic Inc. Common Stock</t>
  </si>
  <si>
    <t>HLMN</t>
  </si>
  <si>
    <t>Hillman Solutions Corp. Common Stock</t>
  </si>
  <si>
    <t>HLNE</t>
  </si>
  <si>
    <t>Hamilton Lane Incorporated Class A Common Stock</t>
  </si>
  <si>
    <t>HLTH</t>
  </si>
  <si>
    <t>Cue Health Inc. Common Stock</t>
  </si>
  <si>
    <t>HLVX</t>
  </si>
  <si>
    <t>HilleVax Inc. Common Stock</t>
  </si>
  <si>
    <t>HMNF</t>
  </si>
  <si>
    <t>HMN Financial Inc. Common Stock</t>
  </si>
  <si>
    <t>HMPT</t>
  </si>
  <si>
    <t>Home Point Capital Inc Common Stock</t>
  </si>
  <si>
    <t>HMST</t>
  </si>
  <si>
    <t>HomeStreet Inc. Common Stock</t>
  </si>
  <si>
    <t>HNNA</t>
  </si>
  <si>
    <t>Hennessy Advisors Inc. Common Stock</t>
  </si>
  <si>
    <t>HNRG</t>
  </si>
  <si>
    <t>Hallador Energy Company Common Stock</t>
  </si>
  <si>
    <t>HNST</t>
  </si>
  <si>
    <t>The Honest Company Inc. Common Stock</t>
  </si>
  <si>
    <t>HNVR</t>
  </si>
  <si>
    <t>Hanover Bancorp Inc. Common Stock</t>
  </si>
  <si>
    <t>HOFT</t>
  </si>
  <si>
    <t>Hooker Furnishings Corporation Common Stock</t>
  </si>
  <si>
    <t>HOFV</t>
  </si>
  <si>
    <t>Hall of Fame Resort &amp; Entertainment Company Common Stock</t>
  </si>
  <si>
    <t>HOLO</t>
  </si>
  <si>
    <t>MicroCloud Hologram Inc. Ordinary Shares</t>
  </si>
  <si>
    <t>HOLX</t>
  </si>
  <si>
    <t>Hologic Inc. Common Stock</t>
  </si>
  <si>
    <t>Medical Electronics</t>
  </si>
  <si>
    <t>HON</t>
  </si>
  <si>
    <t>Honeywell International Inc. Common Stock</t>
  </si>
  <si>
    <t>HONE</t>
  </si>
  <si>
    <t>HarborOne Bancorp Inc. Common Stock</t>
  </si>
  <si>
    <t>HOOD</t>
  </si>
  <si>
    <t>Robinhood Markets Inc. Class A Common Stock</t>
  </si>
  <si>
    <t>HOOK</t>
  </si>
  <si>
    <t>HOOKIPA Pharma Inc. Common Stock</t>
  </si>
  <si>
    <t>HOPE</t>
  </si>
  <si>
    <t>Hope Bancorp Inc. Common Stock</t>
  </si>
  <si>
    <t>HOUR</t>
  </si>
  <si>
    <t>Hour Loop Inc. Common Stock</t>
  </si>
  <si>
    <t>HOWL</t>
  </si>
  <si>
    <t>Werewolf Therapeutics Inc. Common Stock</t>
  </si>
  <si>
    <t>HPK</t>
  </si>
  <si>
    <t>HighPeak Energy Inc. Common Stock</t>
  </si>
  <si>
    <t>HPLT</t>
  </si>
  <si>
    <t>Home Plate Acquisition Corporation Class A Common Stock</t>
  </si>
  <si>
    <t>HQI</t>
  </si>
  <si>
    <t>HireQuest Inc. Common Stock (DE)</t>
  </si>
  <si>
    <t>HQY</t>
  </si>
  <si>
    <t>HealthEquity Inc. Common Stock</t>
  </si>
  <si>
    <t>HRMY</t>
  </si>
  <si>
    <t>Harmony Biosciences Holdings Inc. Common Stock</t>
  </si>
  <si>
    <t>HROW</t>
  </si>
  <si>
    <t>Harrow Health Inc. Common Stock</t>
  </si>
  <si>
    <t>HRTX</t>
  </si>
  <si>
    <t>Heron Therapeutics Inc. Common Stock</t>
  </si>
  <si>
    <t>HRZN</t>
  </si>
  <si>
    <t>Horizon Technology Finance Corporation Common Stock</t>
  </si>
  <si>
    <t>HSIC</t>
  </si>
  <si>
    <t>Henry Schein Inc. Common Stock</t>
  </si>
  <si>
    <t>Heidrick &amp; Struggles International Inc. Common Stock</t>
  </si>
  <si>
    <t>HSKA</t>
  </si>
  <si>
    <t>Heska Corporation Common Stock</t>
  </si>
  <si>
    <t>HSON</t>
  </si>
  <si>
    <t>Hudson Global Inc. Common Stock</t>
  </si>
  <si>
    <t>HST</t>
  </si>
  <si>
    <t>Host Hotels &amp; Resorts Inc. Common Stock</t>
  </si>
  <si>
    <t>HSTM</t>
  </si>
  <si>
    <t>HealthStream Inc. Common Stock</t>
  </si>
  <si>
    <t>HTBI</t>
  </si>
  <si>
    <t>HomeTrust Bancshares Inc. Common Stock</t>
  </si>
  <si>
    <t>HTBK</t>
  </si>
  <si>
    <t>Heritage Commerce Corp Common Stock</t>
  </si>
  <si>
    <t>HTLD</t>
  </si>
  <si>
    <t>Heartland Express Inc. Common Stock</t>
  </si>
  <si>
    <t>HTLF</t>
  </si>
  <si>
    <t>Heartland Financial USA Inc. Common Stock</t>
  </si>
  <si>
    <t>HTOO</t>
  </si>
  <si>
    <t>Fusion Fuel Green PLC Class A Ordinary Shares</t>
  </si>
  <si>
    <t>HTZ</t>
  </si>
  <si>
    <t>Hertz Global Holdings Inc Common Stock</t>
  </si>
  <si>
    <t>HUBG</t>
  </si>
  <si>
    <t>Hub Group Inc. Class A Common Stock</t>
  </si>
  <si>
    <t>HUMA</t>
  </si>
  <si>
    <t>Humacyte Inc. Common Stock</t>
  </si>
  <si>
    <t>HURC</t>
  </si>
  <si>
    <t>Hurco Companies Inc. Common Stock</t>
  </si>
  <si>
    <t>HURN</t>
  </si>
  <si>
    <t>Huron Consulting Group Inc. Common Stock</t>
  </si>
  <si>
    <t>HUT</t>
  </si>
  <si>
    <t>Hut 8 Mining Corp. Common Shares</t>
  </si>
  <si>
    <t>HVBC</t>
  </si>
  <si>
    <t>HV Bancorp Inc. Common Stock</t>
  </si>
  <si>
    <t>HWBK</t>
  </si>
  <si>
    <t>Hawthorn Bancshares Inc. Common Stock</t>
  </si>
  <si>
    <t>HWC</t>
  </si>
  <si>
    <t>Hancock Whitney Corporation Common Stock</t>
  </si>
  <si>
    <t>HWEL</t>
  </si>
  <si>
    <t>Healthwell Acquisition Corp. I Class A Common Stock</t>
  </si>
  <si>
    <t>HWKN</t>
  </si>
  <si>
    <t>Hawkins Inc. Common Stock</t>
  </si>
  <si>
    <t>HYFM</t>
  </si>
  <si>
    <t>Hydrofarm Holdings Group Inc. Common Stock</t>
  </si>
  <si>
    <t>HYPR</t>
  </si>
  <si>
    <t>Hyperfine Inc. Class A Common Stock</t>
  </si>
  <si>
    <t>HYZN</t>
  </si>
  <si>
    <t>Hyzon Motors Inc. Class A Common Stock</t>
  </si>
  <si>
    <t>HZNP</t>
  </si>
  <si>
    <t>Horizon Therapeutics Public Limited Company Ordinary Shares</t>
  </si>
  <si>
    <t>IAC</t>
  </si>
  <si>
    <t>IAC Inc. Common Stock</t>
  </si>
  <si>
    <t>IART</t>
  </si>
  <si>
    <t>Integra LifeSciences Holdings Corporation Common Stock</t>
  </si>
  <si>
    <t>IAS</t>
  </si>
  <si>
    <t>Integral Ad Science Holding Corp. Common Stock</t>
  </si>
  <si>
    <t>IBCP</t>
  </si>
  <si>
    <t>Independent Bank Corporation Common Stock</t>
  </si>
  <si>
    <t>IBKR</t>
  </si>
  <si>
    <t>Interactive Brokers Group Inc. Class A Common Stock</t>
  </si>
  <si>
    <t>IBOC</t>
  </si>
  <si>
    <t>International Bancshares Corporation Common Stock</t>
  </si>
  <si>
    <t>IBRX</t>
  </si>
  <si>
    <t>ImmunityBio Inc. Common Stock</t>
  </si>
  <si>
    <t>IBTX</t>
  </si>
  <si>
    <t>Independent Bank Group Inc Common Stock</t>
  </si>
  <si>
    <t>ICAD</t>
  </si>
  <si>
    <t>iCAD Inc. Common Stock</t>
  </si>
  <si>
    <t>ICCC</t>
  </si>
  <si>
    <t>ImmuCell Corporation Common Stock</t>
  </si>
  <si>
    <t>ICFI</t>
  </si>
  <si>
    <t>ICF International Inc. Common Stock</t>
  </si>
  <si>
    <t>ICHR</t>
  </si>
  <si>
    <t>Ichor Holdings Ordinary Shares</t>
  </si>
  <si>
    <t>ICLR</t>
  </si>
  <si>
    <t>ICON plc Ordinary Shares</t>
  </si>
  <si>
    <t>ICMB</t>
  </si>
  <si>
    <t>Investcorp Credit Management BDC Inc. Common Stock</t>
  </si>
  <si>
    <t>ICPT</t>
  </si>
  <si>
    <t>Intercept Pharmaceuticals Inc. Common Stock</t>
  </si>
  <si>
    <t>ICUI</t>
  </si>
  <si>
    <t>ICU Medical Inc. Common Stock</t>
  </si>
  <si>
    <t>ICVX</t>
  </si>
  <si>
    <t>Icosavax Inc. Common Stock</t>
  </si>
  <si>
    <t>IDBA</t>
  </si>
  <si>
    <t>IDEX Biometrics ASA American Depositary Shares</t>
  </si>
  <si>
    <t>IDCC</t>
  </si>
  <si>
    <t>InterDigital Inc. Common Stock</t>
  </si>
  <si>
    <t>IDEX</t>
  </si>
  <si>
    <t>Ideanomics Inc. Common Stock</t>
  </si>
  <si>
    <t>IDN</t>
  </si>
  <si>
    <t>Intellicheck Inc. Common Stock</t>
  </si>
  <si>
    <t>IDXX</t>
  </si>
  <si>
    <t>IDEXX Laboratories Inc. Common Stock</t>
  </si>
  <si>
    <t>IDYA</t>
  </si>
  <si>
    <t>IDEAYA Biosciences Inc. Common Stock</t>
  </si>
  <si>
    <t>IEP</t>
  </si>
  <si>
    <t>Icahn Enterprises L.P. Common Stock</t>
  </si>
  <si>
    <t>IESC</t>
  </si>
  <si>
    <t>IES Holdings Inc. Common Stock</t>
  </si>
  <si>
    <t>IFRX</t>
  </si>
  <si>
    <t>InflaRx N.V. Common Stock</t>
  </si>
  <si>
    <t>IGMS</t>
  </si>
  <si>
    <t>IGM Biosciences Inc. Common Stock</t>
  </si>
  <si>
    <t>IGTA</t>
  </si>
  <si>
    <t>Inception Growth Acquisition Limited Common Stock</t>
  </si>
  <si>
    <t>IHRT</t>
  </si>
  <si>
    <t>iHeartMedia Inc. Class A Common Stock</t>
  </si>
  <si>
    <t>III</t>
  </si>
  <si>
    <t>Information Services Group Inc. Information Services Group Inc. Common Stock</t>
  </si>
  <si>
    <t>IIIV</t>
  </si>
  <si>
    <t>i3 Verticals Inc. Class A Common Stock</t>
  </si>
  <si>
    <t>IKNA</t>
  </si>
  <si>
    <t>Ikena Oncology Inc. Common Stock</t>
  </si>
  <si>
    <t>ILMN</t>
  </si>
  <si>
    <t>Illumina Inc. Common Stock</t>
  </si>
  <si>
    <t>ILPT</t>
  </si>
  <si>
    <t>Industrial Logistics Properties Trust Common Shares of Beneficial Interest</t>
  </si>
  <si>
    <t>IMAQ</t>
  </si>
  <si>
    <t>International Media Acquisition Corp. Class A Common Stock</t>
  </si>
  <si>
    <t>IMCR</t>
  </si>
  <si>
    <t>Immunocore Holdings plc American Depositary Shares</t>
  </si>
  <si>
    <t>IMGN</t>
  </si>
  <si>
    <t>ImmunoGen Inc. Common Stock</t>
  </si>
  <si>
    <t>IMKTA</t>
  </si>
  <si>
    <t>Ingles Markets Incorporated Class A Common Stock</t>
  </si>
  <si>
    <t>IMMP</t>
  </si>
  <si>
    <t>Immutep Limited American Depositary Shares</t>
  </si>
  <si>
    <t>IMMR</t>
  </si>
  <si>
    <t>Immersion Corporation Common Stock</t>
  </si>
  <si>
    <t>IMNM</t>
  </si>
  <si>
    <t>Immunome Inc. Common Stock</t>
  </si>
  <si>
    <t>IMOS</t>
  </si>
  <si>
    <t>ChipMOS TECHNOLOGIES INC. American Depositary Shares</t>
  </si>
  <si>
    <t>IMPL</t>
  </si>
  <si>
    <t>Impel Pharmaceuticals Inc. Common Stock</t>
  </si>
  <si>
    <t>IMRA</t>
  </si>
  <si>
    <t>IMARA Inc. Common Stock</t>
  </si>
  <si>
    <t>IMRX</t>
  </si>
  <si>
    <t>Immuneering Corporation Class A Common Stock</t>
  </si>
  <si>
    <t>IMTX</t>
  </si>
  <si>
    <t>Immatics N.V. Ordinary Shares</t>
  </si>
  <si>
    <t>IMUX</t>
  </si>
  <si>
    <t>Immunic Inc. Common Stock</t>
  </si>
  <si>
    <t>IMVT</t>
  </si>
  <si>
    <t>Immunovant Inc. Common Stock</t>
  </si>
  <si>
    <t>IMXI</t>
  </si>
  <si>
    <t>International Money Express Inc. Common Stock</t>
  </si>
  <si>
    <t>INAB</t>
  </si>
  <si>
    <t>IN8bio Inc. Common Stock</t>
  </si>
  <si>
    <t>INBK</t>
  </si>
  <si>
    <t>First Internet Bancorp Common Stock</t>
  </si>
  <si>
    <t>INBX</t>
  </si>
  <si>
    <t>Inhibrx Inc. Common Stock</t>
  </si>
  <si>
    <t>INCY</t>
  </si>
  <si>
    <t>Incyte Corp. Common Stock</t>
  </si>
  <si>
    <t>INDB</t>
  </si>
  <si>
    <t>Independent Bank Corp. Common Stock</t>
  </si>
  <si>
    <t>INDI</t>
  </si>
  <si>
    <t>indie Semiconductor Inc. Class A Common Stock</t>
  </si>
  <si>
    <t>INDT</t>
  </si>
  <si>
    <t>INDUS Realty Trust Inc. (MD) Common Stock</t>
  </si>
  <si>
    <t>INFI</t>
  </si>
  <si>
    <t>Infinity Pharmaceuticals Inc. Common Stock</t>
  </si>
  <si>
    <t>INFN</t>
  </si>
  <si>
    <t>Infinera Corporation Common Stock</t>
  </si>
  <si>
    <t>INGN</t>
  </si>
  <si>
    <t>Inogen Inc Common Stock</t>
  </si>
  <si>
    <t>INKA</t>
  </si>
  <si>
    <t>KludeIn I Acquisition Corp. Class A Common Stock</t>
  </si>
  <si>
    <t>INKT</t>
  </si>
  <si>
    <t>MiNK Therapeutics Inc. Common Stock</t>
  </si>
  <si>
    <t>INMB</t>
  </si>
  <si>
    <t>INmune Bio Inc. Common stock</t>
  </si>
  <si>
    <t>INNV</t>
  </si>
  <si>
    <t>InnovAge Holding Corp. Common Stock</t>
  </si>
  <si>
    <t>INO</t>
  </si>
  <si>
    <t>Inovio Pharmaceuticals Inc. Common Stock</t>
  </si>
  <si>
    <t>INOD</t>
  </si>
  <si>
    <t>Innodata Inc. Common Stock</t>
  </si>
  <si>
    <t>INSE</t>
  </si>
  <si>
    <t>Inspired Entertainment Inc. Common Stock</t>
  </si>
  <si>
    <t>EDP Peripherals</t>
  </si>
  <si>
    <t>INSG</t>
  </si>
  <si>
    <t>Inseego Corp. Common Stock</t>
  </si>
  <si>
    <t>INSM</t>
  </si>
  <si>
    <t>Insmed Incorporated Common Stock</t>
  </si>
  <si>
    <t>INTA</t>
  </si>
  <si>
    <t>Intapp Inc. Common Stock</t>
  </si>
  <si>
    <t>INTC</t>
  </si>
  <si>
    <t>Intel Corporation Common Stock</t>
  </si>
  <si>
    <t>INTE</t>
  </si>
  <si>
    <t>Integral Acquisition Corporation 1 Class A Common Stock</t>
  </si>
  <si>
    <t>INTG</t>
  </si>
  <si>
    <t>Intergroup Corporation (The) Common Stock</t>
  </si>
  <si>
    <t>INTU</t>
  </si>
  <si>
    <t>Intuit Inc. Common Stock</t>
  </si>
  <si>
    <t>INTZ</t>
  </si>
  <si>
    <t>Intrusion Inc. Common Stock</t>
  </si>
  <si>
    <t>Innoviva Inc. Common Stock</t>
  </si>
  <si>
    <t>INVE</t>
  </si>
  <si>
    <t>Identiv Inc. Common Stock</t>
  </si>
  <si>
    <t>INZY</t>
  </si>
  <si>
    <t>Inozyme Pharma Inc. Common Stock</t>
  </si>
  <si>
    <t>IOAC</t>
  </si>
  <si>
    <t>Innovative International Acquisition Corp. Class A Ordinary Shares</t>
  </si>
  <si>
    <t>IOBT</t>
  </si>
  <si>
    <t>IO Biotech Inc. Common Stock</t>
  </si>
  <si>
    <t>IONR</t>
  </si>
  <si>
    <t>ioneer Ltd American Depositary Shares</t>
  </si>
  <si>
    <t>IONS</t>
  </si>
  <si>
    <t>Ionis Pharmaceuticals Inc. Common Stock</t>
  </si>
  <si>
    <t>IOSP</t>
  </si>
  <si>
    <t>Innospec Inc. Common Stock</t>
  </si>
  <si>
    <t>IOVA</t>
  </si>
  <si>
    <t>Iovance Biotherapeutics Inc. Common Stock</t>
  </si>
  <si>
    <t>IPA</t>
  </si>
  <si>
    <t>ImmunoPrecise Antibodies Ltd. Common Stock</t>
  </si>
  <si>
    <t>IPAR</t>
  </si>
  <si>
    <t>Inter Parfums Inc. Common Stock</t>
  </si>
  <si>
    <t>IPAX</t>
  </si>
  <si>
    <t>Inflection Point Acquisition Corp. Class A Ordinary Share</t>
  </si>
  <si>
    <t>IPDN</t>
  </si>
  <si>
    <t>Professional Diversity Network Inc. Common Stock</t>
  </si>
  <si>
    <t>IPGP</t>
  </si>
  <si>
    <t>IPG Photonics Corporation Common Stock</t>
  </si>
  <si>
    <t>IPHA</t>
  </si>
  <si>
    <t>Innate Pharma S.A. ADS</t>
  </si>
  <si>
    <t>IPSC</t>
  </si>
  <si>
    <t>Century Therapeutics Inc. Common Stock</t>
  </si>
  <si>
    <t>IPVI</t>
  </si>
  <si>
    <t>InterPrivate IV InfraTech Partners Inc. Class A Common Stock</t>
  </si>
  <si>
    <t>IPWR</t>
  </si>
  <si>
    <t>Ideal Power Inc. Common Stock</t>
  </si>
  <si>
    <t>IPX</t>
  </si>
  <si>
    <t>IperionX Limited American Depositary Share</t>
  </si>
  <si>
    <t>IQMD</t>
  </si>
  <si>
    <t>Intelligent Medicine Acquisition Corp. Class A Common Stock</t>
  </si>
  <si>
    <t>IQMDU</t>
  </si>
  <si>
    <t>Intelligent Medicine Acquisition Corp. Unit</t>
  </si>
  <si>
    <t>IRAA</t>
  </si>
  <si>
    <t>Iris Acquisition Corp Class A Common Stock</t>
  </si>
  <si>
    <t>IRBT</t>
  </si>
  <si>
    <t>iRobot Corporation Common Stock</t>
  </si>
  <si>
    <t>IRDM</t>
  </si>
  <si>
    <t>Iridium Communications Inc Common Stock</t>
  </si>
  <si>
    <t>IREN</t>
  </si>
  <si>
    <t>Iris Energy Limited Ordinary Shares</t>
  </si>
  <si>
    <t>IRMD</t>
  </si>
  <si>
    <t>iRadimed Corporation Common Stock</t>
  </si>
  <si>
    <t>IRON</t>
  </si>
  <si>
    <t>Disc Medicine Inc. Common Stock</t>
  </si>
  <si>
    <t>IROQ</t>
  </si>
  <si>
    <t>IF Bancorp Inc. Common Stock</t>
  </si>
  <si>
    <t>IRTC</t>
  </si>
  <si>
    <t>iRhythm Technologies Inc. Common Stock</t>
  </si>
  <si>
    <t>Ironwood Pharmaceuticals Inc. Class A Common Stock</t>
  </si>
  <si>
    <t>ISEE</t>
  </si>
  <si>
    <t>IVERIC bio Inc. Common Stock</t>
  </si>
  <si>
    <t>ISO</t>
  </si>
  <si>
    <t>IsoPlexis Corporation Common Stock</t>
  </si>
  <si>
    <t>ISPO</t>
  </si>
  <si>
    <t>Inspirato Incorporated Class A Common Stock</t>
  </si>
  <si>
    <t>ISRG</t>
  </si>
  <si>
    <t>Intuitive Surgical Inc. Common Stock</t>
  </si>
  <si>
    <t>ISSC</t>
  </si>
  <si>
    <t>Innovative Solutions and Support Inc. Common Stock</t>
  </si>
  <si>
    <t>ISTR</t>
  </si>
  <si>
    <t>Investar Holding Corporation Common Stock</t>
  </si>
  <si>
    <t>ITAQ</t>
  </si>
  <si>
    <t>Industrial Tech Acquisitions II Inc. Class A Common Stock</t>
  </si>
  <si>
    <t>ITCI</t>
  </si>
  <si>
    <t>Intra-Cellular Therapies Inc. Common Stock</t>
  </si>
  <si>
    <t>ITI</t>
  </si>
  <si>
    <t>Iteris Inc. Common Stock</t>
  </si>
  <si>
    <t>ITIC</t>
  </si>
  <si>
    <t>Investors Title Company Common Stock</t>
  </si>
  <si>
    <t>iTeos Therapeutics Inc. Common Stock</t>
  </si>
  <si>
    <t>ITQ</t>
  </si>
  <si>
    <t>Itiquira Acquisition Corp. Class A Ordinary Shares</t>
  </si>
  <si>
    <t>ITRI</t>
  </si>
  <si>
    <t>Itron Inc. Common Stock</t>
  </si>
  <si>
    <t>IVA</t>
  </si>
  <si>
    <t>Inventiva S.A. American Depository Shares</t>
  </si>
  <si>
    <t>IVAC</t>
  </si>
  <si>
    <t>Intevac Inc. Common Stock</t>
  </si>
  <si>
    <t>IVCP</t>
  </si>
  <si>
    <t>Swiftmerge Acquisition Corp. Class A Ordinary Share</t>
  </si>
  <si>
    <t>IVVD</t>
  </si>
  <si>
    <t>Invivyd Inc. Common Stock</t>
  </si>
  <si>
    <t>IXAQ</t>
  </si>
  <si>
    <t>IX Acquisition Corp. Class A Ordinary Share</t>
  </si>
  <si>
    <t>IXHL</t>
  </si>
  <si>
    <t>Incannex Healthcare Limited American Depositary Shares</t>
  </si>
  <si>
    <t>JACK</t>
  </si>
  <si>
    <t>Jack In The Box Inc. Common Stock</t>
  </si>
  <si>
    <t>JAKK</t>
  </si>
  <si>
    <t>JAKKS Pacific Inc. Common Stock</t>
  </si>
  <si>
    <t>JAMF</t>
  </si>
  <si>
    <t>Jamf Holding Corp. Common Stock</t>
  </si>
  <si>
    <t>JANX</t>
  </si>
  <si>
    <t>Janux Therapeutics Inc. Common Stock</t>
  </si>
  <si>
    <t>JAQC</t>
  </si>
  <si>
    <t>Jupiter Acquisition Corporation Common stock</t>
  </si>
  <si>
    <t>JAZZ</t>
  </si>
  <si>
    <t>Jazz Pharmaceuticals plc Common Stock (Ireland)</t>
  </si>
  <si>
    <t>JBHT</t>
  </si>
  <si>
    <t>J.B. Hunt Transport Services Inc. Common Stock</t>
  </si>
  <si>
    <t>JBLU</t>
  </si>
  <si>
    <t>JetBlue Airways Corporation Common Stock</t>
  </si>
  <si>
    <t>JBSS</t>
  </si>
  <si>
    <t>John B. Sanfilippo &amp; Son Inc. Common Stock</t>
  </si>
  <si>
    <t>JGGC</t>
  </si>
  <si>
    <t>Jaguar Global Growth Corporation I Class A Ordinary Shares</t>
  </si>
  <si>
    <t>JJSF</t>
  </si>
  <si>
    <t>J &amp; J Snack Foods Corp. Common Stock</t>
  </si>
  <si>
    <t>JKHY</t>
  </si>
  <si>
    <t>Jack Henry &amp; Associates Inc. Common Stock</t>
  </si>
  <si>
    <t>JMAC</t>
  </si>
  <si>
    <t>Maxpro Capital Acquisition Corp. Class A Common Stock</t>
  </si>
  <si>
    <t>JMSB</t>
  </si>
  <si>
    <t>John Marshall Bancorp Inc. Common Stock</t>
  </si>
  <si>
    <t>JNCE</t>
  </si>
  <si>
    <t>Jounce Therapeutics Inc. Common Stock</t>
  </si>
  <si>
    <t>JOAN</t>
  </si>
  <si>
    <t>JOANN Inc. Common Stock</t>
  </si>
  <si>
    <t>JOUT</t>
  </si>
  <si>
    <t>Johnson Outdoors Inc. Class A Common Stock</t>
  </si>
  <si>
    <t>JRSH</t>
  </si>
  <si>
    <t>Jerash Holdings (US) Inc. Common Stock</t>
  </si>
  <si>
    <t>JSPR</t>
  </si>
  <si>
    <t>Jasper Therapeutics Inc. Common Stock</t>
  </si>
  <si>
    <t>JUGG</t>
  </si>
  <si>
    <t>Jaws Juggernaut Acquisition Corporation Class A Ordinary Share</t>
  </si>
  <si>
    <t>JWAC</t>
  </si>
  <si>
    <t>Jupiter Wellness Acquisition Corp. Class A Common Stock</t>
  </si>
  <si>
    <t>JYNT</t>
  </si>
  <si>
    <t>The Joint Corp. Common Stock</t>
  </si>
  <si>
    <t>KA</t>
  </si>
  <si>
    <t>Kineta Inc. Common Stock</t>
  </si>
  <si>
    <t>KAII</t>
  </si>
  <si>
    <t>Kismet Acquisition Two Corp. Class A Ordinary Shares</t>
  </si>
  <si>
    <t>KALA</t>
  </si>
  <si>
    <t>Kala Pharmaceuticals Inc. Common Stock</t>
  </si>
  <si>
    <t>KALU</t>
  </si>
  <si>
    <t>Kaiser Aluminum Corporation Common Stock</t>
  </si>
  <si>
    <t>KALV</t>
  </si>
  <si>
    <t>KalVista Pharmaceuticals Inc. Common Stock</t>
  </si>
  <si>
    <t>KARO</t>
  </si>
  <si>
    <t>Karooooo Ltd. Ordinary Shares</t>
  </si>
  <si>
    <t>KBAL</t>
  </si>
  <si>
    <t>Kimball International Inc. Class B Common Stock</t>
  </si>
  <si>
    <t>KDNY</t>
  </si>
  <si>
    <t>Chinook Therapeutics Inc. Common Stock</t>
  </si>
  <si>
    <t>KDP</t>
  </si>
  <si>
    <t>Keurig Dr Pepper Inc. Common Stock</t>
  </si>
  <si>
    <t>KE</t>
  </si>
  <si>
    <t>Kimball Electronics Inc. Common Stock</t>
  </si>
  <si>
    <t>KELYA</t>
  </si>
  <si>
    <t>Kelly Services Inc. Class A Common Stock</t>
  </si>
  <si>
    <t>KELYB</t>
  </si>
  <si>
    <t>Kelly Services Inc. Class B Common Stock</t>
  </si>
  <si>
    <t>KFFB</t>
  </si>
  <si>
    <t>Kentucky First Federal Bancorp Common Stock</t>
  </si>
  <si>
    <t>KFRC</t>
  </si>
  <si>
    <t>Kforce Inc. Common Stock</t>
  </si>
  <si>
    <t>KHC</t>
  </si>
  <si>
    <t>The Kraft Heinz Company Common Stock</t>
  </si>
  <si>
    <t>KIDS</t>
  </si>
  <si>
    <t>OrthoPediatrics Corp. Common Stock</t>
  </si>
  <si>
    <t>KINZ</t>
  </si>
  <si>
    <t>KINS Technology Group Inc. Class A Common Stock</t>
  </si>
  <si>
    <t>KITT</t>
  </si>
  <si>
    <t>Nauticus Robotics Inc. Common stock</t>
  </si>
  <si>
    <t>KLAC</t>
  </si>
  <si>
    <t>KLA Corporation Common Stock</t>
  </si>
  <si>
    <t>KLIC</t>
  </si>
  <si>
    <t>Kulicke and Soffa Industries Inc. Common Stock</t>
  </si>
  <si>
    <t>KLTR</t>
  </si>
  <si>
    <t>Kaltura Inc. Common Stock</t>
  </si>
  <si>
    <t>KLXE</t>
  </si>
  <si>
    <t>KLX Energy Services Holdings Inc. Common Stock</t>
  </si>
  <si>
    <t>KMPH</t>
  </si>
  <si>
    <t>KemPharm Inc. Common Stock</t>
  </si>
  <si>
    <t>KNBE</t>
  </si>
  <si>
    <t>KnowBe4 Inc. Class A Common Stock</t>
  </si>
  <si>
    <t>KNSA</t>
  </si>
  <si>
    <t>Kiniksa Pharmaceuticals Ltd. Class A Common Stock</t>
  </si>
  <si>
    <t>KNTE</t>
  </si>
  <si>
    <t>Kinnate Biopharma Inc. Common Stock</t>
  </si>
  <si>
    <t>KOD</t>
  </si>
  <si>
    <t>Kodiak Sciences Inc Common Stock</t>
  </si>
  <si>
    <t>KOPN</t>
  </si>
  <si>
    <t>Kopin Corporation Common Stock</t>
  </si>
  <si>
    <t>KOSS</t>
  </si>
  <si>
    <t>Koss Corporation Common Stock</t>
  </si>
  <si>
    <t>KPLT</t>
  </si>
  <si>
    <t>Katapult Holdings Inc. Common Stock</t>
  </si>
  <si>
    <t>KPTI</t>
  </si>
  <si>
    <t>Karyopharm Therapeutics Inc. Common Stock</t>
  </si>
  <si>
    <t>KRMD</t>
  </si>
  <si>
    <t>KORU Medical Systems Inc. Common Stock</t>
  </si>
  <si>
    <t>KRNL</t>
  </si>
  <si>
    <t>Kernel Group Holdings Inc. Class A Ordinary Shares</t>
  </si>
  <si>
    <t>KRNY</t>
  </si>
  <si>
    <t>Kearny Financial Corp Common Stock</t>
  </si>
  <si>
    <t>KRON</t>
  </si>
  <si>
    <t>Kronos Bio Inc. Common Stock</t>
  </si>
  <si>
    <t>KROS</t>
  </si>
  <si>
    <t>Keros Therapeutics Inc. Common Stock</t>
  </si>
  <si>
    <t>KRT</t>
  </si>
  <si>
    <t>Karat Packaging Inc. Common Stock</t>
  </si>
  <si>
    <t>KRTX</t>
  </si>
  <si>
    <t>Karuna Therapeutics Inc. Common Stock</t>
  </si>
  <si>
    <t>KRUS</t>
  </si>
  <si>
    <t>Kura Sushi USA Inc. Class A Common Stock</t>
  </si>
  <si>
    <t>KRYS</t>
  </si>
  <si>
    <t>Krystal Biotech Inc. Common Stock</t>
  </si>
  <si>
    <t>KSCP</t>
  </si>
  <si>
    <t>Knightscope Inc. Class A Common Stock</t>
  </si>
  <si>
    <t>KSI</t>
  </si>
  <si>
    <t>Kadem Sustainable Impact Corporation Class A common stock</t>
  </si>
  <si>
    <t>KTCC</t>
  </si>
  <si>
    <t>Key Tronic Corporation Common Stock</t>
  </si>
  <si>
    <t>KTOS</t>
  </si>
  <si>
    <t>Kratos Defense &amp; Security Solutions Inc. Common Stock</t>
  </si>
  <si>
    <t>Ordnance And Accessories</t>
  </si>
  <si>
    <t>KURA</t>
  </si>
  <si>
    <t>Kura Oncology Inc. Common Stock</t>
  </si>
  <si>
    <t>KVHI</t>
  </si>
  <si>
    <t>KVH Industries Inc. Common Stock</t>
  </si>
  <si>
    <t>KVSA</t>
  </si>
  <si>
    <t>Khosla Ventures Acquisition Co. Class A Common Stock</t>
  </si>
  <si>
    <t>KVSC</t>
  </si>
  <si>
    <t>Khosla Ventures Acquisition Co. III Class A Common Stock</t>
  </si>
  <si>
    <t>KYCH</t>
  </si>
  <si>
    <t>Keyarch Acquisition Corporation Ordinary Shares</t>
  </si>
  <si>
    <t>KYMR</t>
  </si>
  <si>
    <t>Kymera Therapeutics Inc. Common Stock</t>
  </si>
  <si>
    <t>KZR</t>
  </si>
  <si>
    <t>Kezar Life Sciences Inc. Common Stock</t>
  </si>
  <si>
    <t>LAB</t>
  </si>
  <si>
    <t>Standard BioTools Inc. Common Stock</t>
  </si>
  <si>
    <t>LAKE</t>
  </si>
  <si>
    <t>Lakeland Industries Inc. Common Stock</t>
  </si>
  <si>
    <t>LAMR</t>
  </si>
  <si>
    <t>Lamar Advertising Company Class A Common Stock</t>
  </si>
  <si>
    <t>LANC</t>
  </si>
  <si>
    <t>Lancaster Colony Corporation Common Stock</t>
  </si>
  <si>
    <t>LAND</t>
  </si>
  <si>
    <t>Gladstone Land Corporation Common Stock</t>
  </si>
  <si>
    <t>LANDM</t>
  </si>
  <si>
    <t>Gladstone Land Corporation 5.00% Series D Cumulative Term Preferred Stock</t>
  </si>
  <si>
    <t>LARK</t>
  </si>
  <si>
    <t>Landmark Bancorp Inc. Common Stock</t>
  </si>
  <si>
    <t>LASR</t>
  </si>
  <si>
    <t>nLIGHT Inc. Common Stock</t>
  </si>
  <si>
    <t>LATG</t>
  </si>
  <si>
    <t>LatAmGrowth SPAC Class A Ordinary Shares</t>
  </si>
  <si>
    <t>LAUR</t>
  </si>
  <si>
    <t>Laureate Education Inc. Common Stock</t>
  </si>
  <si>
    <t>LAZR</t>
  </si>
  <si>
    <t>Luminar Technologies Inc.  Class A Common Stock</t>
  </si>
  <si>
    <t>LAZY</t>
  </si>
  <si>
    <t>Lazydays Holdings Inc. Common Stock</t>
  </si>
  <si>
    <t>LBAI</t>
  </si>
  <si>
    <t>Lakeland Bancorp Inc. Common Stock</t>
  </si>
  <si>
    <t>LBBB</t>
  </si>
  <si>
    <t>Lakeshore Acquisition II Corp. Ordinary Shares</t>
  </si>
  <si>
    <t>LBC</t>
  </si>
  <si>
    <t>Luther Burbank Corporation Common Stock</t>
  </si>
  <si>
    <t>LBPH</t>
  </si>
  <si>
    <t>Longboard Pharmaceuticals Inc. Common Stock</t>
  </si>
  <si>
    <t>LBRDA</t>
  </si>
  <si>
    <t>Liberty Broadband Corporation Class A Common Stock</t>
  </si>
  <si>
    <t>LBRDK</t>
  </si>
  <si>
    <t>Liberty Broadband Corporation Class C Common Stock</t>
  </si>
  <si>
    <t>LBTYA</t>
  </si>
  <si>
    <t>Liberty Global plc Class A Ordinary Shares</t>
  </si>
  <si>
    <t>Cable &amp; Other Pay Television Services</t>
  </si>
  <si>
    <t>LBTYB</t>
  </si>
  <si>
    <t>Liberty Global plc Class B Ordinary Shares</t>
  </si>
  <si>
    <t>LBTYK</t>
  </si>
  <si>
    <t>Liberty Global plc Class C Ordinary Shares</t>
  </si>
  <si>
    <t>LCA</t>
  </si>
  <si>
    <t>Landcadia Holdings IV Inc. Class A Common Stock</t>
  </si>
  <si>
    <t>LCAA</t>
  </si>
  <si>
    <t>L Catterton Asia Acquisition Corp Class A Ordinary Shares</t>
  </si>
  <si>
    <t>LCID</t>
  </si>
  <si>
    <t>Lucid Group Inc. Common Stock</t>
  </si>
  <si>
    <t>LCNB</t>
  </si>
  <si>
    <t>LCNB Corporation Common Stock</t>
  </si>
  <si>
    <t>LCUT</t>
  </si>
  <si>
    <t>Lifetime Brands Inc. Common Stock</t>
  </si>
  <si>
    <t>LDHA</t>
  </si>
  <si>
    <t>LDH Growth Corp I Class A Ordinary Shares</t>
  </si>
  <si>
    <t>LE</t>
  </si>
  <si>
    <t>Lands' End Inc. Common Stock</t>
  </si>
  <si>
    <t>LECO</t>
  </si>
  <si>
    <t>Lincoln Electric Holdings Inc. Common Shares</t>
  </si>
  <si>
    <t>LEE</t>
  </si>
  <si>
    <t>Lee Enterprises Incorporated Common Stock</t>
  </si>
  <si>
    <t>LEGA</t>
  </si>
  <si>
    <t>Lead Edge Growth Opportunities Ltd Class A Ordinary Shares</t>
  </si>
  <si>
    <t>LEGH</t>
  </si>
  <si>
    <t>Legacy Housing Corporation Common Stock (TX)</t>
  </si>
  <si>
    <t>LEGN</t>
  </si>
  <si>
    <t>Legend Biotech Corporation American Depositary Shares</t>
  </si>
  <si>
    <t>LESL</t>
  </si>
  <si>
    <t>Leslie's Inc. Common Stock</t>
  </si>
  <si>
    <t>LFAC</t>
  </si>
  <si>
    <t>LF Capital Acquisition Corp. II Class A Common Stock</t>
  </si>
  <si>
    <t>LFCR</t>
  </si>
  <si>
    <t>Lifecore Biomedical Inc. Common Stock</t>
  </si>
  <si>
    <t>LFMD</t>
  </si>
  <si>
    <t>LifeMD Inc. Common Stock</t>
  </si>
  <si>
    <t>LFST</t>
  </si>
  <si>
    <t>LifeStance Health Group Inc. Common Stock</t>
  </si>
  <si>
    <t>LFUS</t>
  </si>
  <si>
    <t>Littelfuse Inc. Common Stock</t>
  </si>
  <si>
    <t>LFVN</t>
  </si>
  <si>
    <t>Lifevantage Corporation Common Stock (Delaware)</t>
  </si>
  <si>
    <t>LGIH</t>
  </si>
  <si>
    <t>LGI Homes Inc. Common Stock</t>
  </si>
  <si>
    <t>LGND</t>
  </si>
  <si>
    <t>Ligand Pharmaceuticals Incorporated Common Stock</t>
  </si>
  <si>
    <t>LGO</t>
  </si>
  <si>
    <t>Largo Inc. Common Shares</t>
  </si>
  <si>
    <t>LGST</t>
  </si>
  <si>
    <t>Semper Paratus Acquisition Corporation Class A Ordinary Shares</t>
  </si>
  <si>
    <t>LGTO</t>
  </si>
  <si>
    <t>Legato Merger Corp. II Common Stock</t>
  </si>
  <si>
    <t>LGVC</t>
  </si>
  <si>
    <t>LAMF Global Ventures Corp. I Class A Ordinary Shares</t>
  </si>
  <si>
    <t>LGVN</t>
  </si>
  <si>
    <t>Longeveron Inc. Class A Common Stock</t>
  </si>
  <si>
    <t>LHCG</t>
  </si>
  <si>
    <t>LHC Group Common Stock</t>
  </si>
  <si>
    <t>LIAN</t>
  </si>
  <si>
    <t>LianBio American Depositary Shares</t>
  </si>
  <si>
    <t>LIBY</t>
  </si>
  <si>
    <t>Liberty Resources Acquisition Corp. Class A Common Stock</t>
  </si>
  <si>
    <t>LIDR</t>
  </si>
  <si>
    <t>AEye Inc. Class A Common Stock</t>
  </si>
  <si>
    <t>LIFE</t>
  </si>
  <si>
    <t>aTyr Pharma Inc. Common Stock</t>
  </si>
  <si>
    <t>LIFW</t>
  </si>
  <si>
    <t>MSP Recovery Inc. Class A Common Stock</t>
  </si>
  <si>
    <t>LILA</t>
  </si>
  <si>
    <t>Liberty Latin America Ltd. Class A Common Stock</t>
  </si>
  <si>
    <t>LILAK</t>
  </si>
  <si>
    <t>Liberty Latin America Ltd. Class C Common Stock</t>
  </si>
  <si>
    <t>LILM</t>
  </si>
  <si>
    <t>Lilium N.V. Class A Ordinary Shares</t>
  </si>
  <si>
    <t>LINC</t>
  </si>
  <si>
    <t>Lincoln Educational Services Corporation Common Stock</t>
  </si>
  <si>
    <t>LIND</t>
  </si>
  <si>
    <t>Lindblad Expeditions Holdings Inc. Common Stock</t>
  </si>
  <si>
    <t>LINK</t>
  </si>
  <si>
    <t>Interlink Electronics Inc. Common Stock</t>
  </si>
  <si>
    <t>LION</t>
  </si>
  <si>
    <t>Lionheart III Corp Class A Common Stock</t>
  </si>
  <si>
    <t>LITE</t>
  </si>
  <si>
    <t>Lumentum Holdings Inc. Common Stock</t>
  </si>
  <si>
    <t>LITT</t>
  </si>
  <si>
    <t>Logistics Innovation Technologies Corp. Class A Common Stock</t>
  </si>
  <si>
    <t>LIVB</t>
  </si>
  <si>
    <t>LIV Capital Acquisition Corp. II Class A Ordinary Shares</t>
  </si>
  <si>
    <t>LIVE</t>
  </si>
  <si>
    <t>Live Ventures Incorporated Common Stock</t>
  </si>
  <si>
    <t>LIVN</t>
  </si>
  <si>
    <t>LivaNova PLC Ordinary Shares</t>
  </si>
  <si>
    <t>LKFN</t>
  </si>
  <si>
    <t>Lakeland Financial Corporation Common Stock</t>
  </si>
  <si>
    <t>LKQ</t>
  </si>
  <si>
    <t>LKQ Corporation Common Stock</t>
  </si>
  <si>
    <t>LMAT</t>
  </si>
  <si>
    <t>LeMaitre Vascular Inc. Common Stock</t>
  </si>
  <si>
    <t>LMB</t>
  </si>
  <si>
    <t>Limbach Holdings Inc. Common Stock</t>
  </si>
  <si>
    <t>LMNR</t>
  </si>
  <si>
    <t>Limoneira Co Common Stock</t>
  </si>
  <si>
    <t>LMST</t>
  </si>
  <si>
    <t>Limestone Bancorp Inc. Common Stock</t>
  </si>
  <si>
    <t>LNKB</t>
  </si>
  <si>
    <t>LINKBANCORP Inc. Common Stock</t>
  </si>
  <si>
    <t>LNT</t>
  </si>
  <si>
    <t>Alliant Energy Corporation Common Stock</t>
  </si>
  <si>
    <t>LNTH</t>
  </si>
  <si>
    <t>Lantheus Holdings Inc. Common Stock</t>
  </si>
  <si>
    <t>LNW</t>
  </si>
  <si>
    <t>Light &amp; Wonder Inc. Common Stock</t>
  </si>
  <si>
    <t>LOAN</t>
  </si>
  <si>
    <t>Manhattan Bridge Capital Inc</t>
  </si>
  <si>
    <t>LOCO</t>
  </si>
  <si>
    <t>El Pollo Loco Holdings Inc. Common Stock</t>
  </si>
  <si>
    <t>LOGI</t>
  </si>
  <si>
    <t>Logitech International S.A. Ordinary Shares</t>
  </si>
  <si>
    <t>LOOP</t>
  </si>
  <si>
    <t>Loop Industries Inc. Common Stock</t>
  </si>
  <si>
    <t>LOPE</t>
  </si>
  <si>
    <t>Grand Canyon Education Inc. Common Stock</t>
  </si>
  <si>
    <t>LOVE</t>
  </si>
  <si>
    <t>The Lovesac Company Common Stock</t>
  </si>
  <si>
    <t>LPLA</t>
  </si>
  <si>
    <t>LPL Financial Holdings Inc. Common Stock</t>
  </si>
  <si>
    <t>LPRO</t>
  </si>
  <si>
    <t>Open Lending Corporation Class A Common Stock</t>
  </si>
  <si>
    <t>LPSN</t>
  </si>
  <si>
    <t>LivePerson Inc. Common Stock</t>
  </si>
  <si>
    <t>LPTH</t>
  </si>
  <si>
    <t>LightPath Technologies Inc. Class A Common Stock</t>
  </si>
  <si>
    <t>LPTX</t>
  </si>
  <si>
    <t>Leap Therapeutics Inc. Common Stock</t>
  </si>
  <si>
    <t>LQDA</t>
  </si>
  <si>
    <t>Liquidia Corporation Common Stock</t>
  </si>
  <si>
    <t>LQDT</t>
  </si>
  <si>
    <t>Liquidity Services Inc. Common Stock</t>
  </si>
  <si>
    <t>LRCX</t>
  </si>
  <si>
    <t>Lam Research Corporation Common Stock</t>
  </si>
  <si>
    <t>LRFC</t>
  </si>
  <si>
    <t>Logan Ridge Finance Corporation Common Stock</t>
  </si>
  <si>
    <t>LRMR</t>
  </si>
  <si>
    <t>Larimar Therapeutics Inc. Common Stock</t>
  </si>
  <si>
    <t>LSBK</t>
  </si>
  <si>
    <t>Lake Shore Bancorp Inc. Common Stock</t>
  </si>
  <si>
    <t>LSCC</t>
  </si>
  <si>
    <t>Lattice Semiconductor Corporation Common Stock</t>
  </si>
  <si>
    <t>LSEA</t>
  </si>
  <si>
    <t>Landsea Homes Corporation Common Stock</t>
  </si>
  <si>
    <t>LSTR</t>
  </si>
  <si>
    <t>Landstar System Inc. Common Stock</t>
  </si>
  <si>
    <t>LSXMA</t>
  </si>
  <si>
    <t>Liberty Media Corporation Series A Liberty SiriusXM Common Stock</t>
  </si>
  <si>
    <t>LSXMB</t>
  </si>
  <si>
    <t>Liberty Media Corporation Series B Liberty SiriusXM Common Stock</t>
  </si>
  <si>
    <t>LSXMK</t>
  </si>
  <si>
    <t>Liberty Media Corporation Series C Liberty SiriusXM Common Stock</t>
  </si>
  <si>
    <t>LTCH</t>
  </si>
  <si>
    <t>Latch Inc. Common Stock</t>
  </si>
  <si>
    <t>LTRN</t>
  </si>
  <si>
    <t>Lantern Pharma Inc. Common Stock</t>
  </si>
  <si>
    <t>LTRPA</t>
  </si>
  <si>
    <t>Liberty TripAdvisor Holdings Inc. Series A Common Stock</t>
  </si>
  <si>
    <t>LTRPB</t>
  </si>
  <si>
    <t>Liberty TripAdvisor Holdings Inc. Series B Common Stock</t>
  </si>
  <si>
    <t>LTRX</t>
  </si>
  <si>
    <t>Lantronix Inc. Common Stock</t>
  </si>
  <si>
    <t>LUCD</t>
  </si>
  <si>
    <t>Lucid Diagnostics Inc. Common Stock</t>
  </si>
  <si>
    <t>LULU</t>
  </si>
  <si>
    <t>lululemon athletica inc. Common Stock</t>
  </si>
  <si>
    <t>LUNA</t>
  </si>
  <si>
    <t>Luna Innovations Incorporated Common Stock</t>
  </si>
  <si>
    <t>LUNG</t>
  </si>
  <si>
    <t>Pulmonx Corporation Common Stock</t>
  </si>
  <si>
    <t>LVAC</t>
  </si>
  <si>
    <t>LAVA Medtech Acquisition Corp. Class A Common Stock</t>
  </si>
  <si>
    <t>LVLU</t>
  </si>
  <si>
    <t>Lulu's Fashion Lounge Holdings Inc. Common Stock</t>
  </si>
  <si>
    <t>LVO</t>
  </si>
  <si>
    <t>LiveOne Inc. Common Stock</t>
  </si>
  <si>
    <t>LVOX</t>
  </si>
  <si>
    <t>LiveVox Holdings Inc. Class A Common Stock</t>
  </si>
  <si>
    <t>LVTX</t>
  </si>
  <si>
    <t>LAVA Therapeutics N.V. Ordinary Shares</t>
  </si>
  <si>
    <t>LWAY</t>
  </si>
  <si>
    <t>Lifeway Foods Inc. Common Stock</t>
  </si>
  <si>
    <t>LWLG</t>
  </si>
  <si>
    <t>Lightwave Logic Inc. Common Stock</t>
  </si>
  <si>
    <t>LXRX</t>
  </si>
  <si>
    <t>Lexicon Pharmaceuticals Inc. Common Stock</t>
  </si>
  <si>
    <t>LYEL</t>
  </si>
  <si>
    <t>Lyell Immunopharma Inc. Common Stock</t>
  </si>
  <si>
    <t>LYFT</t>
  </si>
  <si>
    <t>Lyft Inc. Class A Common Stock</t>
  </si>
  <si>
    <t>LYRA</t>
  </si>
  <si>
    <t>Lyra Therapeutics Inc. Common Stock</t>
  </si>
  <si>
    <t>LYTS</t>
  </si>
  <si>
    <t>LSI Industries Inc. Common Stock</t>
  </si>
  <si>
    <t>LZ</t>
  </si>
  <si>
    <t>LegalZoom.com Inc. Common Stock</t>
  </si>
  <si>
    <t>MACA</t>
  </si>
  <si>
    <t>Moringa Acquisition Corp Class A Ordinary Shares</t>
  </si>
  <si>
    <t>MACK</t>
  </si>
  <si>
    <t>Merrimack Pharmaceuticals Inc. Common Stock</t>
  </si>
  <si>
    <t>MANH</t>
  </si>
  <si>
    <t>Manhattan Associates Inc. Common Stock</t>
  </si>
  <si>
    <t>MAPS</t>
  </si>
  <si>
    <t xml:space="preserve">WM Technology Inc. Class A Common Stock </t>
  </si>
  <si>
    <t>MAR</t>
  </si>
  <si>
    <t>Marriott International Class A Common Stock</t>
  </si>
  <si>
    <t>MARA</t>
  </si>
  <si>
    <t>Marathon Digital Holdings Inc. Common Stock</t>
  </si>
  <si>
    <t>MASI</t>
  </si>
  <si>
    <t>Masimo Corporation Common Stock</t>
  </si>
  <si>
    <t>MASS</t>
  </si>
  <si>
    <t>908 Devices Inc. Common Stock</t>
  </si>
  <si>
    <t>MAT</t>
  </si>
  <si>
    <t>Mattel Inc. Common Stock</t>
  </si>
  <si>
    <t>MATW</t>
  </si>
  <si>
    <t>Matthews International Corporation Class A Common Stock</t>
  </si>
  <si>
    <t>MAXN</t>
  </si>
  <si>
    <t>Maxeon Solar Technologies Ltd. Ordinary Shares</t>
  </si>
  <si>
    <t>MAYS</t>
  </si>
  <si>
    <t>J. W. Mays Inc. Common Stock</t>
  </si>
  <si>
    <t>MBCN</t>
  </si>
  <si>
    <t>Middlefield Banc Corp. Common Stock</t>
  </si>
  <si>
    <t>MBIN</t>
  </si>
  <si>
    <t>Merchants Bancorp Common Stock</t>
  </si>
  <si>
    <t>MBIO</t>
  </si>
  <si>
    <t>Mustang Bio Inc. Common Stock</t>
  </si>
  <si>
    <t>MBTC</t>
  </si>
  <si>
    <t>Nocturne Acquisition Corporation Ordinary Shares</t>
  </si>
  <si>
    <t>MBUU</t>
  </si>
  <si>
    <t>Malibu Boats Inc. Class A Common Stock</t>
  </si>
  <si>
    <t>MBWM</t>
  </si>
  <si>
    <t>Mercantile Bank Corporation Common Stock</t>
  </si>
  <si>
    <t>MCAA</t>
  </si>
  <si>
    <t>Mountain &amp; Co. I Acquisition Corp. Class A Ordinary Shares</t>
  </si>
  <si>
    <t>MCAC</t>
  </si>
  <si>
    <t>Monterey Capital Acquisition Corporation Class A Common Stock</t>
  </si>
  <si>
    <t>MCAF</t>
  </si>
  <si>
    <t>Mountain Crest Acquisition Corp. IV Common Stock</t>
  </si>
  <si>
    <t>MCAG</t>
  </si>
  <si>
    <t>Mountain Crest Acquisition Corp. V Common Stock</t>
  </si>
  <si>
    <t>MCBC</t>
  </si>
  <si>
    <t>Macatawa Bank Corporation Common Stock</t>
  </si>
  <si>
    <t>MCBS</t>
  </si>
  <si>
    <t>MetroCity Bankshares Inc. Common Stock</t>
  </si>
  <si>
    <t>MasterCraft Boat Holdings Inc. Common Stock</t>
  </si>
  <si>
    <t>MCHP</t>
  </si>
  <si>
    <t>Microchip Technology Incorporated Common Stock</t>
  </si>
  <si>
    <t>MCHX</t>
  </si>
  <si>
    <t>Marchex Inc. Class B Common Stock</t>
  </si>
  <si>
    <t>MCRB</t>
  </si>
  <si>
    <t>Seres Therapeutics Inc. Common Stock</t>
  </si>
  <si>
    <t>MCRI</t>
  </si>
  <si>
    <t>Monarch Casino &amp; Resort Inc. Common Stock</t>
  </si>
  <si>
    <t>MDB</t>
  </si>
  <si>
    <t>MongoDB Inc. Class A Common Stock</t>
  </si>
  <si>
    <t>MDGL</t>
  </si>
  <si>
    <t>Madrigal Pharmaceuticals Inc. Common Stock</t>
  </si>
  <si>
    <t>MDLZ</t>
  </si>
  <si>
    <t>Mondelez International Inc. Class A Common Stock</t>
  </si>
  <si>
    <t>MDNA</t>
  </si>
  <si>
    <t>Medicenna Therapeutics Corp. Common Shares</t>
  </si>
  <si>
    <t>MDRX</t>
  </si>
  <si>
    <t>Veradigm Inc. Common Stock</t>
  </si>
  <si>
    <t>MDWT</t>
  </si>
  <si>
    <t>Midwest Holding Inc. Common Stock</t>
  </si>
  <si>
    <t>MDXG</t>
  </si>
  <si>
    <t>MiMedx Group Inc Common Stock</t>
  </si>
  <si>
    <t>MDXH</t>
  </si>
  <si>
    <t>MDxHealth SA American Depositary Shares</t>
  </si>
  <si>
    <t>ME</t>
  </si>
  <si>
    <t>23andMe Holding Co. Class A Common Stock</t>
  </si>
  <si>
    <t>MEDP</t>
  </si>
  <si>
    <t>Medpace Holdings Inc. Common Stock</t>
  </si>
  <si>
    <t>MEGL</t>
  </si>
  <si>
    <t>Magic Empire Global Limited Ordinary Shares</t>
  </si>
  <si>
    <t>MEKA</t>
  </si>
  <si>
    <t>MELI Kaszek Pioneer Corp Class A Ordinary Shares</t>
  </si>
  <si>
    <t>MEOA</t>
  </si>
  <si>
    <t>Minority Equality Opportunities Acquisition Inc. Class A Common Stock</t>
  </si>
  <si>
    <t>MEOH</t>
  </si>
  <si>
    <t>Methanex Corporation Common Stock</t>
  </si>
  <si>
    <t>MERC</t>
  </si>
  <si>
    <t>Mercer International Inc. Common Stock</t>
  </si>
  <si>
    <t>MESA</t>
  </si>
  <si>
    <t>Mesa Air Group Inc. Common Stock</t>
  </si>
  <si>
    <t>MESO</t>
  </si>
  <si>
    <t>Mesoblast Limited American Depositary Shares</t>
  </si>
  <si>
    <t>META</t>
  </si>
  <si>
    <t>Meta Platforms Inc. Class A Common Stock</t>
  </si>
  <si>
    <t>METC</t>
  </si>
  <si>
    <t>Ramaco Resources Inc. Common Stock</t>
  </si>
  <si>
    <t>MFIC</t>
  </si>
  <si>
    <t>MidCap Financial Investment Corporation Common Stock</t>
  </si>
  <si>
    <t>MFIN</t>
  </si>
  <si>
    <t>Medallion Financial Corp. Common Stock</t>
  </si>
  <si>
    <t>MGAM</t>
  </si>
  <si>
    <t>Mobile Global Esports Inc. Common Stock</t>
  </si>
  <si>
    <t>MGEE</t>
  </si>
  <si>
    <t>MGE Energy Inc</t>
  </si>
  <si>
    <t>MGI</t>
  </si>
  <si>
    <t>Moneygram International Inc. Common Stock</t>
  </si>
  <si>
    <t>MGNI</t>
  </si>
  <si>
    <t>Magnite Inc. Common Stock</t>
  </si>
  <si>
    <t>MGNX</t>
  </si>
  <si>
    <t>MacroGenics Inc. Common Stock</t>
  </si>
  <si>
    <t>MGPI</t>
  </si>
  <si>
    <t>MGP Ingredients Inc.</t>
  </si>
  <si>
    <t>MGRC</t>
  </si>
  <si>
    <t>McGrath RentCorp Common Stock</t>
  </si>
  <si>
    <t>MGTX</t>
  </si>
  <si>
    <t>MeiraGTx Holdings plc Ordinary Shares</t>
  </si>
  <si>
    <t>MGYR</t>
  </si>
  <si>
    <t>Magyar Bancorp Inc. Common Stock</t>
  </si>
  <si>
    <t>MICT</t>
  </si>
  <si>
    <t>MICT Inc. Common Stock</t>
  </si>
  <si>
    <t>MIDD</t>
  </si>
  <si>
    <t>Middleby Corporation (The) Common Stock</t>
  </si>
  <si>
    <t>MIRM</t>
  </si>
  <si>
    <t>Mirum Pharmaceuticals Inc. Common Stock</t>
  </si>
  <si>
    <t>MIRO</t>
  </si>
  <si>
    <t>Miromatrix Medical Inc. Common Stock</t>
  </si>
  <si>
    <t>MIST</t>
  </si>
  <si>
    <t>Milestone Pharmaceuticals Inc. Common Shares</t>
  </si>
  <si>
    <t>MITA</t>
  </si>
  <si>
    <t>Coliseum Acquisition Corp. Class A Ordinary Share</t>
  </si>
  <si>
    <t>MITK</t>
  </si>
  <si>
    <t>Mitek Systems Inc. Common Stock</t>
  </si>
  <si>
    <t>MKSI</t>
  </si>
  <si>
    <t>MKS Instruments Inc. Common Stock</t>
  </si>
  <si>
    <t>MKTW</t>
  </si>
  <si>
    <t>MarketWise Inc. Class A Common Stock</t>
  </si>
  <si>
    <t>MKTX</t>
  </si>
  <si>
    <t>MarketAxess Holdings Inc. Common Stock</t>
  </si>
  <si>
    <t>MKUL</t>
  </si>
  <si>
    <t>Molekule Group Inc. Common Stock</t>
  </si>
  <si>
    <t>MLAB</t>
  </si>
  <si>
    <t>Mesa Laboratories Inc. Common Stock</t>
  </si>
  <si>
    <t>MLAC</t>
  </si>
  <si>
    <t>Malacca Straits Acquisition Company Limited Class A Ordinary Shares</t>
  </si>
  <si>
    <t>MLAI</t>
  </si>
  <si>
    <t>McLaren Technology Acquisition Corp. Class A Common Stock</t>
  </si>
  <si>
    <t>MLCO</t>
  </si>
  <si>
    <t>Melco Resorts &amp; Entertainment Limited American Depositary Shares</t>
  </si>
  <si>
    <t>MLEC</t>
  </si>
  <si>
    <t>Moolec Science SA Ordinary Shares</t>
  </si>
  <si>
    <t>MLGO</t>
  </si>
  <si>
    <t>MicroAlgo Inc. Ordinary Shares</t>
  </si>
  <si>
    <t>MLKN</t>
  </si>
  <si>
    <t>MillerKnoll Inc. Common Stock</t>
  </si>
  <si>
    <t>MLTX</t>
  </si>
  <si>
    <t>MoonLake Immunotherapeutics Class A Ordinary Shares</t>
  </si>
  <si>
    <t>MLVF</t>
  </si>
  <si>
    <t>Malvern Bancorp Inc. Common Stock</t>
  </si>
  <si>
    <t>MMAT</t>
  </si>
  <si>
    <t>Meta Materials Inc. Common Stock</t>
  </si>
  <si>
    <t>MMLP</t>
  </si>
  <si>
    <t>Martin Midstream Partners L.P. Limited Partnership</t>
  </si>
  <si>
    <t>MMMB</t>
  </si>
  <si>
    <t>MamaMancini's Holdings Inc. Common Stock</t>
  </si>
  <si>
    <t>MMSI</t>
  </si>
  <si>
    <t>Merit Medical Systems Inc. Common Stock</t>
  </si>
  <si>
    <t>MMV</t>
  </si>
  <si>
    <t>MultiMetaVerse Holdings Limited Class A Ordinary Share</t>
  </si>
  <si>
    <t>MMYT</t>
  </si>
  <si>
    <t>MakeMyTrip Limited Ordinary Shares</t>
  </si>
  <si>
    <t>MNKD</t>
  </si>
  <si>
    <t>MannKind Corporation Common Stock</t>
  </si>
  <si>
    <t>MNMD</t>
  </si>
  <si>
    <t>Mind Medicine (MindMed) Inc. Common Shares</t>
  </si>
  <si>
    <t>MNOV</t>
  </si>
  <si>
    <t>Medicinova Inc Common Stock</t>
  </si>
  <si>
    <t>MNRO</t>
  </si>
  <si>
    <t>Monro Inc. Common Stock</t>
  </si>
  <si>
    <t>MNSB</t>
  </si>
  <si>
    <t>MainStreet Bancshares Inc. Common Stock</t>
  </si>
  <si>
    <t>MNST</t>
  </si>
  <si>
    <t>Monster Beverage Corporation</t>
  </si>
  <si>
    <t>MNTK</t>
  </si>
  <si>
    <t>Montauk Renewables Inc. Common Stock</t>
  </si>
  <si>
    <t>MNTS</t>
  </si>
  <si>
    <t>Momentus Inc. Class A Common Stock</t>
  </si>
  <si>
    <t>MNTV</t>
  </si>
  <si>
    <t>Momentive Global Inc. Common Stock</t>
  </si>
  <si>
    <t>MNTX</t>
  </si>
  <si>
    <t>Manitex International Inc. Common Stock</t>
  </si>
  <si>
    <t>MOBV</t>
  </si>
  <si>
    <t>Mobiv Acquisition Corp Class A Common Stock</t>
  </si>
  <si>
    <t>MODV</t>
  </si>
  <si>
    <t>ModivCare Inc. Common Stock</t>
  </si>
  <si>
    <t>MOFG</t>
  </si>
  <si>
    <t>MidWestOne Financial Gp Common Stock</t>
  </si>
  <si>
    <t>MOGO</t>
  </si>
  <si>
    <t>Mogo Inc. Common Shares</t>
  </si>
  <si>
    <t>MOLN</t>
  </si>
  <si>
    <t>Molecular Partners AG American Depositary Shares</t>
  </si>
  <si>
    <t>MOND</t>
  </si>
  <si>
    <t>Mondee Holdings Inc. Class A Common Stock</t>
  </si>
  <si>
    <t>MOR</t>
  </si>
  <si>
    <t>MorphoSys AG American Depositary Shares</t>
  </si>
  <si>
    <t>MORF</t>
  </si>
  <si>
    <t>Morphic Holding Inc. Common Stock</t>
  </si>
  <si>
    <t>MORN</t>
  </si>
  <si>
    <t>Morningstar Inc. Common Stock</t>
  </si>
  <si>
    <t>MPAA</t>
  </si>
  <si>
    <t>Motorcar Parts  of America Inc. Common Stock</t>
  </si>
  <si>
    <t>MPB</t>
  </si>
  <si>
    <t>Mid Penn Bancorp Common Stock</t>
  </si>
  <si>
    <t>MPRA</t>
  </si>
  <si>
    <t>Mercato Partners Acquisition Corporation Class A Common Stock</t>
  </si>
  <si>
    <t>MPWR</t>
  </si>
  <si>
    <t>Monolithic Power Systems Inc. Common Stock</t>
  </si>
  <si>
    <t>MQ</t>
  </si>
  <si>
    <t>Marqeta Inc. Class A Common Stock</t>
  </si>
  <si>
    <t>MRAM</t>
  </si>
  <si>
    <t>Everspin Technologies Inc. Common Stock</t>
  </si>
  <si>
    <t>MRBK</t>
  </si>
  <si>
    <t>Meridian Corporation Common Stock</t>
  </si>
  <si>
    <t>MRCC</t>
  </si>
  <si>
    <t>Monroe Capital Corporation Common Stock</t>
  </si>
  <si>
    <t>MRCY</t>
  </si>
  <si>
    <t>Mercury Systems Inc Common Stock</t>
  </si>
  <si>
    <t>MREO</t>
  </si>
  <si>
    <t>Mereo BioPharma Group plc American Depositary Shares</t>
  </si>
  <si>
    <t>Moderna Inc. Common Stock</t>
  </si>
  <si>
    <t>MRNS</t>
  </si>
  <si>
    <t>Marinus Pharmaceuticals Inc. Common Stock</t>
  </si>
  <si>
    <t>MRSN</t>
  </si>
  <si>
    <t>Mersana Therapeutics Inc. Common Stock</t>
  </si>
  <si>
    <t>MRTN</t>
  </si>
  <si>
    <t>Marten Transport Ltd. Common Stock</t>
  </si>
  <si>
    <t>MRTX</t>
  </si>
  <si>
    <t>Mirati Therapeutics Inc. Common Stock</t>
  </si>
  <si>
    <t>MRUS</t>
  </si>
  <si>
    <t>Merus N.V. Common Shares</t>
  </si>
  <si>
    <t>MRVI</t>
  </si>
  <si>
    <t>Maravai LifeSciences Holdings Inc. Class A Common Stock</t>
  </si>
  <si>
    <t>MRVL</t>
  </si>
  <si>
    <t>Marvell Technology Inc. Common Stock</t>
  </si>
  <si>
    <t>MSAC</t>
  </si>
  <si>
    <t>Medicus Sciences Acquisition Corp. Class A Ordinary Share</t>
  </si>
  <si>
    <t>MSBI</t>
  </si>
  <si>
    <t>Midland States Bancorp Inc. Common Stock</t>
  </si>
  <si>
    <t>MSDA</t>
  </si>
  <si>
    <t>MSD Acquisition Corp. Class A Ordinary Shares</t>
  </si>
  <si>
    <t>MSEX</t>
  </si>
  <si>
    <t>Middlesex Water Company Common Stock</t>
  </si>
  <si>
    <t>MSFT</t>
  </si>
  <si>
    <t>Microsoft Corporation Common Stock</t>
  </si>
  <si>
    <t>MSSA</t>
  </si>
  <si>
    <t>Metal Sky Star Acquisition Corporation Ordinary shares</t>
  </si>
  <si>
    <t>MSTR</t>
  </si>
  <si>
    <t>MicroStrategy Incorporated Common Stock Class A</t>
  </si>
  <si>
    <t>MTAC</t>
  </si>
  <si>
    <t>MedTech Acquisition Corporation Class A Common Stock</t>
  </si>
  <si>
    <t>MTCH</t>
  </si>
  <si>
    <t>Match Group Inc. Common Stock</t>
  </si>
  <si>
    <t>MTLS</t>
  </si>
  <si>
    <t>Materialise NV American Depositary Shares</t>
  </si>
  <si>
    <t>MTRX</t>
  </si>
  <si>
    <t>Matrix Service Company Common Stock</t>
  </si>
  <si>
    <t>MTRY</t>
  </si>
  <si>
    <t>Monterey Bio Acquisition Corporation Common Stock</t>
  </si>
  <si>
    <t>MTSI</t>
  </si>
  <si>
    <t>MACOM Technology Solutions Holdings Inc. Common Stock</t>
  </si>
  <si>
    <t>MTTR</t>
  </si>
  <si>
    <t>Matterport Inc. Class A Common Stock</t>
  </si>
  <si>
    <t>MU</t>
  </si>
  <si>
    <t>Micron Technology Inc. Common Stock</t>
  </si>
  <si>
    <t>MULN</t>
  </si>
  <si>
    <t>Mullen Automotive Inc. Common Stock</t>
  </si>
  <si>
    <t>MURF</t>
  </si>
  <si>
    <t>Murphy Canyon Acquisition Corp. Class A Common Stock</t>
  </si>
  <si>
    <t>MVBF</t>
  </si>
  <si>
    <t>MVB Financial Corp. Common Stock</t>
  </si>
  <si>
    <t>MVIS</t>
  </si>
  <si>
    <t>MicroVision Inc. Common Stock</t>
  </si>
  <si>
    <t>MVST</t>
  </si>
  <si>
    <t>Microvast Holdings Inc. Common Stock</t>
  </si>
  <si>
    <t>MXCT</t>
  </si>
  <si>
    <t>MaxCyte Inc. Common Stock</t>
  </si>
  <si>
    <t>MXL</t>
  </si>
  <si>
    <t>MaxLinear Inc. Common Stock</t>
  </si>
  <si>
    <t>MYFW</t>
  </si>
  <si>
    <t>First Western Financial Inc. Common Stock</t>
  </si>
  <si>
    <t>MYGN</t>
  </si>
  <si>
    <t>Myriad Genetics Inc. Common Stock</t>
  </si>
  <si>
    <t>MYMD</t>
  </si>
  <si>
    <t>MyMD Pharmaceuticals Inc. Common Stock</t>
  </si>
  <si>
    <t>MYNA</t>
  </si>
  <si>
    <t>Mynaric AG American Depository Shares</t>
  </si>
  <si>
    <t>MYNZ</t>
  </si>
  <si>
    <t>Mainz Biomed N.V. Ordinary Shares</t>
  </si>
  <si>
    <t>MYPS</t>
  </si>
  <si>
    <t>PLAYSTUDIOS Inc.  Class A Common Stock</t>
  </si>
  <si>
    <t>MYRG</t>
  </si>
  <si>
    <t>MYR Group Inc. Common Stock</t>
  </si>
  <si>
    <t>NAII</t>
  </si>
  <si>
    <t>Natural Alternatives International Inc. Common Stock</t>
  </si>
  <si>
    <t>NAMS</t>
  </si>
  <si>
    <t>NewAmsterdam Pharma Company N.V. Ordinary Shares</t>
  </si>
  <si>
    <t>NARI</t>
  </si>
  <si>
    <t>Inari Medical Inc. Common Stock</t>
  </si>
  <si>
    <t>NATH</t>
  </si>
  <si>
    <t>Nathan's Famous Inc. Common Stock</t>
  </si>
  <si>
    <t>NATI</t>
  </si>
  <si>
    <t>National Instruments Corporation Common Stock</t>
  </si>
  <si>
    <t>NATR</t>
  </si>
  <si>
    <t>Nature's Sunshine Products Inc. Common Stock</t>
  </si>
  <si>
    <t>NAUT</t>
  </si>
  <si>
    <t>Nautilus Biotechnolgy Inc. Common Stock</t>
  </si>
  <si>
    <t>NAVI</t>
  </si>
  <si>
    <t>Navient Corporation Common Stock</t>
  </si>
  <si>
    <t>NBIX</t>
  </si>
  <si>
    <t>Neurocrine Biosciences Inc. Common Stock</t>
  </si>
  <si>
    <t>NBN</t>
  </si>
  <si>
    <t>Northeast Bank Common Stock</t>
  </si>
  <si>
    <t>NBST</t>
  </si>
  <si>
    <t>Newbury Street Acquisition Corporation Common Stock</t>
  </si>
  <si>
    <t>NBTB</t>
  </si>
  <si>
    <t>NBT Bancorp Inc. Common Stock</t>
  </si>
  <si>
    <t>NBTX</t>
  </si>
  <si>
    <t>Nanobiotix S.A. American Depositary Shares</t>
  </si>
  <si>
    <t>NCAC</t>
  </si>
  <si>
    <t>Newcourt Acquisition Corp Class A Ordinary Share</t>
  </si>
  <si>
    <t>NCACU</t>
  </si>
  <si>
    <t>Newcourt Acquisition Corp Unit</t>
  </si>
  <si>
    <t>NCNA</t>
  </si>
  <si>
    <t>NuCana plc American Depositary Share</t>
  </si>
  <si>
    <t>NCNO</t>
  </si>
  <si>
    <t>nCino Inc. Common Stock</t>
  </si>
  <si>
    <t>NCSM</t>
  </si>
  <si>
    <t>NCS Multistage Holdings Inc. Common Stock</t>
  </si>
  <si>
    <t>NDAQ</t>
  </si>
  <si>
    <t>Nasdaq Inc. Common Stock</t>
  </si>
  <si>
    <t>NDLS</t>
  </si>
  <si>
    <t>Noodles &amp; Company Class A Common Stock</t>
  </si>
  <si>
    <t>NDSN</t>
  </si>
  <si>
    <t>Nordson Corporation Common Stock</t>
  </si>
  <si>
    <t>NECB</t>
  </si>
  <si>
    <t>NorthEast Community Bancorp Inc. Common Stock</t>
  </si>
  <si>
    <t>NEO</t>
  </si>
  <si>
    <t>NeoGenomics Inc. Common Stock</t>
  </si>
  <si>
    <t>NEOG</t>
  </si>
  <si>
    <t>Neogen Corporation Common Stock</t>
  </si>
  <si>
    <t>NEON</t>
  </si>
  <si>
    <t>Neonode Inc. Common Stock</t>
  </si>
  <si>
    <t>NEOV</t>
  </si>
  <si>
    <t>NeoVolta Inc. Common Stock</t>
  </si>
  <si>
    <t>NESR</t>
  </si>
  <si>
    <t>National Energy Services Reunited Corp. Ordinary Shares</t>
  </si>
  <si>
    <t>NEWT</t>
  </si>
  <si>
    <t>NewtekOne Inc. Common Stock</t>
  </si>
  <si>
    <t>NEXT</t>
  </si>
  <si>
    <t>NextDecade Corporation Common Stock</t>
  </si>
  <si>
    <t>NFBK</t>
  </si>
  <si>
    <t>Northfield Bancorp Inc. Common Stock (Delaware)</t>
  </si>
  <si>
    <t>NFE</t>
  </si>
  <si>
    <t>New Fortress Energy Inc. Class A Common Stock</t>
  </si>
  <si>
    <t>NFLX</t>
  </si>
  <si>
    <t>Netflix Inc. Common Stock</t>
  </si>
  <si>
    <t>NGM</t>
  </si>
  <si>
    <t>NGM Biopharmaceuticals Inc. Common Stock</t>
  </si>
  <si>
    <t>NHIC</t>
  </si>
  <si>
    <t>NewHold Investment Corp. II Class A Common Stock</t>
  </si>
  <si>
    <t>NHTC</t>
  </si>
  <si>
    <t>Natural Health Trends Corp. Common Stock</t>
  </si>
  <si>
    <t>NKLA</t>
  </si>
  <si>
    <t>Nikola Corporation Common Stock</t>
  </si>
  <si>
    <t>NKSH</t>
  </si>
  <si>
    <t>National Bankshares Inc. Common Stock</t>
  </si>
  <si>
    <t>NKTR</t>
  </si>
  <si>
    <t>Nektar Therapeutics  Common Stock</t>
  </si>
  <si>
    <t>NKTX</t>
  </si>
  <si>
    <t>Nkarta Inc. Common Stock</t>
  </si>
  <si>
    <t>NLSP</t>
  </si>
  <si>
    <t>NLS Pharmaceutics Ltd. Ordinary Shares</t>
  </si>
  <si>
    <t>NMFC</t>
  </si>
  <si>
    <t>New Mountain Finance Corporation Common Stock</t>
  </si>
  <si>
    <t>NMIH</t>
  </si>
  <si>
    <t>NMI Holdings Inc. Class A Common Stock</t>
  </si>
  <si>
    <t>NMRK</t>
  </si>
  <si>
    <t>Newmark Group Inc. Class A Common Stock</t>
  </si>
  <si>
    <t>NN</t>
  </si>
  <si>
    <t>NextNav Inc. Common Stock</t>
  </si>
  <si>
    <t>NNBR</t>
  </si>
  <si>
    <t>NN Inc. Common Stock</t>
  </si>
  <si>
    <t>NODK</t>
  </si>
  <si>
    <t>NI Holdings Inc. Common Stock</t>
  </si>
  <si>
    <t>NOTV</t>
  </si>
  <si>
    <t>Inotiv Inc. Common Stock</t>
  </si>
  <si>
    <t>NOVT</t>
  </si>
  <si>
    <t>Novanta Inc. Common Stock</t>
  </si>
  <si>
    <t>NPAB</t>
  </si>
  <si>
    <t>New Providence Acquisition Corp. II Class A Common Stock</t>
  </si>
  <si>
    <t>NPCE</t>
  </si>
  <si>
    <t>Neuropace Inc. Common Stock</t>
  </si>
  <si>
    <t>NRAC</t>
  </si>
  <si>
    <t>Noble Rock Acquisition Corporation Class A Ordinary Share</t>
  </si>
  <si>
    <t>NRC</t>
  </si>
  <si>
    <t>National Research Corporation Common Stock (Delaware)</t>
  </si>
  <si>
    <t>NRDS</t>
  </si>
  <si>
    <t>NerdWallet Inc. Class A Common Stock</t>
  </si>
  <si>
    <t>NRIM</t>
  </si>
  <si>
    <t>Northrim BanCorp Inc Common Stock</t>
  </si>
  <si>
    <t>NRIX</t>
  </si>
  <si>
    <t>Nurix Therapeutics Inc. Common stock</t>
  </si>
  <si>
    <t>NRXP</t>
  </si>
  <si>
    <t>NRX Pharmaceuticals Inc. Common Stock</t>
  </si>
  <si>
    <t>NSIT</t>
  </si>
  <si>
    <t>Insight Enterprises Inc. Common Stock</t>
  </si>
  <si>
    <t>NSSC</t>
  </si>
  <si>
    <t>NAPCO Security Technologies Inc. Common Stock</t>
  </si>
  <si>
    <t>NSTG</t>
  </si>
  <si>
    <t>NanoString Technologies Inc. Common Stock</t>
  </si>
  <si>
    <t>NSTS</t>
  </si>
  <si>
    <t>NSTS Bancorp Inc. Common Stock</t>
  </si>
  <si>
    <t>NTAP</t>
  </si>
  <si>
    <t>NetApp Inc. Common Stock</t>
  </si>
  <si>
    <t>NTCT</t>
  </si>
  <si>
    <t>NetScout Systems Inc. Common Stock</t>
  </si>
  <si>
    <t>NTGR</t>
  </si>
  <si>
    <t>NETGEAR Inc. Common Stock</t>
  </si>
  <si>
    <t>NTIC</t>
  </si>
  <si>
    <t>Northern Technologies International Corporation Common Stock</t>
  </si>
  <si>
    <t>NTLA</t>
  </si>
  <si>
    <t>Intellia Therapeutics Inc. Common Stock</t>
  </si>
  <si>
    <t>NTNX</t>
  </si>
  <si>
    <t>Nutanix Inc. Class A Common Stock</t>
  </si>
  <si>
    <t>NTRA</t>
  </si>
  <si>
    <t>Natera Inc. Common Stock</t>
  </si>
  <si>
    <t>NTRS</t>
  </si>
  <si>
    <t>Northern Trust Corporation Common Stock</t>
  </si>
  <si>
    <t>NUBI</t>
  </si>
  <si>
    <t>Nubia Brand International Corp. Class A Common Stock</t>
  </si>
  <si>
    <t>NUTX</t>
  </si>
  <si>
    <t>Nutex Health Inc. Common Stock</t>
  </si>
  <si>
    <t>NUVA</t>
  </si>
  <si>
    <t>NuVasive Inc. Common Stock</t>
  </si>
  <si>
    <t>NUVL</t>
  </si>
  <si>
    <t>Nuvalent Inc. Class A Common Stock</t>
  </si>
  <si>
    <t>NVAC</t>
  </si>
  <si>
    <t>NorthView Acquisition Corporation Common Stock</t>
  </si>
  <si>
    <t>NVAX</t>
  </si>
  <si>
    <t>Novavax Inc. Common Stock</t>
  </si>
  <si>
    <t>NVCN</t>
  </si>
  <si>
    <t>Neovasc Inc. Common Shares</t>
  </si>
  <si>
    <t>NVCR</t>
  </si>
  <si>
    <t>NovoCure Limited Ordinary Shares</t>
  </si>
  <si>
    <t>NVCT</t>
  </si>
  <si>
    <t>Nuvectis Pharma Inc. Common Stock</t>
  </si>
  <si>
    <t>NVDA</t>
  </si>
  <si>
    <t>NVIDIA Corporation Common Stock</t>
  </si>
  <si>
    <t>NVEC</t>
  </si>
  <si>
    <t>NVE Corporation Common Stock</t>
  </si>
  <si>
    <t>NVEE</t>
  </si>
  <si>
    <t>NV5 Global Inc. Common Stock</t>
  </si>
  <si>
    <t>NVEI</t>
  </si>
  <si>
    <t>Nuvei Corporation Subordinate Voting Shares</t>
  </si>
  <si>
    <t>NVNO</t>
  </si>
  <si>
    <t>enVVeno Medical Corporation Common Stock</t>
  </si>
  <si>
    <t>NVSA</t>
  </si>
  <si>
    <t>New Vista Acquisition Corp Class A Ordinary Shares</t>
  </si>
  <si>
    <t>NVTS</t>
  </si>
  <si>
    <t>Navitas Semiconductor Corporation Common Stock</t>
  </si>
  <si>
    <t>NVX</t>
  </si>
  <si>
    <t>NOVONIX Limited American Depository Shares</t>
  </si>
  <si>
    <t>NWBI</t>
  </si>
  <si>
    <t>Northwest Bancshares Inc. Common Stock</t>
  </si>
  <si>
    <t>NWE</t>
  </si>
  <si>
    <t>NorthWestern Corporation Common Stock</t>
  </si>
  <si>
    <t>NWFL</t>
  </si>
  <si>
    <t>Norwood Financial Corp. Common Stock</t>
  </si>
  <si>
    <t>NWL</t>
  </si>
  <si>
    <t>Newell Brands Inc. Common Stock</t>
  </si>
  <si>
    <t>NWLI</t>
  </si>
  <si>
    <t>National Western Life Group Inc. Class A Common Stock</t>
  </si>
  <si>
    <t>NWPX</t>
  </si>
  <si>
    <t>Northwest Pipe Company Common Stock</t>
  </si>
  <si>
    <t>NWS</t>
  </si>
  <si>
    <t>News Corporation Class B Common Stock</t>
  </si>
  <si>
    <t>NWSA</t>
  </si>
  <si>
    <t>News Corporation Class A Common Stock</t>
  </si>
  <si>
    <t>NXGN</t>
  </si>
  <si>
    <t>NextGen Healthcare Inc. Common Stock</t>
  </si>
  <si>
    <t>NXPI</t>
  </si>
  <si>
    <t>NXP Semiconductors N.V. Common Stock</t>
  </si>
  <si>
    <t>NXST</t>
  </si>
  <si>
    <t>Nexstar Media Group Inc. Common Stock</t>
  </si>
  <si>
    <t>NYMT</t>
  </si>
  <si>
    <t>New York Mortgage Trust Inc. Common Stock</t>
  </si>
  <si>
    <t>NYXH</t>
  </si>
  <si>
    <t>Nyxoah SA Ordinary Shares</t>
  </si>
  <si>
    <t>OABI</t>
  </si>
  <si>
    <t>OmniAb Inc. Common Stock</t>
  </si>
  <si>
    <t>OB</t>
  </si>
  <si>
    <t>Outbrain Inc. Common Stock</t>
  </si>
  <si>
    <t>OBIO</t>
  </si>
  <si>
    <t>Orchestra BioMed Holdings Inc. Ordinary Shares</t>
  </si>
  <si>
    <t>OBNK</t>
  </si>
  <si>
    <t>Origin Bancorp Inc. Common Stock</t>
  </si>
  <si>
    <t>OBT</t>
  </si>
  <si>
    <t>Orange County Bancorp Inc. Common Stock</t>
  </si>
  <si>
    <t>OCAX</t>
  </si>
  <si>
    <t>OCA Acquisition Corp. Class A Common Stock</t>
  </si>
  <si>
    <t>OCFC</t>
  </si>
  <si>
    <t>OceanFirst Financial Corp. Common Stock</t>
  </si>
  <si>
    <t>OCGN</t>
  </si>
  <si>
    <t>Ocugen Inc. Common Stock</t>
  </si>
  <si>
    <t>OCSL</t>
  </si>
  <si>
    <t>Oaktree Specialty Lending Corporation Common Stock</t>
  </si>
  <si>
    <t>OCUL</t>
  </si>
  <si>
    <t>Ocular Therapeutix Inc. Common Stock</t>
  </si>
  <si>
    <t>OCUP</t>
  </si>
  <si>
    <t>Ocuphire Pharma Inc. Common Stock</t>
  </si>
  <si>
    <t>ODFL</t>
  </si>
  <si>
    <t>Old Dominion Freight Line Inc. Common Stock</t>
  </si>
  <si>
    <t>ODP</t>
  </si>
  <si>
    <t>The ODP Corporation Common Stock</t>
  </si>
  <si>
    <t>OESX</t>
  </si>
  <si>
    <t>Orion Energy Systems Inc. Common Stock</t>
  </si>
  <si>
    <t>OFED</t>
  </si>
  <si>
    <t>Oconee Federal Financial Corp. Common Stock</t>
  </si>
  <si>
    <t>OFLX</t>
  </si>
  <si>
    <t>Omega Flex Inc. Common Stock</t>
  </si>
  <si>
    <t>OFS</t>
  </si>
  <si>
    <t>OFS Capital Corporation Common Stock</t>
  </si>
  <si>
    <t>OGI</t>
  </si>
  <si>
    <t>Organigram Holdings Inc. Common Shares</t>
  </si>
  <si>
    <t>OKTA</t>
  </si>
  <si>
    <t>Okta Inc. Class A Common Stock</t>
  </si>
  <si>
    <t>OLED</t>
  </si>
  <si>
    <t>Universal Display Corporation Common Stock</t>
  </si>
  <si>
    <t>OLIT</t>
  </si>
  <si>
    <t>OmniLit Acquisition Corp. Class A Common Stock</t>
  </si>
  <si>
    <t>OLK</t>
  </si>
  <si>
    <t>Olink Holding AB (publ) American Depositary Shares</t>
  </si>
  <si>
    <t>OLLI</t>
  </si>
  <si>
    <t>Ollie's Bargain Outlet Holdings Inc. Common Stock</t>
  </si>
  <si>
    <t>OLMA</t>
  </si>
  <si>
    <t>Olema Pharmaceuticals Inc. Common Stock</t>
  </si>
  <si>
    <t>OLPX</t>
  </si>
  <si>
    <t>Olaplex Holdings Inc. Common Stock</t>
  </si>
  <si>
    <t>OM</t>
  </si>
  <si>
    <t>Outset Medical Inc. Common Stock</t>
  </si>
  <si>
    <t>OMAB</t>
  </si>
  <si>
    <t>Grupo Aeroportuario del Centro Norte S.A.B. de C.V. ADS</t>
  </si>
  <si>
    <t>OMCL</t>
  </si>
  <si>
    <t>Omnicell Inc. Common Stock ($0.001 par value)</t>
  </si>
  <si>
    <t>OMER</t>
  </si>
  <si>
    <t>Omeros Corporation Common Stock</t>
  </si>
  <si>
    <t>OMEX</t>
  </si>
  <si>
    <t>Odyssey Marine Exploration Inc. Common Stock</t>
  </si>
  <si>
    <t>OMGA</t>
  </si>
  <si>
    <t>Omega Therapeutics Inc. Common Stock</t>
  </si>
  <si>
    <t>OMIC</t>
  </si>
  <si>
    <t>Singular Genomics Systems Inc. Common Stock</t>
  </si>
  <si>
    <t>ON</t>
  </si>
  <si>
    <t>ON Semiconductor Corporation Common Stock</t>
  </si>
  <si>
    <t>ONB</t>
  </si>
  <si>
    <t>Old National Bancorp Common Stock</t>
  </si>
  <si>
    <t>ONCT</t>
  </si>
  <si>
    <t>Oncternal Therapeutics Inc. Common Stock</t>
  </si>
  <si>
    <t>ONCY</t>
  </si>
  <si>
    <t>Oncolytics Biotech Inc. Common Shares</t>
  </si>
  <si>
    <t>ONDS</t>
  </si>
  <si>
    <t>Ondas Holdings Inc. Common Stock</t>
  </si>
  <si>
    <t>ONEM</t>
  </si>
  <si>
    <t>1Life Healthcare Inc. Common Stock</t>
  </si>
  <si>
    <t>ONEW</t>
  </si>
  <si>
    <t>OneWater Marine Inc. Class A Common Stock</t>
  </si>
  <si>
    <t>ONYX</t>
  </si>
  <si>
    <t>Onyx Acquisition Co. I Class A Ordinary Shares</t>
  </si>
  <si>
    <t>OPAL</t>
  </si>
  <si>
    <t>OPAL Fuels Inc. Class A Common Stock</t>
  </si>
  <si>
    <t>OPBK</t>
  </si>
  <si>
    <t>OP Bancorp Common Stock</t>
  </si>
  <si>
    <t>OPCH</t>
  </si>
  <si>
    <t>Option Care Health Inc. Common Stock</t>
  </si>
  <si>
    <t>OPEN</t>
  </si>
  <si>
    <t>Opendoor Technologies Inc Common Stock</t>
  </si>
  <si>
    <t>OPI</t>
  </si>
  <si>
    <t>Office Properties Income Trust Common Shares of Beneficial Interest</t>
  </si>
  <si>
    <t>OPK</t>
  </si>
  <si>
    <t>OPKO Health Inc. Common Stock</t>
  </si>
  <si>
    <t>OPNT</t>
  </si>
  <si>
    <t>Opiant Pharmaceuticals Inc. Common Stock</t>
  </si>
  <si>
    <t>OPOF</t>
  </si>
  <si>
    <t>Old Point Financial Corporation Common Stock</t>
  </si>
  <si>
    <t>OPRA</t>
  </si>
  <si>
    <t>Opera Limited American Depositary Shares</t>
  </si>
  <si>
    <t>OPRT</t>
  </si>
  <si>
    <t>Oportun Financial Corporation Common Stock</t>
  </si>
  <si>
    <t>OPRX</t>
  </si>
  <si>
    <t>OptimizeRx Corporation Common Stock</t>
  </si>
  <si>
    <t>OPT</t>
  </si>
  <si>
    <t>Opthea Limited American Depositary Shares</t>
  </si>
  <si>
    <t>OPTN</t>
  </si>
  <si>
    <t>OptiNose Inc. Common Stock</t>
  </si>
  <si>
    <t>ORGN</t>
  </si>
  <si>
    <t>Origin Materials Inc. Common Stock</t>
  </si>
  <si>
    <t>ORGO</t>
  </si>
  <si>
    <t>Organogenesis Holdings Inc. Class A Common Stock</t>
  </si>
  <si>
    <t>ORIA</t>
  </si>
  <si>
    <t>Orion Biotech Opportunities Corp. Class A Ordinary Share</t>
  </si>
  <si>
    <t>ORIC</t>
  </si>
  <si>
    <t>Oric Pharmaceuticals Inc. Common Stock</t>
  </si>
  <si>
    <t>ORLY</t>
  </si>
  <si>
    <t>O'Reilly Automotive Inc. Common Stock</t>
  </si>
  <si>
    <t>ORRF</t>
  </si>
  <si>
    <t>Orrstown Financial Services Inc Common Stock</t>
  </si>
  <si>
    <t>ORTX</t>
  </si>
  <si>
    <t>Orchard Therapeutics plc American Depositary Shares</t>
  </si>
  <si>
    <t>OSA</t>
  </si>
  <si>
    <t>ProSomnus Inc. Common Stock</t>
  </si>
  <si>
    <t>OSBC</t>
  </si>
  <si>
    <t>Old Second Bancorp Inc. Common Stock</t>
  </si>
  <si>
    <t>OSIS</t>
  </si>
  <si>
    <t>OSI Systems Inc. Common Stock (DE)</t>
  </si>
  <si>
    <t>OSPN</t>
  </si>
  <si>
    <t>OneSpan Inc. Common Stock</t>
  </si>
  <si>
    <t>OSS</t>
  </si>
  <si>
    <t>One Stop Systems Inc. Common Stock</t>
  </si>
  <si>
    <t>OSTK</t>
  </si>
  <si>
    <t>Overstock.com Inc. Common Stock</t>
  </si>
  <si>
    <t>OSUR</t>
  </si>
  <si>
    <t>OraSure Technologies Inc. Common Stock</t>
  </si>
  <si>
    <t>OTEC</t>
  </si>
  <si>
    <t>OceanTech Acquisitions I Corp. Class A Common Stock</t>
  </si>
  <si>
    <t>OTEX</t>
  </si>
  <si>
    <t>Open Text Corporation Common Shares</t>
  </si>
  <si>
    <t>OTLK</t>
  </si>
  <si>
    <t>Outlook Therapeutics Inc. Common Stock</t>
  </si>
  <si>
    <t>OTLY</t>
  </si>
  <si>
    <t>Oatly Group AB American Depositary Shares</t>
  </si>
  <si>
    <t>OTTR</t>
  </si>
  <si>
    <t>Otter Tail Corporation Common Stock</t>
  </si>
  <si>
    <t>OVBC</t>
  </si>
  <si>
    <t>Ohio Valley Banc Corp. Common Stock</t>
  </si>
  <si>
    <t>OVID</t>
  </si>
  <si>
    <t>Ovid Therapeutics Inc. Common Stock</t>
  </si>
  <si>
    <t>OVLY</t>
  </si>
  <si>
    <t>Oak Valley Bancorp (CA) Common Stock</t>
  </si>
  <si>
    <t>OXLC</t>
  </si>
  <si>
    <t>Oxford Lane Capital Corp. Common Stock</t>
  </si>
  <si>
    <t>OXSQ</t>
  </si>
  <si>
    <t>Oxford Square Capital Corp. Common Stock</t>
  </si>
  <si>
    <t>OZK</t>
  </si>
  <si>
    <t>Bank OZK Common Stock</t>
  </si>
  <si>
    <t>PAA</t>
  </si>
  <si>
    <t>Plains All American Pipeline L.P. Common Units representing Limited Partner Interests</t>
  </si>
  <si>
    <t>PAAS</t>
  </si>
  <si>
    <t>Pan American Silver Corp. Common Stock</t>
  </si>
  <si>
    <t>PACB</t>
  </si>
  <si>
    <t>Pacific Biosciences of California Inc. Common Stock</t>
  </si>
  <si>
    <t>PACW</t>
  </si>
  <si>
    <t>PacWest Bancorp Common Stock</t>
  </si>
  <si>
    <t>PAGP</t>
  </si>
  <si>
    <t>Plains GP Holdings L.P. Class A Units representing Limited Partner Interests</t>
  </si>
  <si>
    <t>PAHC</t>
  </si>
  <si>
    <t>Phibro Animal Health Corporation Class A Common Stock</t>
  </si>
  <si>
    <t>PANA</t>
  </si>
  <si>
    <t>Panacea Acquisition Corp. II Class A Ordinary Shares</t>
  </si>
  <si>
    <t>PANL</t>
  </si>
  <si>
    <t>Pangaea Logistics Solutions Ltd. Common Shares</t>
  </si>
  <si>
    <t>PANW</t>
  </si>
  <si>
    <t>Palo Alto Networks Inc. Common Stock</t>
  </si>
  <si>
    <t>PARA</t>
  </si>
  <si>
    <t>Paramount Global Class B Common Stock</t>
  </si>
  <si>
    <t>PARAA</t>
  </si>
  <si>
    <t>Paramount Global Class A Common Stock</t>
  </si>
  <si>
    <t>PASG</t>
  </si>
  <si>
    <t>Passage Bio Inc. Common Stock</t>
  </si>
  <si>
    <t>PATK</t>
  </si>
  <si>
    <t>Patrick Industries Inc. Common Stock</t>
  </si>
  <si>
    <t>PAYA</t>
  </si>
  <si>
    <t>Paya Holdings Inc. Class A Common Stock</t>
  </si>
  <si>
    <t>PAYO</t>
  </si>
  <si>
    <t>Payoneer Global Inc. Common Stock</t>
  </si>
  <si>
    <t>PAYS</t>
  </si>
  <si>
    <t>Paysign Inc. Common Stock</t>
  </si>
  <si>
    <t>PAYX</t>
  </si>
  <si>
    <t>Paychex Inc. Common Stock</t>
  </si>
  <si>
    <t>PBAX</t>
  </si>
  <si>
    <t>Phoenix Biotech Acquisition Corp. Class A Common Stock</t>
  </si>
  <si>
    <t>PBFS</t>
  </si>
  <si>
    <t>Pioneer Bancorp Inc. Common Stock</t>
  </si>
  <si>
    <t>PBHC</t>
  </si>
  <si>
    <t>Pathfinder Bancorp Inc. Common Stock (MD)</t>
  </si>
  <si>
    <t>PBPB</t>
  </si>
  <si>
    <t>Potbelly Corporation Common Stock</t>
  </si>
  <si>
    <t>PBYI</t>
  </si>
  <si>
    <t>Puma Biotechnology Inc Common Stock</t>
  </si>
  <si>
    <t>PCAR</t>
  </si>
  <si>
    <t>PACCAR Inc. Common Stock</t>
  </si>
  <si>
    <t>PCB</t>
  </si>
  <si>
    <t>PCB Bancorp Common Stock</t>
  </si>
  <si>
    <t>PCCT</t>
  </si>
  <si>
    <t>Perception Capital Corp. II Class A Ordinary Shares</t>
  </si>
  <si>
    <t>PCH</t>
  </si>
  <si>
    <t>PotlatchDeltic Corporation Common Stock</t>
  </si>
  <si>
    <t>PCRX</t>
  </si>
  <si>
    <t>Pacira BioSciences Inc. Common Stock</t>
  </si>
  <si>
    <t>PCT</t>
  </si>
  <si>
    <t>PureCycle Technologies Inc. Common stock</t>
  </si>
  <si>
    <t>PCTI</t>
  </si>
  <si>
    <t>PCTEL Inc. Common Stock</t>
  </si>
  <si>
    <t>PCTY</t>
  </si>
  <si>
    <t>Paylocity Holding Corporation Common Stock</t>
  </si>
  <si>
    <t>PCVX</t>
  </si>
  <si>
    <t>Vaxcyte Inc. Common Stock</t>
  </si>
  <si>
    <t>PCYG</t>
  </si>
  <si>
    <t>Park City Group Inc. Common Stock</t>
  </si>
  <si>
    <t>PCYO</t>
  </si>
  <si>
    <t>Pure Cycle Corporation Common Stock</t>
  </si>
  <si>
    <t>PDCE</t>
  </si>
  <si>
    <t>PDC Energy Inc. Common Stock (Delaware)</t>
  </si>
  <si>
    <t>PDCO</t>
  </si>
  <si>
    <t>Patterson Companies Inc. Common Stock</t>
  </si>
  <si>
    <t>PDEX</t>
  </si>
  <si>
    <t>Pro-Dex Inc. Common Stock</t>
  </si>
  <si>
    <t>PDFS</t>
  </si>
  <si>
    <t>PDF Solutions Inc. Common Stock</t>
  </si>
  <si>
    <t>PDLB</t>
  </si>
  <si>
    <t>Ponce Financial Group Inc. Common Stock</t>
  </si>
  <si>
    <t>PDSB</t>
  </si>
  <si>
    <t>PDS Biotechnology Corporation Common Stock</t>
  </si>
  <si>
    <t>PEAR</t>
  </si>
  <si>
    <t>Pear Therapeutics Inc. Class A Common Stock</t>
  </si>
  <si>
    <t>PEBK</t>
  </si>
  <si>
    <t>Peoples Bancorp of North Carolina Inc. Common Stock</t>
  </si>
  <si>
    <t>PEBO</t>
  </si>
  <si>
    <t>Peoples Bancorp Inc. Common Stock</t>
  </si>
  <si>
    <t>PECO</t>
  </si>
  <si>
    <t>Phillips Edison &amp; Company Inc. Common Stock</t>
  </si>
  <si>
    <t>PEGA</t>
  </si>
  <si>
    <t>Pegasystems Inc. Common Stock</t>
  </si>
  <si>
    <t>PENN</t>
  </si>
  <si>
    <t>PENN Entertainment Inc. Common Stock</t>
  </si>
  <si>
    <t>PEP</t>
  </si>
  <si>
    <t>PepsiCo Inc. Common Stock</t>
  </si>
  <si>
    <t>PEPG</t>
  </si>
  <si>
    <t>PepGen Inc. Common Stock</t>
  </si>
  <si>
    <t>PEPL</t>
  </si>
  <si>
    <t>PepperLime Health Acquisition Corporation Class A Ordinary Share</t>
  </si>
  <si>
    <t>PESI</t>
  </si>
  <si>
    <t>Perma-Fix Environmental Services Inc. Common Stock</t>
  </si>
  <si>
    <t>PET</t>
  </si>
  <si>
    <t>Wag! Group Co. Common Stock</t>
  </si>
  <si>
    <t>PETQ</t>
  </si>
  <si>
    <t>PetIQ Inc. Class A Common Stock</t>
  </si>
  <si>
    <t>PETS</t>
  </si>
  <si>
    <t>PetMed Express Inc. Common Stock</t>
  </si>
  <si>
    <t>PFBC</t>
  </si>
  <si>
    <t>Preferred Bank Common Stock</t>
  </si>
  <si>
    <t>PFC</t>
  </si>
  <si>
    <t>Premier Financial Corp. Common Stock</t>
  </si>
  <si>
    <t>PFDR</t>
  </si>
  <si>
    <t>Pathfinder Acquisition Corporation Class A Ordinary Shares</t>
  </si>
  <si>
    <t>PFG</t>
  </si>
  <si>
    <t>Principal Financial Group Inc Common Stock</t>
  </si>
  <si>
    <t>PFIE</t>
  </si>
  <si>
    <t>Profire Energy Inc. Common Stock</t>
  </si>
  <si>
    <t>PFIS</t>
  </si>
  <si>
    <t>Peoples Financial Services Corp. Common Stock</t>
  </si>
  <si>
    <t>PFMT</t>
  </si>
  <si>
    <t>Performant Financial Corporation Common Stock</t>
  </si>
  <si>
    <t>PFSW</t>
  </si>
  <si>
    <t>PFSweb Inc. Common Stock</t>
  </si>
  <si>
    <t>PFTA</t>
  </si>
  <si>
    <t>Portage Fintech Acquisition Corporation Class A Ordinary Share</t>
  </si>
  <si>
    <t>PFX</t>
  </si>
  <si>
    <t>PhenixFIN Corporation Common Stock</t>
  </si>
  <si>
    <t>PGC</t>
  </si>
  <si>
    <t>Peapack-Gladstone Financial Corporation Common Stock</t>
  </si>
  <si>
    <t>PGEN</t>
  </si>
  <si>
    <t>Precigen Inc. Common Stock</t>
  </si>
  <si>
    <t>PGNY</t>
  </si>
  <si>
    <t>Progyny Inc. Common Stock</t>
  </si>
  <si>
    <t>PGRW</t>
  </si>
  <si>
    <t>Progress Acquisition Corp. Class A Common Stock</t>
  </si>
  <si>
    <t>PHAR</t>
  </si>
  <si>
    <t>Pharming Group N.V. ADS each representing 10 ordinary shares</t>
  </si>
  <si>
    <t>PHAT</t>
  </si>
  <si>
    <t>Phathom Pharmaceuticals Inc. Common Stock</t>
  </si>
  <si>
    <t>PHUN</t>
  </si>
  <si>
    <t>Phunware Inc. Common Stock</t>
  </si>
  <si>
    <t>PHVS</t>
  </si>
  <si>
    <t>Pharvaris N.V. Ordinary Shares</t>
  </si>
  <si>
    <t>PI</t>
  </si>
  <si>
    <t>Impinj Inc. Common Stock</t>
  </si>
  <si>
    <t>PIII</t>
  </si>
  <si>
    <t>P3 Health Partners Inc. Class A Common Stock</t>
  </si>
  <si>
    <t>PINC</t>
  </si>
  <si>
    <t>Premier Inc. Class A Common Stock</t>
  </si>
  <si>
    <t>PIRS</t>
  </si>
  <si>
    <t>Pieris Pharmaceuticals Inc. Common Stock</t>
  </si>
  <si>
    <t>PIXY</t>
  </si>
  <si>
    <t>ShiftPixy Inc. Common Stock</t>
  </si>
  <si>
    <t>PKBK</t>
  </si>
  <si>
    <t>Parke Bancorp Inc. Common Stock</t>
  </si>
  <si>
    <t>PKOH</t>
  </si>
  <si>
    <t>Park-Ohio Holdings Corp. Common Stock</t>
  </si>
  <si>
    <t>PLAB</t>
  </si>
  <si>
    <t>Photronics Inc. Common Stock</t>
  </si>
  <si>
    <t>PLAY</t>
  </si>
  <si>
    <t>Dave &amp; Buster's Entertainment Inc. Common Stock</t>
  </si>
  <si>
    <t>PLBC</t>
  </si>
  <si>
    <t>Plumas Bancorp</t>
  </si>
  <si>
    <t>PLBY</t>
  </si>
  <si>
    <t>PLBY Group Inc. Common Stock</t>
  </si>
  <si>
    <t>PLCE</t>
  </si>
  <si>
    <t>Children's Place Inc. (The) Common Stock</t>
  </si>
  <si>
    <t>PLL</t>
  </si>
  <si>
    <t>Piedmont Lithium Inc. Common Stock</t>
  </si>
  <si>
    <t>PLMI</t>
  </si>
  <si>
    <t>Plum Acquisition Corp. I Class A Ordinary Share</t>
  </si>
  <si>
    <t>PLMR</t>
  </si>
  <si>
    <t>Palomar Holdings Inc. Common stock</t>
  </si>
  <si>
    <t>PLPC</t>
  </si>
  <si>
    <t>Preformed Line Products Company Common Stock</t>
  </si>
  <si>
    <t>PLRX</t>
  </si>
  <si>
    <t>Pliant Therapeutics Inc. Common Stock</t>
  </si>
  <si>
    <t>PLSE</t>
  </si>
  <si>
    <t>Pulse Biosciences Inc Common Stock (DE)</t>
  </si>
  <si>
    <t>PLTN</t>
  </si>
  <si>
    <t>Plutonian Acquisition Corp. Common Stock</t>
  </si>
  <si>
    <t>PLUG</t>
  </si>
  <si>
    <t>Plug Power Inc. Common Stock</t>
  </si>
  <si>
    <t>PLUS</t>
  </si>
  <si>
    <t>ePlus inc. Common Stock</t>
  </si>
  <si>
    <t>PLXS</t>
  </si>
  <si>
    <t>Plexus Corp. Common Stock</t>
  </si>
  <si>
    <t>PLYA</t>
  </si>
  <si>
    <t>Playa Hotels &amp; Resorts N.V. Ordinary Shares</t>
  </si>
  <si>
    <t>PMCB</t>
  </si>
  <si>
    <t>PharmaCyte  Biotech Inc. Common Stock</t>
  </si>
  <si>
    <t>PMGM</t>
  </si>
  <si>
    <t>Priveterra Acquisition Corp. Class A Common Stock</t>
  </si>
  <si>
    <t>PMTS</t>
  </si>
  <si>
    <t>CPI Card Group Inc. Common Stock</t>
  </si>
  <si>
    <t>PMVP</t>
  </si>
  <si>
    <t>PMV Pharmaceuticals Inc. Common Stock</t>
  </si>
  <si>
    <t>PNAC</t>
  </si>
  <si>
    <t>Prime Number Acquisition I Corp. Class A Common Stock</t>
  </si>
  <si>
    <t>PNFP</t>
  </si>
  <si>
    <t>Pinnacle Financial Partners Inc. Common Stock</t>
  </si>
  <si>
    <t>PNRG</t>
  </si>
  <si>
    <t>PrimeEnergy Resources Corporation Common Stock</t>
  </si>
  <si>
    <t>PNT</t>
  </si>
  <si>
    <t>POINT Biopharma Global Inc. Common Stock</t>
  </si>
  <si>
    <t>PNTG</t>
  </si>
  <si>
    <t xml:space="preserve">The Pennant Group Inc. Common Stock </t>
  </si>
  <si>
    <t>PODD</t>
  </si>
  <si>
    <t>Insulet Corporation Common Stock</t>
  </si>
  <si>
    <t>POET</t>
  </si>
  <si>
    <t>POET Technologies Inc. Common Shares</t>
  </si>
  <si>
    <t>PONO</t>
  </si>
  <si>
    <t>Pono Capital Corp Class A Common Stock</t>
  </si>
  <si>
    <t>POOL</t>
  </si>
  <si>
    <t>Pool Corporation Common Stock</t>
  </si>
  <si>
    <t>POWI</t>
  </si>
  <si>
    <t>Power Integrations Inc. Common Stock</t>
  </si>
  <si>
    <t>POWL</t>
  </si>
  <si>
    <t>Powell Industries Inc. Common Stock</t>
  </si>
  <si>
    <t>POWW</t>
  </si>
  <si>
    <t>AMMO Inc. Common Stock</t>
  </si>
  <si>
    <t>PPBI</t>
  </si>
  <si>
    <t>Pacific Premier Bancorp Inc</t>
  </si>
  <si>
    <t>PPC</t>
  </si>
  <si>
    <t>Pilgrim's Pride Corporation Common Stock</t>
  </si>
  <si>
    <t>PPIH</t>
  </si>
  <si>
    <t>Perma-Pipe International Holdings Inc. Common Stock</t>
  </si>
  <si>
    <t>PPTA</t>
  </si>
  <si>
    <t>Perpetua Resources Corp. Common Shares</t>
  </si>
  <si>
    <t>PPYA</t>
  </si>
  <si>
    <t>Papaya Growth Opportunity Corp. I Class A Common Stock</t>
  </si>
  <si>
    <t>PRAA</t>
  </si>
  <si>
    <t>PRA Group Inc. Common Stock</t>
  </si>
  <si>
    <t>PRAX</t>
  </si>
  <si>
    <t>Praxis Precision Medicines Inc. Common Stock</t>
  </si>
  <si>
    <t>PRCH</t>
  </si>
  <si>
    <t>Porch Group Inc. Common Stock</t>
  </si>
  <si>
    <t>PRCT</t>
  </si>
  <si>
    <t>PROCEPT BioRobotics Corporation Common Stock</t>
  </si>
  <si>
    <t>Perdoceo Education Corporation Common Stock</t>
  </si>
  <si>
    <t>PRDS</t>
  </si>
  <si>
    <t>Pardes Biosciences Inc. Common Stock</t>
  </si>
  <si>
    <t>PRE</t>
  </si>
  <si>
    <t>Prenetics Global Limited Class A Ordinary Share</t>
  </si>
  <si>
    <t>PRFT</t>
  </si>
  <si>
    <t>Perficient Inc. Common Stock</t>
  </si>
  <si>
    <t>PRGS</t>
  </si>
  <si>
    <t>Progress Software Corporation Common Stock (DE)</t>
  </si>
  <si>
    <t>PRIM</t>
  </si>
  <si>
    <t>Primoris Services Corporation Common Stock</t>
  </si>
  <si>
    <t>PRLD</t>
  </si>
  <si>
    <t>Prelude Therapeutics Incorporated Common Stock</t>
  </si>
  <si>
    <t>PRLH</t>
  </si>
  <si>
    <t>Pearl Holdings Acquisition Corp Class A Ordinary Shares</t>
  </si>
  <si>
    <t>PRME</t>
  </si>
  <si>
    <t>Prime Medicine Inc. Common Stock</t>
  </si>
  <si>
    <t>PROC</t>
  </si>
  <si>
    <t>Procaps Group S.A. Ordinary Shares</t>
  </si>
  <si>
    <t>PROF</t>
  </si>
  <si>
    <t>Profound Medical Corp. Common Stock</t>
  </si>
  <si>
    <t>PROK</t>
  </si>
  <si>
    <t>ProKidney Corp. Class A Ordinary Shares</t>
  </si>
  <si>
    <t>PROV</t>
  </si>
  <si>
    <t>Provident Financial Holdings Inc. Common Stock</t>
  </si>
  <si>
    <t>PRPH</t>
  </si>
  <si>
    <t>ProPhase Labs Inc. Common Stock (DE)</t>
  </si>
  <si>
    <t>PRPL</t>
  </si>
  <si>
    <t>Purple Innovation Inc. Common Stock</t>
  </si>
  <si>
    <t>PRQR</t>
  </si>
  <si>
    <t>ProQR Therapeutics N.V. Ordinary Shares</t>
  </si>
  <si>
    <t>PRSR</t>
  </si>
  <si>
    <t>Prospector Capital Corp. Class A Ordinary Shares</t>
  </si>
  <si>
    <t>PRST</t>
  </si>
  <si>
    <t>Presto Automation Inc. Common Stock</t>
  </si>
  <si>
    <t>PRTA</t>
  </si>
  <si>
    <t>Prothena Corporation plc Ordinary Shares</t>
  </si>
  <si>
    <t>PRTC</t>
  </si>
  <si>
    <t>PureTech Health plc American Depositary Shares</t>
  </si>
  <si>
    <t>PRTG</t>
  </si>
  <si>
    <t>Portage Biotech Inc. Common Stock</t>
  </si>
  <si>
    <t>PRTH</t>
  </si>
  <si>
    <t>Priority Technology Holdings Inc. Common Stock</t>
  </si>
  <si>
    <t>PRTK</t>
  </si>
  <si>
    <t>Paratek Pharmaceuticals Inc. Common Stock</t>
  </si>
  <si>
    <t>PRTS</t>
  </si>
  <si>
    <t>CarParts.com Inc. Common Stock</t>
  </si>
  <si>
    <t>PRVA</t>
  </si>
  <si>
    <t>Privia Health Group Inc. Common Stock</t>
  </si>
  <si>
    <t>PRVB</t>
  </si>
  <si>
    <t>Provention Bio Inc. Common Stock</t>
  </si>
  <si>
    <t>PSEC</t>
  </si>
  <si>
    <t>Prospect Capital Corporation Common Stock</t>
  </si>
  <si>
    <t>PSMT</t>
  </si>
  <si>
    <t>PriceSmart Inc. Common Stock</t>
  </si>
  <si>
    <t>PSNL</t>
  </si>
  <si>
    <t>Personalis Inc. Common Stock</t>
  </si>
  <si>
    <t>PSNY</t>
  </si>
  <si>
    <t>Polestar Automotive Holding UK PLC Class A ADS</t>
  </si>
  <si>
    <t>PSNYW</t>
  </si>
  <si>
    <t>Polestar Automotive Holding UK PLC Class C-1 ADS (ADW)</t>
  </si>
  <si>
    <t>PSTX</t>
  </si>
  <si>
    <t>Poseida Therapeutics Inc. Common Stock</t>
  </si>
  <si>
    <t>PTC</t>
  </si>
  <si>
    <t>PTC Inc. Common Stock</t>
  </si>
  <si>
    <t>PTCT</t>
  </si>
  <si>
    <t>PTC Therapeutics Inc. Common Stock</t>
  </si>
  <si>
    <t>PTEN</t>
  </si>
  <si>
    <t>Patterson-UTI Energy Inc. Common Stock</t>
  </si>
  <si>
    <t>PTGX</t>
  </si>
  <si>
    <t>Protagonist Therapeutics Inc. Common Stock</t>
  </si>
  <si>
    <t>PTLO</t>
  </si>
  <si>
    <t>Portillo's Inc. Class A Common Stock</t>
  </si>
  <si>
    <t>PTMN</t>
  </si>
  <si>
    <t>Portman Ridge Finance Corporation Common Stock</t>
  </si>
  <si>
    <t>PTOC</t>
  </si>
  <si>
    <t>Pine Technology Acquisition Corp. Class A Common Stock</t>
  </si>
  <si>
    <t>PTON</t>
  </si>
  <si>
    <t>Peloton Interactive Inc. Class A Common Stock</t>
  </si>
  <si>
    <t>PTRA</t>
  </si>
  <si>
    <t>Proterra Inc. Common Stock</t>
  </si>
  <si>
    <t>PTRS</t>
  </si>
  <si>
    <t>Partners Bancorp Common Stock</t>
  </si>
  <si>
    <t>PTSI</t>
  </si>
  <si>
    <t>P.A.M. Transportation Services Inc. Common Stock</t>
  </si>
  <si>
    <t>PTVE</t>
  </si>
  <si>
    <t>Pactiv Evergreen Inc. Common stock</t>
  </si>
  <si>
    <t>PTWO</t>
  </si>
  <si>
    <t>Pono Capital Two Inc. Class A Common Stock</t>
  </si>
  <si>
    <t>PUBM</t>
  </si>
  <si>
    <t>PubMatic Inc. Class A Common Stock</t>
  </si>
  <si>
    <t>PUCK</t>
  </si>
  <si>
    <t>Goal Acquisitions Corp. Common Stock</t>
  </si>
  <si>
    <t>PVBC</t>
  </si>
  <si>
    <t>Provident Bancorp Inc. (MD) Common Stock</t>
  </si>
  <si>
    <t>PWFL</t>
  </si>
  <si>
    <t>PowerFleet Inc. Common Stock</t>
  </si>
  <si>
    <t>PWOD</t>
  </si>
  <si>
    <t>Penns Woods Bancorp Inc. Common Stock</t>
  </si>
  <si>
    <t>PWP</t>
  </si>
  <si>
    <t>Perella Weinberg Partners Class A Common Stock</t>
  </si>
  <si>
    <t>PWUP</t>
  </si>
  <si>
    <t>PowerUp Acquisition Corp. Class A Ordinary Shares</t>
  </si>
  <si>
    <t>PXLW</t>
  </si>
  <si>
    <t>Pixelworks Inc.  Common Stock</t>
  </si>
  <si>
    <t>PXS</t>
  </si>
  <si>
    <t>Pyxis Tankers Inc. Common Stock</t>
  </si>
  <si>
    <t>PYCR</t>
  </si>
  <si>
    <t>Paycor HCM Inc. Common Stock</t>
  </si>
  <si>
    <t>PYPL</t>
  </si>
  <si>
    <t>PayPal Holdings Inc. Common Stock</t>
  </si>
  <si>
    <t>PYR</t>
  </si>
  <si>
    <t>PyroGenesis Canada Inc. Common Shares</t>
  </si>
  <si>
    <t>PYXS</t>
  </si>
  <si>
    <t>Pyxis Oncology Inc. Common Stock</t>
  </si>
  <si>
    <t>PZZA</t>
  </si>
  <si>
    <t>Papa John's International Inc. Common Stock</t>
  </si>
  <si>
    <t>QCOM</t>
  </si>
  <si>
    <t>QUALCOMM Incorporated Common Stock</t>
  </si>
  <si>
    <t>QCRH</t>
  </si>
  <si>
    <t>QCR Holdings Inc. Common Stock</t>
  </si>
  <si>
    <t>QDEL</t>
  </si>
  <si>
    <t>QuidelOrtho Corporation Common Stock</t>
  </si>
  <si>
    <t>QIPT</t>
  </si>
  <si>
    <t>Quipt Home Medical Corp. Common Shares</t>
  </si>
  <si>
    <t>QLYS</t>
  </si>
  <si>
    <t>Qualys Inc. Common Stock</t>
  </si>
  <si>
    <t>QMCO</t>
  </si>
  <si>
    <t>Quantum Corporation Common Stock</t>
  </si>
  <si>
    <t>QNST</t>
  </si>
  <si>
    <t>QuinStreet Inc. Common Stock</t>
  </si>
  <si>
    <t>QOMO</t>
  </si>
  <si>
    <t>Qomolangma Acquisition Corp. Common Stock</t>
  </si>
  <si>
    <t>QQQX</t>
  </si>
  <si>
    <t>Nuveen NASDAQ 100 Dynamic Overwrite Fund Shares of Beneficial Interest</t>
  </si>
  <si>
    <t>QRHC</t>
  </si>
  <si>
    <t>Quest Resource Holding Corporation Common Stock</t>
  </si>
  <si>
    <t>QRTEA</t>
  </si>
  <si>
    <t xml:space="preserve">Qurate Retail Inc. Series A Common Stock </t>
  </si>
  <si>
    <t>QRTEB</t>
  </si>
  <si>
    <t xml:space="preserve">Qurate Retail Inc. Series B Common Stock </t>
  </si>
  <si>
    <t>QRVO</t>
  </si>
  <si>
    <t>Qorvo Inc. Common Stock</t>
  </si>
  <si>
    <t>QSI</t>
  </si>
  <si>
    <t>Quantum-Si Incorporated Class A Common Stock</t>
  </si>
  <si>
    <t>QTRX</t>
  </si>
  <si>
    <t>Quanterix Corporation Common Stock</t>
  </si>
  <si>
    <t>QUBT</t>
  </si>
  <si>
    <t>Quantum Computing Inc. Common Stock</t>
  </si>
  <si>
    <t>QUIK</t>
  </si>
  <si>
    <t>QuickLogic Corporation Common Stock</t>
  </si>
  <si>
    <t>QURE</t>
  </si>
  <si>
    <t>uniQure N.V. Ordinary Shares</t>
  </si>
  <si>
    <t>RADI</t>
  </si>
  <si>
    <t>Radius Global Infrastructure Inc. Class A Common Stock</t>
  </si>
  <si>
    <t>RAIL</t>
  </si>
  <si>
    <t>FreightCar America Inc. Common Stock</t>
  </si>
  <si>
    <t>RAIN</t>
  </si>
  <si>
    <t>Rain Oncology Inc. Common Stock</t>
  </si>
  <si>
    <t>RANI</t>
  </si>
  <si>
    <t>Rani Therapeutics Holdings Inc. Class A Common Stock</t>
  </si>
  <si>
    <t>RAPT</t>
  </si>
  <si>
    <t>RAPT Therapeutics Inc. Common Stock</t>
  </si>
  <si>
    <t>RARE</t>
  </si>
  <si>
    <t>Ultragenyx Pharmaceutical Inc. Common Stock</t>
  </si>
  <si>
    <t>RBB</t>
  </si>
  <si>
    <t>RBB Bancorp Common Stock</t>
  </si>
  <si>
    <t>RBBN</t>
  </si>
  <si>
    <t>Ribbon Communications Inc. Common Stock</t>
  </si>
  <si>
    <t>RBCAA</t>
  </si>
  <si>
    <t>Republic Bancorp Inc. Class A Common Stock</t>
  </si>
  <si>
    <t>RBKB</t>
  </si>
  <si>
    <t>Rhinebeck Bancorp Inc. Common Stock</t>
  </si>
  <si>
    <t>RCAC</t>
  </si>
  <si>
    <t>Revelstone Capital Acquisition Corp. Class A Common Stock</t>
  </si>
  <si>
    <t>RCACU</t>
  </si>
  <si>
    <t>Revelstone Capital Acquisition Corp. Unit</t>
  </si>
  <si>
    <t>RCAT</t>
  </si>
  <si>
    <t>Red Cat Holdings Inc. Common Stock</t>
  </si>
  <si>
    <t>RCEL</t>
  </si>
  <si>
    <t>Avita Medical Inc. Common Stock</t>
  </si>
  <si>
    <t>RCII</t>
  </si>
  <si>
    <t>Rent-A-Center Inc. Common Stock</t>
  </si>
  <si>
    <t>RCKT</t>
  </si>
  <si>
    <t>Rocket Pharmaceuticals Inc. Common Stock</t>
  </si>
  <si>
    <t>RCKY</t>
  </si>
  <si>
    <t>Rocky Brands Inc. Common Stock</t>
  </si>
  <si>
    <t>RCLF</t>
  </si>
  <si>
    <t>Rosecliff Acquisition Corp I Class A Common Stock</t>
  </si>
  <si>
    <t>RCM</t>
  </si>
  <si>
    <t>R1 RCM Inc. Common Stock</t>
  </si>
  <si>
    <t>RCMT</t>
  </si>
  <si>
    <t>RCM Technologies Inc. Common Stock</t>
  </si>
  <si>
    <t>RDFN</t>
  </si>
  <si>
    <t>Redfin Corporation Common Stock</t>
  </si>
  <si>
    <t>RDI</t>
  </si>
  <si>
    <t>Reading International Inc Class A Common Stock</t>
  </si>
  <si>
    <t>RDIB</t>
  </si>
  <si>
    <t>Reading International Inc Class B Common Stock</t>
  </si>
  <si>
    <t>RDNT</t>
  </si>
  <si>
    <t>RadNet Inc. Common Stock</t>
  </si>
  <si>
    <t>RDVT</t>
  </si>
  <si>
    <t xml:space="preserve">Red Violet Inc. Common Stock </t>
  </si>
  <si>
    <t>REAL</t>
  </si>
  <si>
    <t>The RealReal Inc. Common Stock</t>
  </si>
  <si>
    <t>REAX</t>
  </si>
  <si>
    <t>The Real Brokerage Inc. Common Shares</t>
  </si>
  <si>
    <t>REFI</t>
  </si>
  <si>
    <t>Chicago Atlantic Real Estate Finance Inc. Common Stock</t>
  </si>
  <si>
    <t>REFR</t>
  </si>
  <si>
    <t>Research Frontiers Incorporated Common Stock</t>
  </si>
  <si>
    <t>REG</t>
  </si>
  <si>
    <t>Regency Centers Corporation Common Stock</t>
  </si>
  <si>
    <t>REGN</t>
  </si>
  <si>
    <t>Regeneron Pharmaceuticals Inc. Common Stock</t>
  </si>
  <si>
    <t>REKR</t>
  </si>
  <si>
    <t>Rekor Systems Inc. Common Stock</t>
  </si>
  <si>
    <t>RELL</t>
  </si>
  <si>
    <t>Richardson Electronics Ltd. Common Stock</t>
  </si>
  <si>
    <t>RELY</t>
  </si>
  <si>
    <t>Remitly Global Inc. Common Stock</t>
  </si>
  <si>
    <t>RENE</t>
  </si>
  <si>
    <t>Cartesian Growth Corporation II Class A Ordinary Shares</t>
  </si>
  <si>
    <t>RENT</t>
  </si>
  <si>
    <t>Rent the Runway Inc. Class A Common Stock</t>
  </si>
  <si>
    <t>REPL</t>
  </si>
  <si>
    <t>Replimune Group Inc. Common Stock</t>
  </si>
  <si>
    <t>RETA</t>
  </si>
  <si>
    <t>Reata Pharmaceuticals Inc. Class A Common Stock</t>
  </si>
  <si>
    <t>REVE</t>
  </si>
  <si>
    <t>Alpine Acquisition Corporation Common Stock</t>
  </si>
  <si>
    <t>REYN</t>
  </si>
  <si>
    <t>Reynolds Consumer Products Inc. Common Stock</t>
  </si>
  <si>
    <t>RFAC</t>
  </si>
  <si>
    <t>RF Acquisition Corp. Class A Common Stock</t>
  </si>
  <si>
    <t>RFIL</t>
  </si>
  <si>
    <t>RF Industries Ltd. Common Stock</t>
  </si>
  <si>
    <t>RGC</t>
  </si>
  <si>
    <t>Regencell Bioscience Holdings Limited Ordinary Shares</t>
  </si>
  <si>
    <t>RGCO</t>
  </si>
  <si>
    <t>RGC Resources Inc. Common Stock</t>
  </si>
  <si>
    <t>RGEN</t>
  </si>
  <si>
    <t>Repligen Corporation Common Stock</t>
  </si>
  <si>
    <t>RGF</t>
  </si>
  <si>
    <t>The Real Good Food Company Inc. Class A Common Stock</t>
  </si>
  <si>
    <t>RGLD</t>
  </si>
  <si>
    <t>Royal Gold Inc. Common Stock</t>
  </si>
  <si>
    <t>RGNX</t>
  </si>
  <si>
    <t>REGENXBIO Inc. Common Stock</t>
  </si>
  <si>
    <t>RGP</t>
  </si>
  <si>
    <t>Resources Connection Inc. Common Stock</t>
  </si>
  <si>
    <t>RGTI</t>
  </si>
  <si>
    <t>Rigetti Computing Inc. Common Stock</t>
  </si>
  <si>
    <t>RICK</t>
  </si>
  <si>
    <t>RCI Hospitality Holdings Inc. Common Stock</t>
  </si>
  <si>
    <t>RIDE</t>
  </si>
  <si>
    <t>Lordstown Motors Corp. Class A Common Stock</t>
  </si>
  <si>
    <t>RIGL</t>
  </si>
  <si>
    <t>Rigel Pharmaceuticals Inc. Common Stock</t>
  </si>
  <si>
    <t>RILY</t>
  </si>
  <si>
    <t>B. Riley Financial Inc. Common Stock</t>
  </si>
  <si>
    <t>RIOT</t>
  </si>
  <si>
    <t xml:space="preserve">Riot Platforms Inc. Common Stock </t>
  </si>
  <si>
    <t>RIVN</t>
  </si>
  <si>
    <t>Rivian Automotive Inc. Class A Common Stock</t>
  </si>
  <si>
    <t>RKLB</t>
  </si>
  <si>
    <t>Rocket Lab USA Inc. Common Stock</t>
  </si>
  <si>
    <t>RLAY</t>
  </si>
  <si>
    <t>Relay Therapeutics Inc. Common Stock</t>
  </si>
  <si>
    <t>RLMD</t>
  </si>
  <si>
    <t>Relmada Therapeutics Inc. Common Stock</t>
  </si>
  <si>
    <t>RLYB</t>
  </si>
  <si>
    <t>Rallybio Corporation Common Stock</t>
  </si>
  <si>
    <t>RMBI</t>
  </si>
  <si>
    <t>Richmond Mutual Bancorporation Inc. Common Stock</t>
  </si>
  <si>
    <t>RMBL</t>
  </si>
  <si>
    <t>RumbleOn Inc. Class B Common Stock</t>
  </si>
  <si>
    <t>RMBS</t>
  </si>
  <si>
    <t>Rambus Inc. Common Stock</t>
  </si>
  <si>
    <t>RMGC</t>
  </si>
  <si>
    <t>RMG Acquisition Corp. III Class A Ordinary Shares</t>
  </si>
  <si>
    <t>RMNI</t>
  </si>
  <si>
    <t>Rimini Street Inc. (DE) Common Stock</t>
  </si>
  <si>
    <t>RMR</t>
  </si>
  <si>
    <t>The RMR Group Inc. Class A Common Stock</t>
  </si>
  <si>
    <t>RNA</t>
  </si>
  <si>
    <t>Avidity Biosciences Inc. Common Stock</t>
  </si>
  <si>
    <t>RNER</t>
  </si>
  <si>
    <t>Mount Rainier Acquisition Corp. Common Stock</t>
  </si>
  <si>
    <t>RNLX</t>
  </si>
  <si>
    <t>Renalytix plc American Depositary Shares</t>
  </si>
  <si>
    <t>RNST</t>
  </si>
  <si>
    <t>Renasant Corporation Common Stock</t>
  </si>
  <si>
    <t>RNW</t>
  </si>
  <si>
    <t>ReNew Energy Global plc Class A Ordinary Shares</t>
  </si>
  <si>
    <t>ROAD</t>
  </si>
  <si>
    <t>Construction Partners Inc. Class A Common Stock</t>
  </si>
  <si>
    <t>ROC</t>
  </si>
  <si>
    <t>ROC Energy Acquisition Corp. Common Stock</t>
  </si>
  <si>
    <t>ROCC</t>
  </si>
  <si>
    <t>Ranger Oil Corporation Class A Common Stock</t>
  </si>
  <si>
    <t>ROCG</t>
  </si>
  <si>
    <t>Roth CH Acquisition IV Co. Common Stock</t>
  </si>
  <si>
    <t>ROCK</t>
  </si>
  <si>
    <t>Gibraltar Industries Inc. Common Stock</t>
  </si>
  <si>
    <t>ROCL</t>
  </si>
  <si>
    <t>Roth CH Acquisition V Co. Common Stock</t>
  </si>
  <si>
    <t>ROIC</t>
  </si>
  <si>
    <t>Retail Opportunity Investments Corp. Common Stock (MD)</t>
  </si>
  <si>
    <t>ROIV</t>
  </si>
  <si>
    <t>Roivant Sciences Ltd. Common Shares</t>
  </si>
  <si>
    <t>ROKU</t>
  </si>
  <si>
    <t>Roku Inc. Class A Common Stock</t>
  </si>
  <si>
    <t>ROOT</t>
  </si>
  <si>
    <t>Root Inc. Class A Common Stock</t>
  </si>
  <si>
    <t>ROSE</t>
  </si>
  <si>
    <t>Rose Hill Acquisition Corporation Class A Ordinary Shares</t>
  </si>
  <si>
    <t>ROST</t>
  </si>
  <si>
    <t>Ross Stores Inc. Common Stock</t>
  </si>
  <si>
    <t>ROVR</t>
  </si>
  <si>
    <t>Rover Group Inc. Class A Common Stock</t>
  </si>
  <si>
    <t>RPAY</t>
  </si>
  <si>
    <t>Repay Holdings Corporation Class A Common Stock</t>
  </si>
  <si>
    <t>RPD</t>
  </si>
  <si>
    <t>Rapid7 Inc. Common Stock</t>
  </si>
  <si>
    <t>RPHM</t>
  </si>
  <si>
    <t>Reneo Pharmaceuticals Inc. Common Stock</t>
  </si>
  <si>
    <t>RPID</t>
  </si>
  <si>
    <t>Rapid Micro Biosystems Inc. Class A Common Stock</t>
  </si>
  <si>
    <t>RPRX</t>
  </si>
  <si>
    <t xml:space="preserve">Royalty Pharma plc Class A Ordinary Shares </t>
  </si>
  <si>
    <t>RPTX</t>
  </si>
  <si>
    <t>Repare Therapeutics Inc. Common Shares</t>
  </si>
  <si>
    <t>RRBI</t>
  </si>
  <si>
    <t>Red River Bancshares Inc. Common Stock</t>
  </si>
  <si>
    <t>RRGB</t>
  </si>
  <si>
    <t>Red Robin Gourmet Burgers Inc. Common Stock</t>
  </si>
  <si>
    <t>RRR</t>
  </si>
  <si>
    <t>Red Rock Resorts Inc. Class A Common Stock</t>
  </si>
  <si>
    <t>RSSS</t>
  </si>
  <si>
    <t>Research Solutions Inc Common Stock</t>
  </si>
  <si>
    <t>RSVR</t>
  </si>
  <si>
    <t>Reservoir Media Inc. Common Stock</t>
  </si>
  <si>
    <t>RTL</t>
  </si>
  <si>
    <t>The Necessity Retail REIT Inc. Class A Common Stock</t>
  </si>
  <si>
    <t>RUM</t>
  </si>
  <si>
    <t>Rumble Inc. Class A Common Stock</t>
  </si>
  <si>
    <t>RUN</t>
  </si>
  <si>
    <t>Sunrun Inc. Common Stock</t>
  </si>
  <si>
    <t>RUSHA</t>
  </si>
  <si>
    <t>Rush Enterprises Inc. Common Stock Cl A</t>
  </si>
  <si>
    <t>RUSHB</t>
  </si>
  <si>
    <t>Rush Enterprises Inc. Class B</t>
  </si>
  <si>
    <t>RUTH</t>
  </si>
  <si>
    <t>Ruth's Hospitality Group Inc. Common Stock</t>
  </si>
  <si>
    <t>RVLP</t>
  </si>
  <si>
    <t>RVL Pharmaceuticals plc Ordinary Shares</t>
  </si>
  <si>
    <t>RVMD</t>
  </si>
  <si>
    <t>Revolution Medicines Inc. Common Stock</t>
  </si>
  <si>
    <t>RVNC</t>
  </si>
  <si>
    <t>Revance Therapeutics Inc. Common Stock</t>
  </si>
  <si>
    <t>RVSB</t>
  </si>
  <si>
    <t>Riverview Bancorp Inc Common Stock</t>
  </si>
  <si>
    <t>RWAY</t>
  </si>
  <si>
    <t>Runway Growth Finance Corp. Common Stock</t>
  </si>
  <si>
    <t>RWOD</t>
  </si>
  <si>
    <t>Redwoods Acquisition Corp. Common Stock</t>
  </si>
  <si>
    <t>RXDX</t>
  </si>
  <si>
    <t>Prometheus Biosciences Inc. Common Stock</t>
  </si>
  <si>
    <t>RXRX</t>
  </si>
  <si>
    <t>Recursion Pharmaceuticals Inc. Class A Common Stock</t>
  </si>
  <si>
    <t>RXST</t>
  </si>
  <si>
    <t>RxSight Inc. Common Stock</t>
  </si>
  <si>
    <t>RXT</t>
  </si>
  <si>
    <t>Rackspace Technology Inc. Common Stock</t>
  </si>
  <si>
    <t>RYAAY</t>
  </si>
  <si>
    <t>Ryanair Holdings plc American Depositary Shares</t>
  </si>
  <si>
    <t>RYTM</t>
  </si>
  <si>
    <t>Rhythm Pharmaceuticals Inc. Common Stock</t>
  </si>
  <si>
    <t>RZLT</t>
  </si>
  <si>
    <t>Rezolute Inc. Common Stock (NV)</t>
  </si>
  <si>
    <t>SABR</t>
  </si>
  <si>
    <t>Sabre Corporation Common Stock</t>
  </si>
  <si>
    <t>SAFT</t>
  </si>
  <si>
    <t>Safety Insurance Group Inc. Common Stock</t>
  </si>
  <si>
    <t>SAGA</t>
  </si>
  <si>
    <t>Sagaliam Acquisition Corp. Class A Common Stock</t>
  </si>
  <si>
    <t>SAGE</t>
  </si>
  <si>
    <t>Sage Therapeutics Inc. Common Stock</t>
  </si>
  <si>
    <t>SAIA</t>
  </si>
  <si>
    <t>Saia Inc. Common Stock</t>
  </si>
  <si>
    <t>SAL</t>
  </si>
  <si>
    <t>Salisbury Bancorp Inc. Common Stock</t>
  </si>
  <si>
    <t>SAMA</t>
  </si>
  <si>
    <t>Schultze Special Purpose Acquisition Corp. II Class A Common Stock</t>
  </si>
  <si>
    <t>SAMG</t>
  </si>
  <si>
    <t>Silvercrest Asset Management Group Inc. Class A Common Stock</t>
  </si>
  <si>
    <t>SANA</t>
  </si>
  <si>
    <t>Sana Biotechnology Inc. Common Stock</t>
  </si>
  <si>
    <t>SANG</t>
  </si>
  <si>
    <t>Sangoma Technologies Corporation Common Shares</t>
  </si>
  <si>
    <t>SANM</t>
  </si>
  <si>
    <t>Sanmina Corporation Common Stock</t>
  </si>
  <si>
    <t>SANW</t>
  </si>
  <si>
    <t>S&amp;W Seed Company Common Stock (NV)</t>
  </si>
  <si>
    <t>SASR</t>
  </si>
  <si>
    <t>Sandy Spring Bancorp Inc. Common Stock</t>
  </si>
  <si>
    <t>SATS</t>
  </si>
  <si>
    <t>EchoStar  Corporation Common Stock</t>
  </si>
  <si>
    <t>SAVA</t>
  </si>
  <si>
    <t>Cassava Sciences Inc. Common Stock</t>
  </si>
  <si>
    <t>SBAC</t>
  </si>
  <si>
    <t>SBA Communications Corporation Class A Common Stock</t>
  </si>
  <si>
    <t>SBCF</t>
  </si>
  <si>
    <t>Seacoast Banking Corporation of Florida Common Stock</t>
  </si>
  <si>
    <t>SBFG</t>
  </si>
  <si>
    <t>SB Financial Group Inc. Common Stock</t>
  </si>
  <si>
    <t>SBGI</t>
  </si>
  <si>
    <t>Sinclair Broadcast Group Inc. Class A Common Stock</t>
  </si>
  <si>
    <t>SBLK</t>
  </si>
  <si>
    <t>Star Bulk Carriers Corp. Common Shares</t>
  </si>
  <si>
    <t>SBNY</t>
  </si>
  <si>
    <t>Signature Bank Common Stock</t>
  </si>
  <si>
    <t>SBRA</t>
  </si>
  <si>
    <t>Sabra Health Care REIT Inc. Common Stock</t>
  </si>
  <si>
    <t>SBSI</t>
  </si>
  <si>
    <t>Southside Bancshares Inc. Common Stock</t>
  </si>
  <si>
    <t>SBT</t>
  </si>
  <si>
    <t>Sterling Bancorp Inc. Common Stock</t>
  </si>
  <si>
    <t>SBUX</t>
  </si>
  <si>
    <t>Starbucks Corporation Common Stock</t>
  </si>
  <si>
    <t>Beverages - Non-Alcoholic</t>
  </si>
  <si>
    <t>SCAQ</t>
  </si>
  <si>
    <t>Stratim Cloud Acquisition Corp. Class A Common Stock</t>
  </si>
  <si>
    <t>SCHL</t>
  </si>
  <si>
    <t>Scholastic Corporation Common Stock</t>
  </si>
  <si>
    <t>SCHN</t>
  </si>
  <si>
    <t>Schnitzer Steel Industries Inc. Class A Common Stock</t>
  </si>
  <si>
    <t>SCLX</t>
  </si>
  <si>
    <t>Scilex Holding Company Common Stock</t>
  </si>
  <si>
    <t>SCMA</t>
  </si>
  <si>
    <t>Seaport Calibre Materials Acquisition Corp. Class A Common Stock</t>
  </si>
  <si>
    <t>SCOB</t>
  </si>
  <si>
    <t>ScION Tech Growth II Class A Ordinary Shares</t>
  </si>
  <si>
    <t>SCOR</t>
  </si>
  <si>
    <t>comScore Inc. Common Stock</t>
  </si>
  <si>
    <t>SCPH</t>
  </si>
  <si>
    <t>scPharmaceuticals Inc. Common Stock</t>
  </si>
  <si>
    <t>SciPlay Corporation Class A Common Stock</t>
  </si>
  <si>
    <t>SCRM</t>
  </si>
  <si>
    <t>Screaming Eagle Acquisition Corp. Class A Ordinary Shares</t>
  </si>
  <si>
    <t>SCSC</t>
  </si>
  <si>
    <t>ScanSource Inc. Common Stock</t>
  </si>
  <si>
    <t>SCTL</t>
  </si>
  <si>
    <t>Societal CDMO Inc. Common Stock</t>
  </si>
  <si>
    <t>SCVL</t>
  </si>
  <si>
    <t>Shoe Carnival Inc. Common Stock</t>
  </si>
  <si>
    <t>SCWO</t>
  </si>
  <si>
    <t>374Water Inc. Common Stock</t>
  </si>
  <si>
    <t>SCWX</t>
  </si>
  <si>
    <t>SecureWorks Corp. Class A Common Stock</t>
  </si>
  <si>
    <t>SCYX</t>
  </si>
  <si>
    <t>SCYNEXIS Inc. Common Stock</t>
  </si>
  <si>
    <t>SDAC</t>
  </si>
  <si>
    <t>Sustainable Development Acquisition I Corp. Class A Common Stock</t>
  </si>
  <si>
    <t>SDC</t>
  </si>
  <si>
    <t>SmileDirectClub Inc. Class A Common Stock</t>
  </si>
  <si>
    <t>SDGR</t>
  </si>
  <si>
    <t>Schrodinger Inc. Common Stock</t>
  </si>
  <si>
    <t>SEAT</t>
  </si>
  <si>
    <t>Vivid Seats Inc. Class A Common Stock</t>
  </si>
  <si>
    <t>SEEL</t>
  </si>
  <si>
    <t>Seelos Therapeutics Inc. Common Stock</t>
  </si>
  <si>
    <t>SEER</t>
  </si>
  <si>
    <t>Seer Inc. Class A Common Stock</t>
  </si>
  <si>
    <t>SEIC</t>
  </si>
  <si>
    <t>SEI Investments Company Common Stock</t>
  </si>
  <si>
    <t>SELB</t>
  </si>
  <si>
    <t>Selecta Biosciences Inc. Common Stock</t>
  </si>
  <si>
    <t>SELF</t>
  </si>
  <si>
    <t>Global Self Storage Inc. Common Stock</t>
  </si>
  <si>
    <t>SENEA</t>
  </si>
  <si>
    <t>Seneca Foods Corp. Class A Common Stock</t>
  </si>
  <si>
    <t>SENEB</t>
  </si>
  <si>
    <t>Seneca Foods Corp. Class B Common Stock</t>
  </si>
  <si>
    <t>SEPA</t>
  </si>
  <si>
    <t>SEP Acquisition Corp Class A Common Stock</t>
  </si>
  <si>
    <t>SESN</t>
  </si>
  <si>
    <t>Sesen Bio Inc. Common Stock</t>
  </si>
  <si>
    <t>SEV</t>
  </si>
  <si>
    <t>Sono Group N.V. Common Shares</t>
  </si>
  <si>
    <t>SEVN</t>
  </si>
  <si>
    <t>Seven Hills Realty Trust Common Stock</t>
  </si>
  <si>
    <t>SFBC</t>
  </si>
  <si>
    <t>Sound Financial Bancorp Inc. Common Stock</t>
  </si>
  <si>
    <t>SFE</t>
  </si>
  <si>
    <t>Safeguard Scientifics Inc. Common Stock</t>
  </si>
  <si>
    <t>SFIX</t>
  </si>
  <si>
    <t>Stitch Fix Inc. Class A Common Stock</t>
  </si>
  <si>
    <t>SFM</t>
  </si>
  <si>
    <t>Sprouts Farmers Market Inc. Common Stock</t>
  </si>
  <si>
    <t>SFNC</t>
  </si>
  <si>
    <t>Simmons First National Corporation Class A Common Stock</t>
  </si>
  <si>
    <t>SFR</t>
  </si>
  <si>
    <t>Appreciate Holdings Inc. Class A Common Stock</t>
  </si>
  <si>
    <t>SFST</t>
  </si>
  <si>
    <t>Southern First Bancshares Inc. Common Stock</t>
  </si>
  <si>
    <t>SGA</t>
  </si>
  <si>
    <t>Saga Communications Inc. Class A Common Stock (FL)</t>
  </si>
  <si>
    <t>SGC</t>
  </si>
  <si>
    <t>Superior Group of Companies Inc. Common Stock</t>
  </si>
  <si>
    <t>SGEN</t>
  </si>
  <si>
    <t>Seagen Inc. Common Stock</t>
  </si>
  <si>
    <t>SGH</t>
  </si>
  <si>
    <t>SMART Global Holdings Inc. Ordinary Shares</t>
  </si>
  <si>
    <t>SGHT</t>
  </si>
  <si>
    <t>Sight Sciences Inc. Common Stock</t>
  </si>
  <si>
    <t>SGII</t>
  </si>
  <si>
    <t>Seaport Global Acquisition II Corp. Class A Common Stock</t>
  </si>
  <si>
    <t>SGML</t>
  </si>
  <si>
    <t>Sigma Lithium Corporation Common Shares</t>
  </si>
  <si>
    <t>SGMO</t>
  </si>
  <si>
    <t>Sangamo Therapeutics Inc. Common Stock</t>
  </si>
  <si>
    <t>SGRY</t>
  </si>
  <si>
    <t>Surgery Partners Inc. Common Stock</t>
  </si>
  <si>
    <t>SHBI</t>
  </si>
  <si>
    <t>Shore Bancshares Inc Common Stock</t>
  </si>
  <si>
    <t>SHC</t>
  </si>
  <si>
    <t>Sotera Health Company Common Stock</t>
  </si>
  <si>
    <t>SHCR</t>
  </si>
  <si>
    <t>Sharecare Inc. Class A Common Stock</t>
  </si>
  <si>
    <t>SHEN</t>
  </si>
  <si>
    <t>Shenandoah Telecommunications Co Common Stock</t>
  </si>
  <si>
    <t>SHIP</t>
  </si>
  <si>
    <t>Seanergy Maritime Holdings Corp Common Stock</t>
  </si>
  <si>
    <t>SHLS</t>
  </si>
  <si>
    <t>Shoals Technologies Group Inc. Class A Common Stock</t>
  </si>
  <si>
    <t>SHOO</t>
  </si>
  <si>
    <t>Steven Madden Ltd. Common Stock</t>
  </si>
  <si>
    <t>SHYF</t>
  </si>
  <si>
    <t>The Shyft Group Inc. Common Stock</t>
  </si>
  <si>
    <t>SIBN</t>
  </si>
  <si>
    <t>SI-BONE Inc. Common Stock</t>
  </si>
  <si>
    <t>SIEB</t>
  </si>
  <si>
    <t>Siebert Financial Corp. Common Stock</t>
  </si>
  <si>
    <t>SIFY</t>
  </si>
  <si>
    <t>Sify Technologies Limited American Depositary Shares</t>
  </si>
  <si>
    <t>SIGA Technologies Inc. Common Stock</t>
  </si>
  <si>
    <t>SIGI</t>
  </si>
  <si>
    <t>Selective Insurance Group Inc. Common Stock</t>
  </si>
  <si>
    <t>SILK</t>
  </si>
  <si>
    <t>Silk Road Medical Inc. Common Stock</t>
  </si>
  <si>
    <t>SIMO</t>
  </si>
  <si>
    <t>Silicon Motion Technology Corporation American Depositary Shares</t>
  </si>
  <si>
    <t>SIRI</t>
  </si>
  <si>
    <t>Sirius XM Holdings Inc. Common Stock</t>
  </si>
  <si>
    <t>SITM</t>
  </si>
  <si>
    <t>SiTime Corporation Common Stock</t>
  </si>
  <si>
    <t>SIVB</t>
  </si>
  <si>
    <t>SVB Financial Group Common Stock</t>
  </si>
  <si>
    <t>SKGR</t>
  </si>
  <si>
    <t>SK Growth Opportunities Corporation Class A Common Stock</t>
  </si>
  <si>
    <t>SKIN</t>
  </si>
  <si>
    <t>The Beauty Health Company Class A Common Stock</t>
  </si>
  <si>
    <t>SKWD</t>
  </si>
  <si>
    <t>Skyward Specialty Insurance Group Inc. Common Stock</t>
  </si>
  <si>
    <t>SKYA</t>
  </si>
  <si>
    <t>Skydeck Acquisition Corp. Class A Ordinary Shares</t>
  </si>
  <si>
    <t>SKYT</t>
  </si>
  <si>
    <t>SkyWater Technology Inc. Common Stock</t>
  </si>
  <si>
    <t>SKYW</t>
  </si>
  <si>
    <t>SkyWest Inc. Common Stock</t>
  </si>
  <si>
    <t>SKYX</t>
  </si>
  <si>
    <t>SKYX Platforms Corp. Common Stock</t>
  </si>
  <si>
    <t>SLAB</t>
  </si>
  <si>
    <t>Silicon Laboratories Inc. Common Stock</t>
  </si>
  <si>
    <t>SLAC</t>
  </si>
  <si>
    <t>Social Leverage Acquisition Corp I Class A Common Stock</t>
  </si>
  <si>
    <t>SLAM</t>
  </si>
  <si>
    <t>Slam Corp. Class A Ordinary Share</t>
  </si>
  <si>
    <t>SLDB</t>
  </si>
  <si>
    <t>Solid Biosciences Inc. Common Stock</t>
  </si>
  <si>
    <t>SLDP</t>
  </si>
  <si>
    <t>Solid Power Inc. Class A Common Stock</t>
  </si>
  <si>
    <t>SLGC</t>
  </si>
  <si>
    <t>SomaLogic Inc. Class A Common Stock</t>
  </si>
  <si>
    <t>SLM</t>
  </si>
  <si>
    <t>SLM Corporation Common Stock</t>
  </si>
  <si>
    <t>SLN</t>
  </si>
  <si>
    <t>Silence Therapeutics Plc American Depository Share</t>
  </si>
  <si>
    <t>SLNA</t>
  </si>
  <si>
    <t>Selina Hospitality PLC Ordinary Shares</t>
  </si>
  <si>
    <t>SLNG</t>
  </si>
  <si>
    <t>Stabilis Solutions Inc. Common Stock</t>
  </si>
  <si>
    <t>SLP</t>
  </si>
  <si>
    <t>Simulations Plus Inc. Common Stock</t>
  </si>
  <si>
    <t>SLRC</t>
  </si>
  <si>
    <t>SLR Investment Corp. Common Stock</t>
  </si>
  <si>
    <t>SLS</t>
  </si>
  <si>
    <t>SELLAS Life Sciences Group Inc. Common Stock</t>
  </si>
  <si>
    <t>SLVR</t>
  </si>
  <si>
    <t>SilverSPAC Inc. Class A Ordinary Share</t>
  </si>
  <si>
    <t>SMAP</t>
  </si>
  <si>
    <t>SportsMap Tech Acquisition Corp. Common Stock</t>
  </si>
  <si>
    <t>SMBC</t>
  </si>
  <si>
    <t>Southern Missouri Bancorp Inc. Common Stock</t>
  </si>
  <si>
    <t>SMBK</t>
  </si>
  <si>
    <t>SmartFinancial Inc. Common Stock</t>
  </si>
  <si>
    <t>SMCI</t>
  </si>
  <si>
    <t>Super Micro Computer Inc. Common Stock</t>
  </si>
  <si>
    <t>SMID</t>
  </si>
  <si>
    <t>Smith-Midland Corporation Common Stock</t>
  </si>
  <si>
    <t>SMLR</t>
  </si>
  <si>
    <t>Semler Scientific Inc. Common Stock</t>
  </si>
  <si>
    <t>SMMF</t>
  </si>
  <si>
    <t>Summit Financial Group Inc. Common Stock</t>
  </si>
  <si>
    <t>SMMT</t>
  </si>
  <si>
    <t xml:space="preserve">Summit Therapeutics Inc. Common Stock </t>
  </si>
  <si>
    <t>SMPL</t>
  </si>
  <si>
    <t>The Simply Good Foods Company Common Stock</t>
  </si>
  <si>
    <t>SMSI</t>
  </si>
  <si>
    <t>Smith Micro Software Inc. Common Stock</t>
  </si>
  <si>
    <t>SMTC</t>
  </si>
  <si>
    <t>Semtech Corporation Common Stock</t>
  </si>
  <si>
    <t>SMTI</t>
  </si>
  <si>
    <t>Sanara MedTech Inc. Common Stock</t>
  </si>
  <si>
    <t>SNAL</t>
  </si>
  <si>
    <t>Snail Inc. Class A Common Stock</t>
  </si>
  <si>
    <t>SNBR</t>
  </si>
  <si>
    <t>Sleep Number Corporation Common Stock</t>
  </si>
  <si>
    <t>SNCE</t>
  </si>
  <si>
    <t>Science 37 Holdings Inc. Common Stock</t>
  </si>
  <si>
    <t>SNCR</t>
  </si>
  <si>
    <t>Synchronoss Technologies Inc. Common Stock</t>
  </si>
  <si>
    <t>SNCY</t>
  </si>
  <si>
    <t>Sun Country Airlines Holdings Inc. Common Stock</t>
  </si>
  <si>
    <t>SND</t>
  </si>
  <si>
    <t>Smart Sand Inc. Common Stock</t>
  </si>
  <si>
    <t>SNDL</t>
  </si>
  <si>
    <t>SNDL Inc. Common Shares</t>
  </si>
  <si>
    <t>SNDX</t>
  </si>
  <si>
    <t>Syndax Pharmaceuticals Inc. Common Stock</t>
  </si>
  <si>
    <t>SNEX</t>
  </si>
  <si>
    <t>StoneX Group Inc. Common Stock</t>
  </si>
  <si>
    <t>SNFCA</t>
  </si>
  <si>
    <t>Security National Financial Corporation Class A Common Stock</t>
  </si>
  <si>
    <t>SNPO</t>
  </si>
  <si>
    <t>Snap One Holdings Corp. Common Stock</t>
  </si>
  <si>
    <t>SNPS</t>
  </si>
  <si>
    <t>Synopsys Inc. Common Stock</t>
  </si>
  <si>
    <t>SNRH</t>
  </si>
  <si>
    <t>Senior Connect Acquisition Corp. I Class A Common Stock</t>
  </si>
  <si>
    <t>SNTI</t>
  </si>
  <si>
    <t>Senti Biosciences Inc. Common Stock</t>
  </si>
  <si>
    <t>SNY</t>
  </si>
  <si>
    <t>Sanofi ADS</t>
  </si>
  <si>
    <t>SOFI</t>
  </si>
  <si>
    <t xml:space="preserve">SoFi Technologies Inc. Common Stock  </t>
  </si>
  <si>
    <t>SOLO</t>
  </si>
  <si>
    <t>Electrameccanica Vehicles Corp. Ltd. Common Stock</t>
  </si>
  <si>
    <t>SOND</t>
  </si>
  <si>
    <t>Sonder Holdings Inc. Class A Common Stock</t>
  </si>
  <si>
    <t>SONO</t>
  </si>
  <si>
    <t>Sonos Inc. Common Stock</t>
  </si>
  <si>
    <t>SOPH</t>
  </si>
  <si>
    <t>SOPHiA GENETICS SA Ordinary Shares</t>
  </si>
  <si>
    <t>SOTK</t>
  </si>
  <si>
    <t>Sono-Tek Corporation Common Stock</t>
  </si>
  <si>
    <t>SOUN</t>
  </si>
  <si>
    <t>SoundHound AI Inc Class A Common Stock</t>
  </si>
  <si>
    <t>SOVO</t>
  </si>
  <si>
    <t>Sovos Brands Inc. Common Stock</t>
  </si>
  <si>
    <t>SP</t>
  </si>
  <si>
    <t>SP Plus Corporation Common Stock</t>
  </si>
  <si>
    <t>SPCM</t>
  </si>
  <si>
    <t>Sound Point Acquisition Corp I Ltd Class A Ordinary Share</t>
  </si>
  <si>
    <t>SPFI</t>
  </si>
  <si>
    <t>South Plains Financial Inc. Common Stock</t>
  </si>
  <si>
    <t>SPKB</t>
  </si>
  <si>
    <t>Silver Spike Acquisition Corp II Class A Ordinary Shares</t>
  </si>
  <si>
    <t>SPLK</t>
  </si>
  <si>
    <t>Splunk Inc. Common Stock</t>
  </si>
  <si>
    <t>SPOK</t>
  </si>
  <si>
    <t>Spok Holdings Inc. Common Stock</t>
  </si>
  <si>
    <t>SPPI</t>
  </si>
  <si>
    <t>Spectrum Pharmaceuticals Inc.Common Stock</t>
  </si>
  <si>
    <t>SPRB</t>
  </si>
  <si>
    <t>Spruce Biosciences Inc. Common Stock</t>
  </si>
  <si>
    <t>SPRO</t>
  </si>
  <si>
    <t>Spero Therapeutics Inc. Common Stock</t>
  </si>
  <si>
    <t>SPRY</t>
  </si>
  <si>
    <t>ARS Pharmaceuticals Inc. Common Stock</t>
  </si>
  <si>
    <t>SPSC</t>
  </si>
  <si>
    <t>SPS Commerce Inc. Common Stock</t>
  </si>
  <si>
    <t>SPT</t>
  </si>
  <si>
    <t>Sprout Social Inc Class A Common Stock</t>
  </si>
  <si>
    <t>SPTN</t>
  </si>
  <si>
    <t>SpartanNash Company Common Stock</t>
  </si>
  <si>
    <t>SPWH</t>
  </si>
  <si>
    <t>Sportsman's Warehouse Holdings Inc. Common Stock</t>
  </si>
  <si>
    <t>SPWR</t>
  </si>
  <si>
    <t>SunPower Corporation Common Stock</t>
  </si>
  <si>
    <t>SRAD</t>
  </si>
  <si>
    <t>Sportradar Group AG Class A Ordinary Shares</t>
  </si>
  <si>
    <t>SRAX</t>
  </si>
  <si>
    <t>SRAX Inc. Class A Common Stock</t>
  </si>
  <si>
    <t>SRCE</t>
  </si>
  <si>
    <t>1st Source Corporation Common Stock</t>
  </si>
  <si>
    <t>SRCL</t>
  </si>
  <si>
    <t>Stericycle Inc. Common Stock</t>
  </si>
  <si>
    <t>SRDX</t>
  </si>
  <si>
    <t>Surmodics Inc. Common Stock</t>
  </si>
  <si>
    <t>SRNE</t>
  </si>
  <si>
    <t>Sorrento Therapeutics Inc.  Common Stock</t>
  </si>
  <si>
    <t>SRPT</t>
  </si>
  <si>
    <t>Sarepta Therapeutics Inc. Common Stock (DE)</t>
  </si>
  <si>
    <t>SRRK</t>
  </si>
  <si>
    <t>Scholar Rock Holding Corporation Common Stock</t>
  </si>
  <si>
    <t>SRTS</t>
  </si>
  <si>
    <t>Sensus Healthcare Inc. Common Stock</t>
  </si>
  <si>
    <t>SSB</t>
  </si>
  <si>
    <t>SouthState Corporation Common Stock</t>
  </si>
  <si>
    <t>SSBI</t>
  </si>
  <si>
    <t>Summit State Bank Common Stock</t>
  </si>
  <si>
    <t>SSBK</t>
  </si>
  <si>
    <t>Southern States Bancshares Inc. Common Stock</t>
  </si>
  <si>
    <t>SSIC</t>
  </si>
  <si>
    <t>Silver Spike Investment Corp. Common Stock</t>
  </si>
  <si>
    <t>SSNC</t>
  </si>
  <si>
    <t>SS&amp;C Technologies Holdings Inc. Common Stock</t>
  </si>
  <si>
    <t>SSP</t>
  </si>
  <si>
    <t>E.W. Scripps Company (The) Class A Common Stock</t>
  </si>
  <si>
    <t>SSRM</t>
  </si>
  <si>
    <t>SSR Mining Inc. Common Stock</t>
  </si>
  <si>
    <t>SSSS</t>
  </si>
  <si>
    <t>SuRo Capital Corp. Common Stock</t>
  </si>
  <si>
    <t>SSTI</t>
  </si>
  <si>
    <t>ShotSpotter Inc. Common Stock</t>
  </si>
  <si>
    <t>SSYS</t>
  </si>
  <si>
    <t>Stratasys Ltd. Ordinary Shares (Israel)</t>
  </si>
  <si>
    <t>STAA</t>
  </si>
  <si>
    <t>STAAR Surgical Company Common Stock</t>
  </si>
  <si>
    <t>STBA</t>
  </si>
  <si>
    <t>S&amp;T Bancorp Inc. Common Stock</t>
  </si>
  <si>
    <t>STCN</t>
  </si>
  <si>
    <t>Steel Connect Inc. Common Stock</t>
  </si>
  <si>
    <t>STEL</t>
  </si>
  <si>
    <t>Stellar Bancorp Inc. Common Stock</t>
  </si>
  <si>
    <t>STEP</t>
  </si>
  <si>
    <t>StepStone Group Inc. Class A Common Stock</t>
  </si>
  <si>
    <t>STER</t>
  </si>
  <si>
    <t>Sterling Check Corp. Common Stock</t>
  </si>
  <si>
    <t>STGW</t>
  </si>
  <si>
    <t>Stagwell Inc. Class A Common Stock</t>
  </si>
  <si>
    <t>STIM</t>
  </si>
  <si>
    <t>Neuronetics Inc. Common Stock</t>
  </si>
  <si>
    <t>STIX</t>
  </si>
  <si>
    <t>Semantix Inc. Class A Ordinary Shares</t>
  </si>
  <si>
    <t>STKL</t>
  </si>
  <si>
    <t>SunOpta Inc. Common Stock</t>
  </si>
  <si>
    <t>STKS</t>
  </si>
  <si>
    <t>The ONE Group Hospitality Inc. Common Stock</t>
  </si>
  <si>
    <t>STLD</t>
  </si>
  <si>
    <t>Steel Dynamics Inc.</t>
  </si>
  <si>
    <t>STOK</t>
  </si>
  <si>
    <t>Stoke Therapeutics Inc. Common Stock</t>
  </si>
  <si>
    <t>STRA</t>
  </si>
  <si>
    <t>Strategic Education Inc. Common Stock</t>
  </si>
  <si>
    <t>STRC</t>
  </si>
  <si>
    <t>Sarcos Technology and Robotics Corporation Common Stock</t>
  </si>
  <si>
    <t>STRL</t>
  </si>
  <si>
    <t>Sterling Infrastructure Inc. Common Stock</t>
  </si>
  <si>
    <t>STRM</t>
  </si>
  <si>
    <t>Streamline Health Solutions Inc. Common Stock</t>
  </si>
  <si>
    <t>STRO</t>
  </si>
  <si>
    <t>Sutro Biopharma Inc. Common Stock</t>
  </si>
  <si>
    <t>STRS</t>
  </si>
  <si>
    <t>Stratus Properties Inc. Common Stock</t>
  </si>
  <si>
    <t>STRT</t>
  </si>
  <si>
    <t>STRATTEC SECURITY CORPORATION Common Stock</t>
  </si>
  <si>
    <t>STTK</t>
  </si>
  <si>
    <t>Shattuck Labs Inc. Common Stock</t>
  </si>
  <si>
    <t>STX</t>
  </si>
  <si>
    <t>Seagate Technology Holdings PLC Ordinary Shares (Ireland)</t>
  </si>
  <si>
    <t>SUMO</t>
  </si>
  <si>
    <t>Sumo Logic Inc. Common Stock</t>
  </si>
  <si>
    <t>SUPN</t>
  </si>
  <si>
    <t>Supernus Pharmaceuticals Inc. Common Stock</t>
  </si>
  <si>
    <t>SURG</t>
  </si>
  <si>
    <t>SurgePays Inc. Common Stock</t>
  </si>
  <si>
    <t>SVC</t>
  </si>
  <si>
    <t>Service Properties Trust Common Stock</t>
  </si>
  <si>
    <t>SVFB</t>
  </si>
  <si>
    <t>SVF Investment Corp. 2 Class A Ordinary Shares</t>
  </si>
  <si>
    <t>SVII</t>
  </si>
  <si>
    <t>Spring Valley Acquisition Corp. II Class A Ordinary Shares</t>
  </si>
  <si>
    <t>SVNA</t>
  </si>
  <si>
    <t>7 Acquisition Corporation Class A Ordinary Shares</t>
  </si>
  <si>
    <t>SVRA</t>
  </si>
  <si>
    <t>Savara Inc. Common Stock</t>
  </si>
  <si>
    <t>SWAV</t>
  </si>
  <si>
    <t>ShockWave Medical Inc. Common Stock</t>
  </si>
  <si>
    <t>SWBI</t>
  </si>
  <si>
    <t>Smith &amp; Wesson Brands Inc. Common Stock</t>
  </si>
  <si>
    <t>SWIM</t>
  </si>
  <si>
    <t>Latham Group Inc. Common Stock</t>
  </si>
  <si>
    <t>SWKH</t>
  </si>
  <si>
    <t>SWK Holdings Corporation Common Stock</t>
  </si>
  <si>
    <t>SWKS</t>
  </si>
  <si>
    <t>Skyworks Solutions Inc. Common Stock</t>
  </si>
  <si>
    <t>SWSS</t>
  </si>
  <si>
    <t>Springwater Special Situations Corp. Common stock</t>
  </si>
  <si>
    <t>SWTX</t>
  </si>
  <si>
    <t>SpringWorks Therapeutics Inc. Common Stock</t>
  </si>
  <si>
    <t>SYBT</t>
  </si>
  <si>
    <t>Stock Yards Bancorp Inc. Common Stock</t>
  </si>
  <si>
    <t>SYBX</t>
  </si>
  <si>
    <t>Synlogic Inc. Common Stock</t>
  </si>
  <si>
    <t>SYM</t>
  </si>
  <si>
    <t>Symbotic Inc. Class A Common Stock</t>
  </si>
  <si>
    <t>SYNA</t>
  </si>
  <si>
    <t>Synaptics Incorporated Common Stock $0.001 Par Value</t>
  </si>
  <si>
    <t>SYNH</t>
  </si>
  <si>
    <t>Syneos Health Inc. Class A Common Stock</t>
  </si>
  <si>
    <t>SYRS</t>
  </si>
  <si>
    <t>Syros Pharmaceuticals Inc. Common Stock</t>
  </si>
  <si>
    <t>SZZL</t>
  </si>
  <si>
    <t>Sizzle Acquisition Corp. Common stock</t>
  </si>
  <si>
    <t>TA</t>
  </si>
  <si>
    <t>TravelCenters of America Inc. Common Stock</t>
  </si>
  <si>
    <t>TACT</t>
  </si>
  <si>
    <t>TransAct Technologies Incorporated Common Stock</t>
  </si>
  <si>
    <t>TALK</t>
  </si>
  <si>
    <t>Talkspace Inc. Common Stock</t>
  </si>
  <si>
    <t>TALS</t>
  </si>
  <si>
    <t>Talaris Therapeutics Inc. Common Stock</t>
  </si>
  <si>
    <t>TARS</t>
  </si>
  <si>
    <t>Tarsus Pharmaceuticals Inc. Common Stock</t>
  </si>
  <si>
    <t>TASK</t>
  </si>
  <si>
    <t>TaskUs Inc. Class A Common Stock</t>
  </si>
  <si>
    <t>TAST</t>
  </si>
  <si>
    <t>Carrols Restaurant Group Inc. Common Stock</t>
  </si>
  <si>
    <t>TAYD</t>
  </si>
  <si>
    <t>Taylor Devices Inc. Common Stock</t>
  </si>
  <si>
    <t>TBBK</t>
  </si>
  <si>
    <t>The Bancorp Inc Common Stock</t>
  </si>
  <si>
    <t>TBCP</t>
  </si>
  <si>
    <t>Thunder Bridge Capital Partners III Inc. Class A Common Stock</t>
  </si>
  <si>
    <t>TBIO</t>
  </si>
  <si>
    <t>Telesis Bio Inc. Common Stock</t>
  </si>
  <si>
    <t>TBLD</t>
  </si>
  <si>
    <t>Thornburg Income Builder Opportunities Trust Common Stock</t>
  </si>
  <si>
    <t>TBNK</t>
  </si>
  <si>
    <t>Territorial Bancorp Inc. Common Stock</t>
  </si>
  <si>
    <t>TCBC</t>
  </si>
  <si>
    <t>TC Bancshares Inc. Common Stock</t>
  </si>
  <si>
    <t>TCBI</t>
  </si>
  <si>
    <t>Texas Capital Bancshares Inc. Common Stock</t>
  </si>
  <si>
    <t>TCBK</t>
  </si>
  <si>
    <t>TriCo Bancshares Common Stock</t>
  </si>
  <si>
    <t>TCBS</t>
  </si>
  <si>
    <t>Texas Community Bancshares Inc. Common Stock</t>
  </si>
  <si>
    <t>TCBX</t>
  </si>
  <si>
    <t>Third Coast Bancshares Inc. Common Stock</t>
  </si>
  <si>
    <t>TCFC</t>
  </si>
  <si>
    <t>The Community Financial Corporation Common Stock</t>
  </si>
  <si>
    <t>TCMD</t>
  </si>
  <si>
    <t>Tactile Systems Technology Inc. Common Stock</t>
  </si>
  <si>
    <t>TCPC</t>
  </si>
  <si>
    <t>BlackRock TCP Capital Corp. Common Stock</t>
  </si>
  <si>
    <t>TCRR</t>
  </si>
  <si>
    <t>TCR2 Therapeutics Inc. Common Stock</t>
  </si>
  <si>
    <t>TCRT</t>
  </si>
  <si>
    <t>Alaunos Therapeutics Inc. Common Stock</t>
  </si>
  <si>
    <t>TCVA</t>
  </si>
  <si>
    <t>TCV Acquisition Corp. Class A Ordinary Shares</t>
  </si>
  <si>
    <t>TCX</t>
  </si>
  <si>
    <t>Tucows Inc. Class A Common Stock</t>
  </si>
  <si>
    <t>TDUP</t>
  </si>
  <si>
    <t>ThredUp Inc. Class A Common Stock</t>
  </si>
  <si>
    <t>TEAM</t>
  </si>
  <si>
    <t>Atlassian Corporation Class A Common Stock</t>
  </si>
  <si>
    <t>TECH</t>
  </si>
  <si>
    <t>Bio-Techne Corp Common Stock</t>
  </si>
  <si>
    <t>TELA</t>
  </si>
  <si>
    <t>TELA Bio Inc. Common Stock</t>
  </si>
  <si>
    <t>TENB</t>
  </si>
  <si>
    <t>Tenable Holdings Inc. Common Stock</t>
  </si>
  <si>
    <t>TER</t>
  </si>
  <si>
    <t>Teradyne Inc. Common Stock</t>
  </si>
  <si>
    <t>TERN</t>
  </si>
  <si>
    <t>Terns Pharmaceuticals Inc. Common Stock</t>
  </si>
  <si>
    <t>TETC</t>
  </si>
  <si>
    <t>Tech and Energy Transition Corporation Class A Common Stock</t>
  </si>
  <si>
    <t>TFIN</t>
  </si>
  <si>
    <t>Triumph Financial Inc. Common Stock</t>
  </si>
  <si>
    <t>TFSL</t>
  </si>
  <si>
    <t>TFS Financial Corporation Common Stock</t>
  </si>
  <si>
    <t>TGAN</t>
  </si>
  <si>
    <t>Transphorm Inc. Common Stock</t>
  </si>
  <si>
    <t>TGTX</t>
  </si>
  <si>
    <t>TG Therapeutics Inc. Common Stock</t>
  </si>
  <si>
    <t>TGVC</t>
  </si>
  <si>
    <t>TG Venture Acquisition Corp. Class A Common Stock</t>
  </si>
  <si>
    <t>TH</t>
  </si>
  <si>
    <t>Target Hospitality Corp. Common Stock</t>
  </si>
  <si>
    <t>THCP</t>
  </si>
  <si>
    <t>Thunder Bridge Capital Partners IV Inc. Class A Common Stock</t>
  </si>
  <si>
    <t>THFF</t>
  </si>
  <si>
    <t>First Financial Corporation Indiana Common Stock</t>
  </si>
  <si>
    <t>THRD</t>
  </si>
  <si>
    <t>Third Harmonic Bio Inc. Common Stock</t>
  </si>
  <si>
    <t>THRM</t>
  </si>
  <si>
    <t>Gentherm Inc Common Stock</t>
  </si>
  <si>
    <t>THRN</t>
  </si>
  <si>
    <t>Thorne Healthtech Inc. Common Stock</t>
  </si>
  <si>
    <t>THRX</t>
  </si>
  <si>
    <t>Theseus Pharmaceuticals Inc. Common Stock</t>
  </si>
  <si>
    <t>THRY</t>
  </si>
  <si>
    <t>Thryv Holdings Inc. Common Stock</t>
  </si>
  <si>
    <t>THTX</t>
  </si>
  <si>
    <t>Theratechnologies Inc. Common Shares</t>
  </si>
  <si>
    <t>TIG</t>
  </si>
  <si>
    <t>Trean Insurance Group Inc. Common Stock</t>
  </si>
  <si>
    <t>TIGO</t>
  </si>
  <si>
    <t>Millicom International Cellular S.A. Common Stock</t>
  </si>
  <si>
    <t>TIL</t>
  </si>
  <si>
    <t>Instil Bio Inc. Common Stock</t>
  </si>
  <si>
    <t>TILE</t>
  </si>
  <si>
    <t>Interface Inc. Common Stock</t>
  </si>
  <si>
    <t>TIOA</t>
  </si>
  <si>
    <t>Tio Tech A Class A Ordinary Share</t>
  </si>
  <si>
    <t>TIPT</t>
  </si>
  <si>
    <t>Tiptree Inc. Common Stock</t>
  </si>
  <si>
    <t>TITN</t>
  </si>
  <si>
    <t>Titan Machinery Inc. Common Stock</t>
  </si>
  <si>
    <t>TKNO</t>
  </si>
  <si>
    <t>Alpha Teknova Inc. Common Stock</t>
  </si>
  <si>
    <t>TLGY</t>
  </si>
  <si>
    <t>TLGY Acquisition Corporation Class A Ordinary Share</t>
  </si>
  <si>
    <t>TLRY</t>
  </si>
  <si>
    <t xml:space="preserve">Tilray Brands Inc. Class 2 Common Stock </t>
  </si>
  <si>
    <t>TLS</t>
  </si>
  <si>
    <t>Telos Corporation Common Stock</t>
  </si>
  <si>
    <t>TLSA</t>
  </si>
  <si>
    <t>Tiziana Life Sciences Ltd. Common Shares</t>
  </si>
  <si>
    <t>TMC</t>
  </si>
  <si>
    <t>TMC the metals company Inc. Common Stock</t>
  </si>
  <si>
    <t>TMCI</t>
  </si>
  <si>
    <t>Treace Medical Concepts Inc. Common Stock</t>
  </si>
  <si>
    <t>TMDI</t>
  </si>
  <si>
    <t>Titan Medical Inc. Ordinary Shares</t>
  </si>
  <si>
    <t>TMDX</t>
  </si>
  <si>
    <t>TransMedics Group Inc. Common Stock</t>
  </si>
  <si>
    <t>TMKR</t>
  </si>
  <si>
    <t>Tastemaker Acquisition Corp. Class A Common Stock</t>
  </si>
  <si>
    <t>TMUS</t>
  </si>
  <si>
    <t>T-Mobile US Inc. Common Stock</t>
  </si>
  <si>
    <t>TNDM</t>
  </si>
  <si>
    <t>Tandem Diabetes Care Inc. Common Stock</t>
  </si>
  <si>
    <t>TNGX</t>
  </si>
  <si>
    <t>Tango Therapeutics Inc.</t>
  </si>
  <si>
    <t>TNXP</t>
  </si>
  <si>
    <t>Tonix Pharmaceuticals Holding Corp. Common Stock</t>
  </si>
  <si>
    <t>TNYA</t>
  </si>
  <si>
    <t>Tenaya Therapeutics Inc. Common Stock</t>
  </si>
  <si>
    <t>TOAC</t>
  </si>
  <si>
    <t>Talon 1 Acquisition Corp. Class A Ordinary Shares</t>
  </si>
  <si>
    <t>TOI</t>
  </si>
  <si>
    <t>The Oncology Institute Inc. Common Stock</t>
  </si>
  <si>
    <t>TOP</t>
  </si>
  <si>
    <t>TOP Financial Group Limited Ordinary Shares</t>
  </si>
  <si>
    <t>TOPS</t>
  </si>
  <si>
    <t>TOP Ships Inc. Common Stock</t>
  </si>
  <si>
    <t>TOWN</t>
  </si>
  <si>
    <t>TowneBank Common Stock</t>
  </si>
  <si>
    <t>TPBA</t>
  </si>
  <si>
    <t>TPB Acquisition Corporation I Class A Ordinary Share</t>
  </si>
  <si>
    <t>TPG</t>
  </si>
  <si>
    <t>TPG Inc. Class A Common Stock</t>
  </si>
  <si>
    <t>TPIC</t>
  </si>
  <si>
    <t>TPI Composites Inc. Common Stock</t>
  </si>
  <si>
    <t>TRDA</t>
  </si>
  <si>
    <t>Entrada Therapeutics Inc. Common Stock</t>
  </si>
  <si>
    <t>TREE</t>
  </si>
  <si>
    <t>LendingTree Inc. Common Stock</t>
  </si>
  <si>
    <t>TRHC</t>
  </si>
  <si>
    <t>Tabula Rasa HealthCare Inc. Common Stock</t>
  </si>
  <si>
    <t>TRIN</t>
  </si>
  <si>
    <t>Trinity Capital Inc. Common Stock</t>
  </si>
  <si>
    <t>TRIP</t>
  </si>
  <si>
    <t>TripAdvisor Inc. Common Stock</t>
  </si>
  <si>
    <t>TRMB</t>
  </si>
  <si>
    <t>Trimble Inc. Common Stock</t>
  </si>
  <si>
    <t>TRMD</t>
  </si>
  <si>
    <t>TORM plc Class A Common Stock</t>
  </si>
  <si>
    <t>TRMK</t>
  </si>
  <si>
    <t>Trustmark Corporation Common Stock</t>
  </si>
  <si>
    <t>TRNS</t>
  </si>
  <si>
    <t>Transcat Inc. Common Stock</t>
  </si>
  <si>
    <t>TRON</t>
  </si>
  <si>
    <t>Corner Growth Acquisition Corp. 2 Class A Ordinary Share</t>
  </si>
  <si>
    <t>TROW</t>
  </si>
  <si>
    <t>T. Rowe Price Group Inc. Common Stock</t>
  </si>
  <si>
    <t>TRS</t>
  </si>
  <si>
    <t>TriMas Corporation Common Stock</t>
  </si>
  <si>
    <t>TRST</t>
  </si>
  <si>
    <t>TrustCo Bank Corp NY Common Stock</t>
  </si>
  <si>
    <t>TrueCar Inc. Common Stock</t>
  </si>
  <si>
    <t>TRUP</t>
  </si>
  <si>
    <t>Trupanion Inc. Common Stock</t>
  </si>
  <si>
    <t>TRVG</t>
  </si>
  <si>
    <t>trivago N.V. American Depositary Shares</t>
  </si>
  <si>
    <t>TRVI</t>
  </si>
  <si>
    <t>Trevi Therapeutics Inc. Common Stock</t>
  </si>
  <si>
    <t>TSAT</t>
  </si>
  <si>
    <t xml:space="preserve">Telesat Corporation Class A Common Shares and Class B Variable Voting Shares </t>
  </si>
  <si>
    <t>TSBK</t>
  </si>
  <si>
    <t>Timberland Bancorp Inc. Common Stock</t>
  </si>
  <si>
    <t>TSCO</t>
  </si>
  <si>
    <t>Tractor Supply Company Common Stock</t>
  </si>
  <si>
    <t>TSHA</t>
  </si>
  <si>
    <t>Taysha Gene Therapies Inc. Common Stock</t>
  </si>
  <si>
    <t>TSLA</t>
  </si>
  <si>
    <t>Tesla Inc. Common Stock</t>
  </si>
  <si>
    <t>TSP</t>
  </si>
  <si>
    <t>TuSimple Holdings Inc. Class A Common Stock</t>
  </si>
  <si>
    <t>TSVT</t>
  </si>
  <si>
    <t xml:space="preserve">2seventy bio Inc. Common Stock </t>
  </si>
  <si>
    <t>TTD</t>
  </si>
  <si>
    <t>The Trade Desk Inc. Class A Common Stock</t>
  </si>
  <si>
    <t>TTEC</t>
  </si>
  <si>
    <t>TTEC Holdings Inc. Common Stock</t>
  </si>
  <si>
    <t>TTEK</t>
  </si>
  <si>
    <t>Tetra Tech Inc. Common Stock</t>
  </si>
  <si>
    <t>TTGT</t>
  </si>
  <si>
    <t>TechTarget Inc. Common Stock</t>
  </si>
  <si>
    <t>TTMI</t>
  </si>
  <si>
    <t>TTM Technologies Inc. Common Stock</t>
  </si>
  <si>
    <t>TTSH</t>
  </si>
  <si>
    <t>Tile Shop Holdings Inc. Common Stock</t>
  </si>
  <si>
    <t>TTWO</t>
  </si>
  <si>
    <t>Take-Two Interactive Software Inc. Common Stock</t>
  </si>
  <si>
    <t>TURN</t>
  </si>
  <si>
    <t>180 Degree Capital Corp. Common Stock</t>
  </si>
  <si>
    <t>TUSK</t>
  </si>
  <si>
    <t>Mammoth Energy Services Inc. Common Stock</t>
  </si>
  <si>
    <t>TVTX</t>
  </si>
  <si>
    <t>Travere Therapeutics Inc. Common Stock</t>
  </si>
  <si>
    <t>TW</t>
  </si>
  <si>
    <t>Tradeweb Markets Inc. Class A Common Stock</t>
  </si>
  <si>
    <t>TWCB</t>
  </si>
  <si>
    <t>Bilander Acquisition Corp. Class A Common Stock</t>
  </si>
  <si>
    <t>TWIN</t>
  </si>
  <si>
    <t>Twin Disc Incorporated Common Stock</t>
  </si>
  <si>
    <t>TWKS</t>
  </si>
  <si>
    <t>Thoughtworks Holding Inc. Common Stock</t>
  </si>
  <si>
    <t>TWLV</t>
  </si>
  <si>
    <t>Twelve Seas Investment Company II Class A Common Stock</t>
  </si>
  <si>
    <t>TWNK</t>
  </si>
  <si>
    <t>Hostess Brands Inc. Class A Common Stock</t>
  </si>
  <si>
    <t>TWOU</t>
  </si>
  <si>
    <t>2U Inc. Common Stock</t>
  </si>
  <si>
    <t>TWST</t>
  </si>
  <si>
    <t>Twist Bioscience Corporation Common Stock</t>
  </si>
  <si>
    <t>TXG</t>
  </si>
  <si>
    <t>10x Genomics Inc. Class A Common Stock</t>
  </si>
  <si>
    <t>TXMD</t>
  </si>
  <si>
    <t>TherapeuticsMD Inc. Common Stock</t>
  </si>
  <si>
    <t>TXN</t>
  </si>
  <si>
    <t>Texas Instruments Incorporated Common Stock</t>
  </si>
  <si>
    <t>TXRH</t>
  </si>
  <si>
    <t>Texas Roadhouse Inc. Common Stock</t>
  </si>
  <si>
    <t>TYRA</t>
  </si>
  <si>
    <t>Tyra Biosciences Inc. Common Stock</t>
  </si>
  <si>
    <t>TZOO</t>
  </si>
  <si>
    <t>Travelzoo Common Stock</t>
  </si>
  <si>
    <t>UAL</t>
  </si>
  <si>
    <t>United Airlines Holdings Inc. Common Stock</t>
  </si>
  <si>
    <t>UBCP</t>
  </si>
  <si>
    <t>United Bancorp Inc. Common Stock</t>
  </si>
  <si>
    <t>UBFO</t>
  </si>
  <si>
    <t>United Security Bancshares Common Stock</t>
  </si>
  <si>
    <t>UBSI</t>
  </si>
  <si>
    <t>United Bankshares Inc. Common Stock</t>
  </si>
  <si>
    <t>UBX</t>
  </si>
  <si>
    <t>Unity Biotechnology Inc. Common Stock</t>
  </si>
  <si>
    <t>UCBI</t>
  </si>
  <si>
    <t>United Community Banks Inc. Common Stock</t>
  </si>
  <si>
    <t>UCL</t>
  </si>
  <si>
    <t>uCloudlink Group Inc. American Depositary Shares</t>
  </si>
  <si>
    <t>UCTT</t>
  </si>
  <si>
    <t>Ultra Clean Holdings Inc. Common Stock</t>
  </si>
  <si>
    <t>UDMY</t>
  </si>
  <si>
    <t>Udemy Inc. Common Stock</t>
  </si>
  <si>
    <t>UEIC</t>
  </si>
  <si>
    <t>Universal Electronics Inc. Common Stock</t>
  </si>
  <si>
    <t>UFCS</t>
  </si>
  <si>
    <t>United Fire Group Inc. Common Stock</t>
  </si>
  <si>
    <t>UFPI</t>
  </si>
  <si>
    <t>UFP Industries Inc. Common Stock</t>
  </si>
  <si>
    <t>Forest Products</t>
  </si>
  <si>
    <t>UFPT</t>
  </si>
  <si>
    <t>UFP Technologies Inc. Common Stock</t>
  </si>
  <si>
    <t>UG</t>
  </si>
  <si>
    <t>United-Guardian Inc. Common Stock</t>
  </si>
  <si>
    <t>UIHC</t>
  </si>
  <si>
    <t>United Insurance Holdings Corp. Common Stock</t>
  </si>
  <si>
    <t>ULBI</t>
  </si>
  <si>
    <t>Ultralife Corporation Common Stock</t>
  </si>
  <si>
    <t>ULCC</t>
  </si>
  <si>
    <t>Frontier Group Holdings Inc. Common Stock</t>
  </si>
  <si>
    <t>ULH</t>
  </si>
  <si>
    <t>Universal Logistics Holdings Inc. Common Stock</t>
  </si>
  <si>
    <t>ULTA</t>
  </si>
  <si>
    <t>Ulta Beauty Inc. Common Stock</t>
  </si>
  <si>
    <t>UMBF</t>
  </si>
  <si>
    <t>UMB Financial Corporation Common Stock</t>
  </si>
  <si>
    <t>UMPQ</t>
  </si>
  <si>
    <t>Umpqua Holdings Corporation Common Stock</t>
  </si>
  <si>
    <t>UNB</t>
  </si>
  <si>
    <t>Union Bankshares Inc. Common Stock</t>
  </si>
  <si>
    <t>UNIT</t>
  </si>
  <si>
    <t>Uniti Group Inc. Common Stock</t>
  </si>
  <si>
    <t>UNTY</t>
  </si>
  <si>
    <t>Unity Bancorp Inc. Common Stock</t>
  </si>
  <si>
    <t>UONE</t>
  </si>
  <si>
    <t>Urban One Inc. Class A Common Stock</t>
  </si>
  <si>
    <t>UONEK</t>
  </si>
  <si>
    <t>Urban One Inc. Class D Common Stock</t>
  </si>
  <si>
    <t>UPLD</t>
  </si>
  <si>
    <t>Upland Software Inc. Common Stock</t>
  </si>
  <si>
    <t>UPST</t>
  </si>
  <si>
    <t>Upstart Holdings Inc. Common stock</t>
  </si>
  <si>
    <t>UPTD</t>
  </si>
  <si>
    <t>TradeUP Acquisition Corp. Common Stock</t>
  </si>
  <si>
    <t>UPWK</t>
  </si>
  <si>
    <t>Upwork Inc. Common Stock</t>
  </si>
  <si>
    <t>UPXI</t>
  </si>
  <si>
    <t>Upexi Inc. Common Stock</t>
  </si>
  <si>
    <t>URBN</t>
  </si>
  <si>
    <t>Urban Outfitters Inc. Common Stock</t>
  </si>
  <si>
    <t>UROY</t>
  </si>
  <si>
    <t>Uranium Royalty Corp. Common Stock</t>
  </si>
  <si>
    <t>USAP</t>
  </si>
  <si>
    <t>Universal Stainless &amp; Alloy Products Inc. Common Stock</t>
  </si>
  <si>
    <t>USCB</t>
  </si>
  <si>
    <t>USCB Financial Holdings Inc. Class A Common Stock</t>
  </si>
  <si>
    <t>USCT</t>
  </si>
  <si>
    <t>TKB Critical Technologies 1 Class A Ordinary Shares</t>
  </si>
  <si>
    <t>USEG</t>
  </si>
  <si>
    <t>U.S. Energy Corp. Common Stock (DE)</t>
  </si>
  <si>
    <t>USIO</t>
  </si>
  <si>
    <t>Usio Inc. Common Stock</t>
  </si>
  <si>
    <t>USLM</t>
  </si>
  <si>
    <t>United States Lime &amp; Minerals Inc. Common Stock</t>
  </si>
  <si>
    <t>UTAA</t>
  </si>
  <si>
    <t>UTA Acquisition Corporation Class A Ordinary Shares</t>
  </si>
  <si>
    <t>UTHR</t>
  </si>
  <si>
    <t>United Therapeutics Corporation Common Stock</t>
  </si>
  <si>
    <t>UTMD</t>
  </si>
  <si>
    <t>Utah Medical Products Inc. Common Stock</t>
  </si>
  <si>
    <t>UVSP</t>
  </si>
  <si>
    <t>Univest Financial Corporation Common Stock</t>
  </si>
  <si>
    <t>VABK</t>
  </si>
  <si>
    <t>Virginia National Bankshares Corporation Common Stock</t>
  </si>
  <si>
    <t>VACC</t>
  </si>
  <si>
    <t>Vaccitech plc American Depositary Shares</t>
  </si>
  <si>
    <t>VALN</t>
  </si>
  <si>
    <t>Valneva SE American Depositary Shares</t>
  </si>
  <si>
    <t>VALU</t>
  </si>
  <si>
    <t>Value Line Inc. Common Stock</t>
  </si>
  <si>
    <t>VANI</t>
  </si>
  <si>
    <t>Vivani Medical Inc. Common Stock</t>
  </si>
  <si>
    <t>VAQC</t>
  </si>
  <si>
    <t>Vector Acquisition Corporation II Class A Ordinary Shares</t>
  </si>
  <si>
    <t>VAXX</t>
  </si>
  <si>
    <t>Vaxxinity Inc. Class A Common Stock</t>
  </si>
  <si>
    <t>VBFC</t>
  </si>
  <si>
    <t>Village Bank and Trust Financial Corp. Common Stock</t>
  </si>
  <si>
    <t>VBIV</t>
  </si>
  <si>
    <t>VBI Vaccines Inc. New Common Stock (Canada)</t>
  </si>
  <si>
    <t>VBNK</t>
  </si>
  <si>
    <t>VersaBank Common Shares</t>
  </si>
  <si>
    <t>VBOC</t>
  </si>
  <si>
    <t>Viscogliosi Brothers Acquisition Corp Common Stock</t>
  </si>
  <si>
    <t>VBTX</t>
  </si>
  <si>
    <t>Veritex Holdings Inc. Common Stock</t>
  </si>
  <si>
    <t>VC</t>
  </si>
  <si>
    <t>Visteon Corporation Common Stock</t>
  </si>
  <si>
    <t>VCEL</t>
  </si>
  <si>
    <t>Vericel Corporation Common Stock</t>
  </si>
  <si>
    <t>VCSA</t>
  </si>
  <si>
    <t>Vacasa Inc. Class A Common Stock</t>
  </si>
  <si>
    <t>VCTR</t>
  </si>
  <si>
    <t>Victory Capital Holdings Inc. Class A Common Stock</t>
  </si>
  <si>
    <t>VCXA</t>
  </si>
  <si>
    <t>10X Capital Venture Acquisition Corp. II Class A Ordinary Share</t>
  </si>
  <si>
    <t>VCYT</t>
  </si>
  <si>
    <t>Veracyte Inc. Common Stock</t>
  </si>
  <si>
    <t>VECO</t>
  </si>
  <si>
    <t>Veeco Instruments Inc. Common Stock</t>
  </si>
  <si>
    <t>VECT</t>
  </si>
  <si>
    <t>VectivBio Holding AG Ordinary Shares</t>
  </si>
  <si>
    <t>VEON</t>
  </si>
  <si>
    <t>VEON Ltd. ADS</t>
  </si>
  <si>
    <t>VERA</t>
  </si>
  <si>
    <t>Vera Therapeutics Inc. Class A Common Stock</t>
  </si>
  <si>
    <t>VERI</t>
  </si>
  <si>
    <t>Veritone Inc. Common Stock</t>
  </si>
  <si>
    <t>VERU</t>
  </si>
  <si>
    <t>Veru Inc. Common Stock</t>
  </si>
  <si>
    <t>VERV</t>
  </si>
  <si>
    <t>Verve Therapeutics Inc. Common Stock</t>
  </si>
  <si>
    <t>VERX</t>
  </si>
  <si>
    <t>Vertex Inc. Class A Common Stock</t>
  </si>
  <si>
    <t>VERY</t>
  </si>
  <si>
    <t>Vericity Inc. Common Stock</t>
  </si>
  <si>
    <t>VFF</t>
  </si>
  <si>
    <t>Village Farms International Inc. Common Shares</t>
  </si>
  <si>
    <t>VHNA</t>
  </si>
  <si>
    <t>Vahanna Tech Edge Acquisition I Corp. Class A Ordinary Shares</t>
  </si>
  <si>
    <t>VIA</t>
  </si>
  <si>
    <t>Via Renewables Inc. Class A Common Stock</t>
  </si>
  <si>
    <t>VIAV</t>
  </si>
  <si>
    <t>Viavi Solutions Inc. Common Stock</t>
  </si>
  <si>
    <t>VICR</t>
  </si>
  <si>
    <t>Vicor Corporation Common Stock</t>
  </si>
  <si>
    <t>VIEW</t>
  </si>
  <si>
    <t>View Inc. Class A Common Stock</t>
  </si>
  <si>
    <t>VIGL</t>
  </si>
  <si>
    <t>Vigil Neuroscience Inc. Common Stock</t>
  </si>
  <si>
    <t>VII</t>
  </si>
  <si>
    <t>7GC &amp; Co. Holdings Inc. Class A common stock</t>
  </si>
  <si>
    <t>VIR</t>
  </si>
  <si>
    <t>Vir Biotechnology Inc. Common Stock</t>
  </si>
  <si>
    <t>VIRC</t>
  </si>
  <si>
    <t>Virco Manufacturing Corporation Common Stock</t>
  </si>
  <si>
    <t>VIRT</t>
  </si>
  <si>
    <t>Virtu Financial Inc. Class A Common Stock</t>
  </si>
  <si>
    <t>VIRX</t>
  </si>
  <si>
    <t>Viracta Therapeutics Inc. Common Stock</t>
  </si>
  <si>
    <t>VITL</t>
  </si>
  <si>
    <t>Vital Farms Inc. Common Stock</t>
  </si>
  <si>
    <t>VKTX</t>
  </si>
  <si>
    <t>Viking Therapeutics Inc. Common Stock</t>
  </si>
  <si>
    <t>VLDR</t>
  </si>
  <si>
    <t>Velodyne Lidar Inc. Common Stock</t>
  </si>
  <si>
    <t>VLGEA</t>
  </si>
  <si>
    <t>Village Super Market Inc. Class A Common Stock</t>
  </si>
  <si>
    <t>VLY</t>
  </si>
  <si>
    <t>Valley National Bancorp Common Stock</t>
  </si>
  <si>
    <t>VMCA</t>
  </si>
  <si>
    <t>Valuence Merger Corp. I Class A Ordinary Shares</t>
  </si>
  <si>
    <t>VMD</t>
  </si>
  <si>
    <t>Viemed Healthcare Inc. Common Shares</t>
  </si>
  <si>
    <t>VMEO</t>
  </si>
  <si>
    <t>Vimeo Inc. Common Stock</t>
  </si>
  <si>
    <t>VMGA</t>
  </si>
  <si>
    <t>VMG Consumer Acquisition Corp. Class A Common Stock</t>
  </si>
  <si>
    <t>Vanda Pharmaceuticals Inc. Common Stock</t>
  </si>
  <si>
    <t>VNOM</t>
  </si>
  <si>
    <t>Viper Energy Partners LP Common Unit</t>
  </si>
  <si>
    <t>VOD</t>
  </si>
  <si>
    <t>Vodafone Group Plc American Depositary Shares</t>
  </si>
  <si>
    <t>VOR</t>
  </si>
  <si>
    <t>Vor Biopharma Inc. Common Stock</t>
  </si>
  <si>
    <t>VORB</t>
  </si>
  <si>
    <t>Virgin Orbit Holdings Inc. Common Stock</t>
  </si>
  <si>
    <t>VOXR</t>
  </si>
  <si>
    <t>Vox Royalty Corp. Common Stock</t>
  </si>
  <si>
    <t>VOXX</t>
  </si>
  <si>
    <t>VOXX International Corporation Class A Common Stock</t>
  </si>
  <si>
    <t>VPCB</t>
  </si>
  <si>
    <t>VPC Impact Acquisition Holdings II Class A ordinary shre</t>
  </si>
  <si>
    <t>VRA</t>
  </si>
  <si>
    <t>Vera Bradley Inc. Common Stock</t>
  </si>
  <si>
    <t>VRAR</t>
  </si>
  <si>
    <t>The Glimpse Group Inc. Common Stock</t>
  </si>
  <si>
    <t>VRAY</t>
  </si>
  <si>
    <t>ViewRay Inc. Common Stock</t>
  </si>
  <si>
    <t>VRCA</t>
  </si>
  <si>
    <t>Verrica Pharmaceuticals Inc. Common Stock</t>
  </si>
  <si>
    <t>VRDN</t>
  </si>
  <si>
    <t>Viridian Therapeutics Inc. Common Stock</t>
  </si>
  <si>
    <t>VREX</t>
  </si>
  <si>
    <t>Varex Imaging Corporation Common Stock</t>
  </si>
  <si>
    <t>VRM</t>
  </si>
  <si>
    <t>Vroom Inc. Common Stock</t>
  </si>
  <si>
    <t>VRNA</t>
  </si>
  <si>
    <t>Verona Pharma plc American Depositary Share</t>
  </si>
  <si>
    <t>VRNS</t>
  </si>
  <si>
    <t>Varonis Systems Inc. Common Stock</t>
  </si>
  <si>
    <t>VRNT</t>
  </si>
  <si>
    <t>Verint Systems Inc. Common Stock</t>
  </si>
  <si>
    <t>VRRM</t>
  </si>
  <si>
    <t>Verra Mobility Corporation Class A Common Stock</t>
  </si>
  <si>
    <t>VRSK</t>
  </si>
  <si>
    <t>Verisk Analytics Inc. Common Stock</t>
  </si>
  <si>
    <t>VRSN</t>
  </si>
  <si>
    <t>VeriSign Inc. Common Stock</t>
  </si>
  <si>
    <t>VRTS</t>
  </si>
  <si>
    <t>Virtus Investment Partners Inc. Common Stock</t>
  </si>
  <si>
    <t>VRTX</t>
  </si>
  <si>
    <t>Vertex Pharmaceuticals Incorporated Common Stock</t>
  </si>
  <si>
    <t>VSAC</t>
  </si>
  <si>
    <t>Vision Sensing Acquisition Corp. Class A Common Stock</t>
  </si>
  <si>
    <t>VSAT</t>
  </si>
  <si>
    <t>ViaSat Inc. Common Stock</t>
  </si>
  <si>
    <t>VSEC</t>
  </si>
  <si>
    <t>VSE Corporation Common Stock</t>
  </si>
  <si>
    <t>VSTM</t>
  </si>
  <si>
    <t>Verastem Inc. Common Stock</t>
  </si>
  <si>
    <t>VTGN</t>
  </si>
  <si>
    <t>VistaGen Therapeutics Inc. Common Stock</t>
  </si>
  <si>
    <t>VTNR</t>
  </si>
  <si>
    <t>Vertex Energy Inc Common Stock</t>
  </si>
  <si>
    <t>VTRS</t>
  </si>
  <si>
    <t>Viatris Inc. Common Stock</t>
  </si>
  <si>
    <t>VTSI</t>
  </si>
  <si>
    <t>VirTra Inc. Common Stock</t>
  </si>
  <si>
    <t>VTVT</t>
  </si>
  <si>
    <t>vTv Therapeutics Inc. Class A Common Stock</t>
  </si>
  <si>
    <t>VTYX</t>
  </si>
  <si>
    <t>Ventyx Biosciences Inc. Common Stock</t>
  </si>
  <si>
    <t>VUZI</t>
  </si>
  <si>
    <t>Vuzix Corporation Common Stock</t>
  </si>
  <si>
    <t>VWE</t>
  </si>
  <si>
    <t>Vintage Wine Estates Inc. Common Stock</t>
  </si>
  <si>
    <t>VXRT</t>
  </si>
  <si>
    <t>Vaxart Inc Common Stock</t>
  </si>
  <si>
    <t>VYGR</t>
  </si>
  <si>
    <t>Voyager Therapeutics Inc. Common Stock</t>
  </si>
  <si>
    <t>WABC</t>
  </si>
  <si>
    <t>Westamerica Bancorporation Common Stock</t>
  </si>
  <si>
    <t>WAFD</t>
  </si>
  <si>
    <t>Washington Federal Inc. Common Stock</t>
  </si>
  <si>
    <t>WALD</t>
  </si>
  <si>
    <t>Waldencast plc Class A Ordinary Share</t>
  </si>
  <si>
    <t>WASH</t>
  </si>
  <si>
    <t>Washington Trust Bancorp Inc. Common Stock</t>
  </si>
  <si>
    <t>WATT</t>
  </si>
  <si>
    <t>Energous Corporation Common Stock</t>
  </si>
  <si>
    <t>WBA</t>
  </si>
  <si>
    <t>Walgreens Boots Alliance Inc. Common Stock</t>
  </si>
  <si>
    <t>WBD</t>
  </si>
  <si>
    <t xml:space="preserve">Warner Bros. Discovery Inc. Series A Common Stock </t>
  </si>
  <si>
    <t>WDAY</t>
  </si>
  <si>
    <t>Workday Inc. Class A Common Stock</t>
  </si>
  <si>
    <t>WDC</t>
  </si>
  <si>
    <t>Western Digital Corporation Common Stock</t>
  </si>
  <si>
    <t>WDFC</t>
  </si>
  <si>
    <t>WD-40 Company Common Stock</t>
  </si>
  <si>
    <t>WEN</t>
  </si>
  <si>
    <t>Wendy's Company (The) Common Stock</t>
  </si>
  <si>
    <t>WERN</t>
  </si>
  <si>
    <t>Werner Enterprises Inc. Common Stock</t>
  </si>
  <si>
    <t>WEST</t>
  </si>
  <si>
    <t>Westrock Coffee Company Common Stock</t>
  </si>
  <si>
    <t>WEYS</t>
  </si>
  <si>
    <t>Weyco Group Inc. Common Stock</t>
  </si>
  <si>
    <t>WFCF</t>
  </si>
  <si>
    <t>Where Food Comes From Inc. Common Stock</t>
  </si>
  <si>
    <t>WFRD</t>
  </si>
  <si>
    <t>Weatherford International plc Ordinary Shares</t>
  </si>
  <si>
    <t>WGS</t>
  </si>
  <si>
    <t>GeneDx Holdings Corp. Class A Common Stock</t>
  </si>
  <si>
    <t>WHF</t>
  </si>
  <si>
    <t>WhiteHorse Finance Inc. Common Stock</t>
  </si>
  <si>
    <t>WINA</t>
  </si>
  <si>
    <t>Winmark Corporation Common Stock</t>
  </si>
  <si>
    <t>WING</t>
  </si>
  <si>
    <t>Wingstop Inc. Common Stock</t>
  </si>
  <si>
    <t>WINV</t>
  </si>
  <si>
    <t>WinVest Acquisition Corp. Common Stock</t>
  </si>
  <si>
    <t>WIRE</t>
  </si>
  <si>
    <t>Encore Wire Corporation Common Stock</t>
  </si>
  <si>
    <t>WISH</t>
  </si>
  <si>
    <t>ContextLogic Inc. Class A Common Stock</t>
  </si>
  <si>
    <t>Durable Goods</t>
  </si>
  <si>
    <t>WKHS</t>
  </si>
  <si>
    <t>Workhorse Group Inc. Common Stock</t>
  </si>
  <si>
    <t>WLDN</t>
  </si>
  <si>
    <t>Willdan Group Inc. Common Stock</t>
  </si>
  <si>
    <t>WLFC</t>
  </si>
  <si>
    <t>Willis Lease Finance Corporation Common Stock</t>
  </si>
  <si>
    <t>WMG</t>
  </si>
  <si>
    <t>Warner Music Group Corp. Class A Common Stock</t>
  </si>
  <si>
    <t>WMPN</t>
  </si>
  <si>
    <t>William Penn Bancorporation Common Stock</t>
  </si>
  <si>
    <t>WNEB</t>
  </si>
  <si>
    <t>Western New England Bancorp Inc. Common Stock</t>
  </si>
  <si>
    <t>WOOF</t>
  </si>
  <si>
    <t>Petco Health and Wellness Company Inc. Class A Common Stock</t>
  </si>
  <si>
    <t>WPRT</t>
  </si>
  <si>
    <t>Westport Fuel Systems Inc Common Shares</t>
  </si>
  <si>
    <t>WRAP</t>
  </si>
  <si>
    <t>Wrap Technologies Inc. Common Stock</t>
  </si>
  <si>
    <t>WRLD</t>
  </si>
  <si>
    <t>World Acceptance Corporation Common Stock</t>
  </si>
  <si>
    <t>WSBC</t>
  </si>
  <si>
    <t>WesBanco Inc. Common Stock</t>
  </si>
  <si>
    <t>WSBF</t>
  </si>
  <si>
    <t>Waterstone Financial Inc. Common Stock (MD)</t>
  </si>
  <si>
    <t>WSC</t>
  </si>
  <si>
    <t>WillScot Mobile Mini Holdings Corp. Class A Common Stock</t>
  </si>
  <si>
    <t>WSFS</t>
  </si>
  <si>
    <t>WSFS Financial Corporation Common Stock</t>
  </si>
  <si>
    <t>WTBA</t>
  </si>
  <si>
    <t>West Bancorporation Common Stock</t>
  </si>
  <si>
    <t>WTFC</t>
  </si>
  <si>
    <t>Wintrust Financial Corporation Common Stock</t>
  </si>
  <si>
    <t>WTMA</t>
  </si>
  <si>
    <t>Welsbach Technology Metals Acquisition Corp. Common Stock</t>
  </si>
  <si>
    <t>WTW</t>
  </si>
  <si>
    <t>Willis Towers Watson Public Limited Company Ordinary Shares</t>
  </si>
  <si>
    <t>WULF</t>
  </si>
  <si>
    <t>TeraWulf Inc. Common Stock</t>
  </si>
  <si>
    <t>WVE</t>
  </si>
  <si>
    <t>Wave Life Sciences Ltd. Ordinary Shares</t>
  </si>
  <si>
    <t>WW International Inc. Common Stock</t>
  </si>
  <si>
    <t>WWAC</t>
  </si>
  <si>
    <t>Worldwide Webb Acquisition Corp. Class A Ordinary Share</t>
  </si>
  <si>
    <t>WWD</t>
  </si>
  <si>
    <t>Woodward Inc. Common Stock</t>
  </si>
  <si>
    <t>WYNN</t>
  </si>
  <si>
    <t>Wynn Resorts Limited Common stock</t>
  </si>
  <si>
    <t>XAIR</t>
  </si>
  <si>
    <t>Beyond Air Inc. Common Stock</t>
  </si>
  <si>
    <t>XBIT</t>
  </si>
  <si>
    <t>XBiotech Inc. Common Stock</t>
  </si>
  <si>
    <t>XEL</t>
  </si>
  <si>
    <t>Xcel Energy Inc. Common Stock</t>
  </si>
  <si>
    <t>XENE</t>
  </si>
  <si>
    <t>Xenon Pharmaceuticals Inc. Common Shares</t>
  </si>
  <si>
    <t>XERS</t>
  </si>
  <si>
    <t>Xeris Biopharma Holdings Inc. Common Stock</t>
  </si>
  <si>
    <t>XFIN</t>
  </si>
  <si>
    <t>ExcelFin Acquisition Corp Class A Common Stock</t>
  </si>
  <si>
    <t>XFOR</t>
  </si>
  <si>
    <t>X4 Pharmaceuticals Inc. Common Stock</t>
  </si>
  <si>
    <t>XLO</t>
  </si>
  <si>
    <t>Xilio Therapeutics Inc. Common Stock</t>
  </si>
  <si>
    <t>XM</t>
  </si>
  <si>
    <t>Qualtrics International Inc. Class A Common Stock</t>
  </si>
  <si>
    <t>XMTR</t>
  </si>
  <si>
    <t>Xometry Inc. Class A Common Stock</t>
  </si>
  <si>
    <t>XNCR</t>
  </si>
  <si>
    <t>Xencor Inc. Common Stock</t>
  </si>
  <si>
    <t>XOMA</t>
  </si>
  <si>
    <t>XOMA Corporation Common Stock</t>
  </si>
  <si>
    <t>XOS</t>
  </si>
  <si>
    <t>Xos Inc. Common Stock</t>
  </si>
  <si>
    <t>XPAX</t>
  </si>
  <si>
    <t>XPAC Acquisition Corp. Class A Ordinary Shares</t>
  </si>
  <si>
    <t>XPDB</t>
  </si>
  <si>
    <t>Power &amp; Digital Infrastructure Acquisition II Corp. Class A Common Stock</t>
  </si>
  <si>
    <t>XPEL</t>
  </si>
  <si>
    <t>XPEL Inc. Common Stock</t>
  </si>
  <si>
    <t>XRAY</t>
  </si>
  <si>
    <t>DENTSPLY SIRONA Inc. Common Stock</t>
  </si>
  <si>
    <t>XRX</t>
  </si>
  <si>
    <t>Xerox Holdings Corporation Common Stock</t>
  </si>
  <si>
    <t>XXII</t>
  </si>
  <si>
    <t>22nd Century Group Inc. Common Stock</t>
  </si>
  <si>
    <t>YELL</t>
  </si>
  <si>
    <t>Yellow Corporation Common Stock</t>
  </si>
  <si>
    <t>YMAB</t>
  </si>
  <si>
    <t>Y-mAbs Therapeutics Inc. Common Stock</t>
  </si>
  <si>
    <t>YORW</t>
  </si>
  <si>
    <t>York Water Company (The) Common Stock</t>
  </si>
  <si>
    <t>YOTA</t>
  </si>
  <si>
    <t>Yotta Acquisition Corporation Common Stock</t>
  </si>
  <si>
    <t>YTRA</t>
  </si>
  <si>
    <t>Yatra Online Inc. Ordinary Shares</t>
  </si>
  <si>
    <t>Z</t>
  </si>
  <si>
    <t>Zillow Group Inc. Class C Capital Stock</t>
  </si>
  <si>
    <t>ZBRA</t>
  </si>
  <si>
    <t>Zebra Technologies Corporation Class A Common Stock</t>
  </si>
  <si>
    <t>ZD</t>
  </si>
  <si>
    <t>Ziff Davis Inc. Common Stock</t>
  </si>
  <si>
    <t>ZEUS</t>
  </si>
  <si>
    <t>Olympic Steel Inc. Common Stock</t>
  </si>
  <si>
    <t>ZFOX</t>
  </si>
  <si>
    <t>ZeroFox Holdings Inc. Common Stock</t>
  </si>
  <si>
    <t>ZG</t>
  </si>
  <si>
    <t>Zillow Group Inc. Class A Common Stock</t>
  </si>
  <si>
    <t>ZI</t>
  </si>
  <si>
    <t>ZoomInfo Technologies Inc Common Stock</t>
  </si>
  <si>
    <t>ZIMV</t>
  </si>
  <si>
    <t>ZimVie Inc. Common Stock</t>
  </si>
  <si>
    <t>ZING</t>
  </si>
  <si>
    <t>FTAC Zeus Acquisition Corp. Class A Common Stock</t>
  </si>
  <si>
    <t>ZION</t>
  </si>
  <si>
    <t>Zions Bancorporation N.A. Common Stock</t>
  </si>
  <si>
    <t>ZM</t>
  </si>
  <si>
    <t>Zoom Video Communications Inc. Class A Common Stock</t>
  </si>
  <si>
    <t>ZNTL</t>
  </si>
  <si>
    <t>Zentalis Pharmaceuticals Inc. Common Stock</t>
  </si>
  <si>
    <t>ZS</t>
  </si>
  <si>
    <t>Zscaler Inc. Common Stock</t>
  </si>
  <si>
    <t>ZT</t>
  </si>
  <si>
    <t>Zimmer Energy Transition Acquisition Corp. Class A Common Stock</t>
  </si>
  <si>
    <t>ZTEK</t>
  </si>
  <si>
    <t>Zentek Ltd. Common Stock</t>
  </si>
  <si>
    <t>ZUMZ</t>
  </si>
  <si>
    <t>Zumiez Inc. Common Stock</t>
  </si>
  <si>
    <t>ZYME</t>
  </si>
  <si>
    <t>Zymeworks Inc. Common Stock</t>
  </si>
  <si>
    <t>ZYXI</t>
  </si>
  <si>
    <t>Zynex Inc. Common Stock</t>
  </si>
  <si>
    <t>AAMC</t>
  </si>
  <si>
    <t>Altisource Asset Management Corp Com</t>
  </si>
  <si>
    <t>ACU</t>
  </si>
  <si>
    <t>Acme United Corporation. Common Stock</t>
  </si>
  <si>
    <t>ADRA</t>
  </si>
  <si>
    <t>Adara Acquisition Corp. Class A Common Stock</t>
  </si>
  <si>
    <t>AE</t>
  </si>
  <si>
    <t>Adams Resources &amp; Energy Inc. Common Stock</t>
  </si>
  <si>
    <t>AEF</t>
  </si>
  <si>
    <t>abrdn Emerging Markets Equity Income Fund Inc. Common Stock</t>
  </si>
  <si>
    <t>APT</t>
  </si>
  <si>
    <t>Alpha Pro Tech Ltd. Common Stock</t>
  </si>
  <si>
    <t>ARMP</t>
  </si>
  <si>
    <t>Armata Pharmaceuticals Inc. Common Stock</t>
  </si>
  <si>
    <t>ASM</t>
  </si>
  <si>
    <t>Avino Silver &amp; Gold Mines Ltd. Common Shares (Canada)</t>
  </si>
  <si>
    <t>ASXC</t>
  </si>
  <si>
    <t>Asensus Surgical Inc. Common Stock</t>
  </si>
  <si>
    <t>ATNM</t>
  </si>
  <si>
    <t>Actinium Pharmaceuticals Inc. (Delaware) Common Stock</t>
  </si>
  <si>
    <t>AULT</t>
  </si>
  <si>
    <t>Ault Alliance Inc. Common Stock</t>
  </si>
  <si>
    <t>BCV</t>
  </si>
  <si>
    <t>Bancroft Fund Ltd.</t>
  </si>
  <si>
    <t>BGI</t>
  </si>
  <si>
    <t>Birks Group Inc. Common Stock</t>
  </si>
  <si>
    <t>BHB</t>
  </si>
  <si>
    <t>Bar Harbor Bankshares Inc. Common Stock</t>
  </si>
  <si>
    <t>BKTI</t>
  </si>
  <si>
    <t>BK Technologies Corporation Common Stock</t>
  </si>
  <si>
    <t>BTG</t>
  </si>
  <si>
    <t>B2Gold Corp Common shares (Canada)</t>
  </si>
  <si>
    <t>CCF</t>
  </si>
  <si>
    <t>Chase Corporation Common Stock</t>
  </si>
  <si>
    <t>CET</t>
  </si>
  <si>
    <t>Central Securities Corporation Common Stock</t>
  </si>
  <si>
    <t>CEV</t>
  </si>
  <si>
    <t>Eaton Vance California Municipal Income Trust Shares of Beneficial Interest</t>
  </si>
  <si>
    <t>CIK</t>
  </si>
  <si>
    <t>Credit Suisse Asset Management Income Fund Inc. Common Stock</t>
  </si>
  <si>
    <t>CIX</t>
  </si>
  <si>
    <t>CompX International Inc. Common Stock</t>
  </si>
  <si>
    <t>CLM</t>
  </si>
  <si>
    <t>Cornerstone Strategic Value Fund Inc. New Common Stock</t>
  </si>
  <si>
    <t>CMCL</t>
  </si>
  <si>
    <t>Caledonia Mining Corporation Plc Common Shares</t>
  </si>
  <si>
    <t>CMT</t>
  </si>
  <si>
    <t>Core Molding Technologies Inc Common Stock</t>
  </si>
  <si>
    <t>CQP</t>
  </si>
  <si>
    <t>Cheniere Energy Partners LP Cheniere Energy Partners LP Common Units</t>
  </si>
  <si>
    <t>CRF</t>
  </si>
  <si>
    <t>Cornerstone Total Return Fund Inc. (The) Common Stock</t>
  </si>
  <si>
    <t>CVM</t>
  </si>
  <si>
    <t>Cel-Sci Corporation Common Stock</t>
  </si>
  <si>
    <t>DHY</t>
  </si>
  <si>
    <t>Credit Suisse High Yield Bond Fund Common Stock</t>
  </si>
  <si>
    <t>DIT</t>
  </si>
  <si>
    <t>AMCON Distributing Company Common Stock</t>
  </si>
  <si>
    <t>DLA</t>
  </si>
  <si>
    <t>Delta Apparel Inc. Common Stock</t>
  </si>
  <si>
    <t>DMF</t>
  </si>
  <si>
    <t>BNY Mellon Municipal Income Inc. Common Stock</t>
  </si>
  <si>
    <t>DNN</t>
  </si>
  <si>
    <t>Denison Mines Corp Ordinary Shares (Canada)</t>
  </si>
  <si>
    <t>EAD</t>
  </si>
  <si>
    <t>Allspring Income Opportunities Fund Common Shares</t>
  </si>
  <si>
    <t>ECF</t>
  </si>
  <si>
    <t>Ellsworth Growth and Income Fund Ltd.</t>
  </si>
  <si>
    <t>EIM</t>
  </si>
  <si>
    <t>Eaton Vance Municipal Bond Fund Common Shares of Beneficial Interest $.01 par value</t>
  </si>
  <si>
    <t>ELA</t>
  </si>
  <si>
    <t>Envela Corporation Common Stock</t>
  </si>
  <si>
    <t>ELMD</t>
  </si>
  <si>
    <t>Electromed Inc. Common Stock</t>
  </si>
  <si>
    <t>EMAN</t>
  </si>
  <si>
    <t>eMagin Corporation Common Stock</t>
  </si>
  <si>
    <t>EMX</t>
  </si>
  <si>
    <t>EMX Royalty Corporation Common Shares (Canada)</t>
  </si>
  <si>
    <t>ENX</t>
  </si>
  <si>
    <t>Eaton Vance New York Municipal Bond Fund Common Shares of Beneficial Interest $.01 par value</t>
  </si>
  <si>
    <t>EP</t>
  </si>
  <si>
    <t>Empire Petroleum Corporation Common Stock</t>
  </si>
  <si>
    <t>EPM</t>
  </si>
  <si>
    <t>Evolution Petroleum Corporation Inc. Common Stock</t>
  </si>
  <si>
    <t>EQX</t>
  </si>
  <si>
    <t>Equinox Gold Corp. Common Shares</t>
  </si>
  <si>
    <t>ERC</t>
  </si>
  <si>
    <t>Allspring Multi-Sector Income Fund Common Stock</t>
  </si>
  <si>
    <t>EVBN</t>
  </si>
  <si>
    <t>Evans Bancorp Inc. Common Stock</t>
  </si>
  <si>
    <t>EVI</t>
  </si>
  <si>
    <t>EVI Industries Inc.  Common Stock</t>
  </si>
  <si>
    <t>EVM</t>
  </si>
  <si>
    <t>Eaton Vance California Municipal Bond Fund Common Shares of Beneficial Interest $.01 par value</t>
  </si>
  <si>
    <t>EVV</t>
  </si>
  <si>
    <t>Eaton Vance Limited Duration Income Fund Common Shares of Beneficial Interest</t>
  </si>
  <si>
    <t>FAX</t>
  </si>
  <si>
    <t>abrdn Asia-Pacific Income Fund Inc. Common Stock</t>
  </si>
  <si>
    <t>FCO</t>
  </si>
  <si>
    <t>abrdn Global Income Fund Inc. Common Stock</t>
  </si>
  <si>
    <t>FEN</t>
  </si>
  <si>
    <t>First Trust Energy Income and Growth Fund</t>
  </si>
  <si>
    <t>FRD</t>
  </si>
  <si>
    <t>Friedman Industries Inc. Common Stock</t>
  </si>
  <si>
    <t>FSP</t>
  </si>
  <si>
    <t>Franklin Street Properties Corp. Common Stock</t>
  </si>
  <si>
    <t>FTF</t>
  </si>
  <si>
    <t>Franklin Limited Duration Income Trust Common Shares of Beneficial Interest</t>
  </si>
  <si>
    <t>GAU</t>
  </si>
  <si>
    <t>Galiano Gold Inc.</t>
  </si>
  <si>
    <t>GENC</t>
  </si>
  <si>
    <t>Gencor Industries Inc. Common Stock</t>
  </si>
  <si>
    <t>GGN</t>
  </si>
  <si>
    <t>GAMCO Global Gold Natural Resources &amp; Income Trust</t>
  </si>
  <si>
    <t>GLO</t>
  </si>
  <si>
    <t>Clough Global Opportunities Fund Common Stock</t>
  </si>
  <si>
    <t>GLQ</t>
  </si>
  <si>
    <t>Clough Global Equity Fund Clough Global Equity Fund Common Shares of Beneficial Interest</t>
  </si>
  <si>
    <t>GLU</t>
  </si>
  <si>
    <t>Gabelli Global Utility Common Shares of Beneficial Ownership</t>
  </si>
  <si>
    <t>GLV</t>
  </si>
  <si>
    <t>Clough Global Dividend and Income Fund Common Shares of beneficial interest</t>
  </si>
  <si>
    <t>GORO</t>
  </si>
  <si>
    <t>Gold Resource Corporation Common Stock</t>
  </si>
  <si>
    <t>GSAT</t>
  </si>
  <si>
    <t>Globalstar Inc. Common Stock</t>
  </si>
  <si>
    <t>GTE</t>
  </si>
  <si>
    <t>Gran Tierra Energy Inc. Common Stock</t>
  </si>
  <si>
    <t>HNW</t>
  </si>
  <si>
    <t>Pioneer Diversified High Income Fund Inc.</t>
  </si>
  <si>
    <t>HPX</t>
  </si>
  <si>
    <t>HPX Corp. Class A Ordinary Shares</t>
  </si>
  <si>
    <t>HZON</t>
  </si>
  <si>
    <t>Horizon Acquisition Corporation II Class A Ordinary Shares</t>
  </si>
  <si>
    <t>IAF</t>
  </si>
  <si>
    <t>abrdn Australia Equity Fund Inc. Common Stock</t>
  </si>
  <si>
    <t>IMO</t>
  </si>
  <si>
    <t>Imperial Oil Limited Common Stock</t>
  </si>
  <si>
    <t>INFU</t>
  </si>
  <si>
    <t>InfuSystems Holdings Inc. Common Stock</t>
  </si>
  <si>
    <t>INTT</t>
  </si>
  <si>
    <t>inTest Corporation Common Stock</t>
  </si>
  <si>
    <t>INUV</t>
  </si>
  <si>
    <t>Inuvo Inc.</t>
  </si>
  <si>
    <t>ISDR</t>
  </si>
  <si>
    <t>Issuer Direct Corporation Common Stock</t>
  </si>
  <si>
    <t>ISR</t>
  </si>
  <si>
    <t>IsoRay Inc. Common Stock (DE)</t>
  </si>
  <si>
    <t>JOB</t>
  </si>
  <si>
    <t>GEE Group Inc. Common Stock</t>
  </si>
  <si>
    <t>KULR</t>
  </si>
  <si>
    <t>KULR Technology Group Inc. Common Stock</t>
  </si>
  <si>
    <t>LCTX</t>
  </si>
  <si>
    <t>Lineage Cell Therapeutics Inc. Common Stock</t>
  </si>
  <si>
    <t>LEU</t>
  </si>
  <si>
    <t>Centrus Energy Corp. Class A Common Stock</t>
  </si>
  <si>
    <t>LNG</t>
  </si>
  <si>
    <t>Cheniere Energy Inc. Common Stock</t>
  </si>
  <si>
    <t>LXFR</t>
  </si>
  <si>
    <t>Luxfer Holdings PLC Ordinary Shares</t>
  </si>
  <si>
    <t>MAG</t>
  </si>
  <si>
    <t>MAG Silver Corporation Ordinary Shares</t>
  </si>
  <si>
    <t>MHH</t>
  </si>
  <si>
    <t>Mastech Digital Inc Common Stock</t>
  </si>
  <si>
    <t>MTNB</t>
  </si>
  <si>
    <t>Matinas Biopharma Holdings Inc. Common Stock</t>
  </si>
  <si>
    <t>NAK</t>
  </si>
  <si>
    <t>Northern Dynasty Minerals Ltd. Common Stock</t>
  </si>
  <si>
    <t>NBH</t>
  </si>
  <si>
    <t>Neuberger Berman Municipal Fund Inc. Common Stock</t>
  </si>
  <si>
    <t>NBO</t>
  </si>
  <si>
    <t>Neuberger Berman New York Municipal Fund Inc. Common Stock</t>
  </si>
  <si>
    <t>NBW</t>
  </si>
  <si>
    <t>Neuberger Berman California Municipal Fund Inc Common Stock</t>
  </si>
  <si>
    <t>NEN</t>
  </si>
  <si>
    <t>New England Realty Associates Limited Partnership Class A Depositary Receipts Evidencing Units of Limited Partnership</t>
  </si>
  <si>
    <t>NG</t>
  </si>
  <si>
    <t>Novagold Resources Inc.</t>
  </si>
  <si>
    <t>NGD</t>
  </si>
  <si>
    <t>New Gold Inc.</t>
  </si>
  <si>
    <t>NHC</t>
  </si>
  <si>
    <t>National HealthCare Corporation Common Stock</t>
  </si>
  <si>
    <t>NHS</t>
  </si>
  <si>
    <t>Neuberger Berman High Yield Strategies Fund</t>
  </si>
  <si>
    <t>NRO</t>
  </si>
  <si>
    <t>Neuberger Berman Real Estate Securities Income Fund Inc. Neuberger Berman Real Estate Securities Income Fund Inc.</t>
  </si>
  <si>
    <t>NTIP</t>
  </si>
  <si>
    <t>Network-1 Technologies Inc. Common Stock</t>
  </si>
  <si>
    <t>PED</t>
  </si>
  <si>
    <t>Pedevco Corp. Common Stock</t>
  </si>
  <si>
    <t>PLG</t>
  </si>
  <si>
    <t>Platinum Group Metals Ltd. Ordinary Shares (Canada)</t>
  </si>
  <si>
    <t>PLM</t>
  </si>
  <si>
    <t>Polymet Mining Corporation Ordinary Shares (Canada)</t>
  </si>
  <si>
    <t>POL</t>
  </si>
  <si>
    <t>Polished Inc. Common Stock</t>
  </si>
  <si>
    <t>PRK</t>
  </si>
  <si>
    <t>Park National Corporation Common Stock</t>
  </si>
  <si>
    <t>REI</t>
  </si>
  <si>
    <t>Ring Energy Inc. Common Stock</t>
  </si>
  <si>
    <t>REPX</t>
  </si>
  <si>
    <t>Riley Exploration Permian Inc. Common Stock</t>
  </si>
  <si>
    <t>RLGT</t>
  </si>
  <si>
    <t>Radiant Logistics Inc. Common Stock</t>
  </si>
  <si>
    <t>RVP</t>
  </si>
  <si>
    <t>Retractable Technologies Inc. Common Stock</t>
  </si>
  <si>
    <t>SACH</t>
  </si>
  <si>
    <t>Sachem Capital Corp. Common Shares</t>
  </si>
  <si>
    <t>SEB</t>
  </si>
  <si>
    <t>Seaboard Corporation Common Stock</t>
  </si>
  <si>
    <t>SENS</t>
  </si>
  <si>
    <t>Senseonics Holdings Inc. Common Stock</t>
  </si>
  <si>
    <t>SIM</t>
  </si>
  <si>
    <t>Grupo Simec S.A.B. de C.V. American Depositary Shares</t>
  </si>
  <si>
    <t>STXS</t>
  </si>
  <si>
    <t>Stereotaxis Inc. Common Stock</t>
  </si>
  <si>
    <t>TELL</t>
  </si>
  <si>
    <t>Tellurian Inc. Common Stock</t>
  </si>
  <si>
    <t>TGB</t>
  </si>
  <si>
    <t>Taseko Mines Ltd. Common Stock</t>
  </si>
  <si>
    <t>THM</t>
  </si>
  <si>
    <t>International Tower Hill Mines Ltd. Ordinary Shares (Canada)</t>
  </si>
  <si>
    <t>TMP</t>
  </si>
  <si>
    <t>Tompkins Financial Corporation Common Stock</t>
  </si>
  <si>
    <t>TMQ</t>
  </si>
  <si>
    <t>Trilogy Metals Inc. Common Stock</t>
  </si>
  <si>
    <t>TRX</t>
  </si>
  <si>
    <t>TRX Gold Corporation Common Stock</t>
  </si>
  <si>
    <t>UEC</t>
  </si>
  <si>
    <t>Uranium Energy Corp. Common Stock</t>
  </si>
  <si>
    <t>URG</t>
  </si>
  <si>
    <t>Ur Energy Inc Common Shares (Canada)</t>
  </si>
  <si>
    <t>UTG</t>
  </si>
  <si>
    <t>Reaves Utility Income Fund Common Shares of Beneficial Interest</t>
  </si>
  <si>
    <t>VFL</t>
  </si>
  <si>
    <t>Delaware Investments National Municipal Income Fund Common Stock</t>
  </si>
  <si>
    <t>VGZ</t>
  </si>
  <si>
    <t>Vista Gold Corp Common Stock</t>
  </si>
  <si>
    <t>VKI</t>
  </si>
  <si>
    <t>Invesco Advantage Municipal Income Trust II Common Shares of Beneficial Interest (DE)</t>
  </si>
  <si>
    <t>VNRX</t>
  </si>
  <si>
    <t>VolitionRX Limited Common Stock</t>
  </si>
  <si>
    <t>WRN</t>
  </si>
  <si>
    <t>Western Copper and Gold Corporation Common Stock</t>
  </si>
  <si>
    <t>WWR</t>
  </si>
  <si>
    <t>Westwater Resources Inc. Common Stock</t>
  </si>
  <si>
    <t>XTNT</t>
  </si>
  <si>
    <t>Xtant Medical Holdings Inc. Common Stock</t>
  </si>
  <si>
    <t>ZOM</t>
  </si>
  <si>
    <t>Zomedica Corp. Common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</si>
</sst>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164" formatCode="_(* #,##0.0_);_(* \(#,##0.0\)_)\ ;_(* 0_)"/>
    <numFmt numFmtId="165" formatCode="_(* #,##0.0#_);_(* \(#,##0.0#\)_)\ ;_(* 0_)"/>
    <numFmt numFmtId="166" formatCode="_(* #,##0.0##_);_(* \(#,##0.0##\)_)\ ;_(* 0_)"/>
    <numFmt numFmtId="167" formatCode="_(\ #,##0.0#_);_(\(\ #,##0.0#\)_);_(\ &quot; - &quot;_)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color indexed="8"/>
      <name val="Verdana"/>
    </font>
    <font>
      <b/>
      <sz val="12"/>
      <color indexed="8"/>
      <name val="Verdana"/>
    </font>
    <font>
      <b/>
      <sz val="10"/>
      <color indexed="9"/>
      <name val="Arial"/>
    </font>
    <font>
      <b/>
      <u val="singleAccounting"/>
      <sz val="8"/>
      <color indexed="8"/>
      <name val="Verdana"/>
    </font>
    <font>
      <b/>
      <sz val="8"/>
      <color indexed="9"/>
      <name val="Verdana"/>
    </font>
    <font>
      <b/>
      <u val="singleAccounting"/>
      <sz val="8"/>
      <color indexed="8"/>
      <name val="Arial"/>
    </font>
    <font>
      <sz val="8"/>
      <color indexed="8"/>
      <name val="Arial"/>
    </font>
    <font>
      <vertAlign val="superscript"/>
      <sz val="8"/>
      <color indexed="8"/>
      <name val="Arial"/>
    </font>
    <font>
      <vertAlign val="subscript"/>
      <sz val="8"/>
      <color indexed="8"/>
      <name val="Arial"/>
    </font>
    <font>
      <b/>
      <sz val="8"/>
      <color indexed="8"/>
      <name val="Arial"/>
    </font>
    <font>
      <i/>
      <sz val="8"/>
      <color indexed="8"/>
      <name val="Arial"/>
    </font>
    <font>
      <sz val="1"/>
      <color indexed="9"/>
      <name val="Symbol"/>
    </font>
    <font>
      <sz val="10"/>
      <color indexed="8"/>
      <name val="Arial"/>
    </font>
    <font>
      <b/>
      <sz val="8"/>
      <color indexed="8"/>
      <name val="Verdana"/>
    </font>
    <font>
      <b/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</fills>
  <borders count="1">
    <border>
      <left/>
      <right/>
      <top/>
      <bottom/>
      <diagonal/>
    </border>
  </borders>
  <cellStyleXfs count="19">
    <xf numFmtId="0" fontId="0" fillId="0" borderId="0"/>
    <xf numFmtId="0" fontId="6" fillId="0" borderId="0" applyAlignment="0"/>
    <xf numFmtId="0" fontId="7" fillId="0" borderId="0" applyAlignment="0"/>
    <xf numFmtId="0" fontId="8" fillId="2" borderId="0" applyAlignment="0"/>
    <xf numFmtId="0" fontId="9" fillId="3" borderId="0" applyAlignment="0"/>
    <xf numFmtId="0" fontId="10" fillId="4" borderId="0" applyAlignment="0"/>
    <xf numFmtId="0" fontId="11" fillId="5" borderId="0" applyAlignment="0"/>
    <xf numFmtId="0" fontId="12" fillId="0" borderId="0" applyAlignment="0"/>
    <xf numFmtId="0" fontId="13" fillId="0" borderId="0" applyAlignment="0"/>
    <xf numFmtId="0" fontId="14" fillId="0" borderId="0" applyAlignment="0"/>
    <xf numFmtId="0" fontId="15" fillId="0" borderId="0" applyAlignment="0"/>
    <xf numFmtId="0" fontId="16" fillId="0" borderId="0" applyAlignment="0"/>
    <xf numFmtId="0" fontId="15" fillId="0" borderId="0" applyAlignment="0">
      <alignment wrapText="1"/>
    </xf>
    <xf numFmtId="0" fontId="17" fillId="0" borderId="0" applyAlignment="0"/>
    <xf numFmtId="0" fontId="18" fillId="0" borderId="0" applyAlignment="0"/>
    <xf numFmtId="0" fontId="19" fillId="0" borderId="0" applyAlignment="0"/>
    <xf numFmtId="0" fontId="4" fillId="0" borderId="0"/>
    <xf numFmtId="0" fontId="3" fillId="0" borderId="0"/>
    <xf numFmtId="0" fontId="1" fillId="0" borderId="0"/>
  </cellStyleXfs>
  <cellXfs count="33">
    <xf numFmtId="0" fontId="5" fillId="0" borderId="0" xfId="0" applyFont="1"/>
    <xf numFmtId="0" fontId="6" fillId="0" borderId="0" xfId="0" applyFont="1"/>
    <xf numFmtId="0" fontId="12" fillId="0" borderId="0" xfId="7" applyAlignment="1">
      <alignment horizontal="left" vertical="top" wrapText="1"/>
    </xf>
    <xf numFmtId="0" fontId="11" fillId="5" borderId="0" xfId="6" applyAlignment="1">
      <alignment horizontal="left" wrapText="1"/>
    </xf>
    <xf numFmtId="49" fontId="20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165" fontId="5" fillId="0" borderId="0" xfId="0" applyNumberFormat="1" applyFont="1" applyAlignment="1">
      <alignment horizontal="right" vertical="top" wrapText="1"/>
    </xf>
    <xf numFmtId="164" fontId="5" fillId="0" borderId="0" xfId="0" applyNumberFormat="1" applyFont="1" applyAlignment="1">
      <alignment horizontal="right" vertical="top" wrapText="1"/>
    </xf>
    <xf numFmtId="0" fontId="11" fillId="5" borderId="0" xfId="6" applyAlignment="1">
      <alignment horizontal="right" wrapText="1"/>
    </xf>
    <xf numFmtId="166" fontId="5" fillId="0" borderId="0" xfId="0" applyNumberFormat="1" applyFont="1" applyAlignment="1">
      <alignment horizontal="right" vertical="top" wrapText="1"/>
    </xf>
    <xf numFmtId="0" fontId="5" fillId="0" borderId="0" xfId="0" applyFont="1" applyAlignment="1">
      <alignment horizontal="left" vertical="top" wrapText="1"/>
    </xf>
    <xf numFmtId="1" fontId="5" fillId="0" borderId="0" xfId="0" applyNumberFormat="1" applyFont="1" applyAlignment="1">
      <alignment horizontal="left" vertical="top" wrapText="1"/>
    </xf>
    <xf numFmtId="49" fontId="10" fillId="4" borderId="0" xfId="0" applyNumberFormat="1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11" fillId="5" borderId="0" xfId="0" applyFont="1" applyFill="1" applyAlignment="1">
      <alignment horizontal="center" wrapText="1"/>
    </xf>
    <xf numFmtId="0" fontId="15" fillId="0" borderId="0" xfId="0" applyFont="1"/>
    <xf numFmtId="167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5" borderId="0" xfId="0" applyFont="1" applyFill="1"/>
    <xf numFmtId="49" fontId="12" fillId="0" borderId="0" xfId="0" applyNumberFormat="1" applyFont="1" applyAlignment="1">
      <alignment vertical="top"/>
    </xf>
    <xf numFmtId="0" fontId="17" fillId="0" borderId="0" xfId="13" applyAlignment="1"/>
    <xf numFmtId="0" fontId="4" fillId="0" borderId="0" xfId="16"/>
    <xf numFmtId="0" fontId="4" fillId="0" borderId="0" xfId="16" quotePrefix="1"/>
    <xf numFmtId="0" fontId="3" fillId="0" borderId="0" xfId="17"/>
    <xf numFmtId="0" fontId="2" fillId="0" borderId="0" xfId="17" applyFont="1"/>
    <xf numFmtId="0" fontId="1" fillId="0" borderId="0" xfId="18"/>
    <xf numFmtId="14" fontId="1" fillId="0" borderId="0" xfId="18" applyNumberFormat="1"/>
    <xf numFmtId="10" fontId="1" fillId="0" borderId="0" xfId="18" applyNumberFormat="1"/>
    <xf numFmtId="0" fontId="1" fillId="0" borderId="0" xfId="18" quotePrefix="1"/>
    <xf numFmtId="0" fontId="0" fillId="0" borderId="0" xfId="0"/>
    <xf numFmtId="10" fontId="0" fillId="0" borderId="0" xfId="0" applyNumberFormat="1"/>
    <xf numFmtId="8" fontId="0" fillId="0" borderId="0" xfId="0" applyNumberFormat="1"/>
  </cellXfs>
  <cellStyles count="19">
    <cellStyle name="ChartingText" xfId="14" xr:uid="{00000000-0005-0000-0000-000000000000}"/>
    <cellStyle name="CHPTop" xfId="15" xr:uid="{00000000-0005-0000-0000-000001000000}"/>
    <cellStyle name="ColumnHeaderNormal" xfId="6" xr:uid="{00000000-0005-0000-0000-000002000000}"/>
    <cellStyle name="Invisible" xfId="13" xr:uid="{00000000-0005-0000-0000-000003000000}"/>
    <cellStyle name="NewColumnHeaderNormal" xfId="4" xr:uid="{00000000-0005-0000-0000-000004000000}"/>
    <cellStyle name="NewSectionHeaderNormal" xfId="3" xr:uid="{00000000-0005-0000-0000-000005000000}"/>
    <cellStyle name="NewTitleNormal" xfId="2" xr:uid="{00000000-0005-0000-0000-000006000000}"/>
    <cellStyle name="Normal" xfId="0" builtinId="0"/>
    <cellStyle name="Normal 2" xfId="16" xr:uid="{2404A238-A35F-4939-A0EC-86125A71E93B}"/>
    <cellStyle name="Normal 3" xfId="17" xr:uid="{4A656CF8-3623-497C-8F9A-DE6267A02CB6}"/>
    <cellStyle name="Normal 4" xfId="18" xr:uid="{18254CCA-E380-4A48-B828-7124F8E9A2C9}"/>
    <cellStyle name="SectionHeaderNormal" xfId="5" xr:uid="{00000000-0005-0000-0000-000008000000}"/>
    <cellStyle name="SubScript" xfId="9" xr:uid="{00000000-0005-0000-0000-000009000000}"/>
    <cellStyle name="SuperScript" xfId="8" xr:uid="{00000000-0005-0000-0000-00000A000000}"/>
    <cellStyle name="TextBold" xfId="10" xr:uid="{00000000-0005-0000-0000-00000B000000}"/>
    <cellStyle name="TextItalic" xfId="11" xr:uid="{00000000-0005-0000-0000-00000C000000}"/>
    <cellStyle name="TextNormal" xfId="7" xr:uid="{00000000-0005-0000-0000-00000D000000}"/>
    <cellStyle name="TitleNormal" xfId="1" xr:uid="{00000000-0005-0000-0000-00000E000000}"/>
    <cellStyle name="Total" xfId="12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635000</xdr:colOff>
      <xdr:row>2</xdr:row>
      <xdr:rowOff>57150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7BA1F153-776B-8C45-3D92-4555415EA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641350</xdr:colOff>
      <xdr:row>2</xdr:row>
      <xdr:rowOff>57150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95372F-E83C-F8B9-7B1F-F7BCD5515B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135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0</xdr:col>
      <xdr:colOff>641350</xdr:colOff>
      <xdr:row>18</xdr:row>
      <xdr:rowOff>57150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0DE395F-C84C-4B56-A6A1-D6E885FF1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817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E873-314F-462B-B91B-6B606B5135B9}">
  <dimension ref="A1:H1152"/>
  <sheetViews>
    <sheetView topLeftCell="A1127" workbookViewId="0">
      <selection activeCell="C1150" sqref="C1150"/>
    </sheetView>
  </sheetViews>
  <sheetFormatPr defaultRowHeight="14.5" x14ac:dyDescent="0.35"/>
  <cols>
    <col min="1" max="3" width="8.7265625" style="22"/>
    <col min="4" max="4" width="16.90625" style="22" customWidth="1"/>
    <col min="5" max="5" width="18.26953125" style="22" customWidth="1"/>
    <col min="6" max="6" width="17.453125" style="22" customWidth="1"/>
    <col min="7" max="16384" width="8.7265625" style="22"/>
  </cols>
  <sheetData>
    <row r="1" spans="1:8" x14ac:dyDescent="0.35">
      <c r="A1" s="22" t="s">
        <v>844</v>
      </c>
      <c r="B1" s="22" t="s">
        <v>845</v>
      </c>
      <c r="D1" s="22" t="s">
        <v>846</v>
      </c>
      <c r="E1" s="22" t="s">
        <v>847</v>
      </c>
      <c r="F1" s="22" t="s">
        <v>848</v>
      </c>
      <c r="G1" s="22" t="s">
        <v>849</v>
      </c>
      <c r="H1" s="22" t="s">
        <v>850</v>
      </c>
    </row>
    <row r="2" spans="1:8" x14ac:dyDescent="0.35">
      <c r="A2" s="22" t="s">
        <v>851</v>
      </c>
      <c r="B2" s="22" t="str">
        <f>"00700"</f>
        <v>00700</v>
      </c>
      <c r="C2" s="22" t="str">
        <f>CONCATENATE("'",RIGHT(B2,4),".HK'")</f>
        <v>'0700.HK'</v>
      </c>
      <c r="D2" s="22" t="s">
        <v>852</v>
      </c>
      <c r="E2" s="22" t="s">
        <v>853</v>
      </c>
      <c r="F2" s="22">
        <v>3305216715766</v>
      </c>
      <c r="G2" s="22">
        <v>6913</v>
      </c>
      <c r="H2" s="22" t="s">
        <v>854</v>
      </c>
    </row>
    <row r="3" spans="1:8" x14ac:dyDescent="0.35">
      <c r="A3" s="22" t="s">
        <v>851</v>
      </c>
      <c r="B3" s="22" t="str">
        <f>"09988"</f>
        <v>09988</v>
      </c>
      <c r="C3" s="22" t="str">
        <f t="shared" ref="C3:C66" si="0">CONCATENATE("'",RIGHT(B3,4),".HK'")</f>
        <v>'9988.HK'</v>
      </c>
      <c r="D3" s="22" t="s">
        <v>855</v>
      </c>
      <c r="E3" s="22" t="s">
        <v>853</v>
      </c>
      <c r="F3" s="22">
        <v>1922580031500</v>
      </c>
      <c r="G3" s="22">
        <v>1271</v>
      </c>
      <c r="H3" s="22" t="s">
        <v>856</v>
      </c>
    </row>
    <row r="4" spans="1:8" x14ac:dyDescent="0.35">
      <c r="A4" s="22" t="s">
        <v>851</v>
      </c>
      <c r="B4" s="22" t="str">
        <f>"01398"</f>
        <v>01398</v>
      </c>
      <c r="C4" s="22" t="str">
        <f t="shared" si="0"/>
        <v>'1398.HK'</v>
      </c>
      <c r="D4" s="22" t="s">
        <v>857</v>
      </c>
      <c r="E4" s="22" t="s">
        <v>858</v>
      </c>
      <c r="F4" s="22">
        <v>1447009403781.3301</v>
      </c>
      <c r="G4" s="22">
        <v>620</v>
      </c>
      <c r="H4" s="22" t="s">
        <v>859</v>
      </c>
    </row>
    <row r="5" spans="1:8" x14ac:dyDescent="0.35">
      <c r="A5" s="22" t="s">
        <v>851</v>
      </c>
      <c r="B5" s="22" t="str">
        <f>"00939"</f>
        <v>00939</v>
      </c>
      <c r="C5" s="22" t="str">
        <f t="shared" si="0"/>
        <v>'0939.HK'</v>
      </c>
      <c r="D5" s="22" t="s">
        <v>860</v>
      </c>
      <c r="E5" s="22" t="s">
        <v>858</v>
      </c>
      <c r="F5" s="22">
        <v>1232554119005.98</v>
      </c>
      <c r="G5" s="22">
        <v>752</v>
      </c>
      <c r="H5" s="22" t="s">
        <v>861</v>
      </c>
    </row>
    <row r="6" spans="1:8" x14ac:dyDescent="0.35">
      <c r="A6" s="22" t="s">
        <v>851</v>
      </c>
      <c r="B6" s="22" t="str">
        <f>"03968"</f>
        <v>03968</v>
      </c>
      <c r="C6" s="22" t="str">
        <f t="shared" si="0"/>
        <v>'3968.HK'</v>
      </c>
      <c r="D6" s="22" t="s">
        <v>862</v>
      </c>
      <c r="E6" s="22" t="s">
        <v>858</v>
      </c>
      <c r="F6" s="22">
        <v>1122283129244.5</v>
      </c>
      <c r="G6" s="22">
        <v>877</v>
      </c>
      <c r="H6" s="22" t="s">
        <v>863</v>
      </c>
    </row>
    <row r="7" spans="1:8" x14ac:dyDescent="0.35">
      <c r="A7" s="22" t="s">
        <v>851</v>
      </c>
      <c r="B7" s="22" t="str">
        <f>"00941"</f>
        <v>00941</v>
      </c>
      <c r="C7" s="22" t="str">
        <f t="shared" si="0"/>
        <v>'0941.HK'</v>
      </c>
      <c r="D7" s="22" t="s">
        <v>864</v>
      </c>
      <c r="E7" s="22" t="s">
        <v>865</v>
      </c>
      <c r="F7" s="22">
        <v>1121548405110</v>
      </c>
      <c r="G7" s="22">
        <v>574</v>
      </c>
      <c r="H7" s="22" t="s">
        <v>866</v>
      </c>
    </row>
    <row r="8" spans="1:8" x14ac:dyDescent="0.35">
      <c r="A8" s="22" t="s">
        <v>851</v>
      </c>
      <c r="B8" s="22" t="str">
        <f>"03690"</f>
        <v>03690</v>
      </c>
      <c r="C8" s="22" t="str">
        <f t="shared" si="0"/>
        <v>'3690.HK'</v>
      </c>
      <c r="D8" s="22" t="s">
        <v>867</v>
      </c>
      <c r="E8" s="22" t="s">
        <v>853</v>
      </c>
      <c r="F8" s="22">
        <v>1094245300023.2</v>
      </c>
      <c r="G8" s="22">
        <v>1416</v>
      </c>
      <c r="H8" s="22" t="s">
        <v>868</v>
      </c>
    </row>
    <row r="9" spans="1:8" x14ac:dyDescent="0.35">
      <c r="A9" s="22" t="s">
        <v>851</v>
      </c>
      <c r="B9" s="22" t="str">
        <f>"01299"</f>
        <v>01299</v>
      </c>
      <c r="C9" s="22" t="str">
        <f t="shared" si="0"/>
        <v>'1299.HK'</v>
      </c>
      <c r="D9" s="22" t="s">
        <v>869</v>
      </c>
      <c r="E9" s="22" t="s">
        <v>870</v>
      </c>
      <c r="F9" s="22">
        <v>1040213402638.8</v>
      </c>
      <c r="G9" s="22">
        <v>314</v>
      </c>
      <c r="H9" s="22" t="s">
        <v>871</v>
      </c>
    </row>
    <row r="10" spans="1:8" x14ac:dyDescent="0.35">
      <c r="A10" s="22" t="s">
        <v>851</v>
      </c>
      <c r="B10" s="22" t="str">
        <f>"00005"</f>
        <v>00005</v>
      </c>
      <c r="C10" s="22" t="str">
        <f t="shared" si="0"/>
        <v>'0005.HK'</v>
      </c>
      <c r="D10" s="22" t="s">
        <v>872</v>
      </c>
      <c r="E10" s="22" t="s">
        <v>858</v>
      </c>
      <c r="F10" s="22">
        <v>988298587947.40002</v>
      </c>
      <c r="G10" s="22">
        <v>360</v>
      </c>
      <c r="H10" s="22" t="s">
        <v>873</v>
      </c>
    </row>
    <row r="11" spans="1:8" x14ac:dyDescent="0.35">
      <c r="A11" s="22" t="s">
        <v>851</v>
      </c>
      <c r="B11" s="22" t="str">
        <f>"02318"</f>
        <v>02318</v>
      </c>
      <c r="C11" s="22" t="str">
        <f t="shared" si="0"/>
        <v>'2318.HK'</v>
      </c>
      <c r="D11" s="22" t="s">
        <v>874</v>
      </c>
      <c r="E11" s="22" t="s">
        <v>870</v>
      </c>
      <c r="F11" s="22">
        <v>966110758518.5</v>
      </c>
      <c r="G11" s="22">
        <v>1229</v>
      </c>
      <c r="H11" s="22" t="s">
        <v>875</v>
      </c>
    </row>
    <row r="12" spans="1:8" x14ac:dyDescent="0.35">
      <c r="A12" s="22" t="s">
        <v>851</v>
      </c>
      <c r="B12" s="22" t="str">
        <f>"01288"</f>
        <v>01288</v>
      </c>
      <c r="C12" s="22" t="str">
        <f t="shared" si="0"/>
        <v>'1288.HK'</v>
      </c>
      <c r="D12" s="22" t="s">
        <v>876</v>
      </c>
      <c r="E12" s="22" t="s">
        <v>858</v>
      </c>
      <c r="F12" s="22">
        <v>937954530779.64001</v>
      </c>
      <c r="G12" s="22">
        <v>590</v>
      </c>
      <c r="H12" s="22" t="s">
        <v>877</v>
      </c>
    </row>
    <row r="13" spans="1:8" x14ac:dyDescent="0.35">
      <c r="A13" s="22" t="s">
        <v>851</v>
      </c>
      <c r="B13" s="22" t="str">
        <f>"03988"</f>
        <v>03988</v>
      </c>
      <c r="C13" s="22" t="str">
        <f t="shared" si="0"/>
        <v>'3988.HK'</v>
      </c>
      <c r="D13" s="22" t="s">
        <v>878</v>
      </c>
      <c r="E13" s="22" t="s">
        <v>858</v>
      </c>
      <c r="F13" s="22">
        <v>841949082949.26001</v>
      </c>
      <c r="G13" s="22">
        <v>576</v>
      </c>
      <c r="H13" s="22" t="s">
        <v>879</v>
      </c>
    </row>
    <row r="14" spans="1:8" x14ac:dyDescent="0.35">
      <c r="A14" s="22" t="s">
        <v>851</v>
      </c>
      <c r="B14" s="22" t="str">
        <f>"09618"</f>
        <v>09618</v>
      </c>
      <c r="C14" s="22" t="str">
        <f t="shared" si="0"/>
        <v>'9618.HK'</v>
      </c>
      <c r="D14" s="22" t="s">
        <v>880</v>
      </c>
      <c r="E14" s="22" t="s">
        <v>853</v>
      </c>
      <c r="F14" s="22">
        <v>700919656000</v>
      </c>
      <c r="G14" s="22">
        <v>451</v>
      </c>
      <c r="H14" s="22" t="s">
        <v>881</v>
      </c>
    </row>
    <row r="15" spans="1:8" x14ac:dyDescent="0.35">
      <c r="A15" s="22" t="s">
        <v>851</v>
      </c>
      <c r="B15" s="22" t="str">
        <f>"00857"</f>
        <v>00857</v>
      </c>
      <c r="C15" s="22" t="str">
        <f t="shared" si="0"/>
        <v>'0857.HK'</v>
      </c>
      <c r="D15" s="22" t="s">
        <v>882</v>
      </c>
      <c r="E15" s="22" t="s">
        <v>883</v>
      </c>
      <c r="F15" s="22">
        <v>658875520144.80005</v>
      </c>
      <c r="G15" s="22">
        <v>390</v>
      </c>
      <c r="H15" s="22" t="s">
        <v>884</v>
      </c>
    </row>
    <row r="16" spans="1:8" x14ac:dyDescent="0.35">
      <c r="A16" s="22" t="s">
        <v>851</v>
      </c>
      <c r="B16" s="22" t="str">
        <f>"01211"</f>
        <v>01211</v>
      </c>
      <c r="C16" s="22" t="str">
        <f t="shared" si="0"/>
        <v>'1211.HK'</v>
      </c>
      <c r="D16" s="22" t="s">
        <v>885</v>
      </c>
      <c r="E16" s="22" t="s">
        <v>886</v>
      </c>
      <c r="F16" s="22">
        <v>586886399568</v>
      </c>
      <c r="G16" s="22">
        <v>421</v>
      </c>
      <c r="H16" s="22" t="s">
        <v>887</v>
      </c>
    </row>
    <row r="17" spans="1:8" x14ac:dyDescent="0.35">
      <c r="A17" s="22" t="s">
        <v>851</v>
      </c>
      <c r="B17" s="22" t="str">
        <f>"06288"</f>
        <v>06288</v>
      </c>
      <c r="C17" s="22" t="str">
        <f t="shared" si="0"/>
        <v>'6288.HK'</v>
      </c>
      <c r="D17" s="22" t="s">
        <v>888</v>
      </c>
      <c r="E17" s="22" t="s">
        <v>889</v>
      </c>
      <c r="F17" s="22">
        <v>495894547500</v>
      </c>
      <c r="G17" s="22">
        <v>48</v>
      </c>
      <c r="H17" s="22" t="s">
        <v>890</v>
      </c>
    </row>
    <row r="18" spans="1:8" x14ac:dyDescent="0.35">
      <c r="A18" s="22" t="s">
        <v>851</v>
      </c>
      <c r="B18" s="22" t="str">
        <f>"09633"</f>
        <v>09633</v>
      </c>
      <c r="C18" s="22" t="str">
        <f t="shared" si="0"/>
        <v>'9633.HK'</v>
      </c>
      <c r="D18" s="22" t="s">
        <v>891</v>
      </c>
      <c r="E18" s="22" t="s">
        <v>892</v>
      </c>
      <c r="F18" s="22">
        <v>490908258360</v>
      </c>
      <c r="G18" s="22">
        <v>503</v>
      </c>
      <c r="H18" s="22" t="s">
        <v>893</v>
      </c>
    </row>
    <row r="19" spans="1:8" x14ac:dyDescent="0.35">
      <c r="A19" s="22" t="s">
        <v>851</v>
      </c>
      <c r="B19" s="22" t="str">
        <f>"00883"</f>
        <v>00883</v>
      </c>
      <c r="C19" s="22" t="str">
        <f t="shared" si="0"/>
        <v>'0883.HK'</v>
      </c>
      <c r="D19" s="22" t="s">
        <v>894</v>
      </c>
      <c r="E19" s="22" t="s">
        <v>883</v>
      </c>
      <c r="F19" s="22">
        <v>480424316238.40002</v>
      </c>
      <c r="G19" s="22">
        <v>540</v>
      </c>
      <c r="H19" s="22" t="s">
        <v>895</v>
      </c>
    </row>
    <row r="20" spans="1:8" x14ac:dyDescent="0.35">
      <c r="A20" s="22" t="s">
        <v>851</v>
      </c>
      <c r="B20" s="22" t="str">
        <f>"01880"</f>
        <v>01880</v>
      </c>
      <c r="C20" s="22" t="str">
        <f t="shared" si="0"/>
        <v>'1880.HK'</v>
      </c>
      <c r="D20" s="22" t="s">
        <v>896</v>
      </c>
      <c r="E20" s="22" t="s">
        <v>897</v>
      </c>
      <c r="F20" s="22">
        <v>463424425856</v>
      </c>
      <c r="G20" s="22">
        <v>25</v>
      </c>
      <c r="H20" s="22" t="s">
        <v>898</v>
      </c>
    </row>
    <row r="21" spans="1:8" x14ac:dyDescent="0.35">
      <c r="A21" s="22" t="s">
        <v>851</v>
      </c>
      <c r="B21" s="22" t="str">
        <f>"00386"</f>
        <v>00386</v>
      </c>
      <c r="C21" s="22" t="str">
        <f t="shared" si="0"/>
        <v>'0386.HK'</v>
      </c>
      <c r="D21" s="22" t="s">
        <v>899</v>
      </c>
      <c r="E21" s="22" t="s">
        <v>883</v>
      </c>
      <c r="F21" s="22">
        <v>462284159367.71997</v>
      </c>
      <c r="G21" s="22">
        <v>370</v>
      </c>
      <c r="H21" s="22" t="s">
        <v>900</v>
      </c>
    </row>
    <row r="22" spans="1:8" x14ac:dyDescent="0.35">
      <c r="A22" s="22" t="s">
        <v>851</v>
      </c>
      <c r="B22" s="22" t="str">
        <f>"01658"</f>
        <v>01658</v>
      </c>
      <c r="C22" s="22" t="str">
        <f t="shared" si="0"/>
        <v>'1658.HK'</v>
      </c>
      <c r="D22" s="22" t="s">
        <v>901</v>
      </c>
      <c r="E22" s="22" t="s">
        <v>858</v>
      </c>
      <c r="F22" s="22">
        <v>458224479320.79999</v>
      </c>
      <c r="G22" s="22">
        <v>247</v>
      </c>
      <c r="H22" s="22" t="s">
        <v>902</v>
      </c>
    </row>
    <row r="23" spans="1:8" x14ac:dyDescent="0.35">
      <c r="A23" s="22" t="s">
        <v>851</v>
      </c>
      <c r="B23" s="22" t="str">
        <f>"01088"</f>
        <v>01088</v>
      </c>
      <c r="C23" s="22" t="str">
        <f t="shared" si="0"/>
        <v>'1088.HK'</v>
      </c>
      <c r="D23" s="22" t="s">
        <v>903</v>
      </c>
      <c r="E23" s="22" t="s">
        <v>904</v>
      </c>
      <c r="F23" s="22">
        <v>457969384962.75</v>
      </c>
      <c r="G23" s="22">
        <v>715</v>
      </c>
      <c r="H23" s="22" t="s">
        <v>905</v>
      </c>
    </row>
    <row r="24" spans="1:8" x14ac:dyDescent="0.35">
      <c r="A24" s="22" t="s">
        <v>851</v>
      </c>
      <c r="B24" s="22" t="str">
        <f>"00388"</f>
        <v>00388</v>
      </c>
      <c r="C24" s="22" t="str">
        <f t="shared" si="0"/>
        <v>'0388.HK'</v>
      </c>
      <c r="D24" s="22" t="s">
        <v>906</v>
      </c>
      <c r="E24" s="22" t="s">
        <v>907</v>
      </c>
      <c r="F24" s="22">
        <v>434868054985</v>
      </c>
      <c r="G24" s="22">
        <v>782</v>
      </c>
      <c r="H24" s="22" t="s">
        <v>908</v>
      </c>
    </row>
    <row r="25" spans="1:8" x14ac:dyDescent="0.35">
      <c r="A25" s="22" t="s">
        <v>851</v>
      </c>
      <c r="B25" s="22" t="str">
        <f>"09999"</f>
        <v>09999</v>
      </c>
      <c r="C25" s="22" t="str">
        <f t="shared" si="0"/>
        <v>'9999.HK'</v>
      </c>
      <c r="D25" s="22" t="s">
        <v>909</v>
      </c>
      <c r="E25" s="22" t="s">
        <v>910</v>
      </c>
      <c r="F25" s="22">
        <v>409777232000</v>
      </c>
      <c r="G25" s="22">
        <v>212</v>
      </c>
      <c r="H25" s="22" t="s">
        <v>911</v>
      </c>
    </row>
    <row r="26" spans="1:8" x14ac:dyDescent="0.35">
      <c r="A26" s="22" t="s">
        <v>851</v>
      </c>
      <c r="B26" s="22" t="str">
        <f>"02628"</f>
        <v>02628</v>
      </c>
      <c r="C26" s="22" t="str">
        <f t="shared" si="0"/>
        <v>'2628.HK'</v>
      </c>
      <c r="D26" s="22" t="s">
        <v>912</v>
      </c>
      <c r="E26" s="22" t="s">
        <v>870</v>
      </c>
      <c r="F26" s="22">
        <v>386095870300</v>
      </c>
      <c r="G26" s="22">
        <v>348</v>
      </c>
      <c r="H26" s="22" t="s">
        <v>913</v>
      </c>
    </row>
    <row r="27" spans="1:8" x14ac:dyDescent="0.35">
      <c r="A27" s="22" t="s">
        <v>851</v>
      </c>
      <c r="B27" s="22" t="str">
        <f>"03328"</f>
        <v>03328</v>
      </c>
      <c r="C27" s="22" t="str">
        <f t="shared" si="0"/>
        <v>'3328.HK'</v>
      </c>
      <c r="D27" s="22" t="s">
        <v>914</v>
      </c>
      <c r="E27" s="22" t="s">
        <v>858</v>
      </c>
      <c r="F27" s="22">
        <v>340123288034.09998</v>
      </c>
      <c r="G27" s="22">
        <v>452</v>
      </c>
      <c r="H27" s="22" t="s">
        <v>915</v>
      </c>
    </row>
    <row r="28" spans="1:8" x14ac:dyDescent="0.35">
      <c r="A28" s="22" t="s">
        <v>851</v>
      </c>
      <c r="B28" s="22" t="str">
        <f>"01876"</f>
        <v>01876</v>
      </c>
      <c r="C28" s="22" t="str">
        <f t="shared" si="0"/>
        <v>'1876.HK'</v>
      </c>
      <c r="D28" s="22" t="s">
        <v>916</v>
      </c>
      <c r="E28" s="22" t="s">
        <v>917</v>
      </c>
      <c r="F28" s="22">
        <v>330422755150</v>
      </c>
      <c r="G28" s="22">
        <v>84</v>
      </c>
      <c r="H28" s="22" t="s">
        <v>918</v>
      </c>
    </row>
    <row r="29" spans="1:8" x14ac:dyDescent="0.35">
      <c r="A29" s="22" t="s">
        <v>851</v>
      </c>
      <c r="B29" s="22" t="str">
        <f>"09888"</f>
        <v>09888</v>
      </c>
      <c r="C29" s="22" t="str">
        <f t="shared" si="0"/>
        <v>'9888.HK'</v>
      </c>
      <c r="D29" s="22" t="s">
        <v>919</v>
      </c>
      <c r="E29" s="22" t="s">
        <v>853</v>
      </c>
      <c r="F29" s="22">
        <v>324750832000</v>
      </c>
      <c r="G29" s="22">
        <v>124</v>
      </c>
      <c r="H29" s="22" t="s">
        <v>920</v>
      </c>
    </row>
    <row r="30" spans="1:8" x14ac:dyDescent="0.35">
      <c r="A30" s="22" t="s">
        <v>851</v>
      </c>
      <c r="B30" s="22" t="str">
        <f>"01024"</f>
        <v>01024</v>
      </c>
      <c r="C30" s="22" t="str">
        <f t="shared" si="0"/>
        <v>'1024.HK'</v>
      </c>
      <c r="D30" s="22" t="s">
        <v>921</v>
      </c>
      <c r="E30" s="22" t="s">
        <v>910</v>
      </c>
      <c r="F30" s="22">
        <v>316817952137.59998</v>
      </c>
      <c r="G30" s="22">
        <v>267</v>
      </c>
      <c r="H30" s="22" t="s">
        <v>922</v>
      </c>
    </row>
    <row r="31" spans="1:8" x14ac:dyDescent="0.35">
      <c r="A31" s="22" t="s">
        <v>851</v>
      </c>
      <c r="B31" s="22" t="str">
        <f>"00016"</f>
        <v>00016</v>
      </c>
      <c r="C31" s="22" t="str">
        <f t="shared" si="0"/>
        <v>'0016.HK'</v>
      </c>
      <c r="D31" s="22" t="s">
        <v>923</v>
      </c>
      <c r="E31" s="22" t="s">
        <v>924</v>
      </c>
      <c r="F31" s="22">
        <v>316437605920.79999</v>
      </c>
      <c r="G31" s="22">
        <v>98</v>
      </c>
      <c r="H31" s="22" t="s">
        <v>925</v>
      </c>
    </row>
    <row r="32" spans="1:8" x14ac:dyDescent="0.35">
      <c r="A32" s="22" t="s">
        <v>851</v>
      </c>
      <c r="B32" s="22" t="str">
        <f>"02378"</f>
        <v>02378</v>
      </c>
      <c r="C32" s="22" t="str">
        <f t="shared" si="0"/>
        <v>'2378.HK'</v>
      </c>
      <c r="D32" s="22" t="s">
        <v>926</v>
      </c>
      <c r="E32" s="22" t="s">
        <v>870</v>
      </c>
      <c r="F32" s="22">
        <v>296926004448</v>
      </c>
      <c r="G32" s="22">
        <v>25</v>
      </c>
      <c r="H32" s="22" t="s">
        <v>927</v>
      </c>
    </row>
    <row r="33" spans="1:8" x14ac:dyDescent="0.35">
      <c r="A33" s="22" t="s">
        <v>851</v>
      </c>
      <c r="B33" s="22" t="str">
        <f>"02899"</f>
        <v>02899</v>
      </c>
      <c r="C33" s="22" t="str">
        <f t="shared" si="0"/>
        <v>'2899.HK'</v>
      </c>
      <c r="D33" s="22" t="s">
        <v>928</v>
      </c>
      <c r="E33" s="22" t="s">
        <v>929</v>
      </c>
      <c r="F33" s="22">
        <v>295941469577.59998</v>
      </c>
      <c r="G33" s="22">
        <v>197</v>
      </c>
      <c r="H33" s="22" t="s">
        <v>930</v>
      </c>
    </row>
    <row r="34" spans="1:8" x14ac:dyDescent="0.35">
      <c r="A34" s="22" t="s">
        <v>851</v>
      </c>
      <c r="B34" s="22" t="str">
        <f>"00728"</f>
        <v>00728</v>
      </c>
      <c r="C34" s="22" t="str">
        <f t="shared" si="0"/>
        <v>'0728.HK'</v>
      </c>
      <c r="D34" s="22" t="s">
        <v>931</v>
      </c>
      <c r="E34" s="22" t="s">
        <v>865</v>
      </c>
      <c r="F34" s="22">
        <v>291907772449.81</v>
      </c>
      <c r="G34" s="22">
        <v>311</v>
      </c>
      <c r="H34" s="22" t="s">
        <v>932</v>
      </c>
    </row>
    <row r="35" spans="1:8" x14ac:dyDescent="0.35">
      <c r="A35" s="22" t="s">
        <v>851</v>
      </c>
      <c r="B35" s="22" t="str">
        <f>"02388"</f>
        <v>02388</v>
      </c>
      <c r="C35" s="22" t="str">
        <f t="shared" si="0"/>
        <v>'2388.HK'</v>
      </c>
      <c r="D35" s="22" t="s">
        <v>933</v>
      </c>
      <c r="E35" s="22" t="s">
        <v>858</v>
      </c>
      <c r="F35" s="22">
        <v>283350511128.79999</v>
      </c>
      <c r="G35" s="22">
        <v>106</v>
      </c>
      <c r="H35" s="22" t="s">
        <v>934</v>
      </c>
    </row>
    <row r="36" spans="1:8" x14ac:dyDescent="0.35">
      <c r="A36" s="22" t="s">
        <v>851</v>
      </c>
      <c r="B36" s="22" t="str">
        <f>"02020"</f>
        <v>02020</v>
      </c>
      <c r="C36" s="22" t="str">
        <f t="shared" si="0"/>
        <v>'2020.HK'</v>
      </c>
      <c r="D36" s="22" t="s">
        <v>935</v>
      </c>
      <c r="E36" s="22" t="s">
        <v>889</v>
      </c>
      <c r="F36" s="22">
        <v>282759568700</v>
      </c>
      <c r="G36" s="22">
        <v>567</v>
      </c>
      <c r="H36" s="22" t="s">
        <v>936</v>
      </c>
    </row>
    <row r="37" spans="1:8" x14ac:dyDescent="0.35">
      <c r="A37" s="22" t="s">
        <v>851</v>
      </c>
      <c r="B37" s="22" t="str">
        <f>"01810"</f>
        <v>01810</v>
      </c>
      <c r="C37" s="22" t="str">
        <f t="shared" si="0"/>
        <v>'1810.HK'</v>
      </c>
      <c r="D37" s="22" t="s">
        <v>937</v>
      </c>
      <c r="E37" s="22" t="s">
        <v>938</v>
      </c>
      <c r="F37" s="22">
        <v>279918681903.96002</v>
      </c>
      <c r="G37" s="22">
        <v>2040</v>
      </c>
      <c r="H37" s="22" t="s">
        <v>939</v>
      </c>
    </row>
    <row r="38" spans="1:8" x14ac:dyDescent="0.35">
      <c r="A38" s="22" t="s">
        <v>851</v>
      </c>
      <c r="B38" s="22" t="str">
        <f>"02269"</f>
        <v>02269</v>
      </c>
      <c r="C38" s="22" t="str">
        <f t="shared" si="0"/>
        <v>'2269.HK'</v>
      </c>
      <c r="D38" s="22" t="s">
        <v>940</v>
      </c>
      <c r="E38" s="22" t="s">
        <v>941</v>
      </c>
      <c r="F38" s="22">
        <v>264081520026.45001</v>
      </c>
      <c r="G38" s="22">
        <v>584</v>
      </c>
      <c r="H38" s="22" t="s">
        <v>942</v>
      </c>
    </row>
    <row r="39" spans="1:8" x14ac:dyDescent="0.35">
      <c r="A39" s="22" t="s">
        <v>851</v>
      </c>
      <c r="B39" s="22" t="str">
        <f>"00945"</f>
        <v>00945</v>
      </c>
      <c r="C39" s="22" t="str">
        <f t="shared" si="0"/>
        <v>'0945.HK'</v>
      </c>
      <c r="D39" s="22" t="s">
        <v>943</v>
      </c>
      <c r="E39" s="22" t="s">
        <v>870</v>
      </c>
      <c r="F39" s="22">
        <v>261072033591.60001</v>
      </c>
      <c r="G39" s="22">
        <v>22</v>
      </c>
      <c r="H39" s="22" t="s">
        <v>944</v>
      </c>
    </row>
    <row r="40" spans="1:8" x14ac:dyDescent="0.35">
      <c r="A40" s="22" t="s">
        <v>851</v>
      </c>
      <c r="B40" s="22" t="str">
        <f>"01109"</f>
        <v>01109</v>
      </c>
      <c r="C40" s="22" t="str">
        <f t="shared" si="0"/>
        <v>'1109.HK'</v>
      </c>
      <c r="D40" s="22" t="s">
        <v>945</v>
      </c>
      <c r="E40" s="22" t="s">
        <v>924</v>
      </c>
      <c r="F40" s="22">
        <v>260992388591.39999</v>
      </c>
      <c r="G40" s="22">
        <v>298</v>
      </c>
      <c r="H40" s="22" t="s">
        <v>946</v>
      </c>
    </row>
    <row r="41" spans="1:8" x14ac:dyDescent="0.35">
      <c r="A41" s="22" t="s">
        <v>851</v>
      </c>
      <c r="B41" s="22" t="str">
        <f>"00066"</f>
        <v>00066</v>
      </c>
      <c r="C41" s="22" t="str">
        <f t="shared" si="0"/>
        <v>'0066.HK'</v>
      </c>
      <c r="D41" s="22" t="s">
        <v>947</v>
      </c>
      <c r="E41" s="22" t="s">
        <v>948</v>
      </c>
      <c r="F41" s="22">
        <v>259246140771.20001</v>
      </c>
      <c r="G41" s="22">
        <v>124</v>
      </c>
      <c r="H41" s="22" t="s">
        <v>949</v>
      </c>
    </row>
    <row r="42" spans="1:8" x14ac:dyDescent="0.35">
      <c r="A42" s="22" t="s">
        <v>851</v>
      </c>
      <c r="B42" s="22" t="str">
        <f>"02359"</f>
        <v>02359</v>
      </c>
      <c r="C42" s="22" t="str">
        <f t="shared" si="0"/>
        <v>'2359.HK'</v>
      </c>
      <c r="D42" s="22" t="s">
        <v>950</v>
      </c>
      <c r="E42" s="22" t="s">
        <v>941</v>
      </c>
      <c r="F42" s="22">
        <v>252677052069.75</v>
      </c>
      <c r="G42" s="22">
        <v>235</v>
      </c>
      <c r="H42" s="22" t="s">
        <v>951</v>
      </c>
    </row>
    <row r="43" spans="1:8" x14ac:dyDescent="0.35">
      <c r="A43" s="22" t="s">
        <v>851</v>
      </c>
      <c r="B43" s="22" t="str">
        <f>"06690"</f>
        <v>06690</v>
      </c>
      <c r="C43" s="22" t="str">
        <f t="shared" si="0"/>
        <v>'6690.HK'</v>
      </c>
      <c r="D43" s="22" t="s">
        <v>952</v>
      </c>
      <c r="E43" s="22" t="s">
        <v>953</v>
      </c>
      <c r="F43" s="22">
        <v>251361809673.79999</v>
      </c>
      <c r="G43" s="22">
        <v>57</v>
      </c>
      <c r="H43" s="22" t="s">
        <v>954</v>
      </c>
    </row>
    <row r="44" spans="1:8" x14ac:dyDescent="0.35">
      <c r="A44" s="22" t="s">
        <v>851</v>
      </c>
      <c r="B44" s="22" t="str">
        <f>"00011"</f>
        <v>00011</v>
      </c>
      <c r="C44" s="22" t="str">
        <f t="shared" si="0"/>
        <v>'0011.HK'</v>
      </c>
      <c r="D44" s="22" t="s">
        <v>955</v>
      </c>
      <c r="E44" s="22" t="s">
        <v>858</v>
      </c>
      <c r="F44" s="22">
        <v>248348371406.39999</v>
      </c>
      <c r="G44" s="22">
        <v>134</v>
      </c>
      <c r="H44" s="22" t="s">
        <v>956</v>
      </c>
    </row>
    <row r="45" spans="1:8" x14ac:dyDescent="0.35">
      <c r="A45" s="22" t="s">
        <v>851</v>
      </c>
      <c r="B45" s="22" t="str">
        <f>"00267"</f>
        <v>00267</v>
      </c>
      <c r="C45" s="22" t="str">
        <f t="shared" si="0"/>
        <v>'0267.HK'</v>
      </c>
      <c r="D45" s="22" t="s">
        <v>957</v>
      </c>
      <c r="E45" s="22" t="s">
        <v>958</v>
      </c>
      <c r="F45" s="22">
        <v>239412861444.89999</v>
      </c>
      <c r="G45" s="22">
        <v>205</v>
      </c>
      <c r="H45" s="22" t="s">
        <v>959</v>
      </c>
    </row>
    <row r="46" spans="1:8" x14ac:dyDescent="0.35">
      <c r="A46" s="22" t="s">
        <v>851</v>
      </c>
      <c r="B46" s="22" t="str">
        <f>"00027"</f>
        <v>00027</v>
      </c>
      <c r="C46" s="22" t="str">
        <f t="shared" si="0"/>
        <v>'0027.HK'</v>
      </c>
      <c r="D46" s="22" t="s">
        <v>960</v>
      </c>
      <c r="E46" s="22" t="s">
        <v>961</v>
      </c>
      <c r="F46" s="22">
        <v>234173680198.39999</v>
      </c>
      <c r="G46" s="22">
        <v>203</v>
      </c>
      <c r="H46" s="22" t="s">
        <v>962</v>
      </c>
    </row>
    <row r="47" spans="1:8" x14ac:dyDescent="0.35">
      <c r="A47" s="22" t="s">
        <v>851</v>
      </c>
      <c r="B47" s="22" t="str">
        <f>"06030"</f>
        <v>06030</v>
      </c>
      <c r="C47" s="22" t="str">
        <f t="shared" si="0"/>
        <v>'6030.HK'</v>
      </c>
      <c r="D47" s="22" t="s">
        <v>963</v>
      </c>
      <c r="E47" s="22" t="s">
        <v>964</v>
      </c>
      <c r="F47" s="22">
        <v>233868228961.62</v>
      </c>
      <c r="G47" s="22">
        <v>401</v>
      </c>
      <c r="H47" s="22" t="s">
        <v>965</v>
      </c>
    </row>
    <row r="48" spans="1:8" x14ac:dyDescent="0.35">
      <c r="A48" s="22" t="s">
        <v>851</v>
      </c>
      <c r="B48" s="22" t="str">
        <f>"00688"</f>
        <v>00688</v>
      </c>
      <c r="C48" s="22" t="str">
        <f t="shared" si="0"/>
        <v>'0688.HK'</v>
      </c>
      <c r="D48" s="22" t="s">
        <v>966</v>
      </c>
      <c r="E48" s="22" t="s">
        <v>924</v>
      </c>
      <c r="F48" s="22">
        <v>229842554235</v>
      </c>
      <c r="G48" s="22">
        <v>351</v>
      </c>
      <c r="H48" s="22" t="s">
        <v>967</v>
      </c>
    </row>
    <row r="49" spans="1:8" x14ac:dyDescent="0.35">
      <c r="A49" s="22" t="s">
        <v>851</v>
      </c>
      <c r="B49" s="22" t="str">
        <f>"06618"</f>
        <v>06618</v>
      </c>
      <c r="C49" s="22" t="str">
        <f t="shared" si="0"/>
        <v>'6618.HK'</v>
      </c>
      <c r="D49" s="22" t="s">
        <v>968</v>
      </c>
      <c r="E49" s="22" t="s">
        <v>969</v>
      </c>
      <c r="F49" s="22">
        <v>218937155392.35001</v>
      </c>
      <c r="G49" s="22">
        <v>218</v>
      </c>
      <c r="H49" s="22" t="s">
        <v>970</v>
      </c>
    </row>
    <row r="50" spans="1:8" x14ac:dyDescent="0.35">
      <c r="A50" s="22" t="s">
        <v>851</v>
      </c>
      <c r="B50" s="22" t="str">
        <f>"01928"</f>
        <v>01928</v>
      </c>
      <c r="C50" s="22" t="str">
        <f t="shared" si="0"/>
        <v>'1928.HK'</v>
      </c>
      <c r="D50" s="22" t="s">
        <v>971</v>
      </c>
      <c r="E50" s="22" t="s">
        <v>961</v>
      </c>
      <c r="F50" s="22">
        <v>217706780495.39999</v>
      </c>
      <c r="G50" s="22">
        <v>240</v>
      </c>
      <c r="H50" s="22" t="s">
        <v>972</v>
      </c>
    </row>
    <row r="51" spans="1:8" x14ac:dyDescent="0.35">
      <c r="A51" s="22" t="s">
        <v>851</v>
      </c>
      <c r="B51" s="22" t="str">
        <f>"02057"</f>
        <v>02057</v>
      </c>
      <c r="C51" s="22" t="str">
        <f t="shared" si="0"/>
        <v>'2057.HK'</v>
      </c>
      <c r="D51" s="22" t="s">
        <v>973</v>
      </c>
      <c r="E51" s="22" t="s">
        <v>974</v>
      </c>
      <c r="F51" s="22">
        <v>185257980000</v>
      </c>
      <c r="G51" s="22">
        <v>51</v>
      </c>
      <c r="H51" s="22" t="s">
        <v>975</v>
      </c>
    </row>
    <row r="52" spans="1:8" x14ac:dyDescent="0.35">
      <c r="A52" s="22" t="s">
        <v>851</v>
      </c>
      <c r="B52" s="22" t="str">
        <f>"06160"</f>
        <v>06160</v>
      </c>
      <c r="C52" s="22" t="str">
        <f t="shared" si="0"/>
        <v>'6160.HK'</v>
      </c>
      <c r="D52" s="22" t="s">
        <v>976</v>
      </c>
      <c r="E52" s="22" t="s">
        <v>941</v>
      </c>
      <c r="F52" s="22">
        <v>184568613968.10001</v>
      </c>
      <c r="G52" s="22">
        <v>237</v>
      </c>
      <c r="H52" s="22" t="s">
        <v>977</v>
      </c>
    </row>
    <row r="53" spans="1:8" x14ac:dyDescent="0.35">
      <c r="A53" s="22" t="s">
        <v>851</v>
      </c>
      <c r="B53" s="22" t="str">
        <f>"02331"</f>
        <v>02331</v>
      </c>
      <c r="C53" s="22" t="str">
        <f t="shared" si="0"/>
        <v>'2331.HK'</v>
      </c>
      <c r="D53" s="22" t="s">
        <v>978</v>
      </c>
      <c r="E53" s="22" t="s">
        <v>889</v>
      </c>
      <c r="F53" s="22">
        <v>182459973859.10001</v>
      </c>
      <c r="G53" s="22">
        <v>334</v>
      </c>
      <c r="H53" s="22" t="s">
        <v>979</v>
      </c>
    </row>
    <row r="54" spans="1:8" x14ac:dyDescent="0.35">
      <c r="A54" s="22" t="s">
        <v>851</v>
      </c>
      <c r="B54" s="22" t="str">
        <f>"09987"</f>
        <v>09987</v>
      </c>
      <c r="C54" s="22" t="str">
        <f t="shared" si="0"/>
        <v>'9987.HK'</v>
      </c>
      <c r="D54" s="22" t="s">
        <v>980</v>
      </c>
      <c r="E54" s="22" t="s">
        <v>981</v>
      </c>
      <c r="F54" s="22">
        <v>181475075854.39999</v>
      </c>
      <c r="G54" s="22">
        <v>32</v>
      </c>
      <c r="H54" s="22" t="s">
        <v>982</v>
      </c>
    </row>
    <row r="55" spans="1:8" x14ac:dyDescent="0.35">
      <c r="A55" s="22" t="s">
        <v>851</v>
      </c>
      <c r="B55" s="22" t="str">
        <f>"00001"</f>
        <v>00001</v>
      </c>
      <c r="C55" s="22" t="str">
        <f t="shared" si="0"/>
        <v>'0001.HK'</v>
      </c>
      <c r="D55" s="22" t="s">
        <v>983</v>
      </c>
      <c r="E55" s="22" t="s">
        <v>958</v>
      </c>
      <c r="F55" s="22">
        <v>181161104850</v>
      </c>
      <c r="G55" s="22">
        <v>176</v>
      </c>
      <c r="H55" s="22" t="s">
        <v>984</v>
      </c>
    </row>
    <row r="56" spans="1:8" x14ac:dyDescent="0.35">
      <c r="A56" s="22" t="s">
        <v>851</v>
      </c>
      <c r="B56" s="22" t="str">
        <f>"02202"</f>
        <v>02202</v>
      </c>
      <c r="C56" s="22" t="str">
        <f t="shared" si="0"/>
        <v>'2202.HK'</v>
      </c>
      <c r="D56" s="22" t="s">
        <v>985</v>
      </c>
      <c r="E56" s="22" t="s">
        <v>924</v>
      </c>
      <c r="F56" s="22">
        <v>180508610989.92001</v>
      </c>
      <c r="G56" s="22">
        <v>537</v>
      </c>
      <c r="H56" s="22" t="s">
        <v>986</v>
      </c>
    </row>
    <row r="57" spans="1:8" x14ac:dyDescent="0.35">
      <c r="A57" s="22" t="s">
        <v>851</v>
      </c>
      <c r="B57" s="22" t="str">
        <f>"00291"</f>
        <v>00291</v>
      </c>
      <c r="C57" s="22" t="str">
        <f t="shared" si="0"/>
        <v>'0291.HK'</v>
      </c>
      <c r="D57" s="22" t="s">
        <v>987</v>
      </c>
      <c r="E57" s="22" t="s">
        <v>917</v>
      </c>
      <c r="F57" s="22">
        <v>178267520929.75</v>
      </c>
      <c r="G57" s="22">
        <v>256</v>
      </c>
      <c r="H57" s="22" t="s">
        <v>988</v>
      </c>
    </row>
    <row r="58" spans="1:8" x14ac:dyDescent="0.35">
      <c r="A58" s="22" t="s">
        <v>851</v>
      </c>
      <c r="B58" s="22" t="str">
        <f>"02015"</f>
        <v>02015</v>
      </c>
      <c r="C58" s="22" t="str">
        <f t="shared" si="0"/>
        <v>'2015.HK'</v>
      </c>
      <c r="D58" s="22" t="s">
        <v>989</v>
      </c>
      <c r="E58" s="22" t="s">
        <v>886</v>
      </c>
      <c r="F58" s="22">
        <v>176876441093.89999</v>
      </c>
      <c r="G58" s="22">
        <v>78</v>
      </c>
      <c r="H58" s="22" t="s">
        <v>990</v>
      </c>
    </row>
    <row r="59" spans="1:8" x14ac:dyDescent="0.35">
      <c r="A59" s="22" t="s">
        <v>851</v>
      </c>
      <c r="B59" s="22" t="str">
        <f>"01113"</f>
        <v>01113</v>
      </c>
      <c r="C59" s="22" t="str">
        <f t="shared" si="0"/>
        <v>'1113.HK'</v>
      </c>
      <c r="D59" s="22" t="s">
        <v>991</v>
      </c>
      <c r="E59" s="22" t="s">
        <v>924</v>
      </c>
      <c r="F59" s="22">
        <v>173409655017.29999</v>
      </c>
      <c r="G59" s="22">
        <v>115</v>
      </c>
      <c r="H59" s="22" t="s">
        <v>992</v>
      </c>
    </row>
    <row r="60" spans="1:8" x14ac:dyDescent="0.35">
      <c r="A60" s="22" t="s">
        <v>851</v>
      </c>
      <c r="B60" s="22" t="str">
        <f>"09961"</f>
        <v>09961</v>
      </c>
      <c r="C60" s="22" t="str">
        <f t="shared" si="0"/>
        <v>'9961.HK'</v>
      </c>
      <c r="D60" s="22" t="s">
        <v>993</v>
      </c>
      <c r="E60" s="22" t="s">
        <v>897</v>
      </c>
      <c r="F60" s="22">
        <v>173261628000</v>
      </c>
      <c r="G60" s="22">
        <v>32</v>
      </c>
      <c r="H60" s="22" t="s">
        <v>994</v>
      </c>
    </row>
    <row r="61" spans="1:8" x14ac:dyDescent="0.35">
      <c r="A61" s="22" t="s">
        <v>851</v>
      </c>
      <c r="B61" s="22" t="str">
        <f>"00998"</f>
        <v>00998</v>
      </c>
      <c r="C61" s="22" t="str">
        <f t="shared" si="0"/>
        <v>'0998.HK'</v>
      </c>
      <c r="D61" s="22" t="s">
        <v>995</v>
      </c>
      <c r="E61" s="22" t="s">
        <v>858</v>
      </c>
      <c r="F61" s="22">
        <v>171271952799.5</v>
      </c>
      <c r="G61" s="22">
        <v>632</v>
      </c>
      <c r="H61" s="22" t="s">
        <v>996</v>
      </c>
    </row>
    <row r="62" spans="1:8" x14ac:dyDescent="0.35">
      <c r="A62" s="22" t="s">
        <v>851</v>
      </c>
      <c r="B62" s="22" t="str">
        <f>"02888"</f>
        <v>02888</v>
      </c>
      <c r="C62" s="22" t="str">
        <f t="shared" si="0"/>
        <v>'2888.HK'</v>
      </c>
      <c r="D62" s="22" t="s">
        <v>997</v>
      </c>
      <c r="E62" s="22" t="s">
        <v>858</v>
      </c>
      <c r="F62" s="22">
        <v>170500766459.5</v>
      </c>
      <c r="G62" s="22">
        <v>62</v>
      </c>
      <c r="H62" s="22" t="s">
        <v>998</v>
      </c>
    </row>
    <row r="63" spans="1:8" x14ac:dyDescent="0.35">
      <c r="A63" s="22" t="s">
        <v>851</v>
      </c>
      <c r="B63" s="22" t="str">
        <f>"02601"</f>
        <v>02601</v>
      </c>
      <c r="C63" s="22" t="str">
        <f t="shared" si="0"/>
        <v>'2601.HK'</v>
      </c>
      <c r="D63" s="22" t="s">
        <v>999</v>
      </c>
      <c r="E63" s="22" t="s">
        <v>870</v>
      </c>
      <c r="F63" s="22">
        <v>169510416437.10001</v>
      </c>
      <c r="G63" s="22">
        <v>612</v>
      </c>
      <c r="H63" s="22" t="s">
        <v>1000</v>
      </c>
    </row>
    <row r="64" spans="1:8" x14ac:dyDescent="0.35">
      <c r="A64" s="22" t="s">
        <v>851</v>
      </c>
      <c r="B64" s="22" t="str">
        <f>"01929"</f>
        <v>01929</v>
      </c>
      <c r="C64" s="22" t="str">
        <f t="shared" si="0"/>
        <v>'1929.HK'</v>
      </c>
      <c r="D64" s="22" t="s">
        <v>1001</v>
      </c>
      <c r="E64" s="22" t="s">
        <v>1002</v>
      </c>
      <c r="F64" s="22">
        <v>164600000000</v>
      </c>
      <c r="G64" s="22">
        <v>123</v>
      </c>
      <c r="H64" s="22" t="s">
        <v>1003</v>
      </c>
    </row>
    <row r="65" spans="1:8" x14ac:dyDescent="0.35">
      <c r="A65" s="22" t="s">
        <v>851</v>
      </c>
      <c r="B65" s="22" t="str">
        <f>"02328"</f>
        <v>02328</v>
      </c>
      <c r="C65" s="22" t="str">
        <f t="shared" si="0"/>
        <v>'2328.HK'</v>
      </c>
      <c r="D65" s="22" t="s">
        <v>1004</v>
      </c>
      <c r="E65" s="22" t="s">
        <v>870</v>
      </c>
      <c r="F65" s="22">
        <v>164151607936.14001</v>
      </c>
      <c r="G65" s="22">
        <v>295</v>
      </c>
      <c r="H65" s="22" t="s">
        <v>1005</v>
      </c>
    </row>
    <row r="66" spans="1:8" x14ac:dyDescent="0.35">
      <c r="A66" s="22" t="s">
        <v>851</v>
      </c>
      <c r="B66" s="22" t="str">
        <f>"00669"</f>
        <v>00669</v>
      </c>
      <c r="C66" s="22" t="str">
        <f t="shared" si="0"/>
        <v>'0669.HK'</v>
      </c>
      <c r="D66" s="22" t="s">
        <v>1006</v>
      </c>
      <c r="E66" s="22" t="s">
        <v>953</v>
      </c>
      <c r="F66" s="22">
        <v>162095563087.35001</v>
      </c>
      <c r="G66" s="22">
        <v>125</v>
      </c>
      <c r="H66" s="22" t="s">
        <v>1007</v>
      </c>
    </row>
    <row r="67" spans="1:8" x14ac:dyDescent="0.35">
      <c r="A67" s="22" t="s">
        <v>851</v>
      </c>
      <c r="B67" s="22" t="str">
        <f>"00762"</f>
        <v>00762</v>
      </c>
      <c r="C67" s="22" t="str">
        <f t="shared" ref="C67:C130" si="1">CONCATENATE("'",RIGHT(B67,4),".HK'")</f>
        <v>'0762.HK'</v>
      </c>
      <c r="D67" s="22" t="s">
        <v>1008</v>
      </c>
      <c r="E67" s="22" t="s">
        <v>865</v>
      </c>
      <c r="F67" s="22">
        <v>158498284107.10001</v>
      </c>
      <c r="G67" s="22">
        <v>242</v>
      </c>
      <c r="H67" s="22" t="s">
        <v>1009</v>
      </c>
    </row>
    <row r="68" spans="1:8" x14ac:dyDescent="0.35">
      <c r="A68" s="22" t="s">
        <v>851</v>
      </c>
      <c r="B68" s="22" t="str">
        <f>"00960"</f>
        <v>00960</v>
      </c>
      <c r="C68" s="22" t="str">
        <f t="shared" si="1"/>
        <v>'0960.HK'</v>
      </c>
      <c r="D68" s="22" t="s">
        <v>1010</v>
      </c>
      <c r="E68" s="22" t="s">
        <v>924</v>
      </c>
      <c r="F68" s="22">
        <v>151699240072.79999</v>
      </c>
      <c r="G68" s="22">
        <v>315</v>
      </c>
      <c r="H68" s="22" t="s">
        <v>1011</v>
      </c>
    </row>
    <row r="69" spans="1:8" x14ac:dyDescent="0.35">
      <c r="A69" s="22" t="s">
        <v>851</v>
      </c>
      <c r="B69" s="22" t="str">
        <f>"00788"</f>
        <v>00788</v>
      </c>
      <c r="C69" s="22" t="str">
        <f t="shared" si="1"/>
        <v>'0788.HK'</v>
      </c>
      <c r="D69" s="22" t="s">
        <v>1012</v>
      </c>
      <c r="E69" s="22" t="s">
        <v>1013</v>
      </c>
      <c r="F69" s="22">
        <v>151367285080.64001</v>
      </c>
      <c r="G69" s="22">
        <v>183</v>
      </c>
      <c r="H69" s="22" t="s">
        <v>1014</v>
      </c>
    </row>
    <row r="70" spans="1:8" x14ac:dyDescent="0.35">
      <c r="A70" s="22" t="s">
        <v>851</v>
      </c>
      <c r="B70" s="22" t="str">
        <f>"00914"</f>
        <v>00914</v>
      </c>
      <c r="C70" s="22" t="str">
        <f t="shared" si="1"/>
        <v>'0914.HK'</v>
      </c>
      <c r="D70" s="22" t="s">
        <v>1015</v>
      </c>
      <c r="E70" s="22" t="s">
        <v>1016</v>
      </c>
      <c r="F70" s="22">
        <v>147055646567.25</v>
      </c>
      <c r="G70" s="22">
        <v>460</v>
      </c>
      <c r="H70" s="22" t="s">
        <v>1017</v>
      </c>
    </row>
    <row r="71" spans="1:8" x14ac:dyDescent="0.35">
      <c r="A71" s="22" t="s">
        <v>851</v>
      </c>
      <c r="B71" s="22" t="str">
        <f>"02319"</f>
        <v>02319</v>
      </c>
      <c r="C71" s="22" t="str">
        <f t="shared" si="1"/>
        <v>'2319.HK'</v>
      </c>
      <c r="D71" s="22" t="s">
        <v>1018</v>
      </c>
      <c r="E71" s="22" t="s">
        <v>1019</v>
      </c>
      <c r="F71" s="22">
        <v>143969039177.60001</v>
      </c>
      <c r="G71" s="22">
        <v>771</v>
      </c>
      <c r="H71" s="22" t="s">
        <v>1020</v>
      </c>
    </row>
    <row r="72" spans="1:8" x14ac:dyDescent="0.35">
      <c r="A72" s="22" t="s">
        <v>851</v>
      </c>
      <c r="B72" s="22" t="str">
        <f>"00002"</f>
        <v>00002</v>
      </c>
      <c r="C72" s="22" t="str">
        <f t="shared" si="1"/>
        <v>'0002.HK'</v>
      </c>
      <c r="D72" s="22" t="s">
        <v>1021</v>
      </c>
      <c r="E72" s="22" t="s">
        <v>1022</v>
      </c>
      <c r="F72" s="22">
        <v>143881359961.5</v>
      </c>
      <c r="G72" s="22">
        <v>100</v>
      </c>
      <c r="H72" s="22" t="s">
        <v>1023</v>
      </c>
    </row>
    <row r="73" spans="1:8" x14ac:dyDescent="0.35">
      <c r="A73" s="22" t="s">
        <v>851</v>
      </c>
      <c r="B73" s="22" t="str">
        <f>"02423"</f>
        <v>02423</v>
      </c>
      <c r="C73" s="22" t="str">
        <f t="shared" si="1"/>
        <v>'2423.HK'</v>
      </c>
      <c r="D73" s="22" t="s">
        <v>1024</v>
      </c>
      <c r="E73" s="22" t="s">
        <v>1025</v>
      </c>
      <c r="F73" s="22">
        <v>141675626397.5</v>
      </c>
      <c r="G73" s="22">
        <v>9</v>
      </c>
      <c r="H73" s="22" t="s">
        <v>1026</v>
      </c>
    </row>
    <row r="74" spans="1:8" x14ac:dyDescent="0.35">
      <c r="A74" s="22" t="s">
        <v>851</v>
      </c>
      <c r="B74" s="22" t="str">
        <f>"01997"</f>
        <v>01997</v>
      </c>
      <c r="C74" s="22" t="str">
        <f t="shared" si="1"/>
        <v>'1997.HK'</v>
      </c>
      <c r="D74" s="22" t="s">
        <v>1027</v>
      </c>
      <c r="E74" s="22" t="s">
        <v>1028</v>
      </c>
      <c r="F74" s="22">
        <v>141032759339.14999</v>
      </c>
      <c r="G74" s="22">
        <v>57</v>
      </c>
      <c r="H74" s="22" t="s">
        <v>1029</v>
      </c>
    </row>
    <row r="75" spans="1:8" x14ac:dyDescent="0.35">
      <c r="A75" s="22" t="s">
        <v>851</v>
      </c>
      <c r="B75" s="22" t="str">
        <f>"00003"</f>
        <v>00003</v>
      </c>
      <c r="C75" s="22" t="str">
        <f t="shared" si="1"/>
        <v>'0003.HK'</v>
      </c>
      <c r="D75" s="22" t="s">
        <v>1030</v>
      </c>
      <c r="E75" s="22" t="s">
        <v>1031</v>
      </c>
      <c r="F75" s="22">
        <v>140508821837.94</v>
      </c>
      <c r="G75" s="22">
        <v>102</v>
      </c>
      <c r="H75" s="22" t="s">
        <v>1032</v>
      </c>
    </row>
    <row r="76" spans="1:8" x14ac:dyDescent="0.35">
      <c r="A76" s="22" t="s">
        <v>851</v>
      </c>
      <c r="B76" s="22" t="str">
        <f>"09866"</f>
        <v>09866</v>
      </c>
      <c r="C76" s="22" t="str">
        <f t="shared" si="1"/>
        <v>'9866.HK'</v>
      </c>
      <c r="D76" s="22" t="s">
        <v>1033</v>
      </c>
      <c r="E76" s="22" t="s">
        <v>886</v>
      </c>
      <c r="F76" s="22">
        <v>135721658000</v>
      </c>
      <c r="G76" s="22">
        <v>39</v>
      </c>
      <c r="H76" s="22" t="s">
        <v>1034</v>
      </c>
    </row>
    <row r="77" spans="1:8" x14ac:dyDescent="0.35">
      <c r="A77" s="22" t="s">
        <v>851</v>
      </c>
      <c r="B77" s="22" t="str">
        <f>"00012"</f>
        <v>00012</v>
      </c>
      <c r="C77" s="22" t="str">
        <f t="shared" si="1"/>
        <v>'0012.HK'</v>
      </c>
      <c r="D77" s="22" t="s">
        <v>1035</v>
      </c>
      <c r="E77" s="22" t="s">
        <v>924</v>
      </c>
      <c r="F77" s="22">
        <v>133622281282.8</v>
      </c>
      <c r="G77" s="22">
        <v>81</v>
      </c>
      <c r="H77" s="22" t="s">
        <v>1036</v>
      </c>
    </row>
    <row r="78" spans="1:8" x14ac:dyDescent="0.35">
      <c r="A78" s="22" t="s">
        <v>851</v>
      </c>
      <c r="B78" s="22" t="str">
        <f>"02313"</f>
        <v>02313</v>
      </c>
      <c r="C78" s="22" t="str">
        <f t="shared" si="1"/>
        <v>'2313.HK'</v>
      </c>
      <c r="D78" s="22" t="s">
        <v>1037</v>
      </c>
      <c r="E78" s="22" t="s">
        <v>889</v>
      </c>
      <c r="F78" s="22">
        <v>133260665494.05</v>
      </c>
      <c r="G78" s="22">
        <v>273</v>
      </c>
      <c r="H78" s="22" t="s">
        <v>1038</v>
      </c>
    </row>
    <row r="79" spans="1:8" x14ac:dyDescent="0.35">
      <c r="A79" s="22" t="s">
        <v>851</v>
      </c>
      <c r="B79" s="22" t="str">
        <f>"00981"</f>
        <v>00981</v>
      </c>
      <c r="C79" s="22" t="str">
        <f t="shared" si="1"/>
        <v>'0981.HK'</v>
      </c>
      <c r="D79" s="22" t="s">
        <v>1039</v>
      </c>
      <c r="E79" s="22" t="s">
        <v>1040</v>
      </c>
      <c r="F79" s="22">
        <v>133089004612.48</v>
      </c>
      <c r="G79" s="22">
        <v>862</v>
      </c>
      <c r="H79" s="22" t="s">
        <v>1041</v>
      </c>
    </row>
    <row r="80" spans="1:8" x14ac:dyDescent="0.35">
      <c r="A80" s="22" t="s">
        <v>851</v>
      </c>
      <c r="B80" s="22" t="str">
        <f>"06818"</f>
        <v>06818</v>
      </c>
      <c r="C80" s="22" t="str">
        <f t="shared" si="1"/>
        <v>'6818.HK'</v>
      </c>
      <c r="D80" s="22" t="s">
        <v>1042</v>
      </c>
      <c r="E80" s="22" t="s">
        <v>858</v>
      </c>
      <c r="F80" s="22">
        <v>130757276964.60001</v>
      </c>
      <c r="G80" s="22">
        <v>336</v>
      </c>
      <c r="H80" s="22" t="s">
        <v>1043</v>
      </c>
    </row>
    <row r="81" spans="1:8" x14ac:dyDescent="0.35">
      <c r="A81" s="22" t="s">
        <v>851</v>
      </c>
      <c r="B81" s="22" t="str">
        <f>"02688"</f>
        <v>02688</v>
      </c>
      <c r="C81" s="22" t="str">
        <f t="shared" si="1"/>
        <v>'2688.HK'</v>
      </c>
      <c r="D81" s="22" t="s">
        <v>1044</v>
      </c>
      <c r="E81" s="22" t="s">
        <v>1031</v>
      </c>
      <c r="F81" s="22">
        <v>128242356165</v>
      </c>
      <c r="G81" s="22">
        <v>146</v>
      </c>
      <c r="H81" s="22" t="s">
        <v>1045</v>
      </c>
    </row>
    <row r="82" spans="1:8" x14ac:dyDescent="0.35">
      <c r="A82" s="22" t="s">
        <v>851</v>
      </c>
      <c r="B82" s="22" t="str">
        <f>"01919"</f>
        <v>01919</v>
      </c>
      <c r="C82" s="22" t="str">
        <f t="shared" si="1"/>
        <v>'1919.HK'</v>
      </c>
      <c r="D82" s="22" t="s">
        <v>1046</v>
      </c>
      <c r="E82" s="22" t="s">
        <v>1047</v>
      </c>
      <c r="F82" s="22">
        <v>127791743550.25999</v>
      </c>
      <c r="G82" s="22">
        <v>194</v>
      </c>
      <c r="H82" s="22" t="s">
        <v>1048</v>
      </c>
    </row>
    <row r="83" spans="1:8" x14ac:dyDescent="0.35">
      <c r="A83" s="22" t="s">
        <v>851</v>
      </c>
      <c r="B83" s="22" t="str">
        <f>"06862"</f>
        <v>06862</v>
      </c>
      <c r="C83" s="22" t="str">
        <f t="shared" si="1"/>
        <v>'6862.HK'</v>
      </c>
      <c r="D83" s="22" t="s">
        <v>1049</v>
      </c>
      <c r="E83" s="22" t="s">
        <v>981</v>
      </c>
      <c r="F83" s="22">
        <v>127087200000</v>
      </c>
      <c r="G83" s="22">
        <v>623</v>
      </c>
      <c r="H83" s="22" t="s">
        <v>1050</v>
      </c>
    </row>
    <row r="84" spans="1:8" x14ac:dyDescent="0.35">
      <c r="A84" s="22" t="s">
        <v>851</v>
      </c>
      <c r="B84" s="22" t="str">
        <f>"00823"</f>
        <v>00823</v>
      </c>
      <c r="C84" s="22" t="str">
        <f t="shared" si="1"/>
        <v>'0823.HK'</v>
      </c>
      <c r="D84" s="22" t="s">
        <v>1051</v>
      </c>
      <c r="F84" s="22">
        <v>122656327669.8</v>
      </c>
      <c r="G84" s="22">
        <v>216</v>
      </c>
      <c r="H84" s="22" t="s">
        <v>1052</v>
      </c>
    </row>
    <row r="85" spans="1:8" x14ac:dyDescent="0.35">
      <c r="A85" s="22" t="s">
        <v>851</v>
      </c>
      <c r="B85" s="22" t="str">
        <f>"01972"</f>
        <v>01972</v>
      </c>
      <c r="C85" s="22" t="str">
        <f t="shared" si="1"/>
        <v>'1972.HK'</v>
      </c>
      <c r="D85" s="22" t="s">
        <v>1053</v>
      </c>
      <c r="E85" s="22" t="s">
        <v>1028</v>
      </c>
      <c r="F85" s="22">
        <v>120802500000</v>
      </c>
      <c r="G85" s="22">
        <v>71</v>
      </c>
      <c r="H85" s="22" t="s">
        <v>1054</v>
      </c>
    </row>
    <row r="86" spans="1:8" x14ac:dyDescent="0.35">
      <c r="A86" s="22" t="s">
        <v>851</v>
      </c>
      <c r="B86" s="22" t="str">
        <f>"01988"</f>
        <v>01988</v>
      </c>
      <c r="C86" s="22" t="str">
        <f t="shared" si="1"/>
        <v>'1988.HK'</v>
      </c>
      <c r="D86" s="22" t="s">
        <v>1055</v>
      </c>
      <c r="E86" s="22" t="s">
        <v>858</v>
      </c>
      <c r="F86" s="22">
        <v>119963826695.48</v>
      </c>
      <c r="G86" s="22">
        <v>880</v>
      </c>
      <c r="H86" s="22" t="s">
        <v>1056</v>
      </c>
    </row>
    <row r="87" spans="1:8" x14ac:dyDescent="0.35">
      <c r="A87" s="22" t="s">
        <v>851</v>
      </c>
      <c r="B87" s="22" t="str">
        <f>"00175"</f>
        <v>00175</v>
      </c>
      <c r="C87" s="22" t="str">
        <f t="shared" si="1"/>
        <v>'0175.HK'</v>
      </c>
      <c r="D87" s="22" t="s">
        <v>1057</v>
      </c>
      <c r="E87" s="22" t="s">
        <v>886</v>
      </c>
      <c r="F87" s="22">
        <v>119275709101.96001</v>
      </c>
      <c r="G87" s="22">
        <v>708</v>
      </c>
      <c r="H87" s="22" t="s">
        <v>1058</v>
      </c>
    </row>
    <row r="88" spans="1:8" x14ac:dyDescent="0.35">
      <c r="A88" s="22" t="s">
        <v>851</v>
      </c>
      <c r="B88" s="22" t="str">
        <f>"01772"</f>
        <v>01772</v>
      </c>
      <c r="C88" s="22" t="str">
        <f t="shared" si="1"/>
        <v>'1772.HK'</v>
      </c>
      <c r="D88" s="22" t="s">
        <v>1059</v>
      </c>
      <c r="E88" s="22" t="s">
        <v>1060</v>
      </c>
      <c r="F88" s="22">
        <v>118495169716.25</v>
      </c>
      <c r="G88" s="22">
        <v>112</v>
      </c>
      <c r="H88" s="22" t="s">
        <v>1061</v>
      </c>
    </row>
    <row r="89" spans="1:8" x14ac:dyDescent="0.35">
      <c r="A89" s="22" t="s">
        <v>851</v>
      </c>
      <c r="B89" s="22" t="str">
        <f>"01171"</f>
        <v>01171</v>
      </c>
      <c r="C89" s="22" t="str">
        <f t="shared" si="1"/>
        <v>'1171.HK'</v>
      </c>
      <c r="D89" s="22" t="s">
        <v>1062</v>
      </c>
      <c r="E89" s="22" t="s">
        <v>904</v>
      </c>
      <c r="F89" s="22">
        <v>117779146632</v>
      </c>
      <c r="G89" s="22">
        <v>399</v>
      </c>
      <c r="H89" s="22" t="s">
        <v>1063</v>
      </c>
    </row>
    <row r="90" spans="1:8" x14ac:dyDescent="0.35">
      <c r="A90" s="22" t="s">
        <v>851</v>
      </c>
      <c r="B90" s="22" t="str">
        <f>"01913"</f>
        <v>01913</v>
      </c>
      <c r="C90" s="22" t="str">
        <f t="shared" si="1"/>
        <v>'1913.HK'</v>
      </c>
      <c r="D90" s="22" t="s">
        <v>1064</v>
      </c>
      <c r="E90" s="22" t="s">
        <v>1065</v>
      </c>
      <c r="F90" s="22">
        <v>116170609600</v>
      </c>
      <c r="G90" s="22">
        <v>27</v>
      </c>
      <c r="H90" s="22" t="s">
        <v>1066</v>
      </c>
    </row>
    <row r="91" spans="1:8" x14ac:dyDescent="0.35">
      <c r="A91" s="22" t="s">
        <v>851</v>
      </c>
      <c r="B91" s="22" t="str">
        <f>"01339"</f>
        <v>01339</v>
      </c>
      <c r="C91" s="22" t="str">
        <f t="shared" si="1"/>
        <v>'1339.HK'</v>
      </c>
      <c r="D91" s="22" t="s">
        <v>1067</v>
      </c>
      <c r="E91" s="22" t="s">
        <v>870</v>
      </c>
      <c r="F91" s="22">
        <v>115866855327.46001</v>
      </c>
      <c r="G91" s="22">
        <v>534</v>
      </c>
      <c r="H91" s="22" t="s">
        <v>1068</v>
      </c>
    </row>
    <row r="92" spans="1:8" x14ac:dyDescent="0.35">
      <c r="A92" s="22" t="s">
        <v>851</v>
      </c>
      <c r="B92" s="22" t="str">
        <f>"01179"</f>
        <v>01179</v>
      </c>
      <c r="C92" s="22" t="str">
        <f t="shared" si="1"/>
        <v>'1179.HK'</v>
      </c>
      <c r="D92" s="22" t="s">
        <v>1069</v>
      </c>
      <c r="E92" s="22" t="s">
        <v>1070</v>
      </c>
      <c r="F92" s="22">
        <v>111584442000</v>
      </c>
      <c r="G92" s="22">
        <v>36</v>
      </c>
      <c r="H92" s="22" t="s">
        <v>1071</v>
      </c>
    </row>
    <row r="93" spans="1:8" x14ac:dyDescent="0.35">
      <c r="A93" s="22" t="s">
        <v>851</v>
      </c>
      <c r="B93" s="22" t="str">
        <f>"00168"</f>
        <v>00168</v>
      </c>
      <c r="C93" s="22" t="str">
        <f t="shared" si="1"/>
        <v>'0168.HK'</v>
      </c>
      <c r="D93" s="22" t="s">
        <v>1072</v>
      </c>
      <c r="E93" s="22" t="s">
        <v>917</v>
      </c>
      <c r="F93" s="22">
        <v>106556109333.3</v>
      </c>
      <c r="G93" s="22">
        <v>152</v>
      </c>
      <c r="H93" s="22" t="s">
        <v>1073</v>
      </c>
    </row>
    <row r="94" spans="1:8" x14ac:dyDescent="0.35">
      <c r="A94" s="22" t="s">
        <v>851</v>
      </c>
      <c r="B94" s="22" t="str">
        <f>"02382"</f>
        <v>02382</v>
      </c>
      <c r="C94" s="22" t="str">
        <f t="shared" si="1"/>
        <v>'2382.HK'</v>
      </c>
      <c r="D94" s="22" t="s">
        <v>1074</v>
      </c>
      <c r="E94" s="22" t="s">
        <v>1075</v>
      </c>
      <c r="F94" s="22">
        <v>105187886230</v>
      </c>
      <c r="G94" s="22">
        <v>552</v>
      </c>
      <c r="H94" s="22" t="s">
        <v>1076</v>
      </c>
    </row>
    <row r="95" spans="1:8" x14ac:dyDescent="0.35">
      <c r="A95" s="22" t="s">
        <v>851</v>
      </c>
      <c r="B95" s="22" t="str">
        <f>"00390"</f>
        <v>00390</v>
      </c>
      <c r="C95" s="22" t="str">
        <f t="shared" si="1"/>
        <v>'0390.HK'</v>
      </c>
      <c r="D95" s="22" t="s">
        <v>1077</v>
      </c>
      <c r="E95" s="22" t="s">
        <v>1078</v>
      </c>
      <c r="F95" s="22">
        <v>104460089382.25999</v>
      </c>
      <c r="G95" s="22">
        <v>253</v>
      </c>
      <c r="H95" s="22" t="s">
        <v>1079</v>
      </c>
    </row>
    <row r="96" spans="1:8" x14ac:dyDescent="0.35">
      <c r="A96" s="22" t="s">
        <v>851</v>
      </c>
      <c r="B96" s="22" t="str">
        <f>"00753"</f>
        <v>00753</v>
      </c>
      <c r="C96" s="22" t="str">
        <f t="shared" si="1"/>
        <v>'0753.HK'</v>
      </c>
      <c r="D96" s="22" t="s">
        <v>1080</v>
      </c>
      <c r="E96" s="22" t="s">
        <v>1081</v>
      </c>
      <c r="F96" s="22">
        <v>104142924876.45</v>
      </c>
      <c r="G96" s="22">
        <v>127</v>
      </c>
      <c r="H96" s="22" t="s">
        <v>1082</v>
      </c>
    </row>
    <row r="97" spans="1:8" x14ac:dyDescent="0.35">
      <c r="A97" s="22" t="s">
        <v>851</v>
      </c>
      <c r="B97" s="22" t="str">
        <f>"01038"</f>
        <v>01038</v>
      </c>
      <c r="C97" s="22" t="str">
        <f t="shared" si="1"/>
        <v>'1038.HK'</v>
      </c>
      <c r="D97" s="22" t="s">
        <v>1083</v>
      </c>
      <c r="E97" s="22" t="s">
        <v>1022</v>
      </c>
      <c r="F97" s="22">
        <v>103556009839.5</v>
      </c>
      <c r="G97" s="22">
        <v>108</v>
      </c>
      <c r="H97" s="22" t="s">
        <v>1084</v>
      </c>
    </row>
    <row r="98" spans="1:8" x14ac:dyDescent="0.35">
      <c r="A98" s="22" t="s">
        <v>851</v>
      </c>
      <c r="B98" s="22" t="str">
        <f>"02618"</f>
        <v>02618</v>
      </c>
      <c r="C98" s="22" t="str">
        <f t="shared" si="1"/>
        <v>'2618.HK'</v>
      </c>
      <c r="D98" s="22" t="s">
        <v>1085</v>
      </c>
      <c r="E98" s="22" t="s">
        <v>1086</v>
      </c>
      <c r="F98" s="22">
        <v>102658372372.32001</v>
      </c>
      <c r="G98" s="22">
        <v>82</v>
      </c>
      <c r="H98" s="22" t="s">
        <v>1087</v>
      </c>
    </row>
    <row r="99" spans="1:8" x14ac:dyDescent="0.35">
      <c r="A99" s="22" t="s">
        <v>851</v>
      </c>
      <c r="B99" s="22" t="str">
        <f>"00881"</f>
        <v>00881</v>
      </c>
      <c r="C99" s="22" t="str">
        <f t="shared" si="1"/>
        <v>'0881.HK'</v>
      </c>
      <c r="D99" s="22" t="s">
        <v>1088</v>
      </c>
      <c r="E99" s="22" t="s">
        <v>1089</v>
      </c>
      <c r="F99" s="22">
        <v>100524684993.95</v>
      </c>
      <c r="G99" s="22">
        <v>111</v>
      </c>
      <c r="H99" s="22" t="s">
        <v>1090</v>
      </c>
    </row>
    <row r="100" spans="1:8" x14ac:dyDescent="0.35">
      <c r="A100" s="22" t="s">
        <v>851</v>
      </c>
      <c r="B100" s="22" t="str">
        <f>"01093"</f>
        <v>01093</v>
      </c>
      <c r="C100" s="22" t="str">
        <f t="shared" si="1"/>
        <v>'1093.HK'</v>
      </c>
      <c r="D100" s="22" t="s">
        <v>1091</v>
      </c>
      <c r="E100" s="22" t="s">
        <v>969</v>
      </c>
      <c r="F100" s="22">
        <v>99284388170.240005</v>
      </c>
      <c r="G100" s="22">
        <v>552</v>
      </c>
      <c r="H100" s="22" t="s">
        <v>1092</v>
      </c>
    </row>
    <row r="101" spans="1:8" x14ac:dyDescent="0.35">
      <c r="A101" s="22" t="s">
        <v>851</v>
      </c>
      <c r="B101" s="22" t="str">
        <f>"09626"</f>
        <v>09626</v>
      </c>
      <c r="C101" s="22" t="str">
        <f t="shared" si="1"/>
        <v>'9626.HK'</v>
      </c>
      <c r="D101" s="22" t="s">
        <v>1093</v>
      </c>
      <c r="E101" s="22" t="s">
        <v>910</v>
      </c>
      <c r="F101" s="22">
        <v>97776093096</v>
      </c>
      <c r="G101" s="22">
        <v>175</v>
      </c>
      <c r="H101" s="22" t="s">
        <v>1094</v>
      </c>
    </row>
    <row r="102" spans="1:8" x14ac:dyDescent="0.35">
      <c r="A102" s="22" t="s">
        <v>851</v>
      </c>
      <c r="B102" s="22" t="str">
        <f>"00019"</f>
        <v>00019</v>
      </c>
      <c r="C102" s="22" t="str">
        <f t="shared" si="1"/>
        <v>'0019.HK'</v>
      </c>
      <c r="D102" s="22" t="s">
        <v>1095</v>
      </c>
      <c r="E102" s="22" t="s">
        <v>958</v>
      </c>
      <c r="F102" s="22">
        <v>96985235050</v>
      </c>
      <c r="G102" s="22">
        <v>74</v>
      </c>
      <c r="H102" s="22" t="s">
        <v>1096</v>
      </c>
    </row>
    <row r="103" spans="1:8" x14ac:dyDescent="0.35">
      <c r="A103" s="22" t="s">
        <v>851</v>
      </c>
      <c r="B103" s="22" t="str">
        <f>"01055"</f>
        <v>01055</v>
      </c>
      <c r="C103" s="22" t="str">
        <f t="shared" si="1"/>
        <v>'1055.HK'</v>
      </c>
      <c r="D103" s="22" t="s">
        <v>1097</v>
      </c>
      <c r="E103" s="22" t="s">
        <v>1081</v>
      </c>
      <c r="F103" s="22">
        <v>96040716766.800003</v>
      </c>
      <c r="G103" s="22">
        <v>179</v>
      </c>
      <c r="H103" s="22" t="s">
        <v>1098</v>
      </c>
    </row>
    <row r="104" spans="1:8" x14ac:dyDescent="0.35">
      <c r="A104" s="22" t="s">
        <v>851</v>
      </c>
      <c r="B104" s="22" t="str">
        <f>"01816"</f>
        <v>01816</v>
      </c>
      <c r="C104" s="22" t="str">
        <f t="shared" si="1"/>
        <v>'1816.HK'</v>
      </c>
      <c r="D104" s="22" t="s">
        <v>1099</v>
      </c>
      <c r="E104" s="22" t="s">
        <v>1022</v>
      </c>
      <c r="F104" s="22">
        <v>95947361090</v>
      </c>
      <c r="G104" s="22">
        <v>359</v>
      </c>
      <c r="H104" s="22" t="s">
        <v>1100</v>
      </c>
    </row>
    <row r="105" spans="1:8" x14ac:dyDescent="0.35">
      <c r="A105" s="22" t="s">
        <v>851</v>
      </c>
      <c r="B105" s="22" t="str">
        <f>"09696"</f>
        <v>09696</v>
      </c>
      <c r="C105" s="22" t="str">
        <f t="shared" si="1"/>
        <v>'9696.HK'</v>
      </c>
      <c r="D105" s="22" t="s">
        <v>1101</v>
      </c>
      <c r="E105" s="22" t="s">
        <v>1060</v>
      </c>
      <c r="F105" s="22">
        <v>94698485339.100006</v>
      </c>
      <c r="G105" s="22">
        <v>7</v>
      </c>
      <c r="H105" s="22" t="s">
        <v>1102</v>
      </c>
    </row>
    <row r="106" spans="1:8" x14ac:dyDescent="0.35">
      <c r="A106" s="22" t="s">
        <v>851</v>
      </c>
      <c r="B106" s="22" t="str">
        <f>"01209"</f>
        <v>01209</v>
      </c>
      <c r="C106" s="22" t="str">
        <f t="shared" si="1"/>
        <v>'1209.HK'</v>
      </c>
      <c r="D106" s="22" t="s">
        <v>1103</v>
      </c>
      <c r="E106" s="22" t="s">
        <v>1104</v>
      </c>
      <c r="F106" s="22">
        <v>94609625000</v>
      </c>
      <c r="G106" s="22">
        <v>67</v>
      </c>
      <c r="H106" s="22" t="s">
        <v>1105</v>
      </c>
    </row>
    <row r="107" spans="1:8" x14ac:dyDescent="0.35">
      <c r="A107" s="22" t="s">
        <v>851</v>
      </c>
      <c r="B107" s="22" t="str">
        <f>"02333"</f>
        <v>02333</v>
      </c>
      <c r="C107" s="22" t="str">
        <f t="shared" si="1"/>
        <v>'2333.HK'</v>
      </c>
      <c r="D107" s="22" t="s">
        <v>1106</v>
      </c>
      <c r="E107" s="22" t="s">
        <v>886</v>
      </c>
      <c r="F107" s="22">
        <v>93971682191.520004</v>
      </c>
      <c r="G107" s="22">
        <v>581</v>
      </c>
      <c r="H107" s="22" t="s">
        <v>1107</v>
      </c>
    </row>
    <row r="108" spans="1:8" x14ac:dyDescent="0.35">
      <c r="A108" s="22" t="s">
        <v>851</v>
      </c>
      <c r="B108" s="22" t="str">
        <f>"02338"</f>
        <v>02338</v>
      </c>
      <c r="C108" s="22" t="str">
        <f t="shared" si="1"/>
        <v>'2338.HK'</v>
      </c>
      <c r="D108" s="22" t="s">
        <v>1108</v>
      </c>
      <c r="E108" s="22" t="s">
        <v>1109</v>
      </c>
      <c r="F108" s="22">
        <v>93723220257.539993</v>
      </c>
      <c r="G108" s="22">
        <v>194</v>
      </c>
      <c r="H108" s="22" t="s">
        <v>1110</v>
      </c>
    </row>
    <row r="109" spans="1:8" x14ac:dyDescent="0.35">
      <c r="A109" s="22" t="s">
        <v>851</v>
      </c>
      <c r="B109" s="22" t="str">
        <f>"00316"</f>
        <v>00316</v>
      </c>
      <c r="C109" s="22" t="str">
        <f t="shared" si="1"/>
        <v>'0316.HK'</v>
      </c>
      <c r="D109" s="22" t="s">
        <v>1111</v>
      </c>
      <c r="E109" s="22" t="s">
        <v>1047</v>
      </c>
      <c r="F109" s="22">
        <v>93574896184.899994</v>
      </c>
      <c r="G109" s="22">
        <v>55</v>
      </c>
      <c r="H109" s="22" t="s">
        <v>1112</v>
      </c>
    </row>
    <row r="110" spans="1:8" x14ac:dyDescent="0.35">
      <c r="A110" s="22" t="s">
        <v>851</v>
      </c>
      <c r="B110" s="22" t="str">
        <f>"00006"</f>
        <v>00006</v>
      </c>
      <c r="C110" s="22" t="str">
        <f t="shared" si="1"/>
        <v>'0006.HK'</v>
      </c>
      <c r="D110" s="22" t="s">
        <v>1113</v>
      </c>
      <c r="E110" s="22" t="s">
        <v>1022</v>
      </c>
      <c r="F110" s="22">
        <v>91744076879.699997</v>
      </c>
      <c r="G110" s="22">
        <v>101</v>
      </c>
      <c r="H110" s="22" t="s">
        <v>1114</v>
      </c>
    </row>
    <row r="111" spans="1:8" x14ac:dyDescent="0.35">
      <c r="A111" s="22" t="s">
        <v>851</v>
      </c>
      <c r="B111" s="22" t="str">
        <f>"01766"</f>
        <v>01766</v>
      </c>
      <c r="C111" s="22" t="str">
        <f t="shared" si="1"/>
        <v>'1766.HK'</v>
      </c>
      <c r="D111" s="22" t="s">
        <v>1115</v>
      </c>
      <c r="E111" s="22" t="s">
        <v>1109</v>
      </c>
      <c r="F111" s="22">
        <v>90975399158.960007</v>
      </c>
      <c r="G111" s="22">
        <v>284</v>
      </c>
      <c r="H111" s="22" t="s">
        <v>1116</v>
      </c>
    </row>
    <row r="112" spans="1:8" x14ac:dyDescent="0.35">
      <c r="A112" s="22" t="s">
        <v>851</v>
      </c>
      <c r="B112" s="22" t="str">
        <f>"00241"</f>
        <v>00241</v>
      </c>
      <c r="C112" s="22" t="str">
        <f t="shared" si="1"/>
        <v>'0241.HK'</v>
      </c>
      <c r="D112" s="22" t="s">
        <v>1117</v>
      </c>
      <c r="E112" s="22" t="s">
        <v>969</v>
      </c>
      <c r="F112" s="22">
        <v>89913167329.300003</v>
      </c>
      <c r="G112" s="22">
        <v>284</v>
      </c>
      <c r="H112" s="22" t="s">
        <v>1118</v>
      </c>
    </row>
    <row r="113" spans="1:8" x14ac:dyDescent="0.35">
      <c r="A113" s="22" t="s">
        <v>851</v>
      </c>
      <c r="B113" s="22" t="str">
        <f>"03692"</f>
        <v>03692</v>
      </c>
      <c r="C113" s="22" t="str">
        <f t="shared" si="1"/>
        <v>'3692.HK'</v>
      </c>
      <c r="D113" s="22" t="s">
        <v>1119</v>
      </c>
      <c r="E113" s="22" t="s">
        <v>969</v>
      </c>
      <c r="F113" s="22">
        <v>89427486057</v>
      </c>
      <c r="G113" s="22">
        <v>162</v>
      </c>
      <c r="H113" s="22" t="s">
        <v>1120</v>
      </c>
    </row>
    <row r="114" spans="1:8" x14ac:dyDescent="0.35">
      <c r="A114" s="22" t="s">
        <v>851</v>
      </c>
      <c r="B114" s="22" t="str">
        <f>"03606"</f>
        <v>03606</v>
      </c>
      <c r="C114" s="22" t="str">
        <f t="shared" si="1"/>
        <v>'3606.HK'</v>
      </c>
      <c r="D114" s="22" t="s">
        <v>1121</v>
      </c>
      <c r="E114" s="22" t="s">
        <v>1122</v>
      </c>
      <c r="F114" s="22">
        <v>87556895498.600006</v>
      </c>
      <c r="G114" s="22">
        <v>367</v>
      </c>
      <c r="H114" s="22" t="s">
        <v>1123</v>
      </c>
    </row>
    <row r="115" spans="1:8" x14ac:dyDescent="0.35">
      <c r="A115" s="22" t="s">
        <v>851</v>
      </c>
      <c r="B115" s="22" t="str">
        <f>"01177"</f>
        <v>01177</v>
      </c>
      <c r="C115" s="22" t="str">
        <f t="shared" si="1"/>
        <v>'1177.HK'</v>
      </c>
      <c r="D115" s="22" t="s">
        <v>1124</v>
      </c>
      <c r="E115" s="22" t="s">
        <v>969</v>
      </c>
      <c r="F115" s="22">
        <v>87108205274.899994</v>
      </c>
      <c r="G115" s="22">
        <v>603</v>
      </c>
      <c r="H115" s="22" t="s">
        <v>1125</v>
      </c>
    </row>
    <row r="116" spans="1:8" x14ac:dyDescent="0.35">
      <c r="A116" s="22" t="s">
        <v>851</v>
      </c>
      <c r="B116" s="22" t="str">
        <f>"00916"</f>
        <v>00916</v>
      </c>
      <c r="C116" s="22" t="str">
        <f t="shared" si="1"/>
        <v>'0916.HK'</v>
      </c>
      <c r="D116" s="22" t="s">
        <v>1126</v>
      </c>
      <c r="E116" s="22" t="s">
        <v>1127</v>
      </c>
      <c r="F116" s="22">
        <v>86334220589.199997</v>
      </c>
      <c r="G116" s="22">
        <v>104</v>
      </c>
      <c r="H116" s="22" t="s">
        <v>1128</v>
      </c>
    </row>
    <row r="117" spans="1:8" x14ac:dyDescent="0.35">
      <c r="A117" s="22" t="s">
        <v>851</v>
      </c>
      <c r="B117" s="22" t="str">
        <f>"01776"</f>
        <v>01776</v>
      </c>
      <c r="C117" s="22" t="str">
        <f t="shared" si="1"/>
        <v>'1776.HK'</v>
      </c>
      <c r="D117" s="22" t="s">
        <v>1129</v>
      </c>
      <c r="E117" s="22" t="s">
        <v>1130</v>
      </c>
      <c r="F117" s="22">
        <v>85661025343.360001</v>
      </c>
      <c r="G117" s="22">
        <v>210</v>
      </c>
      <c r="H117" s="22" t="s">
        <v>1131</v>
      </c>
    </row>
    <row r="118" spans="1:8" x14ac:dyDescent="0.35">
      <c r="A118" s="22" t="s">
        <v>851</v>
      </c>
      <c r="B118" s="22" t="str">
        <f>"01898"</f>
        <v>01898</v>
      </c>
      <c r="C118" s="22" t="str">
        <f t="shared" si="1"/>
        <v>'1898.HK'</v>
      </c>
      <c r="D118" s="22" t="s">
        <v>1132</v>
      </c>
      <c r="E118" s="22" t="s">
        <v>904</v>
      </c>
      <c r="F118" s="22">
        <v>85385792296</v>
      </c>
      <c r="G118" s="22">
        <v>159</v>
      </c>
      <c r="H118" s="22" t="s">
        <v>1133</v>
      </c>
    </row>
    <row r="119" spans="1:8" x14ac:dyDescent="0.35">
      <c r="A119" s="22" t="s">
        <v>851</v>
      </c>
      <c r="B119" s="22" t="str">
        <f>"00763"</f>
        <v>00763</v>
      </c>
      <c r="C119" s="22" t="str">
        <f t="shared" si="1"/>
        <v>'0763.HK'</v>
      </c>
      <c r="D119" s="22" t="s">
        <v>1134</v>
      </c>
      <c r="E119" s="22" t="s">
        <v>938</v>
      </c>
      <c r="F119" s="22">
        <v>84776413893.199997</v>
      </c>
      <c r="G119" s="22">
        <v>185</v>
      </c>
      <c r="H119" s="22" t="s">
        <v>1135</v>
      </c>
    </row>
    <row r="120" spans="1:8" x14ac:dyDescent="0.35">
      <c r="A120" s="22" t="s">
        <v>851</v>
      </c>
      <c r="B120" s="22" t="str">
        <f>"00083"</f>
        <v>00083</v>
      </c>
      <c r="C120" s="22" t="str">
        <f t="shared" si="1"/>
        <v>'0083.HK'</v>
      </c>
      <c r="D120" s="22" t="s">
        <v>1136</v>
      </c>
      <c r="E120" s="22" t="s">
        <v>924</v>
      </c>
      <c r="F120" s="22">
        <v>81579973028.839996</v>
      </c>
      <c r="G120" s="22">
        <v>78</v>
      </c>
      <c r="H120" s="22" t="s">
        <v>1137</v>
      </c>
    </row>
    <row r="121" spans="1:8" x14ac:dyDescent="0.35">
      <c r="A121" s="22" t="s">
        <v>851</v>
      </c>
      <c r="B121" s="22" t="str">
        <f>"03993"</f>
        <v>03993</v>
      </c>
      <c r="C121" s="22" t="str">
        <f t="shared" si="1"/>
        <v>'3993.HK'</v>
      </c>
      <c r="D121" s="22" t="s">
        <v>1138</v>
      </c>
      <c r="E121" s="22" t="s">
        <v>1060</v>
      </c>
      <c r="F121" s="22">
        <v>79917190157.100006</v>
      </c>
      <c r="G121" s="22">
        <v>102</v>
      </c>
      <c r="H121" s="22" t="s">
        <v>1139</v>
      </c>
    </row>
    <row r="122" spans="1:8" x14ac:dyDescent="0.35">
      <c r="A122" s="22" t="s">
        <v>851</v>
      </c>
      <c r="B122" s="22" t="str">
        <f>"03347"</f>
        <v>03347</v>
      </c>
      <c r="C122" s="22" t="str">
        <f t="shared" si="1"/>
        <v>'3347.HK'</v>
      </c>
      <c r="D122" s="22" t="s">
        <v>1140</v>
      </c>
      <c r="E122" s="22" t="s">
        <v>941</v>
      </c>
      <c r="F122" s="22">
        <v>79913508952</v>
      </c>
      <c r="G122" s="22">
        <v>114</v>
      </c>
      <c r="H122" s="22" t="s">
        <v>1141</v>
      </c>
    </row>
    <row r="123" spans="1:8" x14ac:dyDescent="0.35">
      <c r="A123" s="22" t="s">
        <v>851</v>
      </c>
      <c r="B123" s="22" t="str">
        <f>"00836"</f>
        <v>00836</v>
      </c>
      <c r="C123" s="22" t="str">
        <f t="shared" si="1"/>
        <v>'0836.HK'</v>
      </c>
      <c r="D123" s="22" t="s">
        <v>1142</v>
      </c>
      <c r="E123" s="22" t="s">
        <v>1022</v>
      </c>
      <c r="F123" s="22">
        <v>79757157209.199997</v>
      </c>
      <c r="G123" s="22">
        <v>207</v>
      </c>
      <c r="H123" s="22" t="s">
        <v>1143</v>
      </c>
    </row>
    <row r="124" spans="1:8" x14ac:dyDescent="0.35">
      <c r="A124" s="22" t="s">
        <v>851</v>
      </c>
      <c r="B124" s="22" t="str">
        <f>"00968"</f>
        <v>00968</v>
      </c>
      <c r="C124" s="22" t="str">
        <f t="shared" si="1"/>
        <v>'0968.HK'</v>
      </c>
      <c r="D124" s="22" t="s">
        <v>1144</v>
      </c>
      <c r="E124" s="22" t="s">
        <v>1145</v>
      </c>
      <c r="F124" s="22">
        <v>79263229361.580002</v>
      </c>
      <c r="G124" s="22">
        <v>177</v>
      </c>
      <c r="H124" s="22" t="s">
        <v>1146</v>
      </c>
    </row>
    <row r="125" spans="1:8" x14ac:dyDescent="0.35">
      <c r="A125" s="22" t="s">
        <v>851</v>
      </c>
      <c r="B125" s="22" t="str">
        <f>"00322"</f>
        <v>00322</v>
      </c>
      <c r="C125" s="22" t="str">
        <f t="shared" si="1"/>
        <v>'0322.HK'</v>
      </c>
      <c r="D125" s="22" t="s">
        <v>1147</v>
      </c>
      <c r="E125" s="22" t="s">
        <v>892</v>
      </c>
      <c r="F125" s="22">
        <v>78990984327.199997</v>
      </c>
      <c r="G125" s="22">
        <v>147</v>
      </c>
      <c r="H125" s="22" t="s">
        <v>1148</v>
      </c>
    </row>
    <row r="126" spans="1:8" x14ac:dyDescent="0.35">
      <c r="A126" s="22" t="s">
        <v>851</v>
      </c>
      <c r="B126" s="22" t="str">
        <f>"06886"</f>
        <v>06886</v>
      </c>
      <c r="C126" s="22" t="str">
        <f t="shared" si="1"/>
        <v>'6886.HK'</v>
      </c>
      <c r="D126" s="22" t="s">
        <v>1149</v>
      </c>
      <c r="E126" s="22" t="s">
        <v>1130</v>
      </c>
      <c r="F126" s="22">
        <v>78957624534.899994</v>
      </c>
      <c r="G126" s="22">
        <v>334</v>
      </c>
      <c r="H126" s="22" t="s">
        <v>1150</v>
      </c>
    </row>
    <row r="127" spans="1:8" x14ac:dyDescent="0.35">
      <c r="A127" s="22" t="s">
        <v>851</v>
      </c>
      <c r="B127" s="22" t="str">
        <f>"00992"</f>
        <v>00992</v>
      </c>
      <c r="C127" s="22" t="str">
        <f t="shared" si="1"/>
        <v>'0992.HK'</v>
      </c>
      <c r="D127" s="22" t="s">
        <v>1151</v>
      </c>
      <c r="E127" s="22" t="s">
        <v>1152</v>
      </c>
      <c r="F127" s="22">
        <v>78711565588.589996</v>
      </c>
      <c r="G127" s="22">
        <v>167</v>
      </c>
      <c r="H127" s="22" t="s">
        <v>1153</v>
      </c>
    </row>
    <row r="128" spans="1:8" x14ac:dyDescent="0.35">
      <c r="A128" s="22" t="s">
        <v>851</v>
      </c>
      <c r="B128" s="22" t="str">
        <f>"02611"</f>
        <v>02611</v>
      </c>
      <c r="C128" s="22" t="str">
        <f t="shared" si="1"/>
        <v>'2611.HK'</v>
      </c>
      <c r="D128" s="22" t="s">
        <v>1154</v>
      </c>
      <c r="E128" s="22" t="s">
        <v>1130</v>
      </c>
      <c r="F128" s="22">
        <v>78378714251.199997</v>
      </c>
      <c r="G128" s="22">
        <v>156</v>
      </c>
      <c r="H128" s="22" t="s">
        <v>1155</v>
      </c>
    </row>
    <row r="129" spans="1:8" x14ac:dyDescent="0.35">
      <c r="A129" s="22" t="s">
        <v>851</v>
      </c>
      <c r="B129" s="22" t="str">
        <f>"00087"</f>
        <v>00087</v>
      </c>
      <c r="C129" s="22" t="str">
        <f t="shared" si="1"/>
        <v>'0087.HK'</v>
      </c>
      <c r="D129" s="22" t="s">
        <v>1156</v>
      </c>
      <c r="E129" s="22" t="s">
        <v>958</v>
      </c>
      <c r="F129" s="22">
        <v>75465272850</v>
      </c>
      <c r="G129" s="22">
        <v>78</v>
      </c>
      <c r="H129" s="22" t="s">
        <v>1157</v>
      </c>
    </row>
    <row r="130" spans="1:8" x14ac:dyDescent="0.35">
      <c r="A130" s="22" t="s">
        <v>851</v>
      </c>
      <c r="B130" s="22" t="str">
        <f>"02007"</f>
        <v>02007</v>
      </c>
      <c r="C130" s="22" t="str">
        <f t="shared" si="1"/>
        <v>'2007.HK'</v>
      </c>
      <c r="D130" s="22" t="s">
        <v>1158</v>
      </c>
      <c r="E130" s="22" t="s">
        <v>924</v>
      </c>
      <c r="F130" s="22">
        <v>74345795571.800003</v>
      </c>
      <c r="G130" s="22">
        <v>675</v>
      </c>
      <c r="H130" s="22" t="s">
        <v>1159</v>
      </c>
    </row>
    <row r="131" spans="1:8" x14ac:dyDescent="0.35">
      <c r="A131" s="22" t="s">
        <v>851</v>
      </c>
      <c r="B131" s="22" t="str">
        <f>"01821"</f>
        <v>01821</v>
      </c>
      <c r="C131" s="22" t="str">
        <f t="shared" ref="C131:C194" si="2">CONCATENATE("'",RIGHT(B131,4),".HK'")</f>
        <v>'1821.HK'</v>
      </c>
      <c r="D131" s="22" t="s">
        <v>1160</v>
      </c>
      <c r="E131" s="22" t="s">
        <v>964</v>
      </c>
      <c r="F131" s="22">
        <v>74028702574.080002</v>
      </c>
      <c r="G131" s="22">
        <v>11</v>
      </c>
      <c r="H131" s="22" t="s">
        <v>1161</v>
      </c>
    </row>
    <row r="132" spans="1:8" x14ac:dyDescent="0.35">
      <c r="A132" s="22" t="s">
        <v>851</v>
      </c>
      <c r="B132" s="22" t="str">
        <f>"06823"</f>
        <v>06823</v>
      </c>
      <c r="C132" s="22" t="str">
        <f t="shared" si="2"/>
        <v>'6823.HK'</v>
      </c>
      <c r="D132" s="22" t="s">
        <v>1162</v>
      </c>
      <c r="E132" s="22" t="s">
        <v>865</v>
      </c>
      <c r="F132" s="22">
        <v>73978285179.839996</v>
      </c>
      <c r="G132" s="22">
        <v>30</v>
      </c>
      <c r="H132" s="22" t="s">
        <v>1163</v>
      </c>
    </row>
    <row r="133" spans="1:8" x14ac:dyDescent="0.35">
      <c r="A133" s="22" t="s">
        <v>851</v>
      </c>
      <c r="B133" s="22" t="str">
        <f>"00020"</f>
        <v>00020</v>
      </c>
      <c r="C133" s="22" t="str">
        <f t="shared" si="2"/>
        <v>'0020.HK'</v>
      </c>
      <c r="D133" s="22" t="s">
        <v>1164</v>
      </c>
      <c r="E133" s="22" t="s">
        <v>910</v>
      </c>
      <c r="F133" s="22">
        <v>73366533000</v>
      </c>
      <c r="G133" s="22">
        <v>73</v>
      </c>
      <c r="H133" s="22" t="s">
        <v>1165</v>
      </c>
    </row>
    <row r="134" spans="1:8" x14ac:dyDescent="0.35">
      <c r="A134" s="22" t="s">
        <v>851</v>
      </c>
      <c r="B134" s="22" t="str">
        <f>"06969"</f>
        <v>06969</v>
      </c>
      <c r="C134" s="22" t="str">
        <f t="shared" si="2"/>
        <v>'6969.HK'</v>
      </c>
      <c r="D134" s="22" t="s">
        <v>1166</v>
      </c>
      <c r="E134" s="22" t="s">
        <v>1167</v>
      </c>
      <c r="F134" s="22">
        <v>73300694713.199997</v>
      </c>
      <c r="G134" s="22">
        <v>339</v>
      </c>
      <c r="H134" s="22" t="s">
        <v>1168</v>
      </c>
    </row>
    <row r="135" spans="1:8" x14ac:dyDescent="0.35">
      <c r="A135" s="22" t="s">
        <v>851</v>
      </c>
      <c r="B135" s="22" t="str">
        <f>"03908"</f>
        <v>03908</v>
      </c>
      <c r="C135" s="22" t="str">
        <f t="shared" si="2"/>
        <v>'3908.HK'</v>
      </c>
      <c r="D135" s="22" t="s">
        <v>1169</v>
      </c>
      <c r="E135" s="22" t="s">
        <v>1130</v>
      </c>
      <c r="F135" s="22">
        <v>71443401646.399994</v>
      </c>
      <c r="G135" s="22">
        <v>147</v>
      </c>
      <c r="H135" s="22" t="s">
        <v>1170</v>
      </c>
    </row>
    <row r="136" spans="1:8" x14ac:dyDescent="0.35">
      <c r="A136" s="22" t="s">
        <v>851</v>
      </c>
      <c r="B136" s="22" t="str">
        <f>"09868"</f>
        <v>09868</v>
      </c>
      <c r="C136" s="22" t="str">
        <f t="shared" si="2"/>
        <v>'9868.HK'</v>
      </c>
      <c r="D136" s="22" t="s">
        <v>1171</v>
      </c>
      <c r="E136" s="22" t="s">
        <v>886</v>
      </c>
      <c r="F136" s="22">
        <v>71345375015.600006</v>
      </c>
      <c r="G136" s="22">
        <v>77</v>
      </c>
      <c r="H136" s="22" t="s">
        <v>1172</v>
      </c>
    </row>
    <row r="137" spans="1:8" x14ac:dyDescent="0.35">
      <c r="A137" s="22" t="s">
        <v>851</v>
      </c>
      <c r="B137" s="22" t="str">
        <f>"01378"</f>
        <v>01378</v>
      </c>
      <c r="C137" s="22" t="str">
        <f t="shared" si="2"/>
        <v>'1378.HK'</v>
      </c>
      <c r="D137" s="22" t="s">
        <v>1173</v>
      </c>
      <c r="E137" s="22" t="s">
        <v>1174</v>
      </c>
      <c r="F137" s="22">
        <v>71256048956</v>
      </c>
      <c r="G137" s="22">
        <v>160</v>
      </c>
      <c r="H137" s="22" t="s">
        <v>1175</v>
      </c>
    </row>
    <row r="138" spans="1:8" x14ac:dyDescent="0.35">
      <c r="A138" s="22" t="s">
        <v>851</v>
      </c>
      <c r="B138" s="22" t="str">
        <f>"00101"</f>
        <v>00101</v>
      </c>
      <c r="C138" s="22" t="str">
        <f t="shared" si="2"/>
        <v>'0101.HK'</v>
      </c>
      <c r="D138" s="22" t="s">
        <v>1176</v>
      </c>
      <c r="E138" s="22" t="s">
        <v>1028</v>
      </c>
      <c r="F138" s="22">
        <v>70908348159.199997</v>
      </c>
      <c r="G138" s="22">
        <v>113</v>
      </c>
      <c r="H138" s="22" t="s">
        <v>1177</v>
      </c>
    </row>
    <row r="139" spans="1:8" x14ac:dyDescent="0.35">
      <c r="A139" s="22" t="s">
        <v>851</v>
      </c>
      <c r="B139" s="22" t="str">
        <f>"00004"</f>
        <v>00004</v>
      </c>
      <c r="C139" s="22" t="str">
        <f t="shared" si="2"/>
        <v>'0004.HK'</v>
      </c>
      <c r="D139" s="22" t="s">
        <v>1178</v>
      </c>
      <c r="E139" s="22" t="s">
        <v>924</v>
      </c>
      <c r="F139" s="22">
        <v>70747032620.050003</v>
      </c>
      <c r="G139" s="22">
        <v>101</v>
      </c>
      <c r="H139" s="22" t="s">
        <v>1179</v>
      </c>
    </row>
    <row r="140" spans="1:8" x14ac:dyDescent="0.35">
      <c r="A140" s="22" t="s">
        <v>851</v>
      </c>
      <c r="B140" s="22" t="str">
        <f>"01193"</f>
        <v>01193</v>
      </c>
      <c r="C140" s="22" t="str">
        <f t="shared" si="2"/>
        <v>'1193.HK'</v>
      </c>
      <c r="D140" s="22" t="s">
        <v>1180</v>
      </c>
      <c r="E140" s="22" t="s">
        <v>1031</v>
      </c>
      <c r="F140" s="22">
        <v>68494780981.599998</v>
      </c>
      <c r="G140" s="22">
        <v>149</v>
      </c>
      <c r="H140" s="22" t="s">
        <v>1181</v>
      </c>
    </row>
    <row r="141" spans="1:8" x14ac:dyDescent="0.35">
      <c r="A141" s="22" t="s">
        <v>851</v>
      </c>
      <c r="B141" s="22" t="str">
        <f>"02196"</f>
        <v>02196</v>
      </c>
      <c r="C141" s="22" t="str">
        <f t="shared" si="2"/>
        <v>'2196.HK'</v>
      </c>
      <c r="D141" s="22" t="s">
        <v>1182</v>
      </c>
      <c r="E141" s="22" t="s">
        <v>969</v>
      </c>
      <c r="F141" s="22">
        <v>68407209241.599998</v>
      </c>
      <c r="G141" s="22">
        <v>309</v>
      </c>
      <c r="H141" s="22" t="s">
        <v>1183</v>
      </c>
    </row>
    <row r="142" spans="1:8" x14ac:dyDescent="0.35">
      <c r="A142" s="22" t="s">
        <v>851</v>
      </c>
      <c r="B142" s="22" t="str">
        <f>"01698"</f>
        <v>01698</v>
      </c>
      <c r="C142" s="22" t="str">
        <f t="shared" si="2"/>
        <v>'1698.HK'</v>
      </c>
      <c r="D142" s="22" t="s">
        <v>1184</v>
      </c>
      <c r="E142" s="22" t="s">
        <v>1185</v>
      </c>
      <c r="F142" s="22">
        <v>67437500000</v>
      </c>
      <c r="G142" s="22">
        <v>3</v>
      </c>
      <c r="H142" s="22" t="s">
        <v>1186</v>
      </c>
    </row>
    <row r="143" spans="1:8" x14ac:dyDescent="0.35">
      <c r="A143" s="22" t="s">
        <v>851</v>
      </c>
      <c r="B143" s="22" t="str">
        <f>"01787"</f>
        <v>01787</v>
      </c>
      <c r="C143" s="22" t="str">
        <f t="shared" si="2"/>
        <v>'1787.HK'</v>
      </c>
      <c r="D143" s="22" t="s">
        <v>1187</v>
      </c>
      <c r="E143" s="22" t="s">
        <v>929</v>
      </c>
      <c r="F143" s="22">
        <v>67101442875</v>
      </c>
      <c r="G143" s="22">
        <v>72</v>
      </c>
      <c r="H143" s="22" t="s">
        <v>1188</v>
      </c>
    </row>
    <row r="144" spans="1:8" x14ac:dyDescent="0.35">
      <c r="A144" s="22" t="s">
        <v>851</v>
      </c>
      <c r="B144" s="22" t="str">
        <f>"06099"</f>
        <v>06099</v>
      </c>
      <c r="C144" s="22" t="str">
        <f t="shared" si="2"/>
        <v>'6099.HK'</v>
      </c>
      <c r="D144" s="22" t="s">
        <v>1189</v>
      </c>
      <c r="E144" s="22" t="s">
        <v>1130</v>
      </c>
      <c r="F144" s="22">
        <v>66702360602.019997</v>
      </c>
      <c r="G144" s="22">
        <v>158</v>
      </c>
      <c r="H144" s="22" t="s">
        <v>1190</v>
      </c>
    </row>
    <row r="145" spans="1:8" x14ac:dyDescent="0.35">
      <c r="A145" s="22" t="s">
        <v>851</v>
      </c>
      <c r="B145" s="22" t="str">
        <f>"03759"</f>
        <v>03759</v>
      </c>
      <c r="C145" s="22" t="str">
        <f t="shared" si="2"/>
        <v>'3759.HK'</v>
      </c>
      <c r="D145" s="22" t="s">
        <v>1191</v>
      </c>
      <c r="E145" s="22" t="s">
        <v>969</v>
      </c>
      <c r="F145" s="22">
        <v>66461573698.199997</v>
      </c>
      <c r="G145" s="22">
        <v>82</v>
      </c>
      <c r="H145" s="22" t="s">
        <v>1192</v>
      </c>
    </row>
    <row r="146" spans="1:8" x14ac:dyDescent="0.35">
      <c r="A146" s="22" t="s">
        <v>851</v>
      </c>
      <c r="B146" s="22" t="str">
        <f>"01186"</f>
        <v>01186</v>
      </c>
      <c r="C146" s="22" t="str">
        <f t="shared" si="2"/>
        <v>'1186.HK'</v>
      </c>
      <c r="D146" s="22" t="s">
        <v>1193</v>
      </c>
      <c r="E146" s="22" t="s">
        <v>1078</v>
      </c>
      <c r="F146" s="22">
        <v>66403957935</v>
      </c>
      <c r="G146" s="22">
        <v>328</v>
      </c>
      <c r="H146" s="22" t="s">
        <v>1194</v>
      </c>
    </row>
    <row r="147" spans="1:8" x14ac:dyDescent="0.35">
      <c r="A147" s="22" t="s">
        <v>851</v>
      </c>
      <c r="B147" s="22" t="str">
        <f>"06098"</f>
        <v>06098</v>
      </c>
      <c r="C147" s="22" t="str">
        <f t="shared" si="2"/>
        <v>'6098.HK'</v>
      </c>
      <c r="D147" s="22" t="s">
        <v>1195</v>
      </c>
      <c r="E147" s="22" t="s">
        <v>1104</v>
      </c>
      <c r="F147" s="22">
        <v>65371208818.199997</v>
      </c>
      <c r="G147" s="22">
        <v>272</v>
      </c>
      <c r="H147" s="22" t="s">
        <v>1196</v>
      </c>
    </row>
    <row r="148" spans="1:8" x14ac:dyDescent="0.35">
      <c r="A148" s="22" t="s">
        <v>851</v>
      </c>
      <c r="B148" s="22" t="str">
        <f>"00902"</f>
        <v>00902</v>
      </c>
      <c r="C148" s="22" t="str">
        <f t="shared" si="2"/>
        <v>'0902.HK'</v>
      </c>
      <c r="D148" s="22" t="s">
        <v>1197</v>
      </c>
      <c r="E148" s="22" t="s">
        <v>1022</v>
      </c>
      <c r="F148" s="22">
        <v>63734259037.540001</v>
      </c>
      <c r="G148" s="22">
        <v>298</v>
      </c>
      <c r="H148" s="22" t="s">
        <v>1198</v>
      </c>
    </row>
    <row r="149" spans="1:8" x14ac:dyDescent="0.35">
      <c r="A149" s="22" t="s">
        <v>851</v>
      </c>
      <c r="B149" s="22" t="str">
        <f>"01099"</f>
        <v>01099</v>
      </c>
      <c r="C149" s="22" t="str">
        <f t="shared" si="2"/>
        <v>'1099.HK'</v>
      </c>
      <c r="D149" s="22" t="s">
        <v>1199</v>
      </c>
      <c r="E149" s="22" t="s">
        <v>969</v>
      </c>
      <c r="F149" s="22">
        <v>63505353486.849998</v>
      </c>
      <c r="G149" s="22">
        <v>289</v>
      </c>
      <c r="H149" s="22" t="s">
        <v>1200</v>
      </c>
    </row>
    <row r="150" spans="1:8" x14ac:dyDescent="0.35">
      <c r="A150" s="22" t="s">
        <v>851</v>
      </c>
      <c r="B150" s="22" t="str">
        <f>"00268"</f>
        <v>00268</v>
      </c>
      <c r="C150" s="22" t="str">
        <f t="shared" si="2"/>
        <v>'0268.HK'</v>
      </c>
      <c r="D150" s="22" t="s">
        <v>1201</v>
      </c>
      <c r="E150" s="22" t="s">
        <v>1202</v>
      </c>
      <c r="F150" s="22">
        <v>62949772790.519997</v>
      </c>
      <c r="G150" s="22">
        <v>215</v>
      </c>
      <c r="H150" s="22" t="s">
        <v>1203</v>
      </c>
    </row>
    <row r="151" spans="1:8" x14ac:dyDescent="0.35">
      <c r="A151" s="22" t="s">
        <v>851</v>
      </c>
      <c r="B151" s="22" t="str">
        <f>"00151"</f>
        <v>00151</v>
      </c>
      <c r="C151" s="22" t="str">
        <f t="shared" si="2"/>
        <v>'0151.HK'</v>
      </c>
      <c r="D151" s="22" t="s">
        <v>1204</v>
      </c>
      <c r="E151" s="22" t="s">
        <v>1205</v>
      </c>
      <c r="F151" s="22">
        <v>62864921834.150002</v>
      </c>
      <c r="G151" s="22">
        <v>153</v>
      </c>
      <c r="H151" s="22" t="s">
        <v>1206</v>
      </c>
    </row>
    <row r="152" spans="1:8" x14ac:dyDescent="0.35">
      <c r="A152" s="22" t="s">
        <v>851</v>
      </c>
      <c r="B152" s="22" t="str">
        <f>"06837"</f>
        <v>06837</v>
      </c>
      <c r="C152" s="22" t="str">
        <f t="shared" si="2"/>
        <v>'6837.HK'</v>
      </c>
      <c r="D152" s="22" t="s">
        <v>1207</v>
      </c>
      <c r="E152" s="22" t="s">
        <v>1130</v>
      </c>
      <c r="F152" s="22">
        <v>62708160000</v>
      </c>
      <c r="G152" s="22">
        <v>317</v>
      </c>
      <c r="H152" s="22" t="s">
        <v>1208</v>
      </c>
    </row>
    <row r="153" spans="1:8" x14ac:dyDescent="0.35">
      <c r="A153" s="22" t="s">
        <v>851</v>
      </c>
      <c r="B153" s="22" t="str">
        <f>"00384"</f>
        <v>00384</v>
      </c>
      <c r="C153" s="22" t="str">
        <f t="shared" si="2"/>
        <v>'0384.HK'</v>
      </c>
      <c r="D153" s="22" t="s">
        <v>1209</v>
      </c>
      <c r="E153" s="22" t="s">
        <v>1031</v>
      </c>
      <c r="F153" s="22">
        <v>62455054662.559998</v>
      </c>
      <c r="G153" s="22">
        <v>166</v>
      </c>
      <c r="H153" s="22" t="s">
        <v>1210</v>
      </c>
    </row>
    <row r="154" spans="1:8" x14ac:dyDescent="0.35">
      <c r="A154" s="22" t="s">
        <v>851</v>
      </c>
      <c r="B154" s="22" t="str">
        <f>"01800"</f>
        <v>01800</v>
      </c>
      <c r="C154" s="22" t="str">
        <f t="shared" si="2"/>
        <v>'1800.HK'</v>
      </c>
      <c r="D154" s="22" t="s">
        <v>1211</v>
      </c>
      <c r="E154" s="22" t="s">
        <v>1078</v>
      </c>
      <c r="F154" s="22">
        <v>62237988986.25</v>
      </c>
      <c r="G154" s="22">
        <v>318</v>
      </c>
      <c r="H154" s="22" t="s">
        <v>1212</v>
      </c>
    </row>
    <row r="155" spans="1:8" x14ac:dyDescent="0.35">
      <c r="A155" s="22" t="s">
        <v>851</v>
      </c>
      <c r="B155" s="22" t="str">
        <f>"06963"</f>
        <v>06963</v>
      </c>
      <c r="C155" s="22" t="str">
        <f t="shared" si="2"/>
        <v>'6963.HK'</v>
      </c>
      <c r="D155" s="22" t="s">
        <v>1213</v>
      </c>
      <c r="E155" s="22" t="s">
        <v>870</v>
      </c>
      <c r="F155" s="22">
        <v>62108208000</v>
      </c>
      <c r="H155" s="22" t="s">
        <v>1214</v>
      </c>
    </row>
    <row r="156" spans="1:8" x14ac:dyDescent="0.35">
      <c r="A156" s="22" t="s">
        <v>851</v>
      </c>
      <c r="B156" s="22" t="str">
        <f>"06186"</f>
        <v>06186</v>
      </c>
      <c r="C156" s="22" t="str">
        <f t="shared" si="2"/>
        <v>'6186.HK'</v>
      </c>
      <c r="D156" s="22" t="s">
        <v>1215</v>
      </c>
      <c r="E156" s="22" t="s">
        <v>1019</v>
      </c>
      <c r="F156" s="22">
        <v>61585497453.120003</v>
      </c>
      <c r="G156" s="22">
        <v>466</v>
      </c>
      <c r="H156" s="22" t="s">
        <v>1216</v>
      </c>
    </row>
    <row r="157" spans="1:8" x14ac:dyDescent="0.35">
      <c r="A157" s="22" t="s">
        <v>851</v>
      </c>
      <c r="B157" s="22" t="str">
        <f>"01336"</f>
        <v>01336</v>
      </c>
      <c r="C157" s="22" t="str">
        <f t="shared" si="2"/>
        <v>'1336.HK'</v>
      </c>
      <c r="D157" s="22" t="s">
        <v>1217</v>
      </c>
      <c r="E157" s="22" t="s">
        <v>870</v>
      </c>
      <c r="F157" s="22">
        <v>61579849884</v>
      </c>
      <c r="G157" s="22">
        <v>671</v>
      </c>
      <c r="H157" s="22" t="s">
        <v>1218</v>
      </c>
    </row>
    <row r="158" spans="1:8" x14ac:dyDescent="0.35">
      <c r="A158" s="22" t="s">
        <v>851</v>
      </c>
      <c r="B158" s="22" t="str">
        <f>"02602"</f>
        <v>02602</v>
      </c>
      <c r="C158" s="22" t="str">
        <f t="shared" si="2"/>
        <v>'2602.HK'</v>
      </c>
      <c r="D158" s="22" t="s">
        <v>1219</v>
      </c>
      <c r="E158" s="22" t="s">
        <v>1104</v>
      </c>
      <c r="F158" s="22">
        <v>61398219270</v>
      </c>
      <c r="G158" s="22">
        <v>9</v>
      </c>
      <c r="H158" s="22" t="s">
        <v>1220</v>
      </c>
    </row>
    <row r="159" spans="1:8" x14ac:dyDescent="0.35">
      <c r="A159" s="22" t="s">
        <v>851</v>
      </c>
      <c r="B159" s="22" t="str">
        <f>"00670"</f>
        <v>00670</v>
      </c>
      <c r="C159" s="22" t="str">
        <f t="shared" si="2"/>
        <v>'0670.HK'</v>
      </c>
      <c r="D159" s="22" t="s">
        <v>1221</v>
      </c>
      <c r="E159" s="22" t="s">
        <v>1081</v>
      </c>
      <c r="F159" s="22">
        <v>61341930253.5</v>
      </c>
      <c r="G159" s="22">
        <v>101</v>
      </c>
      <c r="H159" s="22" t="s">
        <v>1222</v>
      </c>
    </row>
    <row r="160" spans="1:8" x14ac:dyDescent="0.35">
      <c r="A160" s="22" t="s">
        <v>851</v>
      </c>
      <c r="B160" s="22" t="str">
        <f>"00868"</f>
        <v>00868</v>
      </c>
      <c r="C160" s="22" t="str">
        <f t="shared" si="2"/>
        <v>'0868.HK'</v>
      </c>
      <c r="D160" s="22" t="s">
        <v>1223</v>
      </c>
      <c r="E160" s="22" t="s">
        <v>1224</v>
      </c>
      <c r="F160" s="22">
        <v>61282496430.839996</v>
      </c>
      <c r="G160" s="22">
        <v>185</v>
      </c>
      <c r="H160" s="22" t="s">
        <v>1225</v>
      </c>
    </row>
    <row r="161" spans="1:8" x14ac:dyDescent="0.35">
      <c r="A161" s="22" t="s">
        <v>851</v>
      </c>
      <c r="B161" s="22" t="str">
        <f>"00486"</f>
        <v>00486</v>
      </c>
      <c r="C161" s="22" t="str">
        <f t="shared" si="2"/>
        <v>'0486.HK'</v>
      </c>
      <c r="D161" s="22" t="s">
        <v>1226</v>
      </c>
      <c r="E161" s="22" t="s">
        <v>1174</v>
      </c>
      <c r="F161" s="22">
        <v>59860478556.279999</v>
      </c>
      <c r="G161" s="22">
        <v>34</v>
      </c>
      <c r="H161" s="22" t="s">
        <v>1227</v>
      </c>
    </row>
    <row r="162" spans="1:8" x14ac:dyDescent="0.35">
      <c r="A162" s="22" t="s">
        <v>851</v>
      </c>
      <c r="B162" s="22" t="str">
        <f>"00288"</f>
        <v>00288</v>
      </c>
      <c r="C162" s="22" t="str">
        <f t="shared" si="2"/>
        <v>'0288.HK'</v>
      </c>
      <c r="D162" s="22" t="s">
        <v>1228</v>
      </c>
      <c r="E162" s="22" t="s">
        <v>1229</v>
      </c>
      <c r="F162" s="22">
        <v>59788823103</v>
      </c>
      <c r="G162" s="22">
        <v>251</v>
      </c>
      <c r="H162" s="22" t="s">
        <v>1230</v>
      </c>
    </row>
    <row r="163" spans="1:8" x14ac:dyDescent="0.35">
      <c r="A163" s="22" t="s">
        <v>851</v>
      </c>
      <c r="B163" s="22" t="str">
        <f>"01066"</f>
        <v>01066</v>
      </c>
      <c r="C163" s="22" t="str">
        <f t="shared" si="2"/>
        <v>'1066.HK'</v>
      </c>
      <c r="D163" s="22" t="s">
        <v>1231</v>
      </c>
      <c r="E163" s="22" t="s">
        <v>1232</v>
      </c>
      <c r="F163" s="22">
        <v>59601045504.959999</v>
      </c>
      <c r="G163" s="22">
        <v>171</v>
      </c>
      <c r="H163" s="22" t="s">
        <v>1233</v>
      </c>
    </row>
    <row r="164" spans="1:8" x14ac:dyDescent="0.35">
      <c r="A164" s="22" t="s">
        <v>851</v>
      </c>
      <c r="B164" s="22" t="str">
        <f>"02016"</f>
        <v>02016</v>
      </c>
      <c r="C164" s="22" t="str">
        <f t="shared" si="2"/>
        <v>'2016.HK'</v>
      </c>
      <c r="D164" s="22" t="s">
        <v>1234</v>
      </c>
      <c r="E164" s="22" t="s">
        <v>858</v>
      </c>
      <c r="F164" s="22">
        <v>59552350978.400002</v>
      </c>
      <c r="G164" s="22">
        <v>72</v>
      </c>
      <c r="H164" s="22" t="s">
        <v>1235</v>
      </c>
    </row>
    <row r="165" spans="1:8" x14ac:dyDescent="0.35">
      <c r="A165" s="22" t="s">
        <v>851</v>
      </c>
      <c r="B165" s="22" t="str">
        <f>"02600"</f>
        <v>02600</v>
      </c>
      <c r="C165" s="22" t="str">
        <f t="shared" si="2"/>
        <v>'2600.HK'</v>
      </c>
      <c r="D165" s="22" t="s">
        <v>1236</v>
      </c>
      <c r="E165" s="22" t="s">
        <v>1174</v>
      </c>
      <c r="F165" s="22">
        <v>57744758755.870003</v>
      </c>
      <c r="G165" s="22">
        <v>92</v>
      </c>
      <c r="H165" s="22" t="s">
        <v>1237</v>
      </c>
    </row>
    <row r="166" spans="1:8" x14ac:dyDescent="0.35">
      <c r="A166" s="22" t="s">
        <v>851</v>
      </c>
      <c r="B166" s="22" t="str">
        <f>"00285"</f>
        <v>00285</v>
      </c>
      <c r="C166" s="22" t="str">
        <f t="shared" si="2"/>
        <v>'0285.HK'</v>
      </c>
      <c r="D166" s="22" t="s">
        <v>1238</v>
      </c>
      <c r="E166" s="22" t="s">
        <v>938</v>
      </c>
      <c r="F166" s="22">
        <v>57682035200</v>
      </c>
      <c r="G166" s="22">
        <v>196</v>
      </c>
      <c r="H166" s="22" t="s">
        <v>1239</v>
      </c>
    </row>
    <row r="167" spans="1:8" x14ac:dyDescent="0.35">
      <c r="A167" s="22" t="s">
        <v>851</v>
      </c>
      <c r="B167" s="22" t="str">
        <f>"00017"</f>
        <v>00017</v>
      </c>
      <c r="C167" s="22" t="str">
        <f t="shared" si="2"/>
        <v>'0017.HK'</v>
      </c>
      <c r="D167" s="22" t="s">
        <v>1240</v>
      </c>
      <c r="E167" s="22" t="s">
        <v>924</v>
      </c>
      <c r="F167" s="22">
        <v>57253404640.25</v>
      </c>
      <c r="G167" s="22">
        <v>84</v>
      </c>
      <c r="H167" s="22" t="s">
        <v>1241</v>
      </c>
    </row>
    <row r="168" spans="1:8" x14ac:dyDescent="0.35">
      <c r="A168" s="22" t="s">
        <v>851</v>
      </c>
      <c r="B168" s="22" t="str">
        <f>"01548"</f>
        <v>01548</v>
      </c>
      <c r="C168" s="22" t="str">
        <f t="shared" si="2"/>
        <v>'1548.HK'</v>
      </c>
      <c r="D168" s="22" t="s">
        <v>1242</v>
      </c>
      <c r="E168" s="22" t="s">
        <v>941</v>
      </c>
      <c r="F168" s="22">
        <v>56151930942.900002</v>
      </c>
      <c r="G168" s="22">
        <v>177</v>
      </c>
      <c r="H168" s="22" t="s">
        <v>1243</v>
      </c>
    </row>
    <row r="169" spans="1:8" x14ac:dyDescent="0.35">
      <c r="A169" s="22" t="s">
        <v>851</v>
      </c>
      <c r="B169" s="22" t="str">
        <f>"02238"</f>
        <v>02238</v>
      </c>
      <c r="C169" s="22" t="str">
        <f t="shared" si="2"/>
        <v>'2238.HK'</v>
      </c>
      <c r="D169" s="22" t="s">
        <v>1244</v>
      </c>
      <c r="E169" s="22" t="s">
        <v>886</v>
      </c>
      <c r="F169" s="22">
        <v>55772894311.809998</v>
      </c>
      <c r="G169" s="22">
        <v>262</v>
      </c>
      <c r="H169" s="22" t="s">
        <v>1245</v>
      </c>
    </row>
    <row r="170" spans="1:8" x14ac:dyDescent="0.35">
      <c r="A170" s="22" t="s">
        <v>851</v>
      </c>
      <c r="B170" s="22" t="str">
        <f>"03323"</f>
        <v>03323</v>
      </c>
      <c r="C170" s="22" t="str">
        <f t="shared" si="2"/>
        <v>'3323.HK'</v>
      </c>
      <c r="D170" s="22" t="s">
        <v>1246</v>
      </c>
      <c r="E170" s="22" t="s">
        <v>1016</v>
      </c>
      <c r="F170" s="22">
        <v>55079052422.860001</v>
      </c>
      <c r="G170" s="22">
        <v>620</v>
      </c>
      <c r="H170" s="22" t="s">
        <v>1247</v>
      </c>
    </row>
    <row r="171" spans="1:8" x14ac:dyDescent="0.35">
      <c r="A171" s="22" t="s">
        <v>851</v>
      </c>
      <c r="B171" s="22" t="str">
        <f>"03898"</f>
        <v>03898</v>
      </c>
      <c r="C171" s="22" t="str">
        <f t="shared" si="2"/>
        <v>'3898.HK'</v>
      </c>
      <c r="D171" s="22" t="s">
        <v>1248</v>
      </c>
      <c r="E171" s="22" t="s">
        <v>1109</v>
      </c>
      <c r="F171" s="22">
        <v>54737556648.800003</v>
      </c>
      <c r="G171" s="22">
        <v>121</v>
      </c>
      <c r="H171" s="22" t="s">
        <v>1249</v>
      </c>
    </row>
    <row r="172" spans="1:8" x14ac:dyDescent="0.35">
      <c r="A172" s="22" t="s">
        <v>851</v>
      </c>
      <c r="B172" s="22" t="str">
        <f>"00293"</f>
        <v>00293</v>
      </c>
      <c r="C172" s="22" t="str">
        <f t="shared" si="2"/>
        <v>'0293.HK'</v>
      </c>
      <c r="D172" s="22" t="s">
        <v>1250</v>
      </c>
      <c r="E172" s="22" t="s">
        <v>1081</v>
      </c>
      <c r="F172" s="22">
        <v>54201225709.260002</v>
      </c>
      <c r="G172" s="22">
        <v>80</v>
      </c>
      <c r="H172" s="22" t="s">
        <v>1251</v>
      </c>
    </row>
    <row r="173" spans="1:8" x14ac:dyDescent="0.35">
      <c r="A173" s="22" t="s">
        <v>851</v>
      </c>
      <c r="B173" s="22" t="str">
        <f>"00656"</f>
        <v>00656</v>
      </c>
      <c r="C173" s="22" t="str">
        <f t="shared" si="2"/>
        <v>'0656.HK'</v>
      </c>
      <c r="D173" s="22" t="s">
        <v>1252</v>
      </c>
      <c r="E173" s="22" t="s">
        <v>958</v>
      </c>
      <c r="F173" s="22">
        <v>53924578413.440002</v>
      </c>
      <c r="G173" s="22">
        <v>767</v>
      </c>
      <c r="H173" s="22" t="s">
        <v>1253</v>
      </c>
    </row>
    <row r="174" spans="1:8" x14ac:dyDescent="0.35">
      <c r="A174" s="22" t="s">
        <v>851</v>
      </c>
      <c r="B174" s="22" t="str">
        <f>"00270"</f>
        <v>00270</v>
      </c>
      <c r="C174" s="22" t="str">
        <f t="shared" si="2"/>
        <v>'0270.HK'</v>
      </c>
      <c r="D174" s="22" t="s">
        <v>1254</v>
      </c>
      <c r="E174" s="22" t="s">
        <v>1255</v>
      </c>
      <c r="F174" s="22">
        <v>53871648665.599998</v>
      </c>
      <c r="G174" s="22">
        <v>89</v>
      </c>
      <c r="H174" s="22" t="s">
        <v>1256</v>
      </c>
    </row>
    <row r="175" spans="1:8" x14ac:dyDescent="0.35">
      <c r="A175" s="22" t="s">
        <v>851</v>
      </c>
      <c r="B175" s="22" t="str">
        <f>"01801"</f>
        <v>01801</v>
      </c>
      <c r="C175" s="22" t="str">
        <f t="shared" si="2"/>
        <v>'1801.HK'</v>
      </c>
      <c r="D175" s="22" t="s">
        <v>1257</v>
      </c>
      <c r="E175" s="22" t="s">
        <v>969</v>
      </c>
      <c r="F175" s="22">
        <v>53701313365</v>
      </c>
      <c r="G175" s="22">
        <v>319</v>
      </c>
      <c r="H175" s="22" t="s">
        <v>1258</v>
      </c>
    </row>
    <row r="176" spans="1:8" x14ac:dyDescent="0.35">
      <c r="A176" s="22" t="s">
        <v>851</v>
      </c>
      <c r="B176" s="22" t="str">
        <f>"03800"</f>
        <v>03800</v>
      </c>
      <c r="C176" s="22" t="str">
        <f t="shared" si="2"/>
        <v>'3800.HK'</v>
      </c>
      <c r="D176" s="22" t="s">
        <v>1259</v>
      </c>
      <c r="E176" s="22" t="s">
        <v>1145</v>
      </c>
      <c r="F176" s="22">
        <v>53674825986.540001</v>
      </c>
      <c r="G176" s="22">
        <v>150</v>
      </c>
      <c r="H176" s="22" t="s">
        <v>1260</v>
      </c>
    </row>
    <row r="177" spans="1:8" x14ac:dyDescent="0.35">
      <c r="A177" s="22" t="s">
        <v>851</v>
      </c>
      <c r="B177" s="22" t="str">
        <f>"06066"</f>
        <v>06066</v>
      </c>
      <c r="C177" s="22" t="str">
        <f t="shared" si="2"/>
        <v>'6066.HK'</v>
      </c>
      <c r="D177" s="22" t="s">
        <v>1261</v>
      </c>
      <c r="E177" s="22" t="s">
        <v>1130</v>
      </c>
      <c r="F177" s="22">
        <v>53055792411.480003</v>
      </c>
      <c r="G177" s="22">
        <v>194</v>
      </c>
      <c r="H177" s="22" t="s">
        <v>1262</v>
      </c>
    </row>
    <row r="178" spans="1:8" x14ac:dyDescent="0.35">
      <c r="A178" s="22" t="s">
        <v>851</v>
      </c>
      <c r="B178" s="22" t="str">
        <f>"02066"</f>
        <v>02066</v>
      </c>
      <c r="C178" s="22" t="str">
        <f t="shared" si="2"/>
        <v>'2066.HK'</v>
      </c>
      <c r="D178" s="22" t="s">
        <v>1263</v>
      </c>
      <c r="E178" s="22" t="s">
        <v>858</v>
      </c>
      <c r="F178" s="22">
        <v>52780081200</v>
      </c>
      <c r="G178" s="22">
        <v>52</v>
      </c>
      <c r="H178" s="22" t="s">
        <v>1264</v>
      </c>
    </row>
    <row r="179" spans="1:8" x14ac:dyDescent="0.35">
      <c r="A179" s="22" t="s">
        <v>851</v>
      </c>
      <c r="B179" s="22" t="str">
        <f>"00696"</f>
        <v>00696</v>
      </c>
      <c r="C179" s="22" t="str">
        <f t="shared" si="2"/>
        <v>'0696.HK'</v>
      </c>
      <c r="D179" s="22" t="s">
        <v>1265</v>
      </c>
      <c r="E179" s="22" t="s">
        <v>1202</v>
      </c>
      <c r="F179" s="22">
        <v>50506377506.139999</v>
      </c>
      <c r="G179" s="22">
        <v>135</v>
      </c>
      <c r="H179" s="22" t="s">
        <v>1266</v>
      </c>
    </row>
    <row r="180" spans="1:8" x14ac:dyDescent="0.35">
      <c r="A180" s="22" t="s">
        <v>851</v>
      </c>
      <c r="B180" s="22" t="str">
        <f>"02607"</f>
        <v>02607</v>
      </c>
      <c r="C180" s="22" t="str">
        <f t="shared" si="2"/>
        <v>'2607.HK'</v>
      </c>
      <c r="D180" s="22" t="s">
        <v>1267</v>
      </c>
      <c r="E180" s="22" t="s">
        <v>969</v>
      </c>
      <c r="F180" s="22">
        <v>49906005147</v>
      </c>
      <c r="G180" s="22">
        <v>267</v>
      </c>
      <c r="H180" s="22" t="s">
        <v>1268</v>
      </c>
    </row>
    <row r="181" spans="1:8" x14ac:dyDescent="0.35">
      <c r="A181" s="22" t="s">
        <v>851</v>
      </c>
      <c r="B181" s="22" t="str">
        <f>"01797"</f>
        <v>01797</v>
      </c>
      <c r="C181" s="22" t="str">
        <f t="shared" si="2"/>
        <v>'1797.HK'</v>
      </c>
      <c r="D181" s="22" t="s">
        <v>1269</v>
      </c>
      <c r="E181" s="22" t="s">
        <v>1270</v>
      </c>
      <c r="F181" s="22">
        <v>49786578072</v>
      </c>
      <c r="G181" s="22">
        <v>192</v>
      </c>
      <c r="H181" s="22" t="s">
        <v>1271</v>
      </c>
    </row>
    <row r="182" spans="1:8" x14ac:dyDescent="0.35">
      <c r="A182" s="22" t="s">
        <v>851</v>
      </c>
      <c r="B182" s="22" t="str">
        <f>"09889"</f>
        <v>09889</v>
      </c>
      <c r="C182" s="22" t="str">
        <f t="shared" si="2"/>
        <v>'9889.HK'</v>
      </c>
      <c r="D182" s="22" t="s">
        <v>1272</v>
      </c>
      <c r="E182" s="22" t="s">
        <v>858</v>
      </c>
      <c r="F182" s="22">
        <v>49735298582.199997</v>
      </c>
      <c r="G182" s="22">
        <v>3</v>
      </c>
      <c r="H182" s="22" t="s">
        <v>1273</v>
      </c>
    </row>
    <row r="183" spans="1:8" x14ac:dyDescent="0.35">
      <c r="A183" s="22" t="s">
        <v>851</v>
      </c>
      <c r="B183" s="22" t="str">
        <f>"00135"</f>
        <v>00135</v>
      </c>
      <c r="C183" s="22" t="str">
        <f t="shared" si="2"/>
        <v>'0135.HK'</v>
      </c>
      <c r="D183" s="22" t="s">
        <v>1274</v>
      </c>
      <c r="E183" s="22" t="s">
        <v>1031</v>
      </c>
      <c r="F183" s="22">
        <v>48835641633.120003</v>
      </c>
      <c r="G183" s="22">
        <v>100</v>
      </c>
      <c r="H183" s="22" t="s">
        <v>1275</v>
      </c>
    </row>
    <row r="184" spans="1:8" x14ac:dyDescent="0.35">
      <c r="A184" s="22" t="s">
        <v>851</v>
      </c>
      <c r="B184" s="22" t="str">
        <f>"03799"</f>
        <v>03799</v>
      </c>
      <c r="C184" s="22" t="str">
        <f t="shared" si="2"/>
        <v>'3799.HK'</v>
      </c>
      <c r="D184" s="22" t="s">
        <v>1276</v>
      </c>
      <c r="E184" s="22" t="s">
        <v>1205</v>
      </c>
      <c r="F184" s="22">
        <v>48751058300</v>
      </c>
      <c r="G184" s="22">
        <v>202</v>
      </c>
      <c r="H184" s="22" t="s">
        <v>1277</v>
      </c>
    </row>
    <row r="185" spans="1:8" x14ac:dyDescent="0.35">
      <c r="A185" s="22" t="s">
        <v>851</v>
      </c>
      <c r="B185" s="22" t="str">
        <f>"01128"</f>
        <v>01128</v>
      </c>
      <c r="C185" s="22" t="str">
        <f t="shared" si="2"/>
        <v>'1128.HK'</v>
      </c>
      <c r="D185" s="22" t="s">
        <v>1278</v>
      </c>
      <c r="E185" s="22" t="s">
        <v>961</v>
      </c>
      <c r="F185" s="22">
        <v>48375387984</v>
      </c>
      <c r="G185" s="22">
        <v>128</v>
      </c>
      <c r="H185" s="22" t="s">
        <v>1279</v>
      </c>
    </row>
    <row r="186" spans="1:8" x14ac:dyDescent="0.35">
      <c r="A186" s="22" t="s">
        <v>851</v>
      </c>
      <c r="B186" s="22" t="str">
        <f>"09901"</f>
        <v>09901</v>
      </c>
      <c r="C186" s="22" t="str">
        <f t="shared" si="2"/>
        <v>'9901.HK'</v>
      </c>
      <c r="D186" s="22" t="s">
        <v>1280</v>
      </c>
      <c r="E186" s="22" t="s">
        <v>1270</v>
      </c>
      <c r="F186" s="22">
        <v>47826738000</v>
      </c>
      <c r="G186" s="22">
        <v>29</v>
      </c>
      <c r="H186" s="22" t="s">
        <v>1281</v>
      </c>
    </row>
    <row r="187" spans="1:8" x14ac:dyDescent="0.35">
      <c r="A187" s="22" t="s">
        <v>851</v>
      </c>
      <c r="B187" s="22" t="str">
        <f>"01044"</f>
        <v>01044</v>
      </c>
      <c r="C187" s="22" t="str">
        <f t="shared" si="2"/>
        <v>'1044.HK'</v>
      </c>
      <c r="D187" s="22" t="s">
        <v>1282</v>
      </c>
      <c r="E187" s="22" t="s">
        <v>1283</v>
      </c>
      <c r="F187" s="22">
        <v>47298321321.900002</v>
      </c>
      <c r="G187" s="22">
        <v>265</v>
      </c>
      <c r="H187" s="22" t="s">
        <v>1284</v>
      </c>
    </row>
    <row r="188" spans="1:8" x14ac:dyDescent="0.35">
      <c r="A188" s="22" t="s">
        <v>851</v>
      </c>
      <c r="B188" s="22" t="str">
        <f>"01308"</f>
        <v>01308</v>
      </c>
      <c r="C188" s="22" t="str">
        <f t="shared" si="2"/>
        <v>'1308.HK'</v>
      </c>
      <c r="D188" s="22" t="s">
        <v>1285</v>
      </c>
      <c r="E188" s="22" t="s">
        <v>1047</v>
      </c>
      <c r="F188" s="22">
        <v>46889337172.800003</v>
      </c>
      <c r="G188" s="22">
        <v>64</v>
      </c>
      <c r="H188" s="22" t="s">
        <v>1286</v>
      </c>
    </row>
    <row r="189" spans="1:8" x14ac:dyDescent="0.35">
      <c r="A189" s="22" t="s">
        <v>851</v>
      </c>
      <c r="B189" s="22" t="str">
        <f>"02588"</f>
        <v>02588</v>
      </c>
      <c r="C189" s="22" t="str">
        <f t="shared" si="2"/>
        <v>'2588.HK'</v>
      </c>
      <c r="D189" s="22" t="s">
        <v>1287</v>
      </c>
      <c r="E189" s="22" t="s">
        <v>1081</v>
      </c>
      <c r="F189" s="22">
        <v>46463991861.300003</v>
      </c>
      <c r="G189" s="22">
        <v>92</v>
      </c>
      <c r="H189" s="22" t="s">
        <v>1288</v>
      </c>
    </row>
    <row r="190" spans="1:8" x14ac:dyDescent="0.35">
      <c r="A190" s="22" t="s">
        <v>851</v>
      </c>
      <c r="B190" s="22" t="str">
        <f>"02638"</f>
        <v>02638</v>
      </c>
      <c r="C190" s="22" t="str">
        <f t="shared" si="2"/>
        <v>'2638.HK'</v>
      </c>
      <c r="D190" s="22" t="s">
        <v>1289</v>
      </c>
      <c r="E190" s="22" t="s">
        <v>1022</v>
      </c>
      <c r="F190" s="22">
        <v>46390050000</v>
      </c>
      <c r="G190" s="22">
        <v>26</v>
      </c>
      <c r="H190" s="22" t="s">
        <v>1290</v>
      </c>
    </row>
    <row r="191" spans="1:8" x14ac:dyDescent="0.35">
      <c r="A191" s="22" t="s">
        <v>851</v>
      </c>
      <c r="B191" s="22" t="str">
        <f>"00144"</f>
        <v>00144</v>
      </c>
      <c r="C191" s="22" t="str">
        <f t="shared" si="2"/>
        <v>'0144.HK'</v>
      </c>
      <c r="D191" s="22" t="s">
        <v>1291</v>
      </c>
      <c r="E191" s="22" t="s">
        <v>1047</v>
      </c>
      <c r="F191" s="22">
        <v>46359175672.68</v>
      </c>
      <c r="G191" s="22">
        <v>249</v>
      </c>
      <c r="H191" s="22" t="s">
        <v>1292</v>
      </c>
    </row>
    <row r="192" spans="1:8" x14ac:dyDescent="0.35">
      <c r="A192" s="22" t="s">
        <v>851</v>
      </c>
      <c r="B192" s="22" t="str">
        <f>"02883"</f>
        <v>02883</v>
      </c>
      <c r="C192" s="22" t="str">
        <f t="shared" si="2"/>
        <v>'2883.HK'</v>
      </c>
      <c r="D192" s="22" t="s">
        <v>1293</v>
      </c>
      <c r="E192" s="22" t="s">
        <v>1294</v>
      </c>
      <c r="F192" s="22">
        <v>46141294640</v>
      </c>
      <c r="G192" s="22">
        <v>133</v>
      </c>
      <c r="H192" s="22" t="s">
        <v>1295</v>
      </c>
    </row>
    <row r="193" spans="1:8" x14ac:dyDescent="0.35">
      <c r="A193" s="22" t="s">
        <v>851</v>
      </c>
      <c r="B193" s="22" t="str">
        <f>"02380"</f>
        <v>02380</v>
      </c>
      <c r="C193" s="22" t="str">
        <f t="shared" si="2"/>
        <v>'2380.HK'</v>
      </c>
      <c r="D193" s="22" t="s">
        <v>1296</v>
      </c>
      <c r="E193" s="22" t="s">
        <v>1022</v>
      </c>
      <c r="F193" s="22">
        <v>44656245048.629997</v>
      </c>
      <c r="G193" s="22">
        <v>248</v>
      </c>
      <c r="H193" s="22" t="s">
        <v>1297</v>
      </c>
    </row>
    <row r="194" spans="1:8" x14ac:dyDescent="0.35">
      <c r="A194" s="22" t="s">
        <v>851</v>
      </c>
      <c r="B194" s="22" t="str">
        <f>"00247"</f>
        <v>00247</v>
      </c>
      <c r="C194" s="22" t="str">
        <f t="shared" si="2"/>
        <v>'0247.HK'</v>
      </c>
      <c r="D194" s="22" t="s">
        <v>1298</v>
      </c>
      <c r="E194" s="22" t="s">
        <v>924</v>
      </c>
      <c r="F194" s="22">
        <v>44462750482.5</v>
      </c>
      <c r="G194" s="22">
        <v>16</v>
      </c>
      <c r="H194" s="22" t="s">
        <v>1299</v>
      </c>
    </row>
    <row r="195" spans="1:8" x14ac:dyDescent="0.35">
      <c r="A195" s="22" t="s">
        <v>851</v>
      </c>
      <c r="B195" s="22" t="str">
        <f>"01072"</f>
        <v>01072</v>
      </c>
      <c r="C195" s="22" t="str">
        <f t="shared" ref="C195:C258" si="3">CONCATENATE("'",RIGHT(B195,4),".HK'")</f>
        <v>'1072.HK'</v>
      </c>
      <c r="D195" s="22" t="s">
        <v>1300</v>
      </c>
      <c r="E195" s="22" t="s">
        <v>1301</v>
      </c>
      <c r="F195" s="22">
        <v>43413804534.239998</v>
      </c>
      <c r="G195" s="22">
        <v>71</v>
      </c>
      <c r="H195" s="22" t="s">
        <v>1302</v>
      </c>
    </row>
    <row r="196" spans="1:8" x14ac:dyDescent="0.35">
      <c r="A196" s="22" t="s">
        <v>851</v>
      </c>
      <c r="B196" s="22" t="str">
        <f>"01585"</f>
        <v>01585</v>
      </c>
      <c r="C196" s="22" t="str">
        <f t="shared" si="3"/>
        <v>'1585.HK'</v>
      </c>
      <c r="D196" s="22" t="s">
        <v>1303</v>
      </c>
      <c r="E196" s="22" t="s">
        <v>886</v>
      </c>
      <c r="F196" s="22">
        <v>43260856000</v>
      </c>
      <c r="G196" s="22">
        <v>118</v>
      </c>
      <c r="H196" s="22" t="s">
        <v>1304</v>
      </c>
    </row>
    <row r="197" spans="1:8" x14ac:dyDescent="0.35">
      <c r="A197" s="22" t="s">
        <v>851</v>
      </c>
      <c r="B197" s="22" t="str">
        <f>"00780"</f>
        <v>00780</v>
      </c>
      <c r="C197" s="22" t="str">
        <f t="shared" si="3"/>
        <v>'0780.HK'</v>
      </c>
      <c r="D197" s="22" t="s">
        <v>1305</v>
      </c>
      <c r="E197" s="22" t="s">
        <v>897</v>
      </c>
      <c r="F197" s="22">
        <v>43255702709.519997</v>
      </c>
      <c r="G197" s="22">
        <v>51</v>
      </c>
      <c r="H197" s="22" t="s">
        <v>1306</v>
      </c>
    </row>
    <row r="198" spans="1:8" x14ac:dyDescent="0.35">
      <c r="A198" s="22" t="s">
        <v>851</v>
      </c>
      <c r="B198" s="22" t="str">
        <f>"03311"</f>
        <v>03311</v>
      </c>
      <c r="C198" s="22" t="str">
        <f t="shared" si="3"/>
        <v>'3311.HK'</v>
      </c>
      <c r="D198" s="22" t="s">
        <v>1307</v>
      </c>
      <c r="E198" s="22" t="s">
        <v>1078</v>
      </c>
      <c r="F198" s="22">
        <v>42668613177.959999</v>
      </c>
      <c r="G198" s="22">
        <v>157</v>
      </c>
      <c r="H198" s="22" t="s">
        <v>1308</v>
      </c>
    </row>
    <row r="199" spans="1:8" x14ac:dyDescent="0.35">
      <c r="A199" s="22" t="s">
        <v>851</v>
      </c>
      <c r="B199" s="22" t="str">
        <f>"06821"</f>
        <v>06821</v>
      </c>
      <c r="C199" s="22" t="str">
        <f t="shared" si="3"/>
        <v>'6821.HK'</v>
      </c>
      <c r="D199" s="22" t="s">
        <v>1309</v>
      </c>
      <c r="E199" s="22" t="s">
        <v>969</v>
      </c>
      <c r="F199" s="22">
        <v>42585211921.5</v>
      </c>
      <c r="G199" s="22">
        <v>18</v>
      </c>
      <c r="H199" s="22" t="s">
        <v>1310</v>
      </c>
    </row>
    <row r="200" spans="1:8" x14ac:dyDescent="0.35">
      <c r="A200" s="22" t="s">
        <v>851</v>
      </c>
      <c r="B200" s="22" t="str">
        <f>"01359"</f>
        <v>01359</v>
      </c>
      <c r="C200" s="22" t="str">
        <f t="shared" si="3"/>
        <v>'1359.HK'</v>
      </c>
      <c r="D200" s="22" t="s">
        <v>1311</v>
      </c>
      <c r="E200" s="22" t="s">
        <v>964</v>
      </c>
      <c r="F200" s="22">
        <v>41980988661.699997</v>
      </c>
      <c r="G200" s="22">
        <v>516</v>
      </c>
      <c r="H200" s="22" t="s">
        <v>1312</v>
      </c>
    </row>
    <row r="201" spans="1:8" x14ac:dyDescent="0.35">
      <c r="A201" s="22" t="s">
        <v>851</v>
      </c>
      <c r="B201" s="22" t="str">
        <f>"03320"</f>
        <v>03320</v>
      </c>
      <c r="C201" s="22" t="str">
        <f t="shared" si="3"/>
        <v>'3320.HK'</v>
      </c>
      <c r="D201" s="22" t="s">
        <v>1313</v>
      </c>
      <c r="E201" s="22" t="s">
        <v>969</v>
      </c>
      <c r="F201" s="22">
        <v>40961968205.720001</v>
      </c>
      <c r="G201" s="22">
        <v>140</v>
      </c>
      <c r="H201" s="22" t="s">
        <v>1314</v>
      </c>
    </row>
    <row r="202" spans="1:8" x14ac:dyDescent="0.35">
      <c r="A202" s="22" t="s">
        <v>851</v>
      </c>
      <c r="B202" s="22" t="str">
        <f>"00358"</f>
        <v>00358</v>
      </c>
      <c r="C202" s="22" t="str">
        <f t="shared" si="3"/>
        <v>'0358.HK'</v>
      </c>
      <c r="D202" s="22" t="s">
        <v>1315</v>
      </c>
      <c r="E202" s="22" t="s">
        <v>1316</v>
      </c>
      <c r="F202" s="22">
        <v>40860206979</v>
      </c>
      <c r="G202" s="22">
        <v>116</v>
      </c>
      <c r="H202" s="22" t="s">
        <v>1317</v>
      </c>
    </row>
    <row r="203" spans="1:8" x14ac:dyDescent="0.35">
      <c r="A203" s="22" t="s">
        <v>851</v>
      </c>
      <c r="B203" s="22" t="str">
        <f>"03668"</f>
        <v>03668</v>
      </c>
      <c r="C203" s="22" t="str">
        <f t="shared" si="3"/>
        <v>'3668.HK'</v>
      </c>
      <c r="D203" s="22" t="s">
        <v>1318</v>
      </c>
      <c r="E203" s="22" t="s">
        <v>904</v>
      </c>
      <c r="F203" s="22">
        <v>40669534659.599998</v>
      </c>
      <c r="G203" s="22">
        <v>14</v>
      </c>
      <c r="H203" s="22" t="s">
        <v>1319</v>
      </c>
    </row>
    <row r="204" spans="1:8" x14ac:dyDescent="0.35">
      <c r="A204" s="22" t="s">
        <v>851</v>
      </c>
      <c r="B204" s="22" t="str">
        <f>"06865"</f>
        <v>06865</v>
      </c>
      <c r="C204" s="22" t="str">
        <f t="shared" si="3"/>
        <v>'6865.HK'</v>
      </c>
      <c r="D204" s="22" t="s">
        <v>1320</v>
      </c>
      <c r="E204" s="22" t="s">
        <v>1145</v>
      </c>
      <c r="F204" s="22">
        <v>40490413050.82</v>
      </c>
      <c r="G204" s="22">
        <v>106</v>
      </c>
      <c r="H204" s="22" t="s">
        <v>1321</v>
      </c>
    </row>
    <row r="205" spans="1:8" x14ac:dyDescent="0.35">
      <c r="A205" s="22" t="s">
        <v>851</v>
      </c>
      <c r="B205" s="22" t="str">
        <f>"03998"</f>
        <v>03998</v>
      </c>
      <c r="C205" s="22" t="str">
        <f t="shared" si="3"/>
        <v>'3998.HK'</v>
      </c>
      <c r="D205" s="22" t="s">
        <v>1322</v>
      </c>
      <c r="E205" s="22" t="s">
        <v>889</v>
      </c>
      <c r="F205" s="22">
        <v>40423423138.349998</v>
      </c>
      <c r="G205" s="22">
        <v>127</v>
      </c>
      <c r="H205" s="22" t="s">
        <v>1323</v>
      </c>
    </row>
    <row r="206" spans="1:8" x14ac:dyDescent="0.35">
      <c r="A206" s="22" t="s">
        <v>851</v>
      </c>
      <c r="B206" s="22" t="str">
        <f>"00853"</f>
        <v>00853</v>
      </c>
      <c r="C206" s="22" t="str">
        <f t="shared" si="3"/>
        <v>'0853.HK'</v>
      </c>
      <c r="D206" s="22" t="s">
        <v>1324</v>
      </c>
      <c r="E206" s="22" t="s">
        <v>1232</v>
      </c>
      <c r="F206" s="22">
        <v>40291494960.150002</v>
      </c>
      <c r="G206" s="22">
        <v>525</v>
      </c>
      <c r="H206" s="22" t="s">
        <v>1325</v>
      </c>
    </row>
    <row r="207" spans="1:8" x14ac:dyDescent="0.35">
      <c r="A207" s="22" t="s">
        <v>851</v>
      </c>
      <c r="B207" s="22" t="str">
        <f>"09926"</f>
        <v>09926</v>
      </c>
      <c r="C207" s="22" t="str">
        <f t="shared" si="3"/>
        <v>'9926.HK'</v>
      </c>
      <c r="D207" s="22" t="s">
        <v>1326</v>
      </c>
      <c r="E207" s="22" t="s">
        <v>941</v>
      </c>
      <c r="F207" s="22">
        <v>39782004424.800003</v>
      </c>
      <c r="G207" s="22">
        <v>106</v>
      </c>
      <c r="H207" s="22" t="s">
        <v>1327</v>
      </c>
    </row>
    <row r="208" spans="1:8" x14ac:dyDescent="0.35">
      <c r="A208" s="22" t="s">
        <v>851</v>
      </c>
      <c r="B208" s="22" t="str">
        <f>"06689"</f>
        <v>06689</v>
      </c>
      <c r="C208" s="22" t="str">
        <f t="shared" si="3"/>
        <v>'6689.HK'</v>
      </c>
      <c r="D208" s="22" t="s">
        <v>1328</v>
      </c>
      <c r="E208" s="22" t="s">
        <v>1329</v>
      </c>
      <c r="F208" s="22">
        <v>39539400649.199997</v>
      </c>
      <c r="G208" s="22">
        <v>0</v>
      </c>
      <c r="H208" s="22" t="s">
        <v>1330</v>
      </c>
    </row>
    <row r="209" spans="1:8" x14ac:dyDescent="0.35">
      <c r="A209" s="22" t="s">
        <v>851</v>
      </c>
      <c r="B209" s="22" t="str">
        <f>"06110"</f>
        <v>06110</v>
      </c>
      <c r="C209" s="22" t="str">
        <f t="shared" si="3"/>
        <v>'6110.HK'</v>
      </c>
      <c r="D209" s="22" t="s">
        <v>1331</v>
      </c>
      <c r="E209" s="22" t="s">
        <v>1332</v>
      </c>
      <c r="F209" s="22">
        <v>39439772072.639999</v>
      </c>
      <c r="G209" s="22">
        <v>45</v>
      </c>
      <c r="H209" s="22" t="s">
        <v>1333</v>
      </c>
    </row>
    <row r="210" spans="1:8" x14ac:dyDescent="0.35">
      <c r="A210" s="22" t="s">
        <v>851</v>
      </c>
      <c r="B210" s="22" t="str">
        <f>"06881"</f>
        <v>06881</v>
      </c>
      <c r="C210" s="22" t="str">
        <f t="shared" si="3"/>
        <v>'6881.HK'</v>
      </c>
      <c r="D210" s="22" t="s">
        <v>1334</v>
      </c>
      <c r="E210" s="22" t="s">
        <v>1130</v>
      </c>
      <c r="F210" s="22">
        <v>39129891439.5</v>
      </c>
      <c r="G210" s="22">
        <v>257</v>
      </c>
      <c r="H210" s="22" t="s">
        <v>1335</v>
      </c>
    </row>
    <row r="211" spans="1:8" x14ac:dyDescent="0.35">
      <c r="A211" s="22" t="s">
        <v>851</v>
      </c>
      <c r="B211" s="22" t="str">
        <f>"00489"</f>
        <v>00489</v>
      </c>
      <c r="C211" s="22" t="str">
        <f t="shared" si="3"/>
        <v>'0489.HK'</v>
      </c>
      <c r="D211" s="22" t="s">
        <v>1336</v>
      </c>
      <c r="E211" s="22" t="s">
        <v>1109</v>
      </c>
      <c r="F211" s="22">
        <v>38858701200</v>
      </c>
      <c r="G211" s="22">
        <v>346</v>
      </c>
      <c r="H211" s="22" t="s">
        <v>1337</v>
      </c>
    </row>
    <row r="212" spans="1:8" x14ac:dyDescent="0.35">
      <c r="A212" s="22" t="s">
        <v>851</v>
      </c>
      <c r="B212" s="22" t="str">
        <f>"03888"</f>
        <v>03888</v>
      </c>
      <c r="C212" s="22" t="str">
        <f t="shared" si="3"/>
        <v>'3888.HK'</v>
      </c>
      <c r="D212" s="22" t="s">
        <v>1338</v>
      </c>
      <c r="E212" s="22" t="s">
        <v>910</v>
      </c>
      <c r="F212" s="22">
        <v>38757313148.650002</v>
      </c>
      <c r="G212" s="22">
        <v>328</v>
      </c>
      <c r="H212" s="22" t="s">
        <v>1339</v>
      </c>
    </row>
    <row r="213" spans="1:8" x14ac:dyDescent="0.35">
      <c r="A213" s="22" t="s">
        <v>851</v>
      </c>
      <c r="B213" s="22" t="str">
        <f>"01877"</f>
        <v>01877</v>
      </c>
      <c r="C213" s="22" t="str">
        <f t="shared" si="3"/>
        <v>'1877.HK'</v>
      </c>
      <c r="D213" s="22" t="s">
        <v>1340</v>
      </c>
      <c r="E213" s="22" t="s">
        <v>941</v>
      </c>
      <c r="F213" s="22">
        <v>38386252462</v>
      </c>
      <c r="G213" s="22">
        <v>132</v>
      </c>
      <c r="H213" s="22" t="s">
        <v>1341</v>
      </c>
    </row>
    <row r="214" spans="1:8" x14ac:dyDescent="0.35">
      <c r="A214" s="22" t="s">
        <v>851</v>
      </c>
      <c r="B214" s="22" t="str">
        <f>"03996"</f>
        <v>03996</v>
      </c>
      <c r="C214" s="22" t="str">
        <f t="shared" si="3"/>
        <v>'3996.HK'</v>
      </c>
      <c r="D214" s="22" t="s">
        <v>1342</v>
      </c>
      <c r="E214" s="22" t="s">
        <v>1301</v>
      </c>
      <c r="F214" s="22">
        <v>38355870545.120003</v>
      </c>
      <c r="G214" s="22">
        <v>83</v>
      </c>
      <c r="H214" s="22" t="s">
        <v>1343</v>
      </c>
    </row>
    <row r="215" spans="1:8" x14ac:dyDescent="0.35">
      <c r="A215" s="22" t="s">
        <v>851</v>
      </c>
      <c r="B215" s="22" t="str">
        <f>"06199"</f>
        <v>06199</v>
      </c>
      <c r="C215" s="22" t="str">
        <f t="shared" si="3"/>
        <v>'6199.HK'</v>
      </c>
      <c r="D215" s="22" t="s">
        <v>1344</v>
      </c>
      <c r="E215" s="22" t="s">
        <v>858</v>
      </c>
      <c r="F215" s="22">
        <v>38220682469.279999</v>
      </c>
      <c r="G215" s="22">
        <v>10</v>
      </c>
      <c r="H215" s="22" t="s">
        <v>1345</v>
      </c>
    </row>
    <row r="216" spans="1:8" x14ac:dyDescent="0.35">
      <c r="A216" s="22" t="s">
        <v>851</v>
      </c>
      <c r="B216" s="22" t="str">
        <f>"01908"</f>
        <v>01908</v>
      </c>
      <c r="C216" s="22" t="str">
        <f t="shared" si="3"/>
        <v>'1908.HK'</v>
      </c>
      <c r="D216" s="22" t="s">
        <v>1346</v>
      </c>
      <c r="E216" s="22" t="s">
        <v>924</v>
      </c>
      <c r="F216" s="22">
        <v>37674480493</v>
      </c>
      <c r="G216" s="22">
        <v>51</v>
      </c>
      <c r="H216" s="22" t="s">
        <v>1347</v>
      </c>
    </row>
    <row r="217" spans="1:8" x14ac:dyDescent="0.35">
      <c r="A217" s="22" t="s">
        <v>851</v>
      </c>
      <c r="B217" s="22" t="str">
        <f>"00874"</f>
        <v>00874</v>
      </c>
      <c r="C217" s="22" t="str">
        <f t="shared" si="3"/>
        <v>'0874.HK'</v>
      </c>
      <c r="D217" s="22" t="s">
        <v>1348</v>
      </c>
      <c r="E217" s="22" t="s">
        <v>1349</v>
      </c>
      <c r="F217" s="22">
        <v>37555770921.900002</v>
      </c>
      <c r="G217" s="22">
        <v>288</v>
      </c>
      <c r="H217" s="22" t="s">
        <v>1350</v>
      </c>
    </row>
    <row r="218" spans="1:8" x14ac:dyDescent="0.35">
      <c r="A218" s="22" t="s">
        <v>851</v>
      </c>
      <c r="B218" s="22" t="str">
        <f>"02282"</f>
        <v>02282</v>
      </c>
      <c r="C218" s="22" t="str">
        <f t="shared" si="3"/>
        <v>'2282.HK'</v>
      </c>
      <c r="D218" s="22" t="s">
        <v>1351</v>
      </c>
      <c r="E218" s="22" t="s">
        <v>961</v>
      </c>
      <c r="F218" s="22">
        <v>37012000009.739998</v>
      </c>
      <c r="G218" s="22">
        <v>94</v>
      </c>
      <c r="H218" s="22" t="s">
        <v>1352</v>
      </c>
    </row>
    <row r="219" spans="1:8" x14ac:dyDescent="0.35">
      <c r="A219" s="22" t="s">
        <v>851</v>
      </c>
      <c r="B219" s="22" t="str">
        <f>"09898"</f>
        <v>09898</v>
      </c>
      <c r="C219" s="22" t="str">
        <f t="shared" si="3"/>
        <v>'9898.HK'</v>
      </c>
      <c r="D219" s="22" t="s">
        <v>1353</v>
      </c>
      <c r="E219" s="22" t="s">
        <v>853</v>
      </c>
      <c r="F219" s="22">
        <v>36980080000</v>
      </c>
      <c r="G219" s="22">
        <v>15</v>
      </c>
      <c r="H219" s="22" t="s">
        <v>1354</v>
      </c>
    </row>
    <row r="220" spans="1:8" x14ac:dyDescent="0.35">
      <c r="A220" s="22" t="s">
        <v>851</v>
      </c>
      <c r="B220" s="22" t="str">
        <f>"06806"</f>
        <v>06806</v>
      </c>
      <c r="C220" s="22" t="str">
        <f t="shared" si="3"/>
        <v>'6806.HK'</v>
      </c>
      <c r="D220" s="22" t="s">
        <v>1355</v>
      </c>
      <c r="E220" s="22" t="s">
        <v>1130</v>
      </c>
      <c r="F220" s="22">
        <v>36558319057.599998</v>
      </c>
      <c r="G220" s="22">
        <v>68</v>
      </c>
      <c r="H220" s="22" t="s">
        <v>1356</v>
      </c>
    </row>
    <row r="221" spans="1:8" x14ac:dyDescent="0.35">
      <c r="A221" s="22" t="s">
        <v>851</v>
      </c>
      <c r="B221" s="22" t="str">
        <f>"00973"</f>
        <v>00973</v>
      </c>
      <c r="C221" s="22" t="str">
        <f t="shared" si="3"/>
        <v>'0973.HK'</v>
      </c>
      <c r="D221" s="22" t="s">
        <v>1357</v>
      </c>
      <c r="E221" s="22" t="s">
        <v>1002</v>
      </c>
      <c r="F221" s="22">
        <v>36333336318.599998</v>
      </c>
      <c r="G221" s="22">
        <v>18</v>
      </c>
      <c r="H221" s="22" t="s">
        <v>1358</v>
      </c>
    </row>
    <row r="222" spans="1:8" x14ac:dyDescent="0.35">
      <c r="A222" s="22" t="s">
        <v>851</v>
      </c>
      <c r="B222" s="22" t="str">
        <f>"01618"</f>
        <v>01618</v>
      </c>
      <c r="C222" s="22" t="str">
        <f t="shared" si="3"/>
        <v>'1618.HK'</v>
      </c>
      <c r="D222" s="22" t="s">
        <v>1359</v>
      </c>
      <c r="E222" s="22" t="s">
        <v>1078</v>
      </c>
      <c r="F222" s="22">
        <v>36266333547.5</v>
      </c>
      <c r="G222" s="22">
        <v>135</v>
      </c>
      <c r="H222" s="22" t="s">
        <v>1360</v>
      </c>
    </row>
    <row r="223" spans="1:8" x14ac:dyDescent="0.35">
      <c r="A223" s="22" t="s">
        <v>851</v>
      </c>
      <c r="B223" s="22" t="str">
        <f>"06078"</f>
        <v>06078</v>
      </c>
      <c r="C223" s="22" t="str">
        <f t="shared" si="3"/>
        <v>'6078.HK'</v>
      </c>
      <c r="D223" s="22" t="s">
        <v>1361</v>
      </c>
      <c r="E223" s="22" t="s">
        <v>1362</v>
      </c>
      <c r="F223" s="22">
        <v>36170874330</v>
      </c>
      <c r="G223" s="22">
        <v>125</v>
      </c>
      <c r="H223" s="22" t="s">
        <v>1363</v>
      </c>
    </row>
    <row r="224" spans="1:8" x14ac:dyDescent="0.35">
      <c r="A224" s="22" t="s">
        <v>851</v>
      </c>
      <c r="B224" s="22" t="str">
        <f>"01347"</f>
        <v>01347</v>
      </c>
      <c r="C224" s="22" t="str">
        <f t="shared" si="3"/>
        <v>'1347.HK'</v>
      </c>
      <c r="D224" s="22" t="s">
        <v>1364</v>
      </c>
      <c r="E224" s="22" t="s">
        <v>1040</v>
      </c>
      <c r="F224" s="22">
        <v>36128646129.449997</v>
      </c>
      <c r="G224" s="22">
        <v>199</v>
      </c>
      <c r="H224" s="22" t="s">
        <v>1365</v>
      </c>
    </row>
    <row r="225" spans="1:8" x14ac:dyDescent="0.35">
      <c r="A225" s="22" t="s">
        <v>851</v>
      </c>
      <c r="B225" s="22" t="str">
        <f>"00177"</f>
        <v>00177</v>
      </c>
      <c r="C225" s="22" t="str">
        <f t="shared" si="3"/>
        <v>'0177.HK'</v>
      </c>
      <c r="D225" s="22" t="s">
        <v>1366</v>
      </c>
      <c r="E225" s="22" t="s">
        <v>1367</v>
      </c>
      <c r="F225" s="22">
        <v>35969517150</v>
      </c>
      <c r="G225" s="22">
        <v>170</v>
      </c>
      <c r="H225" s="22" t="s">
        <v>1368</v>
      </c>
    </row>
    <row r="226" spans="1:8" x14ac:dyDescent="0.35">
      <c r="A226" s="22" t="s">
        <v>851</v>
      </c>
      <c r="B226" s="22" t="str">
        <f>"03931"</f>
        <v>03931</v>
      </c>
      <c r="C226" s="22" t="str">
        <f t="shared" si="3"/>
        <v>'3931.HK'</v>
      </c>
      <c r="D226" s="22" t="s">
        <v>1369</v>
      </c>
      <c r="E226" s="22" t="s">
        <v>1122</v>
      </c>
      <c r="F226" s="22">
        <v>35446037160</v>
      </c>
      <c r="G226" s="22">
        <v>7</v>
      </c>
      <c r="H226" s="22" t="s">
        <v>1370</v>
      </c>
    </row>
    <row r="227" spans="1:8" x14ac:dyDescent="0.35">
      <c r="A227" s="22" t="s">
        <v>851</v>
      </c>
      <c r="B227" s="22" t="str">
        <f>"00966"</f>
        <v>00966</v>
      </c>
      <c r="C227" s="22" t="str">
        <f t="shared" si="3"/>
        <v>'0966.HK'</v>
      </c>
      <c r="D227" s="22" t="s">
        <v>1371</v>
      </c>
      <c r="E227" s="22" t="s">
        <v>870</v>
      </c>
      <c r="F227" s="22">
        <v>35329202228.540001</v>
      </c>
      <c r="G227" s="22">
        <v>560</v>
      </c>
      <c r="H227" s="22" t="s">
        <v>1372</v>
      </c>
    </row>
    <row r="228" spans="1:8" x14ac:dyDescent="0.35">
      <c r="A228" s="22" t="s">
        <v>851</v>
      </c>
      <c r="B228" s="22" t="str">
        <f>"00412"</f>
        <v>00412</v>
      </c>
      <c r="C228" s="22" t="str">
        <f t="shared" si="3"/>
        <v>'0412.HK'</v>
      </c>
      <c r="D228" s="22" t="s">
        <v>1373</v>
      </c>
      <c r="E228" s="22" t="s">
        <v>964</v>
      </c>
      <c r="F228" s="22">
        <v>34732117498.93</v>
      </c>
      <c r="G228" s="22">
        <v>6</v>
      </c>
      <c r="H228" s="22" t="s">
        <v>1374</v>
      </c>
    </row>
    <row r="229" spans="1:8" x14ac:dyDescent="0.35">
      <c r="A229" s="22" t="s">
        <v>851</v>
      </c>
      <c r="B229" s="22" t="str">
        <f>"02367"</f>
        <v>02367</v>
      </c>
      <c r="C229" s="22" t="str">
        <f t="shared" si="3"/>
        <v>'2367.HK'</v>
      </c>
      <c r="D229" s="22" t="s">
        <v>1375</v>
      </c>
      <c r="E229" s="22" t="s">
        <v>941</v>
      </c>
      <c r="F229" s="22">
        <v>34576250000</v>
      </c>
      <c r="G229" s="22">
        <v>5</v>
      </c>
      <c r="H229" s="22" t="s">
        <v>1376</v>
      </c>
    </row>
    <row r="230" spans="1:8" x14ac:dyDescent="0.35">
      <c r="A230" s="22" t="s">
        <v>851</v>
      </c>
      <c r="B230" s="22" t="str">
        <f>"02689"</f>
        <v>02689</v>
      </c>
      <c r="C230" s="22" t="str">
        <f t="shared" si="3"/>
        <v>'2689.HK'</v>
      </c>
      <c r="D230" s="22" t="s">
        <v>1377</v>
      </c>
      <c r="E230" s="22" t="s">
        <v>1378</v>
      </c>
      <c r="F230" s="22">
        <v>34534745168.959999</v>
      </c>
      <c r="G230" s="22">
        <v>146</v>
      </c>
      <c r="H230" s="22" t="s">
        <v>1379</v>
      </c>
    </row>
    <row r="231" spans="1:8" x14ac:dyDescent="0.35">
      <c r="A231" s="22" t="s">
        <v>851</v>
      </c>
      <c r="B231" s="22" t="str">
        <f>"03698"</f>
        <v>03698</v>
      </c>
      <c r="C231" s="22" t="str">
        <f t="shared" si="3"/>
        <v>'3698.HK'</v>
      </c>
      <c r="D231" s="22" t="s">
        <v>1380</v>
      </c>
      <c r="E231" s="22" t="s">
        <v>858</v>
      </c>
      <c r="F231" s="22">
        <v>34446707003.279999</v>
      </c>
      <c r="G231" s="22">
        <v>52</v>
      </c>
      <c r="H231" s="22" t="s">
        <v>1381</v>
      </c>
    </row>
    <row r="232" spans="1:8" x14ac:dyDescent="0.35">
      <c r="A232" s="22" t="s">
        <v>851</v>
      </c>
      <c r="B232" s="22" t="str">
        <f>"01882"</f>
        <v>01882</v>
      </c>
      <c r="C232" s="22" t="str">
        <f t="shared" si="3"/>
        <v>'1882.HK'</v>
      </c>
      <c r="D232" s="22" t="s">
        <v>1382</v>
      </c>
      <c r="E232" s="22" t="s">
        <v>1224</v>
      </c>
      <c r="F232" s="22">
        <v>34314000000</v>
      </c>
      <c r="G232" s="22">
        <v>90</v>
      </c>
      <c r="H232" s="22" t="s">
        <v>1383</v>
      </c>
    </row>
    <row r="233" spans="1:8" x14ac:dyDescent="0.35">
      <c r="A233" s="22" t="s">
        <v>851</v>
      </c>
      <c r="B233" s="22" t="str">
        <f>"00220"</f>
        <v>00220</v>
      </c>
      <c r="C233" s="22" t="str">
        <f t="shared" si="3"/>
        <v>'0220.HK'</v>
      </c>
      <c r="D233" s="22" t="s">
        <v>1384</v>
      </c>
      <c r="E233" s="22" t="s">
        <v>892</v>
      </c>
      <c r="F233" s="22">
        <v>34209125280</v>
      </c>
      <c r="G233" s="22">
        <v>97</v>
      </c>
      <c r="H233" s="22" t="s">
        <v>1385</v>
      </c>
    </row>
    <row r="234" spans="1:8" x14ac:dyDescent="0.35">
      <c r="A234" s="22" t="s">
        <v>851</v>
      </c>
      <c r="B234" s="22" t="str">
        <f>"00880"</f>
        <v>00880</v>
      </c>
      <c r="C234" s="22" t="str">
        <f t="shared" si="3"/>
        <v>'0880.HK'</v>
      </c>
      <c r="D234" s="22" t="s">
        <v>1386</v>
      </c>
      <c r="E234" s="22" t="s">
        <v>961</v>
      </c>
      <c r="F234" s="22">
        <v>33875611595.82</v>
      </c>
      <c r="G234" s="22">
        <v>211</v>
      </c>
      <c r="H234" s="22" t="s">
        <v>1387</v>
      </c>
    </row>
    <row r="235" spans="1:8" x14ac:dyDescent="0.35">
      <c r="A235" s="22" t="s">
        <v>851</v>
      </c>
      <c r="B235" s="22" t="str">
        <f>"09863"</f>
        <v>09863</v>
      </c>
      <c r="C235" s="22" t="str">
        <f t="shared" si="3"/>
        <v>'9863.HK'</v>
      </c>
      <c r="D235" s="22" t="s">
        <v>1388</v>
      </c>
      <c r="E235" s="22" t="s">
        <v>886</v>
      </c>
      <c r="F235" s="22">
        <v>33652693437.549999</v>
      </c>
      <c r="G235" s="22">
        <v>3</v>
      </c>
      <c r="H235" s="22" t="s">
        <v>1389</v>
      </c>
    </row>
    <row r="236" spans="1:8" x14ac:dyDescent="0.35">
      <c r="A236" s="22" t="s">
        <v>851</v>
      </c>
      <c r="B236" s="22" t="str">
        <f>"02799"</f>
        <v>02799</v>
      </c>
      <c r="C236" s="22" t="str">
        <f t="shared" si="3"/>
        <v>'2799.HK'</v>
      </c>
      <c r="D236" s="22" t="s">
        <v>1390</v>
      </c>
      <c r="E236" s="22" t="s">
        <v>964</v>
      </c>
      <c r="F236" s="22">
        <v>33302371804.505001</v>
      </c>
      <c r="G236" s="22">
        <v>420</v>
      </c>
      <c r="H236" s="22" t="s">
        <v>1391</v>
      </c>
    </row>
    <row r="237" spans="1:8" x14ac:dyDescent="0.35">
      <c r="A237" s="22" t="s">
        <v>851</v>
      </c>
      <c r="B237" s="22" t="str">
        <f>"03948"</f>
        <v>03948</v>
      </c>
      <c r="C237" s="22" t="str">
        <f t="shared" si="3"/>
        <v>'3948.HK'</v>
      </c>
      <c r="D237" s="22" t="s">
        <v>1392</v>
      </c>
      <c r="E237" s="22" t="s">
        <v>904</v>
      </c>
      <c r="F237" s="22">
        <v>33060711120</v>
      </c>
      <c r="G237" s="22">
        <v>128</v>
      </c>
      <c r="H237" s="22" t="s">
        <v>1393</v>
      </c>
    </row>
    <row r="238" spans="1:8" x14ac:dyDescent="0.35">
      <c r="A238" s="22" t="s">
        <v>851</v>
      </c>
      <c r="B238" s="22" t="str">
        <f>"01157"</f>
        <v>01157</v>
      </c>
      <c r="C238" s="22" t="str">
        <f t="shared" si="3"/>
        <v>'1157.HK'</v>
      </c>
      <c r="D238" s="22" t="s">
        <v>1394</v>
      </c>
      <c r="E238" s="22" t="s">
        <v>1395</v>
      </c>
      <c r="F238" s="22">
        <v>32976370496.799999</v>
      </c>
      <c r="G238" s="22">
        <v>145</v>
      </c>
      <c r="H238" s="22" t="s">
        <v>1396</v>
      </c>
    </row>
    <row r="239" spans="1:8" x14ac:dyDescent="0.35">
      <c r="A239" s="22" t="s">
        <v>851</v>
      </c>
      <c r="B239" s="22" t="str">
        <f>"01071"</f>
        <v>01071</v>
      </c>
      <c r="C239" s="22" t="str">
        <f t="shared" si="3"/>
        <v>'1071.HK'</v>
      </c>
      <c r="D239" s="22" t="s">
        <v>1397</v>
      </c>
      <c r="E239" s="22" t="s">
        <v>1022</v>
      </c>
      <c r="F239" s="22">
        <v>32965326438.099998</v>
      </c>
      <c r="G239" s="22">
        <v>235</v>
      </c>
      <c r="H239" s="22" t="s">
        <v>1398</v>
      </c>
    </row>
    <row r="240" spans="1:8" x14ac:dyDescent="0.35">
      <c r="A240" s="22" t="s">
        <v>851</v>
      </c>
      <c r="B240" s="22" t="str">
        <f>"00772"</f>
        <v>00772</v>
      </c>
      <c r="C240" s="22" t="str">
        <f t="shared" si="3"/>
        <v>'0772.HK'</v>
      </c>
      <c r="D240" s="22" t="s">
        <v>1399</v>
      </c>
      <c r="E240" s="22" t="s">
        <v>1400</v>
      </c>
      <c r="F240" s="22">
        <v>32792200869.099998</v>
      </c>
      <c r="G240" s="22">
        <v>229</v>
      </c>
      <c r="H240" s="22" t="s">
        <v>1401</v>
      </c>
    </row>
    <row r="241" spans="1:8" x14ac:dyDescent="0.35">
      <c r="A241" s="22" t="s">
        <v>851</v>
      </c>
      <c r="B241" s="22" t="str">
        <f>"00392"</f>
        <v>00392</v>
      </c>
      <c r="C241" s="22" t="str">
        <f t="shared" si="3"/>
        <v>'0392.HK'</v>
      </c>
      <c r="D241" s="22" t="s">
        <v>1402</v>
      </c>
      <c r="E241" s="22" t="s">
        <v>1031</v>
      </c>
      <c r="F241" s="22">
        <v>32603396977.799999</v>
      </c>
      <c r="G241" s="22">
        <v>538</v>
      </c>
      <c r="H241" s="22" t="s">
        <v>1403</v>
      </c>
    </row>
    <row r="242" spans="1:8" x14ac:dyDescent="0.35">
      <c r="A242" s="22" t="s">
        <v>851</v>
      </c>
      <c r="B242" s="22" t="str">
        <f>"09995"</f>
        <v>09995</v>
      </c>
      <c r="C242" s="22" t="str">
        <f t="shared" si="3"/>
        <v>'9995.HK'</v>
      </c>
      <c r="D242" s="22" t="s">
        <v>1404</v>
      </c>
      <c r="E242" s="22" t="s">
        <v>941</v>
      </c>
      <c r="F242" s="22">
        <v>32574140729.549999</v>
      </c>
      <c r="G242" s="22">
        <v>67</v>
      </c>
      <c r="H242" s="22" t="s">
        <v>1405</v>
      </c>
    </row>
    <row r="243" spans="1:8" x14ac:dyDescent="0.35">
      <c r="A243" s="22" t="s">
        <v>851</v>
      </c>
      <c r="B243" s="22" t="str">
        <f>"02039"</f>
        <v>02039</v>
      </c>
      <c r="C243" s="22" t="str">
        <f t="shared" si="3"/>
        <v>'2039.HK'</v>
      </c>
      <c r="D243" s="22" t="s">
        <v>1406</v>
      </c>
      <c r="E243" s="22" t="s">
        <v>1109</v>
      </c>
      <c r="F243" s="22">
        <v>32085496290.75</v>
      </c>
      <c r="G243" s="22">
        <v>116</v>
      </c>
      <c r="H243" s="22" t="s">
        <v>1407</v>
      </c>
    </row>
    <row r="244" spans="1:8" x14ac:dyDescent="0.35">
      <c r="A244" s="22" t="s">
        <v>851</v>
      </c>
      <c r="B244" s="22" t="str">
        <f>"06060"</f>
        <v>06060</v>
      </c>
      <c r="C244" s="22" t="str">
        <f t="shared" si="3"/>
        <v>'6060.HK'</v>
      </c>
      <c r="D244" s="22" t="s">
        <v>1408</v>
      </c>
      <c r="E244" s="22" t="s">
        <v>870</v>
      </c>
      <c r="F244" s="22">
        <v>31894939930</v>
      </c>
      <c r="G244" s="22">
        <v>174</v>
      </c>
      <c r="H244" s="22" t="s">
        <v>1409</v>
      </c>
    </row>
    <row r="245" spans="1:8" x14ac:dyDescent="0.35">
      <c r="A245" s="22" t="s">
        <v>851</v>
      </c>
      <c r="B245" s="22" t="str">
        <f>"03958"</f>
        <v>03958</v>
      </c>
      <c r="C245" s="22" t="str">
        <f t="shared" si="3"/>
        <v>'3958.HK'</v>
      </c>
      <c r="D245" s="22" t="s">
        <v>1410</v>
      </c>
      <c r="E245" s="22" t="s">
        <v>1130</v>
      </c>
      <c r="F245" s="22">
        <v>31777453392.080002</v>
      </c>
      <c r="G245" s="22">
        <v>132</v>
      </c>
      <c r="H245" s="22" t="s">
        <v>1411</v>
      </c>
    </row>
    <row r="246" spans="1:8" x14ac:dyDescent="0.35">
      <c r="A246" s="22" t="s">
        <v>851</v>
      </c>
      <c r="B246" s="22" t="str">
        <f>"02208"</f>
        <v>02208</v>
      </c>
      <c r="C246" s="22" t="str">
        <f t="shared" si="3"/>
        <v>'2208.HK'</v>
      </c>
      <c r="D246" s="22" t="s">
        <v>1412</v>
      </c>
      <c r="E246" s="22" t="s">
        <v>1301</v>
      </c>
      <c r="F246" s="22">
        <v>31138748558.389999</v>
      </c>
      <c r="G246" s="22">
        <v>116</v>
      </c>
      <c r="H246" s="22" t="s">
        <v>1413</v>
      </c>
    </row>
    <row r="247" spans="1:8" x14ac:dyDescent="0.35">
      <c r="A247" s="22" t="s">
        <v>851</v>
      </c>
      <c r="B247" s="22" t="str">
        <f>"03918"</f>
        <v>03918</v>
      </c>
      <c r="C247" s="22" t="str">
        <f t="shared" si="3"/>
        <v>'3918.HK'</v>
      </c>
      <c r="D247" s="22" t="s">
        <v>1414</v>
      </c>
      <c r="E247" s="22" t="s">
        <v>961</v>
      </c>
      <c r="F247" s="22">
        <v>31113168113.400002</v>
      </c>
      <c r="G247" s="22">
        <v>85</v>
      </c>
      <c r="H247" s="22" t="s">
        <v>1415</v>
      </c>
    </row>
    <row r="248" spans="1:8" x14ac:dyDescent="0.35">
      <c r="A248" s="22" t="s">
        <v>851</v>
      </c>
      <c r="B248" s="22" t="str">
        <f>"01691"</f>
        <v>01691</v>
      </c>
      <c r="C248" s="22" t="str">
        <f t="shared" si="3"/>
        <v>'1691.HK'</v>
      </c>
      <c r="D248" s="22" t="s">
        <v>1416</v>
      </c>
      <c r="E248" s="22" t="s">
        <v>953</v>
      </c>
      <c r="F248" s="22">
        <v>31032157019.759998</v>
      </c>
      <c r="G248" s="22">
        <v>34</v>
      </c>
      <c r="H248" s="22" t="s">
        <v>1417</v>
      </c>
    </row>
    <row r="249" spans="1:8" x14ac:dyDescent="0.35">
      <c r="A249" s="22" t="s">
        <v>851</v>
      </c>
      <c r="B249" s="22" t="str">
        <f>"09698"</f>
        <v>09698</v>
      </c>
      <c r="C249" s="22" t="str">
        <f t="shared" si="3"/>
        <v>'9698.HK'</v>
      </c>
      <c r="D249" s="22" t="s">
        <v>1418</v>
      </c>
      <c r="E249" s="22" t="s">
        <v>1202</v>
      </c>
      <c r="F249" s="22">
        <v>31024985000</v>
      </c>
      <c r="G249" s="22">
        <v>40</v>
      </c>
      <c r="H249" s="22" t="s">
        <v>1419</v>
      </c>
    </row>
    <row r="250" spans="1:8" x14ac:dyDescent="0.35">
      <c r="A250" s="22" t="s">
        <v>851</v>
      </c>
      <c r="B250" s="22" t="str">
        <f>"09922"</f>
        <v>09922</v>
      </c>
      <c r="C250" s="22" t="str">
        <f t="shared" si="3"/>
        <v>'9922.HK'</v>
      </c>
      <c r="D250" s="22" t="s">
        <v>1420</v>
      </c>
      <c r="E250" s="22" t="s">
        <v>981</v>
      </c>
      <c r="F250" s="22">
        <v>30894994625</v>
      </c>
      <c r="G250" s="22">
        <v>156</v>
      </c>
      <c r="H250" s="22" t="s">
        <v>1421</v>
      </c>
    </row>
    <row r="251" spans="1:8" x14ac:dyDescent="0.35">
      <c r="A251" s="22" t="s">
        <v>851</v>
      </c>
      <c r="B251" s="22" t="str">
        <f>"03808"</f>
        <v>03808</v>
      </c>
      <c r="C251" s="22" t="str">
        <f t="shared" si="3"/>
        <v>'3808.HK'</v>
      </c>
      <c r="D251" s="22" t="s">
        <v>1422</v>
      </c>
      <c r="E251" s="22" t="s">
        <v>1109</v>
      </c>
      <c r="F251" s="22">
        <v>30867905530.02</v>
      </c>
      <c r="G251" s="22">
        <v>94</v>
      </c>
      <c r="H251" s="22" t="s">
        <v>1423</v>
      </c>
    </row>
    <row r="252" spans="1:8" x14ac:dyDescent="0.35">
      <c r="A252" s="22" t="s">
        <v>851</v>
      </c>
      <c r="B252" s="22" t="str">
        <f>"02518"</f>
        <v>02518</v>
      </c>
      <c r="C252" s="22" t="str">
        <f t="shared" si="3"/>
        <v>'2518.HK'</v>
      </c>
      <c r="D252" s="22" t="s">
        <v>1424</v>
      </c>
      <c r="E252" s="22" t="s">
        <v>853</v>
      </c>
      <c r="F252" s="22">
        <v>30792625500</v>
      </c>
      <c r="G252" s="22">
        <v>9</v>
      </c>
      <c r="H252" s="22" t="s">
        <v>1425</v>
      </c>
    </row>
    <row r="253" spans="1:8" x14ac:dyDescent="0.35">
      <c r="A253" s="22" t="s">
        <v>851</v>
      </c>
      <c r="B253" s="22" t="str">
        <f>"00586"</f>
        <v>00586</v>
      </c>
      <c r="C253" s="22" t="str">
        <f t="shared" si="3"/>
        <v>'0586.HK'</v>
      </c>
      <c r="D253" s="22" t="s">
        <v>1426</v>
      </c>
      <c r="E253" s="22" t="s">
        <v>1301</v>
      </c>
      <c r="F253" s="22">
        <v>30748226600.639999</v>
      </c>
      <c r="G253" s="22">
        <v>75</v>
      </c>
      <c r="H253" s="22" t="s">
        <v>1427</v>
      </c>
    </row>
    <row r="254" spans="1:8" x14ac:dyDescent="0.35">
      <c r="A254" s="22" t="s">
        <v>851</v>
      </c>
      <c r="B254" s="22" t="str">
        <f>"06993"</f>
        <v>06993</v>
      </c>
      <c r="C254" s="22" t="str">
        <f t="shared" si="3"/>
        <v>'6993.HK'</v>
      </c>
      <c r="D254" s="22" t="s">
        <v>1428</v>
      </c>
      <c r="E254" s="22" t="s">
        <v>1429</v>
      </c>
      <c r="F254" s="22">
        <v>30716536287.439999</v>
      </c>
      <c r="G254" s="22">
        <v>104</v>
      </c>
      <c r="H254" s="22" t="s">
        <v>1430</v>
      </c>
    </row>
    <row r="255" spans="1:8" x14ac:dyDescent="0.35">
      <c r="A255" s="22" t="s">
        <v>851</v>
      </c>
      <c r="B255" s="22" t="str">
        <f>"01999"</f>
        <v>01999</v>
      </c>
      <c r="C255" s="22" t="str">
        <f t="shared" si="3"/>
        <v>'1999.HK'</v>
      </c>
      <c r="D255" s="22" t="s">
        <v>1431</v>
      </c>
      <c r="E255" s="22" t="s">
        <v>1429</v>
      </c>
      <c r="F255" s="22">
        <v>30681043812</v>
      </c>
      <c r="G255" s="22">
        <v>220</v>
      </c>
      <c r="H255" s="22" t="s">
        <v>1432</v>
      </c>
    </row>
    <row r="256" spans="1:8" x14ac:dyDescent="0.35">
      <c r="A256" s="22" t="s">
        <v>851</v>
      </c>
      <c r="B256" s="22" t="str">
        <f>"03618"</f>
        <v>03618</v>
      </c>
      <c r="C256" s="22" t="str">
        <f t="shared" si="3"/>
        <v>'3618.HK'</v>
      </c>
      <c r="D256" s="22" t="s">
        <v>1433</v>
      </c>
      <c r="E256" s="22" t="s">
        <v>858</v>
      </c>
      <c r="F256" s="22">
        <v>30663900000</v>
      </c>
      <c r="G256" s="22">
        <v>362</v>
      </c>
      <c r="H256" s="22" t="s">
        <v>1434</v>
      </c>
    </row>
    <row r="257" spans="1:8" x14ac:dyDescent="0.35">
      <c r="A257" s="22" t="s">
        <v>851</v>
      </c>
      <c r="B257" s="22" t="str">
        <f>"00867"</f>
        <v>00867</v>
      </c>
      <c r="C257" s="22" t="str">
        <f t="shared" si="3"/>
        <v>'0867.HK'</v>
      </c>
      <c r="D257" s="22" t="s">
        <v>1435</v>
      </c>
      <c r="E257" s="22" t="s">
        <v>969</v>
      </c>
      <c r="F257" s="22">
        <v>30551776859.52</v>
      </c>
      <c r="G257" s="22">
        <v>169</v>
      </c>
      <c r="H257" s="22" t="s">
        <v>1436</v>
      </c>
    </row>
    <row r="258" spans="1:8" x14ac:dyDescent="0.35">
      <c r="A258" s="22" t="s">
        <v>851</v>
      </c>
      <c r="B258" s="22" t="str">
        <f>"00123"</f>
        <v>00123</v>
      </c>
      <c r="C258" s="22" t="str">
        <f t="shared" si="3"/>
        <v>'0123.HK'</v>
      </c>
      <c r="D258" s="22" t="s">
        <v>1437</v>
      </c>
      <c r="E258" s="22" t="s">
        <v>924</v>
      </c>
      <c r="F258" s="22">
        <v>30283340530.860001</v>
      </c>
      <c r="G258" s="22">
        <v>99</v>
      </c>
      <c r="H258" s="22" t="s">
        <v>1438</v>
      </c>
    </row>
    <row r="259" spans="1:8" x14ac:dyDescent="0.35">
      <c r="A259" s="22" t="s">
        <v>851</v>
      </c>
      <c r="B259" s="22" t="str">
        <f>"01551"</f>
        <v>01551</v>
      </c>
      <c r="C259" s="22" t="str">
        <f t="shared" ref="C259:C322" si="4">CONCATENATE("'",RIGHT(B259,4),".HK'")</f>
        <v>'1551.HK'</v>
      </c>
      <c r="D259" s="22" t="s">
        <v>1439</v>
      </c>
      <c r="E259" s="22" t="s">
        <v>858</v>
      </c>
      <c r="F259" s="22">
        <v>30231348942.959999</v>
      </c>
      <c r="G259" s="22">
        <v>37</v>
      </c>
      <c r="H259" s="22" t="s">
        <v>1440</v>
      </c>
    </row>
    <row r="260" spans="1:8" x14ac:dyDescent="0.35">
      <c r="A260" s="22" t="s">
        <v>851</v>
      </c>
      <c r="B260" s="22" t="str">
        <f>"01138"</f>
        <v>01138</v>
      </c>
      <c r="C260" s="22" t="str">
        <f t="shared" si="4"/>
        <v>'1138.HK'</v>
      </c>
      <c r="D260" s="22" t="s">
        <v>1441</v>
      </c>
      <c r="E260" s="22" t="s">
        <v>1047</v>
      </c>
      <c r="F260" s="22">
        <v>30103599052.450001</v>
      </c>
      <c r="G260" s="22">
        <v>159</v>
      </c>
      <c r="H260" s="22" t="s">
        <v>1442</v>
      </c>
    </row>
    <row r="261" spans="1:8" x14ac:dyDescent="0.35">
      <c r="A261" s="22" t="s">
        <v>851</v>
      </c>
      <c r="B261" s="22" t="str">
        <f>"01818"</f>
        <v>01818</v>
      </c>
      <c r="C261" s="22" t="str">
        <f t="shared" si="4"/>
        <v>'1818.HK'</v>
      </c>
      <c r="D261" s="22" t="s">
        <v>1443</v>
      </c>
      <c r="E261" s="22" t="s">
        <v>929</v>
      </c>
      <c r="F261" s="22">
        <v>29924097816.599998</v>
      </c>
      <c r="G261" s="22">
        <v>55</v>
      </c>
      <c r="H261" s="22" t="s">
        <v>1444</v>
      </c>
    </row>
    <row r="262" spans="1:8" x14ac:dyDescent="0.35">
      <c r="A262" s="22" t="s">
        <v>851</v>
      </c>
      <c r="B262" s="22" t="str">
        <f>"09992"</f>
        <v>09992</v>
      </c>
      <c r="C262" s="22" t="str">
        <f t="shared" si="4"/>
        <v>'9992.HK'</v>
      </c>
      <c r="D262" s="22" t="s">
        <v>1445</v>
      </c>
      <c r="E262" s="22" t="s">
        <v>1446</v>
      </c>
      <c r="F262" s="22">
        <v>29888702907.5</v>
      </c>
      <c r="G262" s="22">
        <v>141</v>
      </c>
      <c r="H262" s="22" t="s">
        <v>1447</v>
      </c>
    </row>
    <row r="263" spans="1:8" x14ac:dyDescent="0.35">
      <c r="A263" s="22" t="s">
        <v>851</v>
      </c>
      <c r="B263" s="22" t="str">
        <f>"01910"</f>
        <v>01910</v>
      </c>
      <c r="C263" s="22" t="str">
        <f t="shared" si="4"/>
        <v>'1910.HK'</v>
      </c>
      <c r="D263" s="22" t="s">
        <v>1448</v>
      </c>
      <c r="E263" s="22" t="s">
        <v>1065</v>
      </c>
      <c r="F263" s="22">
        <v>29847574846.5</v>
      </c>
      <c r="G263" s="22">
        <v>30</v>
      </c>
      <c r="H263" s="22" t="s">
        <v>1449</v>
      </c>
    </row>
    <row r="264" spans="1:8" x14ac:dyDescent="0.35">
      <c r="A264" s="22" t="s">
        <v>851</v>
      </c>
      <c r="B264" s="22" t="str">
        <f>"01579"</f>
        <v>01579</v>
      </c>
      <c r="C264" s="22" t="str">
        <f t="shared" si="4"/>
        <v>'1579.HK'</v>
      </c>
      <c r="D264" s="22" t="s">
        <v>1450</v>
      </c>
      <c r="E264" s="22" t="s">
        <v>1451</v>
      </c>
      <c r="F264" s="22">
        <v>29679615000</v>
      </c>
      <c r="G264" s="22">
        <v>392</v>
      </c>
      <c r="H264" s="22" t="s">
        <v>1452</v>
      </c>
    </row>
    <row r="265" spans="1:8" x14ac:dyDescent="0.35">
      <c r="A265" s="22" t="s">
        <v>851</v>
      </c>
      <c r="B265" s="22" t="str">
        <f>"02252"</f>
        <v>02252</v>
      </c>
      <c r="C265" s="22" t="str">
        <f t="shared" si="4"/>
        <v>'2252.HK'</v>
      </c>
      <c r="D265" s="22" t="s">
        <v>1453</v>
      </c>
      <c r="E265" s="22" t="s">
        <v>1232</v>
      </c>
      <c r="F265" s="22">
        <v>29668479069.450001</v>
      </c>
      <c r="G265" s="22">
        <v>23</v>
      </c>
      <c r="H265" s="22" t="s">
        <v>1454</v>
      </c>
    </row>
    <row r="266" spans="1:8" x14ac:dyDescent="0.35">
      <c r="A266" s="22" t="s">
        <v>851</v>
      </c>
      <c r="B266" s="22" t="str">
        <f>"01313"</f>
        <v>01313</v>
      </c>
      <c r="C266" s="22" t="str">
        <f t="shared" si="4"/>
        <v>'1313.HK'</v>
      </c>
      <c r="D266" s="22" t="s">
        <v>1455</v>
      </c>
      <c r="E266" s="22" t="s">
        <v>1016</v>
      </c>
      <c r="F266" s="22">
        <v>29537826965.91</v>
      </c>
      <c r="G266" s="22">
        <v>131</v>
      </c>
      <c r="H266" s="22" t="s">
        <v>1456</v>
      </c>
    </row>
    <row r="267" spans="1:8" x14ac:dyDescent="0.35">
      <c r="A267" s="22" t="s">
        <v>851</v>
      </c>
      <c r="B267" s="22" t="str">
        <f>"02096"</f>
        <v>02096</v>
      </c>
      <c r="C267" s="22" t="str">
        <f t="shared" si="4"/>
        <v>'2096.HK'</v>
      </c>
      <c r="D267" s="22" t="s">
        <v>1457</v>
      </c>
      <c r="E267" s="22" t="s">
        <v>969</v>
      </c>
      <c r="F267" s="22">
        <v>29370557862.720001</v>
      </c>
      <c r="G267" s="22">
        <v>34</v>
      </c>
      <c r="H267" s="22" t="s">
        <v>1458</v>
      </c>
    </row>
    <row r="268" spans="1:8" x14ac:dyDescent="0.35">
      <c r="A268" s="22" t="s">
        <v>851</v>
      </c>
      <c r="B268" s="22" t="str">
        <f>"02669"</f>
        <v>02669</v>
      </c>
      <c r="C268" s="22" t="str">
        <f t="shared" si="4"/>
        <v>'2669.HK'</v>
      </c>
      <c r="D268" s="22" t="s">
        <v>1459</v>
      </c>
      <c r="E268" s="22" t="s">
        <v>1104</v>
      </c>
      <c r="F268" s="22">
        <v>28924372048</v>
      </c>
      <c r="G268" s="22">
        <v>167</v>
      </c>
      <c r="H268" s="22" t="s">
        <v>1460</v>
      </c>
    </row>
    <row r="269" spans="1:8" x14ac:dyDescent="0.35">
      <c r="A269" s="22" t="s">
        <v>851</v>
      </c>
      <c r="B269" s="22" t="str">
        <f>"03900"</f>
        <v>03900</v>
      </c>
      <c r="C269" s="22" t="str">
        <f t="shared" si="4"/>
        <v>'3900.HK'</v>
      </c>
      <c r="D269" s="22" t="s">
        <v>1461</v>
      </c>
      <c r="E269" s="22" t="s">
        <v>924</v>
      </c>
      <c r="F269" s="22">
        <v>28864785066</v>
      </c>
      <c r="G269" s="22">
        <v>374</v>
      </c>
      <c r="H269" s="22" t="s">
        <v>1462</v>
      </c>
    </row>
    <row r="270" spans="1:8" x14ac:dyDescent="0.35">
      <c r="A270" s="22" t="s">
        <v>851</v>
      </c>
      <c r="B270" s="22" t="str">
        <f>"09668"</f>
        <v>09668</v>
      </c>
      <c r="C270" s="22" t="str">
        <f t="shared" si="4"/>
        <v>'9668.HK'</v>
      </c>
      <c r="D270" s="22" t="s">
        <v>1463</v>
      </c>
      <c r="E270" s="22" t="s">
        <v>858</v>
      </c>
      <c r="F270" s="22">
        <v>28774440000</v>
      </c>
      <c r="G270" s="22">
        <v>11</v>
      </c>
      <c r="H270" s="22" t="s">
        <v>1464</v>
      </c>
    </row>
    <row r="271" spans="1:8" x14ac:dyDescent="0.35">
      <c r="A271" s="22" t="s">
        <v>851</v>
      </c>
      <c r="B271" s="22" t="str">
        <f>"03331"</f>
        <v>03331</v>
      </c>
      <c r="C271" s="22" t="str">
        <f t="shared" si="4"/>
        <v>'3331.HK'</v>
      </c>
      <c r="D271" s="22" t="s">
        <v>1465</v>
      </c>
      <c r="E271" s="22" t="s">
        <v>1283</v>
      </c>
      <c r="F271" s="22">
        <v>28637953877.400002</v>
      </c>
      <c r="G271" s="22">
        <v>139</v>
      </c>
      <c r="H271" s="22" t="s">
        <v>1466</v>
      </c>
    </row>
    <row r="272" spans="1:8" x14ac:dyDescent="0.35">
      <c r="A272" s="22" t="s">
        <v>851</v>
      </c>
      <c r="B272" s="22" t="str">
        <f>"06660"</f>
        <v>06660</v>
      </c>
      <c r="C272" s="22" t="str">
        <f t="shared" si="4"/>
        <v>'6660.HK'</v>
      </c>
      <c r="D272" s="22" t="s">
        <v>1467</v>
      </c>
      <c r="E272" s="22" t="s">
        <v>969</v>
      </c>
      <c r="F272" s="22">
        <v>28581077336.400002</v>
      </c>
      <c r="H272" s="22" t="s">
        <v>1468</v>
      </c>
    </row>
    <row r="273" spans="1:8" x14ac:dyDescent="0.35">
      <c r="A273" s="22" t="s">
        <v>851</v>
      </c>
      <c r="B273" s="22" t="str">
        <f>"00148"</f>
        <v>00148</v>
      </c>
      <c r="C273" s="22" t="str">
        <f t="shared" si="4"/>
        <v>'0148.HK'</v>
      </c>
      <c r="D273" s="22" t="s">
        <v>1469</v>
      </c>
      <c r="E273" s="22" t="s">
        <v>1224</v>
      </c>
      <c r="F273" s="22">
        <v>28218749681.200001</v>
      </c>
      <c r="G273" s="22">
        <v>108</v>
      </c>
      <c r="H273" s="22" t="s">
        <v>1470</v>
      </c>
    </row>
    <row r="274" spans="1:8" x14ac:dyDescent="0.35">
      <c r="A274" s="22" t="s">
        <v>851</v>
      </c>
      <c r="B274" s="22" t="str">
        <f>"02727"</f>
        <v>02727</v>
      </c>
      <c r="C274" s="22" t="str">
        <f t="shared" si="4"/>
        <v>'2727.HK'</v>
      </c>
      <c r="D274" s="22" t="s">
        <v>1471</v>
      </c>
      <c r="E274" s="22" t="s">
        <v>1301</v>
      </c>
      <c r="F274" s="22">
        <v>28199454456.52</v>
      </c>
      <c r="G274" s="22">
        <v>114</v>
      </c>
      <c r="H274" s="22" t="s">
        <v>1472</v>
      </c>
    </row>
    <row r="275" spans="1:8" x14ac:dyDescent="0.35">
      <c r="A275" s="22" t="s">
        <v>851</v>
      </c>
      <c r="B275" s="22" t="str">
        <f>"02357"</f>
        <v>02357</v>
      </c>
      <c r="C275" s="22" t="str">
        <f t="shared" si="4"/>
        <v>'2357.HK'</v>
      </c>
      <c r="D275" s="22" t="s">
        <v>1473</v>
      </c>
      <c r="E275" s="22" t="s">
        <v>1474</v>
      </c>
      <c r="F275" s="22">
        <v>27992136038.459999</v>
      </c>
      <c r="G275" s="22">
        <v>79</v>
      </c>
      <c r="H275" s="22" t="s">
        <v>1475</v>
      </c>
    </row>
    <row r="276" spans="1:8" x14ac:dyDescent="0.35">
      <c r="A276" s="22" t="s">
        <v>851</v>
      </c>
      <c r="B276" s="22" t="str">
        <f>"00008"</f>
        <v>00008</v>
      </c>
      <c r="C276" s="22" t="str">
        <f t="shared" si="4"/>
        <v>'0008.HK'</v>
      </c>
      <c r="D276" s="22" t="s">
        <v>1476</v>
      </c>
      <c r="E276" s="22" t="s">
        <v>865</v>
      </c>
      <c r="F276" s="22">
        <v>27940094078.889999</v>
      </c>
      <c r="G276" s="22">
        <v>48</v>
      </c>
      <c r="H276" s="22" t="s">
        <v>1477</v>
      </c>
    </row>
    <row r="277" spans="1:8" x14ac:dyDescent="0.35">
      <c r="A277" s="22" t="s">
        <v>851</v>
      </c>
      <c r="B277" s="22" t="str">
        <f>"03969"</f>
        <v>03969</v>
      </c>
      <c r="C277" s="22" t="str">
        <f t="shared" si="4"/>
        <v>'3969.HK'</v>
      </c>
      <c r="D277" s="22" t="s">
        <v>1478</v>
      </c>
      <c r="E277" s="22" t="s">
        <v>1202</v>
      </c>
      <c r="F277" s="22">
        <v>27109936640</v>
      </c>
      <c r="G277" s="22">
        <v>135</v>
      </c>
      <c r="H277" s="22" t="s">
        <v>1479</v>
      </c>
    </row>
    <row r="278" spans="1:8" x14ac:dyDescent="0.35">
      <c r="A278" s="22" t="s">
        <v>851</v>
      </c>
      <c r="B278" s="22" t="str">
        <f>"06049"</f>
        <v>06049</v>
      </c>
      <c r="C278" s="22" t="str">
        <f t="shared" si="4"/>
        <v>'6049.HK'</v>
      </c>
      <c r="D278" s="22" t="s">
        <v>1480</v>
      </c>
      <c r="E278" s="22" t="s">
        <v>1104</v>
      </c>
      <c r="F278" s="22">
        <v>27085669930</v>
      </c>
      <c r="G278" s="22">
        <v>198</v>
      </c>
      <c r="H278" s="22" t="s">
        <v>1481</v>
      </c>
    </row>
    <row r="279" spans="1:8" x14ac:dyDescent="0.35">
      <c r="A279" s="22" t="s">
        <v>851</v>
      </c>
      <c r="B279" s="22" t="str">
        <f>"01888"</f>
        <v>01888</v>
      </c>
      <c r="C279" s="22" t="str">
        <f t="shared" si="4"/>
        <v>'1888.HK'</v>
      </c>
      <c r="D279" s="22" t="s">
        <v>1482</v>
      </c>
      <c r="E279" s="22" t="s">
        <v>1224</v>
      </c>
      <c r="F279" s="22">
        <v>26956800000</v>
      </c>
      <c r="G279" s="22">
        <v>102</v>
      </c>
      <c r="H279" s="22" t="s">
        <v>1483</v>
      </c>
    </row>
    <row r="280" spans="1:8" x14ac:dyDescent="0.35">
      <c r="A280" s="22" t="s">
        <v>851</v>
      </c>
      <c r="B280" s="22" t="str">
        <f>"09896"</f>
        <v>09896</v>
      </c>
      <c r="C280" s="22" t="str">
        <f t="shared" si="4"/>
        <v>'9896.HK'</v>
      </c>
      <c r="D280" s="22" t="s">
        <v>1484</v>
      </c>
      <c r="E280" s="22" t="s">
        <v>1485</v>
      </c>
      <c r="F280" s="22">
        <v>26796765638.25</v>
      </c>
      <c r="G280" s="22">
        <v>4</v>
      </c>
      <c r="H280" s="22" t="s">
        <v>1486</v>
      </c>
    </row>
    <row r="281" spans="1:8" x14ac:dyDescent="0.35">
      <c r="A281" s="22" t="s">
        <v>851</v>
      </c>
      <c r="B281" s="22" t="str">
        <f>"00014"</f>
        <v>00014</v>
      </c>
      <c r="C281" s="22" t="str">
        <f t="shared" si="4"/>
        <v>'0014.HK'</v>
      </c>
      <c r="D281" s="22" t="s">
        <v>1487</v>
      </c>
      <c r="E281" s="22" t="s">
        <v>1028</v>
      </c>
      <c r="F281" s="22">
        <v>26702213798</v>
      </c>
      <c r="G281" s="22">
        <v>51</v>
      </c>
      <c r="H281" s="22" t="s">
        <v>1488</v>
      </c>
    </row>
    <row r="282" spans="1:8" x14ac:dyDescent="0.35">
      <c r="A282" s="22" t="s">
        <v>851</v>
      </c>
      <c r="B282" s="22" t="str">
        <f>"00576"</f>
        <v>00576</v>
      </c>
      <c r="C282" s="22" t="str">
        <f t="shared" si="4"/>
        <v>'0576.HK'</v>
      </c>
      <c r="D282" s="22" t="s">
        <v>1489</v>
      </c>
      <c r="E282" s="22" t="s">
        <v>1367</v>
      </c>
      <c r="F282" s="22">
        <v>26666723030</v>
      </c>
      <c r="G282" s="22">
        <v>124</v>
      </c>
      <c r="H282" s="22" t="s">
        <v>1490</v>
      </c>
    </row>
    <row r="283" spans="1:8" x14ac:dyDescent="0.35">
      <c r="A283" s="22" t="s">
        <v>851</v>
      </c>
      <c r="B283" s="22" t="str">
        <f>"00659"</f>
        <v>00659</v>
      </c>
      <c r="C283" s="22" t="str">
        <f t="shared" si="4"/>
        <v>'0659.HK'</v>
      </c>
      <c r="D283" s="22" t="s">
        <v>1491</v>
      </c>
      <c r="E283" s="22" t="s">
        <v>958</v>
      </c>
      <c r="F283" s="22">
        <v>26590909373.200001</v>
      </c>
      <c r="G283" s="22">
        <v>41</v>
      </c>
      <c r="H283" s="22" t="s">
        <v>1492</v>
      </c>
    </row>
    <row r="284" spans="1:8" x14ac:dyDescent="0.35">
      <c r="A284" s="22" t="s">
        <v>851</v>
      </c>
      <c r="B284" s="22" t="str">
        <f>"00694"</f>
        <v>00694</v>
      </c>
      <c r="C284" s="22" t="str">
        <f t="shared" si="4"/>
        <v>'0694.HK'</v>
      </c>
      <c r="D284" s="22" t="s">
        <v>1493</v>
      </c>
      <c r="E284" s="22" t="s">
        <v>1081</v>
      </c>
      <c r="F284" s="22">
        <v>26559238066.599998</v>
      </c>
      <c r="G284" s="22">
        <v>182</v>
      </c>
      <c r="H284" s="22" t="s">
        <v>1494</v>
      </c>
    </row>
    <row r="285" spans="1:8" x14ac:dyDescent="0.35">
      <c r="A285" s="22" t="s">
        <v>851</v>
      </c>
      <c r="B285" s="22" t="str">
        <f>"01385"</f>
        <v>01385</v>
      </c>
      <c r="C285" s="22" t="str">
        <f t="shared" si="4"/>
        <v>'1385.HK'</v>
      </c>
      <c r="D285" s="22" t="s">
        <v>1495</v>
      </c>
      <c r="E285" s="22" t="s">
        <v>1040</v>
      </c>
      <c r="F285" s="22">
        <v>26500503425</v>
      </c>
      <c r="G285" s="22">
        <v>24</v>
      </c>
      <c r="H285" s="22" t="s">
        <v>1496</v>
      </c>
    </row>
    <row r="286" spans="1:8" x14ac:dyDescent="0.35">
      <c r="A286" s="22" t="s">
        <v>851</v>
      </c>
      <c r="B286" s="22" t="str">
        <f>"03360"</f>
        <v>03360</v>
      </c>
      <c r="C286" s="22" t="str">
        <f t="shared" si="4"/>
        <v>'3360.HK'</v>
      </c>
      <c r="D286" s="22" t="s">
        <v>1497</v>
      </c>
      <c r="E286" s="22" t="s">
        <v>1498</v>
      </c>
      <c r="F286" s="22">
        <v>26453771117.950001</v>
      </c>
      <c r="G286" s="22">
        <v>80</v>
      </c>
      <c r="H286" s="22" t="s">
        <v>1499</v>
      </c>
    </row>
    <row r="287" spans="1:8" x14ac:dyDescent="0.35">
      <c r="A287" s="22" t="s">
        <v>851</v>
      </c>
      <c r="B287" s="22" t="str">
        <f>"03660"</f>
        <v>03660</v>
      </c>
      <c r="C287" s="22" t="str">
        <f t="shared" si="4"/>
        <v>'3660.HK'</v>
      </c>
      <c r="D287" s="22" t="s">
        <v>1500</v>
      </c>
      <c r="E287" s="22" t="s">
        <v>1498</v>
      </c>
      <c r="F287" s="22">
        <v>26146250000</v>
      </c>
      <c r="H287" s="22" t="s">
        <v>1501</v>
      </c>
    </row>
    <row r="288" spans="1:8" x14ac:dyDescent="0.35">
      <c r="A288" s="22" t="s">
        <v>851</v>
      </c>
      <c r="B288" s="22" t="str">
        <f>"06808"</f>
        <v>06808</v>
      </c>
      <c r="C288" s="22" t="str">
        <f t="shared" si="4"/>
        <v>'6808.HK'</v>
      </c>
      <c r="D288" s="22" t="s">
        <v>1502</v>
      </c>
      <c r="E288" s="22" t="s">
        <v>1503</v>
      </c>
      <c r="F288" s="22">
        <v>26138790878</v>
      </c>
      <c r="G288" s="22">
        <v>92</v>
      </c>
      <c r="H288" s="22" t="s">
        <v>1504</v>
      </c>
    </row>
    <row r="289" spans="1:8" x14ac:dyDescent="0.35">
      <c r="A289" s="22" t="s">
        <v>851</v>
      </c>
      <c r="B289" s="22" t="str">
        <f>"02128"</f>
        <v>02128</v>
      </c>
      <c r="C289" s="22" t="str">
        <f t="shared" si="4"/>
        <v>'2128.HK'</v>
      </c>
      <c r="D289" s="22" t="s">
        <v>1505</v>
      </c>
      <c r="E289" s="22" t="s">
        <v>1016</v>
      </c>
      <c r="F289" s="22">
        <v>25843145272</v>
      </c>
      <c r="G289" s="22">
        <v>180</v>
      </c>
      <c r="H289" s="22" t="s">
        <v>1506</v>
      </c>
    </row>
    <row r="290" spans="1:8" x14ac:dyDescent="0.35">
      <c r="A290" s="22" t="s">
        <v>851</v>
      </c>
      <c r="B290" s="22" t="str">
        <f>"00683"</f>
        <v>00683</v>
      </c>
      <c r="C290" s="22" t="str">
        <f t="shared" si="4"/>
        <v>'0683.HK'</v>
      </c>
      <c r="D290" s="22" t="s">
        <v>1507</v>
      </c>
      <c r="E290" s="22" t="s">
        <v>924</v>
      </c>
      <c r="F290" s="22">
        <v>25572006927.360001</v>
      </c>
      <c r="G290" s="22">
        <v>109</v>
      </c>
      <c r="H290" s="22" t="s">
        <v>1508</v>
      </c>
    </row>
    <row r="291" spans="1:8" x14ac:dyDescent="0.35">
      <c r="A291" s="22" t="s">
        <v>851</v>
      </c>
      <c r="B291" s="22" t="str">
        <f>"00023"</f>
        <v>00023</v>
      </c>
      <c r="C291" s="22" t="str">
        <f t="shared" si="4"/>
        <v>'0023.HK'</v>
      </c>
      <c r="D291" s="22" t="s">
        <v>1509</v>
      </c>
      <c r="E291" s="22" t="s">
        <v>858</v>
      </c>
      <c r="F291" s="22">
        <v>25563193332</v>
      </c>
      <c r="G291" s="22">
        <v>63</v>
      </c>
      <c r="H291" s="22" t="s">
        <v>1510</v>
      </c>
    </row>
    <row r="292" spans="1:8" x14ac:dyDescent="0.35">
      <c r="A292" s="22" t="s">
        <v>851</v>
      </c>
      <c r="B292" s="22" t="str">
        <f>"09969"</f>
        <v>09969</v>
      </c>
      <c r="C292" s="22" t="str">
        <f t="shared" si="4"/>
        <v>'9969.HK'</v>
      </c>
      <c r="D292" s="22" t="s">
        <v>1511</v>
      </c>
      <c r="E292" s="22" t="s">
        <v>941</v>
      </c>
      <c r="F292" s="22">
        <v>25370942479.759998</v>
      </c>
      <c r="G292" s="22">
        <v>39</v>
      </c>
      <c r="H292" s="22" t="s">
        <v>1512</v>
      </c>
    </row>
    <row r="293" spans="1:8" x14ac:dyDescent="0.35">
      <c r="A293" s="22" t="s">
        <v>851</v>
      </c>
      <c r="B293" s="22" t="str">
        <f>"00636"</f>
        <v>00636</v>
      </c>
      <c r="C293" s="22" t="str">
        <f t="shared" si="4"/>
        <v>'0636.HK'</v>
      </c>
      <c r="D293" s="22" t="s">
        <v>1513</v>
      </c>
      <c r="E293" s="22" t="s">
        <v>974</v>
      </c>
      <c r="F293" s="22">
        <v>25303947788</v>
      </c>
      <c r="G293" s="22">
        <v>57</v>
      </c>
      <c r="H293" s="22" t="s">
        <v>1514</v>
      </c>
    </row>
    <row r="294" spans="1:8" x14ac:dyDescent="0.35">
      <c r="A294" s="22" t="s">
        <v>851</v>
      </c>
      <c r="B294" s="22" t="str">
        <f>"00631"</f>
        <v>00631</v>
      </c>
      <c r="C294" s="22" t="str">
        <f t="shared" si="4"/>
        <v>'0631.HK'</v>
      </c>
      <c r="D294" s="22" t="s">
        <v>1515</v>
      </c>
      <c r="E294" s="22" t="s">
        <v>1395</v>
      </c>
      <c r="F294" s="22">
        <v>25303577072</v>
      </c>
      <c r="G294" s="22">
        <v>48</v>
      </c>
      <c r="H294" s="22" t="s">
        <v>1516</v>
      </c>
    </row>
    <row r="295" spans="1:8" x14ac:dyDescent="0.35">
      <c r="A295" s="22" t="s">
        <v>851</v>
      </c>
      <c r="B295" s="22" t="str">
        <f>"06198"</f>
        <v>06198</v>
      </c>
      <c r="C295" s="22" t="str">
        <f t="shared" si="4"/>
        <v>'6198.HK'</v>
      </c>
      <c r="D295" s="22" t="s">
        <v>1517</v>
      </c>
      <c r="E295" s="22" t="s">
        <v>1047</v>
      </c>
      <c r="F295" s="22">
        <v>24990735000</v>
      </c>
      <c r="G295" s="22">
        <v>116</v>
      </c>
      <c r="H295" s="22" t="s">
        <v>1518</v>
      </c>
    </row>
    <row r="296" spans="1:8" x14ac:dyDescent="0.35">
      <c r="A296" s="22" t="s">
        <v>851</v>
      </c>
      <c r="B296" s="22" t="str">
        <f>"09985"</f>
        <v>09985</v>
      </c>
      <c r="C296" s="22" t="str">
        <f t="shared" si="4"/>
        <v>'9985.HK'</v>
      </c>
      <c r="D296" s="22" t="s">
        <v>1519</v>
      </c>
      <c r="E296" s="22" t="s">
        <v>1205</v>
      </c>
      <c r="F296" s="22">
        <v>24828144000</v>
      </c>
      <c r="G296" s="22">
        <v>2</v>
      </c>
      <c r="H296" s="22" t="s">
        <v>1520</v>
      </c>
    </row>
    <row r="297" spans="1:8" x14ac:dyDescent="0.35">
      <c r="A297" s="22" t="s">
        <v>851</v>
      </c>
      <c r="B297" s="22" t="str">
        <f>"00425"</f>
        <v>00425</v>
      </c>
      <c r="C297" s="22" t="str">
        <f t="shared" si="4"/>
        <v>'0425.HK'</v>
      </c>
      <c r="D297" s="22" t="s">
        <v>1521</v>
      </c>
      <c r="E297" s="22" t="s">
        <v>1122</v>
      </c>
      <c r="F297" s="22">
        <v>24805194308.650002</v>
      </c>
      <c r="G297" s="22">
        <v>86</v>
      </c>
      <c r="H297" s="22" t="s">
        <v>1522</v>
      </c>
    </row>
    <row r="298" spans="1:8" x14ac:dyDescent="0.35">
      <c r="A298" s="22" t="s">
        <v>851</v>
      </c>
      <c r="B298" s="22" t="str">
        <f>"01114"</f>
        <v>01114</v>
      </c>
      <c r="C298" s="22" t="str">
        <f t="shared" si="4"/>
        <v>'1114.HK'</v>
      </c>
      <c r="D298" s="22" t="s">
        <v>1523</v>
      </c>
      <c r="E298" s="22" t="s">
        <v>886</v>
      </c>
      <c r="F298" s="22">
        <v>24721820001.200001</v>
      </c>
      <c r="G298" s="22">
        <v>85</v>
      </c>
      <c r="H298" s="22" t="s">
        <v>1524</v>
      </c>
    </row>
    <row r="299" spans="1:8" x14ac:dyDescent="0.35">
      <c r="A299" s="22" t="s">
        <v>851</v>
      </c>
      <c r="B299" s="22" t="str">
        <f>"02245"</f>
        <v>02245</v>
      </c>
      <c r="C299" s="22" t="str">
        <f t="shared" si="4"/>
        <v>'2245.HK'</v>
      </c>
      <c r="D299" s="22" t="s">
        <v>1525</v>
      </c>
      <c r="E299" s="22" t="s">
        <v>1060</v>
      </c>
      <c r="F299" s="22">
        <v>24619081600</v>
      </c>
      <c r="H299" s="22" t="s">
        <v>1526</v>
      </c>
    </row>
    <row r="300" spans="1:8" x14ac:dyDescent="0.35">
      <c r="A300" s="22" t="s">
        <v>851</v>
      </c>
      <c r="B300" s="22" t="str">
        <f>"00991"</f>
        <v>00991</v>
      </c>
      <c r="C300" s="22" t="str">
        <f t="shared" si="4"/>
        <v>'0991.HK'</v>
      </c>
      <c r="D300" s="22" t="s">
        <v>1527</v>
      </c>
      <c r="E300" s="22" t="s">
        <v>1022</v>
      </c>
      <c r="F300" s="22">
        <v>24613924970.32</v>
      </c>
      <c r="G300" s="22">
        <v>93</v>
      </c>
      <c r="H300" s="22" t="s">
        <v>1528</v>
      </c>
    </row>
    <row r="301" spans="1:8" x14ac:dyDescent="0.35">
      <c r="A301" s="22" t="s">
        <v>851</v>
      </c>
      <c r="B301" s="22" t="str">
        <f>"01833"</f>
        <v>01833</v>
      </c>
      <c r="C301" s="22" t="str">
        <f t="shared" si="4"/>
        <v>'1833.HK'</v>
      </c>
      <c r="D301" s="22" t="s">
        <v>1529</v>
      </c>
      <c r="E301" s="22" t="s">
        <v>1362</v>
      </c>
      <c r="F301" s="22">
        <v>24613883800</v>
      </c>
      <c r="G301" s="22">
        <v>246</v>
      </c>
      <c r="H301" s="22" t="s">
        <v>1530</v>
      </c>
    </row>
    <row r="302" spans="1:8" x14ac:dyDescent="0.35">
      <c r="A302" s="22" t="s">
        <v>851</v>
      </c>
      <c r="B302" s="22" t="str">
        <f>"09688"</f>
        <v>09688</v>
      </c>
      <c r="C302" s="22" t="str">
        <f t="shared" si="4"/>
        <v>'9688.HK'</v>
      </c>
      <c r="D302" s="22" t="s">
        <v>1531</v>
      </c>
      <c r="E302" s="22" t="s">
        <v>941</v>
      </c>
      <c r="F302" s="22">
        <v>24575094493</v>
      </c>
      <c r="G302" s="22">
        <v>32</v>
      </c>
      <c r="H302" s="22" t="s">
        <v>1532</v>
      </c>
    </row>
    <row r="303" spans="1:8" x14ac:dyDescent="0.35">
      <c r="A303" s="22" t="s">
        <v>851</v>
      </c>
      <c r="B303" s="22" t="str">
        <f>"01513"</f>
        <v>01513</v>
      </c>
      <c r="C303" s="22" t="str">
        <f t="shared" si="4"/>
        <v>'1513.HK'</v>
      </c>
      <c r="D303" s="22" t="s">
        <v>1533</v>
      </c>
      <c r="E303" s="22" t="s">
        <v>969</v>
      </c>
      <c r="F303" s="22">
        <v>24558258033.75</v>
      </c>
      <c r="G303" s="22">
        <v>155</v>
      </c>
      <c r="H303" s="22" t="s">
        <v>1534</v>
      </c>
    </row>
    <row r="304" spans="1:8" x14ac:dyDescent="0.35">
      <c r="A304" s="22" t="s">
        <v>851</v>
      </c>
      <c r="B304" s="22" t="str">
        <f>"06178"</f>
        <v>06178</v>
      </c>
      <c r="C304" s="22" t="str">
        <f t="shared" si="4"/>
        <v>'6178.HK'</v>
      </c>
      <c r="D304" s="22" t="s">
        <v>1535</v>
      </c>
      <c r="E304" s="22" t="s">
        <v>1130</v>
      </c>
      <c r="F304" s="22">
        <v>24298850857.529999</v>
      </c>
      <c r="G304" s="22">
        <v>99</v>
      </c>
      <c r="H304" s="22" t="s">
        <v>1536</v>
      </c>
    </row>
    <row r="305" spans="1:8" x14ac:dyDescent="0.35">
      <c r="A305" s="22" t="s">
        <v>851</v>
      </c>
      <c r="B305" s="22" t="str">
        <f>"00839"</f>
        <v>00839</v>
      </c>
      <c r="C305" s="22" t="str">
        <f t="shared" si="4"/>
        <v>'0839.HK'</v>
      </c>
      <c r="D305" s="22" t="s">
        <v>1537</v>
      </c>
      <c r="E305" s="22" t="s">
        <v>1270</v>
      </c>
      <c r="F305" s="22">
        <v>23807642396.130001</v>
      </c>
      <c r="G305" s="22">
        <v>100</v>
      </c>
      <c r="H305" s="22" t="s">
        <v>1538</v>
      </c>
    </row>
    <row r="306" spans="1:8" x14ac:dyDescent="0.35">
      <c r="A306" s="22" t="s">
        <v>851</v>
      </c>
      <c r="B306" s="22" t="str">
        <f>"09877"</f>
        <v>09877</v>
      </c>
      <c r="C306" s="22" t="str">
        <f t="shared" si="4"/>
        <v>'9877.HK'</v>
      </c>
      <c r="D306" s="22" t="s">
        <v>1539</v>
      </c>
      <c r="E306" s="22" t="s">
        <v>1232</v>
      </c>
      <c r="F306" s="22">
        <v>23736818801</v>
      </c>
      <c r="G306" s="22">
        <v>1</v>
      </c>
      <c r="H306" s="22" t="s">
        <v>1540</v>
      </c>
    </row>
    <row r="307" spans="1:8" x14ac:dyDescent="0.35">
      <c r="A307" s="22" t="s">
        <v>851</v>
      </c>
      <c r="B307" s="22" t="str">
        <f>"00069"</f>
        <v>00069</v>
      </c>
      <c r="C307" s="22" t="str">
        <f t="shared" si="4"/>
        <v>'0069.HK'</v>
      </c>
      <c r="D307" s="22" t="s">
        <v>1541</v>
      </c>
      <c r="E307" s="22" t="s">
        <v>1070</v>
      </c>
      <c r="F307" s="22">
        <v>23664465369.599998</v>
      </c>
      <c r="G307" s="22">
        <v>45</v>
      </c>
      <c r="H307" s="22" t="s">
        <v>1542</v>
      </c>
    </row>
    <row r="308" spans="1:8" x14ac:dyDescent="0.35">
      <c r="A308" s="22" t="s">
        <v>851</v>
      </c>
      <c r="B308" s="22" t="str">
        <f>"01216"</f>
        <v>01216</v>
      </c>
      <c r="C308" s="22" t="str">
        <f t="shared" si="4"/>
        <v>'1216.HK'</v>
      </c>
      <c r="D308" s="22" t="s">
        <v>1543</v>
      </c>
      <c r="E308" s="22" t="s">
        <v>858</v>
      </c>
      <c r="F308" s="22">
        <v>23391886926.080002</v>
      </c>
      <c r="G308" s="22">
        <v>22</v>
      </c>
      <c r="H308" s="22" t="s">
        <v>1544</v>
      </c>
    </row>
    <row r="309" spans="1:8" x14ac:dyDescent="0.35">
      <c r="A309" s="22" t="s">
        <v>851</v>
      </c>
      <c r="B309" s="22" t="str">
        <f>"06190"</f>
        <v>06190</v>
      </c>
      <c r="C309" s="22" t="str">
        <f t="shared" si="4"/>
        <v>'6190.HK'</v>
      </c>
      <c r="D309" s="22" t="s">
        <v>1545</v>
      </c>
      <c r="E309" s="22" t="s">
        <v>858</v>
      </c>
      <c r="F309" s="22">
        <v>23110725120</v>
      </c>
      <c r="G309" s="22">
        <v>7</v>
      </c>
      <c r="H309" s="22" t="s">
        <v>1546</v>
      </c>
    </row>
    <row r="310" spans="1:8" x14ac:dyDescent="0.35">
      <c r="A310" s="22" t="s">
        <v>851</v>
      </c>
      <c r="B310" s="22" t="str">
        <f>"00817"</f>
        <v>00817</v>
      </c>
      <c r="C310" s="22" t="str">
        <f t="shared" si="4"/>
        <v>'0817.HK'</v>
      </c>
      <c r="D310" s="22" t="s">
        <v>1547</v>
      </c>
      <c r="E310" s="22" t="s">
        <v>924</v>
      </c>
      <c r="F310" s="22">
        <v>23034937737.759998</v>
      </c>
      <c r="G310" s="22">
        <v>423</v>
      </c>
      <c r="H310" s="22" t="s">
        <v>1548</v>
      </c>
    </row>
    <row r="311" spans="1:8" x14ac:dyDescent="0.35">
      <c r="A311" s="22" t="s">
        <v>851</v>
      </c>
      <c r="B311" s="22" t="str">
        <f>"00522"</f>
        <v>00522</v>
      </c>
      <c r="C311" s="22" t="str">
        <f t="shared" si="4"/>
        <v>'0522.HK'</v>
      </c>
      <c r="D311" s="22" t="s">
        <v>1549</v>
      </c>
      <c r="E311" s="22" t="s">
        <v>1040</v>
      </c>
      <c r="F311" s="22">
        <v>23017593539.75</v>
      </c>
      <c r="G311" s="22">
        <v>92</v>
      </c>
      <c r="H311" s="22" t="s">
        <v>1550</v>
      </c>
    </row>
    <row r="312" spans="1:8" x14ac:dyDescent="0.35">
      <c r="A312" s="22" t="s">
        <v>851</v>
      </c>
      <c r="B312" s="22" t="str">
        <f>"01368"</f>
        <v>01368</v>
      </c>
      <c r="C312" s="22" t="str">
        <f t="shared" si="4"/>
        <v>'1368.HK'</v>
      </c>
      <c r="D312" s="22" t="s">
        <v>1551</v>
      </c>
      <c r="E312" s="22" t="s">
        <v>1552</v>
      </c>
      <c r="F312" s="22">
        <v>22939437230.099998</v>
      </c>
      <c r="G312" s="22">
        <v>82</v>
      </c>
      <c r="H312" s="22" t="s">
        <v>1553</v>
      </c>
    </row>
    <row r="313" spans="1:8" x14ac:dyDescent="0.35">
      <c r="A313" s="22" t="s">
        <v>851</v>
      </c>
      <c r="B313" s="22" t="str">
        <f>"00754"</f>
        <v>00754</v>
      </c>
      <c r="C313" s="22" t="str">
        <f t="shared" si="4"/>
        <v>'0754.HK'</v>
      </c>
      <c r="D313" s="22" t="s">
        <v>1554</v>
      </c>
      <c r="E313" s="22" t="s">
        <v>924</v>
      </c>
      <c r="F313" s="22">
        <v>22669049328.330002</v>
      </c>
      <c r="G313" s="22">
        <v>76</v>
      </c>
      <c r="H313" s="22" t="s">
        <v>1555</v>
      </c>
    </row>
    <row r="314" spans="1:8" x14ac:dyDescent="0.35">
      <c r="A314" s="22" t="s">
        <v>851</v>
      </c>
      <c r="B314" s="22" t="str">
        <f>"06127"</f>
        <v>06127</v>
      </c>
      <c r="C314" s="22" t="str">
        <f t="shared" si="4"/>
        <v>'6127.HK'</v>
      </c>
      <c r="D314" s="22" t="s">
        <v>1556</v>
      </c>
      <c r="E314" s="22" t="s">
        <v>941</v>
      </c>
      <c r="F314" s="22">
        <v>22096745385</v>
      </c>
      <c r="G314" s="22">
        <v>39</v>
      </c>
      <c r="H314" s="22" t="s">
        <v>1557</v>
      </c>
    </row>
    <row r="315" spans="1:8" x14ac:dyDescent="0.35">
      <c r="A315" s="22" t="s">
        <v>851</v>
      </c>
      <c r="B315" s="22" t="str">
        <f>"01268"</f>
        <v>01268</v>
      </c>
      <c r="C315" s="22" t="str">
        <f t="shared" si="4"/>
        <v>'1268.HK'</v>
      </c>
      <c r="D315" s="22" t="s">
        <v>1558</v>
      </c>
      <c r="E315" s="22" t="s">
        <v>1089</v>
      </c>
      <c r="F315" s="22">
        <v>21905981766.240002</v>
      </c>
      <c r="G315" s="22">
        <v>89</v>
      </c>
      <c r="H315" s="22" t="s">
        <v>1559</v>
      </c>
    </row>
    <row r="316" spans="1:8" x14ac:dyDescent="0.35">
      <c r="A316" s="22" t="s">
        <v>851</v>
      </c>
      <c r="B316" s="22" t="str">
        <f>"00053"</f>
        <v>00053</v>
      </c>
      <c r="C316" s="22" t="str">
        <f t="shared" si="4"/>
        <v>'0053.HK'</v>
      </c>
      <c r="D316" s="22" t="s">
        <v>1560</v>
      </c>
      <c r="E316" s="22" t="s">
        <v>924</v>
      </c>
      <c r="F316" s="22">
        <v>21881916304.5</v>
      </c>
      <c r="G316" s="22">
        <v>17</v>
      </c>
      <c r="H316" s="22" t="s">
        <v>1561</v>
      </c>
    </row>
    <row r="317" spans="1:8" x14ac:dyDescent="0.35">
      <c r="A317" s="22" t="s">
        <v>851</v>
      </c>
      <c r="B317" s="22" t="str">
        <f>"00354"</f>
        <v>00354</v>
      </c>
      <c r="C317" s="22" t="str">
        <f t="shared" si="4"/>
        <v>'0354.HK'</v>
      </c>
      <c r="D317" s="22" t="s">
        <v>1562</v>
      </c>
      <c r="E317" s="22" t="s">
        <v>1202</v>
      </c>
      <c r="F317" s="22">
        <v>21824577777.599998</v>
      </c>
      <c r="G317" s="22">
        <v>95</v>
      </c>
      <c r="H317" s="22" t="s">
        <v>1563</v>
      </c>
    </row>
    <row r="318" spans="1:8" x14ac:dyDescent="0.35">
      <c r="A318" s="22" t="s">
        <v>851</v>
      </c>
      <c r="B318" s="22" t="str">
        <f>"01508"</f>
        <v>01508</v>
      </c>
      <c r="C318" s="22" t="str">
        <f t="shared" si="4"/>
        <v>'1508.HK'</v>
      </c>
      <c r="D318" s="22" t="s">
        <v>1564</v>
      </c>
      <c r="E318" s="22" t="s">
        <v>870</v>
      </c>
      <c r="F318" s="22">
        <v>21664702123.349998</v>
      </c>
      <c r="G318" s="22">
        <v>161</v>
      </c>
      <c r="H318" s="22" t="s">
        <v>1565</v>
      </c>
    </row>
    <row r="319" spans="1:8" x14ac:dyDescent="0.35">
      <c r="A319" s="22" t="s">
        <v>851</v>
      </c>
      <c r="B319" s="22" t="str">
        <f>"00257"</f>
        <v>00257</v>
      </c>
      <c r="C319" s="22" t="str">
        <f t="shared" si="4"/>
        <v>'0257.HK'</v>
      </c>
      <c r="D319" s="22" t="s">
        <v>1566</v>
      </c>
      <c r="E319" s="22" t="s">
        <v>1127</v>
      </c>
      <c r="F319" s="22">
        <v>21623273027.84</v>
      </c>
      <c r="G319" s="22">
        <v>186</v>
      </c>
      <c r="H319" s="22" t="s">
        <v>1567</v>
      </c>
    </row>
    <row r="320" spans="1:8" x14ac:dyDescent="0.35">
      <c r="A320" s="22" t="s">
        <v>851</v>
      </c>
      <c r="B320" s="22" t="str">
        <f>"00013"</f>
        <v>00013</v>
      </c>
      <c r="C320" s="22" t="str">
        <f t="shared" si="4"/>
        <v>'0013.HK'</v>
      </c>
      <c r="D320" s="22" t="s">
        <v>1568</v>
      </c>
      <c r="E320" s="22" t="s">
        <v>969</v>
      </c>
      <c r="F320" s="22">
        <v>21532905966</v>
      </c>
      <c r="G320" s="22">
        <v>0</v>
      </c>
      <c r="H320" s="22" t="s">
        <v>1569</v>
      </c>
    </row>
    <row r="321" spans="1:8" x14ac:dyDescent="0.35">
      <c r="A321" s="22" t="s">
        <v>851</v>
      </c>
      <c r="B321" s="22" t="str">
        <f>"01199"</f>
        <v>01199</v>
      </c>
      <c r="C321" s="22" t="str">
        <f t="shared" si="4"/>
        <v>'1199.HK'</v>
      </c>
      <c r="D321" s="22" t="s">
        <v>1570</v>
      </c>
      <c r="E321" s="22" t="s">
        <v>1047</v>
      </c>
      <c r="F321" s="22">
        <v>21435297016.209999</v>
      </c>
      <c r="G321" s="22">
        <v>119</v>
      </c>
      <c r="H321" s="22" t="s">
        <v>1571</v>
      </c>
    </row>
    <row r="322" spans="1:8" x14ac:dyDescent="0.35">
      <c r="A322" s="22" t="s">
        <v>851</v>
      </c>
      <c r="B322" s="22" t="str">
        <f>"02018"</f>
        <v>02018</v>
      </c>
      <c r="C322" s="22" t="str">
        <f t="shared" si="4"/>
        <v>'2018.HK'</v>
      </c>
      <c r="D322" s="22" t="s">
        <v>1572</v>
      </c>
      <c r="E322" s="22" t="s">
        <v>1075</v>
      </c>
      <c r="F322" s="22">
        <v>21372265000</v>
      </c>
      <c r="G322" s="22">
        <v>239</v>
      </c>
      <c r="H322" s="22" t="s">
        <v>1573</v>
      </c>
    </row>
    <row r="323" spans="1:8" x14ac:dyDescent="0.35">
      <c r="A323" s="22" t="s">
        <v>851</v>
      </c>
      <c r="B323" s="22" t="str">
        <f>"00552"</f>
        <v>00552</v>
      </c>
      <c r="C323" s="22" t="str">
        <f t="shared" ref="C323:C386" si="5">CONCATENATE("'",RIGHT(B323,4),".HK'")</f>
        <v>'0552.HK'</v>
      </c>
      <c r="D323" s="22" t="s">
        <v>1574</v>
      </c>
      <c r="E323" s="22" t="s">
        <v>938</v>
      </c>
      <c r="F323" s="22">
        <v>20847315384</v>
      </c>
      <c r="G323" s="22">
        <v>101</v>
      </c>
      <c r="H323" s="22" t="s">
        <v>1575</v>
      </c>
    </row>
    <row r="324" spans="1:8" x14ac:dyDescent="0.35">
      <c r="A324" s="22" t="s">
        <v>851</v>
      </c>
      <c r="B324" s="22" t="str">
        <f>"09878"</f>
        <v>09878</v>
      </c>
      <c r="C324" s="22" t="str">
        <f t="shared" si="5"/>
        <v>'9878.HK'</v>
      </c>
      <c r="D324" s="22" t="s">
        <v>1576</v>
      </c>
      <c r="E324" s="22" t="s">
        <v>853</v>
      </c>
      <c r="F324" s="22">
        <v>20843212460.849998</v>
      </c>
      <c r="G324" s="22">
        <v>1</v>
      </c>
      <c r="H324" s="22" t="s">
        <v>1577</v>
      </c>
    </row>
    <row r="325" spans="1:8" x14ac:dyDescent="0.35">
      <c r="A325" s="22" t="s">
        <v>851</v>
      </c>
      <c r="B325" s="22" t="str">
        <f>"00347"</f>
        <v>00347</v>
      </c>
      <c r="C325" s="22" t="str">
        <f t="shared" si="5"/>
        <v>'0347.HK'</v>
      </c>
      <c r="D325" s="22" t="s">
        <v>1578</v>
      </c>
      <c r="E325" s="22" t="s">
        <v>1579</v>
      </c>
      <c r="F325" s="22">
        <v>20686644992.200001</v>
      </c>
      <c r="G325" s="22">
        <v>81</v>
      </c>
      <c r="H325" s="22" t="s">
        <v>1580</v>
      </c>
    </row>
    <row r="326" spans="1:8" x14ac:dyDescent="0.35">
      <c r="A326" s="22" t="s">
        <v>851</v>
      </c>
      <c r="B326" s="22" t="str">
        <f>"01030"</f>
        <v>01030</v>
      </c>
      <c r="C326" s="22" t="str">
        <f t="shared" si="5"/>
        <v>'1030.HK'</v>
      </c>
      <c r="D326" s="22" t="s">
        <v>1581</v>
      </c>
      <c r="E326" s="22" t="s">
        <v>924</v>
      </c>
      <c r="F326" s="22">
        <v>20631965241.32</v>
      </c>
      <c r="G326" s="22">
        <v>289</v>
      </c>
      <c r="H326" s="22" t="s">
        <v>1582</v>
      </c>
    </row>
    <row r="327" spans="1:8" x14ac:dyDescent="0.35">
      <c r="A327" s="22" t="s">
        <v>851</v>
      </c>
      <c r="B327" s="22" t="str">
        <f>"01799"</f>
        <v>01799</v>
      </c>
      <c r="C327" s="22" t="str">
        <f t="shared" si="5"/>
        <v>'1799.HK'</v>
      </c>
      <c r="D327" s="22" t="s">
        <v>1583</v>
      </c>
      <c r="E327" s="22" t="s">
        <v>1127</v>
      </c>
      <c r="F327" s="22">
        <v>20534800000</v>
      </c>
      <c r="G327" s="22">
        <v>34</v>
      </c>
      <c r="H327" s="22" t="s">
        <v>1584</v>
      </c>
    </row>
    <row r="328" spans="1:8" x14ac:dyDescent="0.35">
      <c r="A328" s="22" t="s">
        <v>851</v>
      </c>
      <c r="B328" s="22" t="str">
        <f>"09869"</f>
        <v>09869</v>
      </c>
      <c r="C328" s="22" t="str">
        <f t="shared" si="5"/>
        <v>'9869.HK'</v>
      </c>
      <c r="D328" s="22" t="s">
        <v>1585</v>
      </c>
      <c r="E328" s="22" t="s">
        <v>981</v>
      </c>
      <c r="F328" s="22">
        <v>20321100444.959999</v>
      </c>
      <c r="G328" s="22">
        <v>21</v>
      </c>
      <c r="H328" s="22" t="s">
        <v>1586</v>
      </c>
    </row>
    <row r="329" spans="1:8" x14ac:dyDescent="0.35">
      <c r="A329" s="22" t="s">
        <v>851</v>
      </c>
      <c r="B329" s="22" t="str">
        <f>"03396"</f>
        <v>03396</v>
      </c>
      <c r="C329" s="22" t="str">
        <f t="shared" si="5"/>
        <v>'3396.HK'</v>
      </c>
      <c r="D329" s="22" t="s">
        <v>1587</v>
      </c>
      <c r="E329" s="22" t="s">
        <v>1152</v>
      </c>
      <c r="F329" s="22">
        <v>20310710358</v>
      </c>
      <c r="G329" s="22">
        <v>118</v>
      </c>
      <c r="H329" s="22" t="s">
        <v>1588</v>
      </c>
    </row>
    <row r="330" spans="1:8" x14ac:dyDescent="0.35">
      <c r="A330" s="22" t="s">
        <v>851</v>
      </c>
      <c r="B330" s="22" t="str">
        <f>"00371"</f>
        <v>00371</v>
      </c>
      <c r="C330" s="22" t="str">
        <f t="shared" si="5"/>
        <v>'0371.HK'</v>
      </c>
      <c r="D330" s="22" t="s">
        <v>1589</v>
      </c>
      <c r="E330" s="22" t="s">
        <v>1255</v>
      </c>
      <c r="F330" s="22">
        <v>20296252739.419998</v>
      </c>
      <c r="G330" s="22">
        <v>190</v>
      </c>
      <c r="H330" s="22" t="s">
        <v>1590</v>
      </c>
    </row>
    <row r="331" spans="1:8" x14ac:dyDescent="0.35">
      <c r="A331" s="22" t="s">
        <v>851</v>
      </c>
      <c r="B331" s="22" t="str">
        <f>"00467"</f>
        <v>00467</v>
      </c>
      <c r="C331" s="22" t="str">
        <f t="shared" si="5"/>
        <v>'0467.HK'</v>
      </c>
      <c r="D331" s="22" t="s">
        <v>1591</v>
      </c>
      <c r="E331" s="22" t="s">
        <v>883</v>
      </c>
      <c r="F331" s="22">
        <v>20243245165.220001</v>
      </c>
      <c r="G331" s="22">
        <v>18</v>
      </c>
      <c r="H331" s="22" t="s">
        <v>1592</v>
      </c>
    </row>
    <row r="332" spans="1:8" x14ac:dyDescent="0.35">
      <c r="A332" s="22" t="s">
        <v>851</v>
      </c>
      <c r="B332" s="22" t="str">
        <f>"01530"</f>
        <v>01530</v>
      </c>
      <c r="C332" s="22" t="str">
        <f t="shared" si="5"/>
        <v>'1530.HK'</v>
      </c>
      <c r="D332" s="22" t="s">
        <v>1593</v>
      </c>
      <c r="E332" s="22" t="s">
        <v>969</v>
      </c>
      <c r="F332" s="22">
        <v>20242416919.599998</v>
      </c>
      <c r="G332" s="22">
        <v>165</v>
      </c>
      <c r="H332" s="22" t="s">
        <v>1594</v>
      </c>
    </row>
    <row r="333" spans="1:8" x14ac:dyDescent="0.35">
      <c r="A333" s="22" t="s">
        <v>851</v>
      </c>
      <c r="B333" s="22" t="str">
        <f>"06699"</f>
        <v>06699</v>
      </c>
      <c r="C333" s="22" t="str">
        <f t="shared" si="5"/>
        <v>'6699.HK'</v>
      </c>
      <c r="D333" s="22" t="s">
        <v>1595</v>
      </c>
      <c r="E333" s="22" t="s">
        <v>1362</v>
      </c>
      <c r="F333" s="22">
        <v>20082512471</v>
      </c>
      <c r="G333" s="22">
        <v>71</v>
      </c>
      <c r="H333" s="22" t="s">
        <v>1596</v>
      </c>
    </row>
    <row r="334" spans="1:8" x14ac:dyDescent="0.35">
      <c r="A334" s="22" t="s">
        <v>851</v>
      </c>
      <c r="B334" s="22" t="str">
        <f>"00136"</f>
        <v>00136</v>
      </c>
      <c r="C334" s="22" t="str">
        <f t="shared" si="5"/>
        <v>'0136.HK'</v>
      </c>
      <c r="D334" s="22" t="s">
        <v>1597</v>
      </c>
      <c r="E334" s="22" t="s">
        <v>1185</v>
      </c>
      <c r="F334" s="22">
        <v>20009295090</v>
      </c>
      <c r="G334" s="22">
        <v>27</v>
      </c>
      <c r="H334" s="22" t="s">
        <v>1598</v>
      </c>
    </row>
    <row r="335" spans="1:8" x14ac:dyDescent="0.35">
      <c r="A335" s="22" t="s">
        <v>851</v>
      </c>
      <c r="B335" s="22" t="str">
        <f>"00189"</f>
        <v>00189</v>
      </c>
      <c r="C335" s="22" t="str">
        <f t="shared" si="5"/>
        <v>'0189.HK'</v>
      </c>
      <c r="D335" s="22" t="s">
        <v>1599</v>
      </c>
      <c r="E335" s="22" t="s">
        <v>1600</v>
      </c>
      <c r="F335" s="22">
        <v>19900077887.650002</v>
      </c>
      <c r="G335" s="22">
        <v>100</v>
      </c>
      <c r="H335" s="22" t="s">
        <v>1601</v>
      </c>
    </row>
    <row r="336" spans="1:8" x14ac:dyDescent="0.35">
      <c r="A336" s="22" t="s">
        <v>851</v>
      </c>
      <c r="B336" s="22" t="str">
        <f>"02285"</f>
        <v>02285</v>
      </c>
      <c r="C336" s="22" t="str">
        <f t="shared" si="5"/>
        <v>'2285.HK'</v>
      </c>
      <c r="D336" s="22" t="s">
        <v>1602</v>
      </c>
      <c r="E336" s="22" t="s">
        <v>953</v>
      </c>
      <c r="F336" s="22">
        <v>19853861845.5</v>
      </c>
      <c r="G336" s="22">
        <v>4</v>
      </c>
      <c r="H336" s="22" t="s">
        <v>1603</v>
      </c>
    </row>
    <row r="337" spans="1:8" x14ac:dyDescent="0.35">
      <c r="A337" s="22" t="s">
        <v>851</v>
      </c>
      <c r="B337" s="22" t="str">
        <f>"03868"</f>
        <v>03868</v>
      </c>
      <c r="C337" s="22" t="str">
        <f t="shared" si="5"/>
        <v>'3868.HK'</v>
      </c>
      <c r="D337" s="22" t="s">
        <v>1604</v>
      </c>
      <c r="E337" s="22" t="s">
        <v>1127</v>
      </c>
      <c r="F337" s="22">
        <v>19791464678.299999</v>
      </c>
      <c r="G337" s="22">
        <v>30</v>
      </c>
      <c r="H337" s="22" t="s">
        <v>1605</v>
      </c>
    </row>
    <row r="338" spans="1:8" x14ac:dyDescent="0.35">
      <c r="A338" s="22" t="s">
        <v>851</v>
      </c>
      <c r="B338" s="22" t="str">
        <f>"00010"</f>
        <v>00010</v>
      </c>
      <c r="C338" s="22" t="str">
        <f t="shared" si="5"/>
        <v>'0010.HK'</v>
      </c>
      <c r="D338" s="22" t="s">
        <v>1606</v>
      </c>
      <c r="E338" s="22" t="s">
        <v>1028</v>
      </c>
      <c r="F338" s="22">
        <v>19770696873.84</v>
      </c>
      <c r="G338" s="22">
        <v>111</v>
      </c>
      <c r="H338" s="22" t="s">
        <v>1607</v>
      </c>
    </row>
    <row r="339" spans="1:8" x14ac:dyDescent="0.35">
      <c r="A339" s="22" t="s">
        <v>851</v>
      </c>
      <c r="B339" s="22" t="str">
        <f>"00416"</f>
        <v>00416</v>
      </c>
      <c r="C339" s="22" t="str">
        <f t="shared" si="5"/>
        <v>'0416.HK'</v>
      </c>
      <c r="D339" s="22" t="s">
        <v>1608</v>
      </c>
      <c r="E339" s="22" t="s">
        <v>858</v>
      </c>
      <c r="F339" s="22">
        <v>19574261957.599998</v>
      </c>
      <c r="G339" s="22">
        <v>27</v>
      </c>
      <c r="H339" s="22" t="s">
        <v>1609</v>
      </c>
    </row>
    <row r="340" spans="1:8" x14ac:dyDescent="0.35">
      <c r="A340" s="22" t="s">
        <v>851</v>
      </c>
      <c r="B340" s="22" t="str">
        <f>"06680"</f>
        <v>06680</v>
      </c>
      <c r="C340" s="22" t="str">
        <f t="shared" si="5"/>
        <v>'6680.HK'</v>
      </c>
      <c r="D340" s="22" t="s">
        <v>1610</v>
      </c>
      <c r="E340" s="22" t="s">
        <v>1060</v>
      </c>
      <c r="F340" s="22">
        <v>19482481603.5</v>
      </c>
      <c r="G340" s="22">
        <v>9</v>
      </c>
      <c r="H340" s="22" t="s">
        <v>1611</v>
      </c>
    </row>
    <row r="341" spans="1:8" x14ac:dyDescent="0.35">
      <c r="A341" s="22" t="s">
        <v>851</v>
      </c>
      <c r="B341" s="22" t="str">
        <f>"01951"</f>
        <v>01951</v>
      </c>
      <c r="C341" s="22" t="str">
        <f t="shared" si="5"/>
        <v>'1951.HK'</v>
      </c>
      <c r="D341" s="22" t="s">
        <v>1612</v>
      </c>
      <c r="E341" s="22" t="s">
        <v>941</v>
      </c>
      <c r="F341" s="22">
        <v>19128081295.200001</v>
      </c>
      <c r="G341" s="22">
        <v>240</v>
      </c>
      <c r="H341" s="22" t="s">
        <v>1613</v>
      </c>
    </row>
    <row r="342" spans="1:8" x14ac:dyDescent="0.35">
      <c r="A342" s="22" t="s">
        <v>851</v>
      </c>
      <c r="B342" s="22" t="str">
        <f>"06698"</f>
        <v>06698</v>
      </c>
      <c r="C342" s="22" t="str">
        <f t="shared" si="5"/>
        <v>'6698.HK'</v>
      </c>
      <c r="D342" s="22" t="s">
        <v>1614</v>
      </c>
      <c r="F342" s="22">
        <v>19110240000</v>
      </c>
      <c r="H342" s="22" t="s">
        <v>1615</v>
      </c>
    </row>
    <row r="343" spans="1:8" x14ac:dyDescent="0.35">
      <c r="A343" s="22" t="s">
        <v>851</v>
      </c>
      <c r="B343" s="22" t="str">
        <f>"00598"</f>
        <v>00598</v>
      </c>
      <c r="C343" s="22" t="str">
        <f t="shared" si="5"/>
        <v>'0598.HK'</v>
      </c>
      <c r="D343" s="22" t="s">
        <v>1616</v>
      </c>
      <c r="E343" s="22" t="s">
        <v>1047</v>
      </c>
      <c r="F343" s="22">
        <v>18829068480</v>
      </c>
      <c r="G343" s="22">
        <v>187</v>
      </c>
      <c r="H343" s="22" t="s">
        <v>1617</v>
      </c>
    </row>
    <row r="344" spans="1:8" x14ac:dyDescent="0.35">
      <c r="A344" s="22" t="s">
        <v>851</v>
      </c>
      <c r="B344" s="22" t="str">
        <f>"02778"</f>
        <v>02778</v>
      </c>
      <c r="C344" s="22" t="str">
        <f t="shared" si="5"/>
        <v>'2778.HK'</v>
      </c>
      <c r="D344" s="22" t="s">
        <v>1618</v>
      </c>
      <c r="F344" s="22">
        <v>18637867840.799999</v>
      </c>
      <c r="G344" s="22">
        <v>69</v>
      </c>
      <c r="H344" s="22" t="s">
        <v>1619</v>
      </c>
    </row>
    <row r="345" spans="1:8" x14ac:dyDescent="0.35">
      <c r="A345" s="22" t="s">
        <v>851</v>
      </c>
      <c r="B345" s="22" t="str">
        <f>"06655"</f>
        <v>06655</v>
      </c>
      <c r="C345" s="22" t="str">
        <f t="shared" si="5"/>
        <v>'6655.HK'</v>
      </c>
      <c r="D345" s="22" t="s">
        <v>1620</v>
      </c>
      <c r="E345" s="22" t="s">
        <v>1016</v>
      </c>
      <c r="F345" s="22">
        <v>18596840713.849998</v>
      </c>
      <c r="G345" s="22">
        <v>5</v>
      </c>
      <c r="H345" s="22" t="s">
        <v>1621</v>
      </c>
    </row>
    <row r="346" spans="1:8" x14ac:dyDescent="0.35">
      <c r="A346" s="22" t="s">
        <v>851</v>
      </c>
      <c r="B346" s="22" t="str">
        <f>"00570"</f>
        <v>00570</v>
      </c>
      <c r="C346" s="22" t="str">
        <f t="shared" si="5"/>
        <v>'0570.HK'</v>
      </c>
      <c r="D346" s="22" t="s">
        <v>1622</v>
      </c>
      <c r="E346" s="22" t="s">
        <v>1349</v>
      </c>
      <c r="F346" s="22">
        <v>18531750815.360001</v>
      </c>
      <c r="G346" s="22">
        <v>131</v>
      </c>
      <c r="H346" s="22" t="s">
        <v>1623</v>
      </c>
    </row>
    <row r="347" spans="1:8" x14ac:dyDescent="0.35">
      <c r="A347" s="22" t="s">
        <v>851</v>
      </c>
      <c r="B347" s="22" t="str">
        <f>"03866"</f>
        <v>03866</v>
      </c>
      <c r="C347" s="22" t="str">
        <f t="shared" si="5"/>
        <v>'3866.HK'</v>
      </c>
      <c r="D347" s="22" t="s">
        <v>1624</v>
      </c>
      <c r="E347" s="22" t="s">
        <v>858</v>
      </c>
      <c r="F347" s="22">
        <v>18450524475.080002</v>
      </c>
      <c r="G347" s="22">
        <v>38</v>
      </c>
      <c r="H347" s="22" t="s">
        <v>1625</v>
      </c>
    </row>
    <row r="348" spans="1:8" x14ac:dyDescent="0.35">
      <c r="A348" s="22" t="s">
        <v>851</v>
      </c>
      <c r="B348" s="22" t="str">
        <f>"02013"</f>
        <v>02013</v>
      </c>
      <c r="C348" s="22" t="str">
        <f t="shared" si="5"/>
        <v>'2013.HK'</v>
      </c>
      <c r="D348" s="22" t="s">
        <v>1626</v>
      </c>
      <c r="E348" s="22" t="s">
        <v>1627</v>
      </c>
      <c r="F348" s="22">
        <v>18355165128</v>
      </c>
      <c r="G348" s="22">
        <v>165</v>
      </c>
      <c r="H348" s="22" t="s">
        <v>1628</v>
      </c>
    </row>
    <row r="349" spans="1:8" x14ac:dyDescent="0.35">
      <c r="A349" s="22" t="s">
        <v>851</v>
      </c>
      <c r="B349" s="22" t="str">
        <f>"00152"</f>
        <v>00152</v>
      </c>
      <c r="C349" s="22" t="str">
        <f t="shared" si="5"/>
        <v>'0152.HK'</v>
      </c>
      <c r="D349" s="22" t="s">
        <v>1629</v>
      </c>
      <c r="E349" s="22" t="s">
        <v>1367</v>
      </c>
      <c r="F349" s="22">
        <v>18290618464.34</v>
      </c>
      <c r="G349" s="22">
        <v>124</v>
      </c>
      <c r="H349" s="22" t="s">
        <v>1630</v>
      </c>
    </row>
    <row r="350" spans="1:8" x14ac:dyDescent="0.35">
      <c r="A350" s="22" t="s">
        <v>851</v>
      </c>
      <c r="B350" s="22" t="str">
        <f>"01252"</f>
        <v>01252</v>
      </c>
      <c r="C350" s="22" t="str">
        <f t="shared" si="5"/>
        <v>'1252.HK'</v>
      </c>
      <c r="D350" s="22" t="s">
        <v>1631</v>
      </c>
      <c r="E350" s="22" t="s">
        <v>1016</v>
      </c>
      <c r="F350" s="22">
        <v>18099814945.52</v>
      </c>
      <c r="G350" s="22">
        <v>9</v>
      </c>
      <c r="H350" s="22" t="s">
        <v>1632</v>
      </c>
    </row>
    <row r="351" spans="1:8" x14ac:dyDescent="0.35">
      <c r="A351" s="22" t="s">
        <v>851</v>
      </c>
      <c r="B351" s="22" t="str">
        <f>"01735"</f>
        <v>01735</v>
      </c>
      <c r="C351" s="22" t="str">
        <f t="shared" si="5"/>
        <v>'1735.HK'</v>
      </c>
      <c r="D351" s="22" t="s">
        <v>1633</v>
      </c>
      <c r="E351" s="22" t="s">
        <v>1634</v>
      </c>
      <c r="F351" s="22">
        <v>18057600000</v>
      </c>
      <c r="G351" s="22">
        <v>3</v>
      </c>
      <c r="H351" s="22" t="s">
        <v>1635</v>
      </c>
    </row>
    <row r="352" spans="1:8" x14ac:dyDescent="0.35">
      <c r="A352" s="22" t="s">
        <v>851</v>
      </c>
      <c r="B352" s="22" t="str">
        <f>"01208"</f>
        <v>01208</v>
      </c>
      <c r="C352" s="22" t="str">
        <f t="shared" si="5"/>
        <v>'1208.HK'</v>
      </c>
      <c r="D352" s="22" t="s">
        <v>1636</v>
      </c>
      <c r="E352" s="22" t="s">
        <v>1316</v>
      </c>
      <c r="F352" s="22">
        <v>17970715844.639999</v>
      </c>
      <c r="G352" s="22">
        <v>37</v>
      </c>
      <c r="H352" s="22" t="s">
        <v>1637</v>
      </c>
    </row>
    <row r="353" spans="1:8" x14ac:dyDescent="0.35">
      <c r="A353" s="22" t="s">
        <v>851</v>
      </c>
      <c r="B353" s="22" t="str">
        <f>"00551"</f>
        <v>00551</v>
      </c>
      <c r="C353" s="22" t="str">
        <f t="shared" si="5"/>
        <v>'0551.HK'</v>
      </c>
      <c r="D353" s="22" t="s">
        <v>1638</v>
      </c>
      <c r="E353" s="22" t="s">
        <v>1552</v>
      </c>
      <c r="F353" s="22">
        <v>17895242244.599998</v>
      </c>
      <c r="G353" s="22">
        <v>51</v>
      </c>
      <c r="H353" s="22" t="s">
        <v>1639</v>
      </c>
    </row>
    <row r="354" spans="1:8" x14ac:dyDescent="0.35">
      <c r="A354" s="22" t="s">
        <v>851</v>
      </c>
      <c r="B354" s="22" t="str">
        <f>"00345"</f>
        <v>00345</v>
      </c>
      <c r="C354" s="22" t="str">
        <f t="shared" si="5"/>
        <v>'0345.HK'</v>
      </c>
      <c r="D354" s="22" t="s">
        <v>1640</v>
      </c>
      <c r="E354" s="22" t="s">
        <v>892</v>
      </c>
      <c r="F354" s="22">
        <v>17304144725.599998</v>
      </c>
      <c r="G354" s="22">
        <v>193</v>
      </c>
      <c r="H354" s="22" t="s">
        <v>1641</v>
      </c>
    </row>
    <row r="355" spans="1:8" x14ac:dyDescent="0.35">
      <c r="A355" s="22" t="s">
        <v>851</v>
      </c>
      <c r="B355" s="22" t="str">
        <f>"02869"</f>
        <v>02869</v>
      </c>
      <c r="C355" s="22" t="str">
        <f t="shared" si="5"/>
        <v>'2869.HK'</v>
      </c>
      <c r="D355" s="22" t="s">
        <v>1642</v>
      </c>
      <c r="E355" s="22" t="s">
        <v>1104</v>
      </c>
      <c r="F355" s="22">
        <v>17289891615.639999</v>
      </c>
      <c r="G355" s="22">
        <v>180</v>
      </c>
      <c r="H355" s="22" t="s">
        <v>1643</v>
      </c>
    </row>
    <row r="356" spans="1:8" x14ac:dyDescent="0.35">
      <c r="A356" s="22" t="s">
        <v>851</v>
      </c>
      <c r="B356" s="22" t="str">
        <f>"01798"</f>
        <v>01798</v>
      </c>
      <c r="C356" s="22" t="str">
        <f t="shared" si="5"/>
        <v>'1798.HK'</v>
      </c>
      <c r="D356" s="22" t="s">
        <v>1644</v>
      </c>
      <c r="E356" s="22" t="s">
        <v>1127</v>
      </c>
      <c r="F356" s="22">
        <v>17238671370</v>
      </c>
      <c r="G356" s="22">
        <v>65</v>
      </c>
      <c r="H356" s="22" t="s">
        <v>1645</v>
      </c>
    </row>
    <row r="357" spans="1:8" x14ac:dyDescent="0.35">
      <c r="A357" s="22" t="s">
        <v>851</v>
      </c>
      <c r="B357" s="22" t="str">
        <f>"01958"</f>
        <v>01958</v>
      </c>
      <c r="C357" s="22" t="str">
        <f t="shared" si="5"/>
        <v>'1958.HK'</v>
      </c>
      <c r="D357" s="22" t="s">
        <v>1646</v>
      </c>
      <c r="E357" s="22" t="s">
        <v>886</v>
      </c>
      <c r="F357" s="22">
        <v>17072670327.66</v>
      </c>
      <c r="G357" s="22">
        <v>152</v>
      </c>
      <c r="H357" s="22" t="s">
        <v>1647</v>
      </c>
    </row>
    <row r="358" spans="1:8" x14ac:dyDescent="0.35">
      <c r="A358" s="22" t="s">
        <v>851</v>
      </c>
      <c r="B358" s="22" t="str">
        <f>"09899"</f>
        <v>09899</v>
      </c>
      <c r="C358" s="22" t="str">
        <f t="shared" si="5"/>
        <v>'9899.HK'</v>
      </c>
      <c r="D358" s="22" t="s">
        <v>1648</v>
      </c>
      <c r="E358" s="22" t="s">
        <v>1185</v>
      </c>
      <c r="F358" s="22">
        <v>16901268980.700001</v>
      </c>
      <c r="G358" s="22">
        <v>9</v>
      </c>
      <c r="H358" s="22" t="s">
        <v>1649</v>
      </c>
    </row>
    <row r="359" spans="1:8" x14ac:dyDescent="0.35">
      <c r="A359" s="22" t="s">
        <v>851</v>
      </c>
      <c r="B359" s="22" t="str">
        <f>"03633"</f>
        <v>03633</v>
      </c>
      <c r="C359" s="22" t="str">
        <f t="shared" si="5"/>
        <v>'3633.HK'</v>
      </c>
      <c r="D359" s="22" t="s">
        <v>1650</v>
      </c>
      <c r="E359" s="22" t="s">
        <v>1031</v>
      </c>
      <c r="F359" s="22">
        <v>16662933083.16</v>
      </c>
      <c r="G359" s="22">
        <v>23</v>
      </c>
      <c r="H359" s="22" t="s">
        <v>1651</v>
      </c>
    </row>
    <row r="360" spans="1:8" x14ac:dyDescent="0.35">
      <c r="A360" s="22" t="s">
        <v>851</v>
      </c>
      <c r="B360" s="22" t="str">
        <f>"02880"</f>
        <v>02880</v>
      </c>
      <c r="C360" s="22" t="str">
        <f t="shared" si="5"/>
        <v>'2880.HK'</v>
      </c>
      <c r="D360" s="22" t="s">
        <v>1652</v>
      </c>
      <c r="E360" s="22" t="s">
        <v>1047</v>
      </c>
      <c r="F360" s="22">
        <v>16551075413.040001</v>
      </c>
      <c r="G360" s="22">
        <v>50</v>
      </c>
      <c r="H360" s="22" t="s">
        <v>1653</v>
      </c>
    </row>
    <row r="361" spans="1:8" x14ac:dyDescent="0.35">
      <c r="A361" s="22" t="s">
        <v>851</v>
      </c>
      <c r="B361" s="22" t="str">
        <f>"06185"</f>
        <v>06185</v>
      </c>
      <c r="C361" s="22" t="str">
        <f t="shared" si="5"/>
        <v>'6185.HK'</v>
      </c>
      <c r="D361" s="22" t="s">
        <v>1654</v>
      </c>
      <c r="E361" s="22" t="s">
        <v>941</v>
      </c>
      <c r="F361" s="22">
        <v>16443045788.549999</v>
      </c>
      <c r="G361" s="22">
        <v>94</v>
      </c>
      <c r="H361" s="22" t="s">
        <v>1655</v>
      </c>
    </row>
    <row r="362" spans="1:8" x14ac:dyDescent="0.35">
      <c r="A362" s="22" t="s">
        <v>851</v>
      </c>
      <c r="B362" s="22" t="str">
        <f>"03990"</f>
        <v>03990</v>
      </c>
      <c r="C362" s="22" t="str">
        <f t="shared" si="5"/>
        <v>'3990.HK'</v>
      </c>
      <c r="D362" s="22" t="s">
        <v>1656</v>
      </c>
      <c r="E362" s="22" t="s">
        <v>924</v>
      </c>
      <c r="F362" s="22">
        <v>16427593355.16</v>
      </c>
      <c r="G362" s="22">
        <v>114</v>
      </c>
      <c r="H362" s="22" t="s">
        <v>1657</v>
      </c>
    </row>
    <row r="363" spans="1:8" x14ac:dyDescent="0.35">
      <c r="A363" s="22" t="s">
        <v>851</v>
      </c>
      <c r="B363" s="22" t="str">
        <f>"01563"</f>
        <v>01563</v>
      </c>
      <c r="C363" s="22" t="str">
        <f t="shared" si="5"/>
        <v>'1563.HK'</v>
      </c>
      <c r="D363" s="22" t="s">
        <v>1658</v>
      </c>
      <c r="E363" s="22" t="s">
        <v>1498</v>
      </c>
      <c r="F363" s="22">
        <v>16384956660</v>
      </c>
      <c r="G363" s="22">
        <v>2</v>
      </c>
      <c r="H363" s="22" t="s">
        <v>1659</v>
      </c>
    </row>
    <row r="364" spans="1:8" x14ac:dyDescent="0.35">
      <c r="A364" s="22" t="s">
        <v>851</v>
      </c>
      <c r="B364" s="22" t="str">
        <f>"00512"</f>
        <v>00512</v>
      </c>
      <c r="C364" s="22" t="str">
        <f t="shared" si="5"/>
        <v>'0512.HK'</v>
      </c>
      <c r="D364" s="22" t="s">
        <v>1660</v>
      </c>
      <c r="E364" s="22" t="s">
        <v>969</v>
      </c>
      <c r="F364" s="22">
        <v>16257035857.84</v>
      </c>
      <c r="G364" s="22">
        <v>71</v>
      </c>
      <c r="H364" s="22" t="s">
        <v>1661</v>
      </c>
    </row>
    <row r="365" spans="1:8" x14ac:dyDescent="0.35">
      <c r="A365" s="22" t="s">
        <v>851</v>
      </c>
      <c r="B365" s="22" t="str">
        <f>"01060"</f>
        <v>01060</v>
      </c>
      <c r="C365" s="22" t="str">
        <f t="shared" si="5"/>
        <v>'1060.HK'</v>
      </c>
      <c r="D365" s="22" t="s">
        <v>1662</v>
      </c>
      <c r="E365" s="22" t="s">
        <v>1185</v>
      </c>
      <c r="F365" s="22">
        <v>16185444093.6</v>
      </c>
      <c r="G365" s="22">
        <v>92</v>
      </c>
      <c r="H365" s="22" t="s">
        <v>1663</v>
      </c>
    </row>
    <row r="366" spans="1:8" x14ac:dyDescent="0.35">
      <c r="A366" s="22" t="s">
        <v>851</v>
      </c>
      <c r="B366" s="22" t="str">
        <f>"00579"</f>
        <v>00579</v>
      </c>
      <c r="C366" s="22" t="str">
        <f t="shared" si="5"/>
        <v>'0579.HK'</v>
      </c>
      <c r="D366" s="22" t="s">
        <v>1664</v>
      </c>
      <c r="E366" s="22" t="s">
        <v>1022</v>
      </c>
      <c r="F366" s="22">
        <v>15911900717.92</v>
      </c>
      <c r="G366" s="22">
        <v>107</v>
      </c>
      <c r="H366" s="22" t="s">
        <v>1665</v>
      </c>
    </row>
    <row r="367" spans="1:8" x14ac:dyDescent="0.35">
      <c r="A367" s="22" t="s">
        <v>851</v>
      </c>
      <c r="B367" s="22" t="str">
        <f>"09993"</f>
        <v>09993</v>
      </c>
      <c r="C367" s="22" t="str">
        <f t="shared" si="5"/>
        <v>'9993.HK'</v>
      </c>
      <c r="D367" s="22" t="s">
        <v>1666</v>
      </c>
      <c r="E367" s="22" t="s">
        <v>924</v>
      </c>
      <c r="F367" s="22">
        <v>15816837570</v>
      </c>
      <c r="G367" s="22">
        <v>12</v>
      </c>
      <c r="H367" s="22" t="s">
        <v>1667</v>
      </c>
    </row>
    <row r="368" spans="1:8" x14ac:dyDescent="0.35">
      <c r="A368" s="22" t="s">
        <v>851</v>
      </c>
      <c r="B368" s="22" t="str">
        <f>"03899"</f>
        <v>03899</v>
      </c>
      <c r="C368" s="22" t="str">
        <f t="shared" si="5"/>
        <v>'3899.HK'</v>
      </c>
      <c r="D368" s="22" t="s">
        <v>1668</v>
      </c>
      <c r="E368" s="22" t="s">
        <v>1294</v>
      </c>
      <c r="F368" s="22">
        <v>15719151307</v>
      </c>
      <c r="G368" s="22">
        <v>123</v>
      </c>
      <c r="H368" s="22" t="s">
        <v>1669</v>
      </c>
    </row>
    <row r="369" spans="1:8" x14ac:dyDescent="0.35">
      <c r="A369" s="22" t="s">
        <v>851</v>
      </c>
      <c r="B369" s="22" t="str">
        <f>"01448"</f>
        <v>01448</v>
      </c>
      <c r="C369" s="22" t="str">
        <f t="shared" si="5"/>
        <v>'1448.HK'</v>
      </c>
      <c r="D369" s="22" t="s">
        <v>1670</v>
      </c>
      <c r="E369" s="22" t="s">
        <v>1671</v>
      </c>
      <c r="F369" s="22">
        <v>15589482195.84</v>
      </c>
      <c r="G369" s="22">
        <v>746</v>
      </c>
      <c r="H369" s="22" t="s">
        <v>1672</v>
      </c>
    </row>
    <row r="370" spans="1:8" x14ac:dyDescent="0.35">
      <c r="A370" s="22" t="s">
        <v>851</v>
      </c>
      <c r="B370" s="22" t="str">
        <f>"02386"</f>
        <v>02386</v>
      </c>
      <c r="C370" s="22" t="str">
        <f t="shared" si="5"/>
        <v>'2386.HK'</v>
      </c>
      <c r="D370" s="22" t="s">
        <v>1673</v>
      </c>
      <c r="E370" s="22" t="s">
        <v>1294</v>
      </c>
      <c r="F370" s="22">
        <v>15586560000</v>
      </c>
      <c r="G370" s="22">
        <v>69</v>
      </c>
      <c r="H370" s="22" t="s">
        <v>1674</v>
      </c>
    </row>
    <row r="371" spans="1:8" x14ac:dyDescent="0.35">
      <c r="A371" s="22" t="s">
        <v>851</v>
      </c>
      <c r="B371" s="22" t="str">
        <f>"09886"</f>
        <v>09886</v>
      </c>
      <c r="C371" s="22" t="str">
        <f t="shared" si="5"/>
        <v>'9886.HK'</v>
      </c>
      <c r="D371" s="22" t="s">
        <v>1675</v>
      </c>
      <c r="E371" s="22" t="s">
        <v>969</v>
      </c>
      <c r="F371" s="22">
        <v>15426938315.5</v>
      </c>
      <c r="G371" s="22">
        <v>2</v>
      </c>
      <c r="H371" s="22" t="s">
        <v>1676</v>
      </c>
    </row>
    <row r="372" spans="1:8" x14ac:dyDescent="0.35">
      <c r="A372" s="22" t="s">
        <v>851</v>
      </c>
      <c r="B372" s="22" t="str">
        <f>"02162"</f>
        <v>02162</v>
      </c>
      <c r="C372" s="22" t="str">
        <f t="shared" si="5"/>
        <v>'2162.HK'</v>
      </c>
      <c r="D372" s="22" t="s">
        <v>1677</v>
      </c>
      <c r="E372" s="22" t="s">
        <v>941</v>
      </c>
      <c r="F372" s="22">
        <v>15329509016.799999</v>
      </c>
      <c r="G372" s="22">
        <v>10</v>
      </c>
      <c r="H372" s="22" t="s">
        <v>1678</v>
      </c>
    </row>
    <row r="373" spans="1:8" x14ac:dyDescent="0.35">
      <c r="A373" s="22" t="s">
        <v>851</v>
      </c>
      <c r="B373" s="22" t="str">
        <f>"02139"</f>
        <v>02139</v>
      </c>
      <c r="C373" s="22" t="str">
        <f t="shared" si="5"/>
        <v>'2139.HK'</v>
      </c>
      <c r="D373" s="22" t="s">
        <v>1679</v>
      </c>
      <c r="E373" s="22" t="s">
        <v>858</v>
      </c>
      <c r="F373" s="22">
        <v>15220489243.299999</v>
      </c>
      <c r="G373" s="22">
        <v>14</v>
      </c>
      <c r="H373" s="22" t="s">
        <v>1680</v>
      </c>
    </row>
    <row r="374" spans="1:8" x14ac:dyDescent="0.35">
      <c r="A374" s="22" t="s">
        <v>851</v>
      </c>
      <c r="B374" s="22" t="str">
        <f>"06088"</f>
        <v>06088</v>
      </c>
      <c r="C374" s="22" t="str">
        <f t="shared" si="5"/>
        <v>'6088.HK'</v>
      </c>
      <c r="D374" s="22" t="s">
        <v>1681</v>
      </c>
      <c r="E374" s="22" t="s">
        <v>938</v>
      </c>
      <c r="F374" s="22">
        <v>15139470885.76</v>
      </c>
      <c r="G374" s="22">
        <v>51</v>
      </c>
      <c r="H374" s="22" t="s">
        <v>1682</v>
      </c>
    </row>
    <row r="375" spans="1:8" x14ac:dyDescent="0.35">
      <c r="A375" s="22" t="s">
        <v>851</v>
      </c>
      <c r="B375" s="22" t="str">
        <f>"02314"</f>
        <v>02314</v>
      </c>
      <c r="C375" s="22" t="str">
        <f t="shared" si="5"/>
        <v>'2314.HK'</v>
      </c>
      <c r="D375" s="22" t="s">
        <v>1683</v>
      </c>
      <c r="E375" s="22" t="s">
        <v>1378</v>
      </c>
      <c r="F375" s="22">
        <v>14997286200</v>
      </c>
      <c r="G375" s="22">
        <v>103</v>
      </c>
      <c r="H375" s="22" t="s">
        <v>1684</v>
      </c>
    </row>
    <row r="376" spans="1:8" x14ac:dyDescent="0.35">
      <c r="A376" s="22" t="s">
        <v>851</v>
      </c>
      <c r="B376" s="22" t="str">
        <f>"00548"</f>
        <v>00548</v>
      </c>
      <c r="C376" s="22" t="str">
        <f t="shared" si="5"/>
        <v>'0548.HK'</v>
      </c>
      <c r="D376" s="22" t="s">
        <v>1685</v>
      </c>
      <c r="E376" s="22" t="s">
        <v>1367</v>
      </c>
      <c r="F376" s="22">
        <v>14960084436.360001</v>
      </c>
      <c r="G376" s="22">
        <v>188</v>
      </c>
      <c r="H376" s="22" t="s">
        <v>1686</v>
      </c>
    </row>
    <row r="377" spans="1:8" x14ac:dyDescent="0.35">
      <c r="A377" s="22" t="s">
        <v>851</v>
      </c>
      <c r="B377" s="22" t="str">
        <f>"00338"</f>
        <v>00338</v>
      </c>
      <c r="C377" s="22" t="str">
        <f t="shared" si="5"/>
        <v>'0338.HK'</v>
      </c>
      <c r="D377" s="22" t="s">
        <v>1687</v>
      </c>
      <c r="E377" s="22" t="s">
        <v>1600</v>
      </c>
      <c r="F377" s="22">
        <v>14720386360</v>
      </c>
      <c r="G377" s="22">
        <v>164</v>
      </c>
      <c r="H377" s="22" t="s">
        <v>1688</v>
      </c>
    </row>
    <row r="378" spans="1:8" x14ac:dyDescent="0.35">
      <c r="A378" s="22" t="s">
        <v>851</v>
      </c>
      <c r="B378" s="22" t="str">
        <f>"01258"</f>
        <v>01258</v>
      </c>
      <c r="C378" s="22" t="str">
        <f t="shared" si="5"/>
        <v>'1258.HK'</v>
      </c>
      <c r="D378" s="22" t="s">
        <v>1689</v>
      </c>
      <c r="E378" s="22" t="s">
        <v>1316</v>
      </c>
      <c r="F378" s="22">
        <v>14657021120</v>
      </c>
      <c r="G378" s="22">
        <v>33</v>
      </c>
      <c r="H378" s="22" t="s">
        <v>1690</v>
      </c>
    </row>
    <row r="379" spans="1:8" x14ac:dyDescent="0.35">
      <c r="A379" s="22" t="s">
        <v>851</v>
      </c>
      <c r="B379" s="22" t="str">
        <f>"01121"</f>
        <v>01121</v>
      </c>
      <c r="C379" s="22" t="str">
        <f t="shared" si="5"/>
        <v>'1121.HK'</v>
      </c>
      <c r="D379" s="22" t="s">
        <v>1691</v>
      </c>
      <c r="E379" s="22" t="s">
        <v>1552</v>
      </c>
      <c r="F379" s="22">
        <v>14603015456.24</v>
      </c>
      <c r="G379" s="22">
        <v>5</v>
      </c>
      <c r="H379" s="22" t="s">
        <v>1692</v>
      </c>
    </row>
    <row r="380" spans="1:8" x14ac:dyDescent="0.35">
      <c r="A380" s="22" t="s">
        <v>851</v>
      </c>
      <c r="B380" s="22" t="str">
        <f>"02005"</f>
        <v>02005</v>
      </c>
      <c r="C380" s="22" t="str">
        <f t="shared" si="5"/>
        <v>'2005.HK'</v>
      </c>
      <c r="D380" s="22" t="s">
        <v>1693</v>
      </c>
      <c r="E380" s="22" t="s">
        <v>969</v>
      </c>
      <c r="F380" s="22">
        <v>14572028586.5</v>
      </c>
      <c r="G380" s="22">
        <v>67</v>
      </c>
      <c r="H380" s="22" t="s">
        <v>1694</v>
      </c>
    </row>
    <row r="381" spans="1:8" x14ac:dyDescent="0.35">
      <c r="A381" s="22" t="s">
        <v>851</v>
      </c>
      <c r="B381" s="22" t="str">
        <f>"00323"</f>
        <v>00323</v>
      </c>
      <c r="C381" s="22" t="str">
        <f t="shared" si="5"/>
        <v>'0323.HK'</v>
      </c>
      <c r="D381" s="22" t="s">
        <v>1695</v>
      </c>
      <c r="E381" s="22" t="s">
        <v>1579</v>
      </c>
      <c r="F381" s="22">
        <v>14462860005.959999</v>
      </c>
      <c r="G381" s="22">
        <v>87</v>
      </c>
      <c r="H381" s="22" t="s">
        <v>1696</v>
      </c>
    </row>
    <row r="382" spans="1:8" x14ac:dyDescent="0.35">
      <c r="A382" s="22" t="s">
        <v>851</v>
      </c>
      <c r="B382" s="22" t="str">
        <f>"00909"</f>
        <v>00909</v>
      </c>
      <c r="C382" s="22" t="str">
        <f t="shared" si="5"/>
        <v>'0909.HK'</v>
      </c>
      <c r="D382" s="22" t="s">
        <v>1697</v>
      </c>
      <c r="E382" s="22" t="s">
        <v>1202</v>
      </c>
      <c r="F382" s="22">
        <v>14402523295.65</v>
      </c>
      <c r="G382" s="22">
        <v>81</v>
      </c>
      <c r="H382" s="22" t="s">
        <v>1698</v>
      </c>
    </row>
    <row r="383" spans="1:8" x14ac:dyDescent="0.35">
      <c r="A383" s="22" t="s">
        <v>851</v>
      </c>
      <c r="B383" s="22" t="str">
        <f>"01992"</f>
        <v>01992</v>
      </c>
      <c r="C383" s="22" t="str">
        <f t="shared" si="5"/>
        <v>'1992.HK'</v>
      </c>
      <c r="D383" s="22" t="s">
        <v>1699</v>
      </c>
      <c r="E383" s="22" t="s">
        <v>1070</v>
      </c>
      <c r="F383" s="22">
        <v>14344157137.08</v>
      </c>
      <c r="G383" s="22">
        <v>21</v>
      </c>
      <c r="H383" s="22" t="s">
        <v>1700</v>
      </c>
    </row>
    <row r="384" spans="1:8" x14ac:dyDescent="0.35">
      <c r="A384" s="22" t="s">
        <v>851</v>
      </c>
      <c r="B384" s="22" t="str">
        <f>"01963"</f>
        <v>01963</v>
      </c>
      <c r="C384" s="22" t="str">
        <f t="shared" si="5"/>
        <v>'1963.HK'</v>
      </c>
      <c r="D384" s="22" t="s">
        <v>1701</v>
      </c>
      <c r="E384" s="22" t="s">
        <v>858</v>
      </c>
      <c r="F384" s="22">
        <v>14280345273.93</v>
      </c>
      <c r="G384" s="22">
        <v>261</v>
      </c>
      <c r="H384" s="22" t="s">
        <v>1702</v>
      </c>
    </row>
    <row r="385" spans="1:8" x14ac:dyDescent="0.35">
      <c r="A385" s="22" t="s">
        <v>851</v>
      </c>
      <c r="B385" s="22" t="str">
        <f>"00314"</f>
        <v>00314</v>
      </c>
      <c r="C385" s="22" t="str">
        <f t="shared" si="5"/>
        <v>'0314.HK'</v>
      </c>
      <c r="D385" s="22" t="s">
        <v>1703</v>
      </c>
      <c r="F385" s="22">
        <v>14192358000</v>
      </c>
      <c r="H385" s="22" t="s">
        <v>1704</v>
      </c>
    </row>
    <row r="386" spans="1:8" x14ac:dyDescent="0.35">
      <c r="A386" s="22" t="s">
        <v>851</v>
      </c>
      <c r="B386" s="22" t="str">
        <f>"02866"</f>
        <v>02866</v>
      </c>
      <c r="C386" s="22" t="str">
        <f t="shared" si="5"/>
        <v>'2866.HK'</v>
      </c>
      <c r="D386" s="22" t="s">
        <v>1705</v>
      </c>
      <c r="E386" s="22" t="s">
        <v>1047</v>
      </c>
      <c r="F386" s="22">
        <v>14129936393.040001</v>
      </c>
      <c r="G386" s="22">
        <v>101</v>
      </c>
      <c r="H386" s="22" t="s">
        <v>1706</v>
      </c>
    </row>
    <row r="387" spans="1:8" x14ac:dyDescent="0.35">
      <c r="A387" s="22" t="s">
        <v>851</v>
      </c>
      <c r="B387" s="22" t="str">
        <f>"00590"</f>
        <v>00590</v>
      </c>
      <c r="C387" s="22" t="str">
        <f t="shared" ref="C387:C450" si="6">CONCATENATE("'",RIGHT(B387,4),".HK'")</f>
        <v>'0590.HK'</v>
      </c>
      <c r="D387" s="22" t="s">
        <v>1707</v>
      </c>
      <c r="E387" s="22" t="s">
        <v>1002</v>
      </c>
      <c r="F387" s="22">
        <v>14119943792.5</v>
      </c>
      <c r="G387" s="22">
        <v>49</v>
      </c>
      <c r="H387" s="22" t="s">
        <v>1708</v>
      </c>
    </row>
    <row r="388" spans="1:8" x14ac:dyDescent="0.35">
      <c r="A388" s="22" t="s">
        <v>851</v>
      </c>
      <c r="B388" s="22" t="str">
        <f>"03319"</f>
        <v>03319</v>
      </c>
      <c r="C388" s="22" t="str">
        <f t="shared" si="6"/>
        <v>'3319.HK'</v>
      </c>
      <c r="D388" s="22" t="s">
        <v>1709</v>
      </c>
      <c r="E388" s="22" t="s">
        <v>1104</v>
      </c>
      <c r="F388" s="22">
        <v>14001207888</v>
      </c>
      <c r="G388" s="22">
        <v>159</v>
      </c>
      <c r="H388" s="22" t="s">
        <v>1710</v>
      </c>
    </row>
    <row r="389" spans="1:8" x14ac:dyDescent="0.35">
      <c r="A389" s="22" t="s">
        <v>851</v>
      </c>
      <c r="B389" s="22" t="str">
        <f>"00697"</f>
        <v>00697</v>
      </c>
      <c r="C389" s="22" t="str">
        <f t="shared" si="6"/>
        <v>'0697.HK'</v>
      </c>
      <c r="D389" s="22" t="s">
        <v>1711</v>
      </c>
      <c r="E389" s="22" t="s">
        <v>964</v>
      </c>
      <c r="F389" s="22">
        <v>13897036220.540001</v>
      </c>
      <c r="G389" s="22">
        <v>19</v>
      </c>
      <c r="H389" s="22" t="s">
        <v>1712</v>
      </c>
    </row>
    <row r="390" spans="1:8" x14ac:dyDescent="0.35">
      <c r="A390" s="22" t="s">
        <v>851</v>
      </c>
      <c r="B390" s="22" t="str">
        <f>"00045"</f>
        <v>00045</v>
      </c>
      <c r="C390" s="22" t="str">
        <f t="shared" si="6"/>
        <v>'0045.HK'</v>
      </c>
      <c r="D390" s="22" t="s">
        <v>1713</v>
      </c>
      <c r="E390" s="22" t="s">
        <v>1070</v>
      </c>
      <c r="F390" s="22">
        <v>13855247330.4</v>
      </c>
      <c r="G390" s="22">
        <v>23</v>
      </c>
      <c r="H390" s="22" t="s">
        <v>1714</v>
      </c>
    </row>
    <row r="391" spans="1:8" x14ac:dyDescent="0.35">
      <c r="A391" s="22" t="s">
        <v>851</v>
      </c>
      <c r="B391" s="22" t="str">
        <f>"02343"</f>
        <v>02343</v>
      </c>
      <c r="C391" s="22" t="str">
        <f t="shared" si="6"/>
        <v>'2343.HK'</v>
      </c>
      <c r="D391" s="22" t="s">
        <v>1715</v>
      </c>
      <c r="E391" s="22" t="s">
        <v>1047</v>
      </c>
      <c r="F391" s="22">
        <v>13784372880.26</v>
      </c>
      <c r="G391" s="22">
        <v>32</v>
      </c>
      <c r="H391" s="22" t="s">
        <v>1716</v>
      </c>
    </row>
    <row r="392" spans="1:8" x14ac:dyDescent="0.35">
      <c r="A392" s="22" t="s">
        <v>851</v>
      </c>
      <c r="B392" s="22" t="str">
        <f>"00956"</f>
        <v>00956</v>
      </c>
      <c r="C392" s="22" t="str">
        <f t="shared" si="6"/>
        <v>'0956.HK'</v>
      </c>
      <c r="D392" s="22" t="s">
        <v>1717</v>
      </c>
      <c r="E392" s="22" t="s">
        <v>1031</v>
      </c>
      <c r="F392" s="22">
        <v>13775536210.17</v>
      </c>
      <c r="G392" s="22">
        <v>112</v>
      </c>
      <c r="H392" s="22" t="s">
        <v>1718</v>
      </c>
    </row>
    <row r="393" spans="1:8" x14ac:dyDescent="0.35">
      <c r="A393" s="22" t="s">
        <v>851</v>
      </c>
      <c r="B393" s="22" t="str">
        <f>"00921"</f>
        <v>00921</v>
      </c>
      <c r="C393" s="22" t="str">
        <f t="shared" si="6"/>
        <v>'0921.HK'</v>
      </c>
      <c r="D393" s="22" t="s">
        <v>1719</v>
      </c>
      <c r="E393" s="22" t="s">
        <v>953</v>
      </c>
      <c r="F393" s="22">
        <v>13736271729.6</v>
      </c>
      <c r="G393" s="22">
        <v>119</v>
      </c>
      <c r="H393" s="22" t="s">
        <v>1720</v>
      </c>
    </row>
    <row r="394" spans="1:8" x14ac:dyDescent="0.35">
      <c r="A394" s="22" t="s">
        <v>851</v>
      </c>
      <c r="B394" s="22" t="str">
        <f>"01907"</f>
        <v>01907</v>
      </c>
      <c r="C394" s="22" t="str">
        <f t="shared" si="6"/>
        <v>'1907.HK'</v>
      </c>
      <c r="D394" s="22" t="s">
        <v>1721</v>
      </c>
      <c r="E394" s="22" t="s">
        <v>1600</v>
      </c>
      <c r="F394" s="22">
        <v>13719837400</v>
      </c>
      <c r="G394" s="22">
        <v>33</v>
      </c>
      <c r="H394" s="22" t="s">
        <v>1722</v>
      </c>
    </row>
    <row r="395" spans="1:8" x14ac:dyDescent="0.35">
      <c r="A395" s="22" t="s">
        <v>851</v>
      </c>
      <c r="B395" s="22" t="str">
        <f>"00200"</f>
        <v>00200</v>
      </c>
      <c r="C395" s="22" t="str">
        <f t="shared" si="6"/>
        <v>'0200.HK'</v>
      </c>
      <c r="D395" s="22" t="s">
        <v>1723</v>
      </c>
      <c r="E395" s="22" t="s">
        <v>961</v>
      </c>
      <c r="F395" s="22">
        <v>13452984906.85</v>
      </c>
      <c r="G395" s="22">
        <v>66</v>
      </c>
      <c r="H395" s="22" t="s">
        <v>1724</v>
      </c>
    </row>
    <row r="396" spans="1:8" x14ac:dyDescent="0.35">
      <c r="A396" s="22" t="s">
        <v>851</v>
      </c>
      <c r="B396" s="22" t="str">
        <f>"02150"</f>
        <v>02150</v>
      </c>
      <c r="C396" s="22" t="str">
        <f t="shared" si="6"/>
        <v>'2150.HK'</v>
      </c>
      <c r="D396" s="22" t="s">
        <v>1725</v>
      </c>
      <c r="E396" s="22" t="s">
        <v>981</v>
      </c>
      <c r="F396" s="22">
        <v>13412286469.540001</v>
      </c>
      <c r="G396" s="22">
        <v>37</v>
      </c>
      <c r="H396" s="22" t="s">
        <v>1726</v>
      </c>
    </row>
    <row r="397" spans="1:8" x14ac:dyDescent="0.35">
      <c r="A397" s="22" t="s">
        <v>851</v>
      </c>
      <c r="B397" s="22" t="str">
        <f>"01458"</f>
        <v>01458</v>
      </c>
      <c r="C397" s="22" t="str">
        <f t="shared" si="6"/>
        <v>'1458.HK'</v>
      </c>
      <c r="D397" s="22" t="s">
        <v>1727</v>
      </c>
      <c r="E397" s="22" t="s">
        <v>1205</v>
      </c>
      <c r="F397" s="22">
        <v>13393249610</v>
      </c>
      <c r="G397" s="22">
        <v>420</v>
      </c>
      <c r="H397" s="22" t="s">
        <v>1728</v>
      </c>
    </row>
    <row r="398" spans="1:8" x14ac:dyDescent="0.35">
      <c r="A398" s="22" t="s">
        <v>851</v>
      </c>
      <c r="B398" s="22" t="str">
        <f>"02172"</f>
        <v>02172</v>
      </c>
      <c r="C398" s="22" t="str">
        <f t="shared" si="6"/>
        <v>'2172.HK'</v>
      </c>
      <c r="D398" s="22" t="s">
        <v>1729</v>
      </c>
      <c r="E398" s="22" t="s">
        <v>1232</v>
      </c>
      <c r="F398" s="22">
        <v>13342870490</v>
      </c>
      <c r="G398" s="22">
        <v>3</v>
      </c>
      <c r="H398" s="22" t="s">
        <v>1730</v>
      </c>
    </row>
    <row r="399" spans="1:8" x14ac:dyDescent="0.35">
      <c r="A399" s="22" t="s">
        <v>851</v>
      </c>
      <c r="B399" s="22" t="str">
        <f>"01516"</f>
        <v>01516</v>
      </c>
      <c r="C399" s="22" t="str">
        <f t="shared" si="6"/>
        <v>'1516.HK'</v>
      </c>
      <c r="D399" s="22" t="s">
        <v>1731</v>
      </c>
      <c r="E399" s="22" t="s">
        <v>1104</v>
      </c>
      <c r="F399" s="22">
        <v>13327839840</v>
      </c>
      <c r="G399" s="22">
        <v>96</v>
      </c>
      <c r="H399" s="22" t="s">
        <v>1732</v>
      </c>
    </row>
    <row r="400" spans="1:8" x14ac:dyDescent="0.35">
      <c r="A400" s="22" t="s">
        <v>851</v>
      </c>
      <c r="B400" s="22" t="str">
        <f>"01316"</f>
        <v>01316</v>
      </c>
      <c r="C400" s="22" t="str">
        <f t="shared" si="6"/>
        <v>'1316.HK'</v>
      </c>
      <c r="D400" s="22" t="s">
        <v>1733</v>
      </c>
      <c r="E400" s="22" t="s">
        <v>1122</v>
      </c>
      <c r="F400" s="22">
        <v>13176577538.25</v>
      </c>
      <c r="G400" s="22">
        <v>105</v>
      </c>
      <c r="H400" s="22" t="s">
        <v>1734</v>
      </c>
    </row>
    <row r="401" spans="1:8" x14ac:dyDescent="0.35">
      <c r="A401" s="22" t="s">
        <v>851</v>
      </c>
      <c r="B401" s="22" t="str">
        <f>"02186"</f>
        <v>02186</v>
      </c>
      <c r="C401" s="22" t="str">
        <f t="shared" si="6"/>
        <v>'2186.HK'</v>
      </c>
      <c r="D401" s="22" t="s">
        <v>1735</v>
      </c>
      <c r="E401" s="22" t="s">
        <v>969</v>
      </c>
      <c r="F401" s="22">
        <v>13169278085.530001</v>
      </c>
      <c r="G401" s="22">
        <v>306</v>
      </c>
      <c r="H401" s="22" t="s">
        <v>1736</v>
      </c>
    </row>
    <row r="402" spans="1:8" x14ac:dyDescent="0.35">
      <c r="A402" s="22" t="s">
        <v>851</v>
      </c>
      <c r="B402" s="22" t="str">
        <f>"00667"</f>
        <v>00667</v>
      </c>
      <c r="C402" s="22" t="str">
        <f t="shared" si="6"/>
        <v>'0667.HK'</v>
      </c>
      <c r="D402" s="22" t="s">
        <v>1737</v>
      </c>
      <c r="E402" s="22" t="s">
        <v>1270</v>
      </c>
      <c r="F402" s="22">
        <v>13162164027.1</v>
      </c>
      <c r="G402" s="22">
        <v>62</v>
      </c>
      <c r="H402" s="22" t="s">
        <v>1738</v>
      </c>
    </row>
    <row r="403" spans="1:8" x14ac:dyDescent="0.35">
      <c r="A403" s="22" t="s">
        <v>851</v>
      </c>
      <c r="B403" s="22" t="str">
        <f>"01606"</f>
        <v>01606</v>
      </c>
      <c r="C403" s="22" t="str">
        <f t="shared" si="6"/>
        <v>'1606.HK'</v>
      </c>
      <c r="D403" s="22" t="s">
        <v>1739</v>
      </c>
      <c r="E403" s="22" t="s">
        <v>1498</v>
      </c>
      <c r="F403" s="22">
        <v>13148075200</v>
      </c>
      <c r="G403" s="22">
        <v>53</v>
      </c>
      <c r="H403" s="22" t="s">
        <v>1740</v>
      </c>
    </row>
    <row r="404" spans="1:8" x14ac:dyDescent="0.35">
      <c r="A404" s="22" t="s">
        <v>851</v>
      </c>
      <c r="B404" s="22" t="str">
        <f>"00336"</f>
        <v>00336</v>
      </c>
      <c r="C404" s="22" t="str">
        <f t="shared" si="6"/>
        <v>'0336.HK'</v>
      </c>
      <c r="D404" s="22" t="s">
        <v>1741</v>
      </c>
      <c r="E404" s="22" t="s">
        <v>1451</v>
      </c>
      <c r="F404" s="22">
        <v>13145802385.32</v>
      </c>
      <c r="G404" s="22">
        <v>98</v>
      </c>
      <c r="H404" s="22" t="s">
        <v>1742</v>
      </c>
    </row>
    <row r="405" spans="1:8" x14ac:dyDescent="0.35">
      <c r="A405" s="22" t="s">
        <v>851</v>
      </c>
      <c r="B405" s="22" t="str">
        <f>"02255"</f>
        <v>02255</v>
      </c>
      <c r="C405" s="22" t="str">
        <f t="shared" si="6"/>
        <v>'2255.HK'</v>
      </c>
      <c r="D405" s="22" t="s">
        <v>1743</v>
      </c>
      <c r="E405" s="22" t="s">
        <v>1744</v>
      </c>
      <c r="F405" s="22">
        <v>13063543220</v>
      </c>
      <c r="G405" s="22">
        <v>26</v>
      </c>
      <c r="H405" s="22" t="s">
        <v>1745</v>
      </c>
    </row>
    <row r="406" spans="1:8" x14ac:dyDescent="0.35">
      <c r="A406" s="22" t="s">
        <v>851</v>
      </c>
      <c r="B406" s="22" t="str">
        <f>"00041"</f>
        <v>00041</v>
      </c>
      <c r="C406" s="22" t="str">
        <f t="shared" si="6"/>
        <v>'0041.HK'</v>
      </c>
      <c r="D406" s="22" t="s">
        <v>1746</v>
      </c>
      <c r="E406" s="22" t="s">
        <v>1028</v>
      </c>
      <c r="F406" s="22">
        <v>12995431736.1</v>
      </c>
      <c r="G406" s="22">
        <v>31</v>
      </c>
      <c r="H406" s="22" t="s">
        <v>1747</v>
      </c>
    </row>
    <row r="407" spans="1:8" x14ac:dyDescent="0.35">
      <c r="A407" s="22" t="s">
        <v>851</v>
      </c>
      <c r="B407" s="22" t="str">
        <f>"01196"</f>
        <v>01196</v>
      </c>
      <c r="C407" s="22" t="str">
        <f t="shared" si="6"/>
        <v>'1196.HK'</v>
      </c>
      <c r="D407" s="22" t="s">
        <v>1748</v>
      </c>
      <c r="E407" s="22" t="s">
        <v>1301</v>
      </c>
      <c r="F407" s="22">
        <v>12894353426</v>
      </c>
      <c r="G407" s="22">
        <v>14</v>
      </c>
      <c r="H407" s="22" t="s">
        <v>1749</v>
      </c>
    </row>
    <row r="408" spans="1:8" x14ac:dyDescent="0.35">
      <c r="A408" s="22" t="s">
        <v>851</v>
      </c>
      <c r="B408" s="22" t="str">
        <f>"00303"</f>
        <v>00303</v>
      </c>
      <c r="C408" s="22" t="str">
        <f t="shared" si="6"/>
        <v>'0303.HK'</v>
      </c>
      <c r="D408" s="22" t="s">
        <v>1750</v>
      </c>
      <c r="E408" s="22" t="s">
        <v>938</v>
      </c>
      <c r="F408" s="22">
        <v>12887825766</v>
      </c>
      <c r="G408" s="22">
        <v>97</v>
      </c>
      <c r="H408" s="22" t="s">
        <v>1751</v>
      </c>
    </row>
    <row r="409" spans="1:8" x14ac:dyDescent="0.35">
      <c r="A409" s="22" t="s">
        <v>851</v>
      </c>
      <c r="B409" s="22" t="str">
        <f>"02121"</f>
        <v>02121</v>
      </c>
      <c r="C409" s="22" t="str">
        <f t="shared" si="6"/>
        <v>'2121.HK'</v>
      </c>
      <c r="D409" s="22" t="s">
        <v>1752</v>
      </c>
      <c r="E409" s="22" t="s">
        <v>910</v>
      </c>
      <c r="F409" s="22">
        <v>12836046032.1</v>
      </c>
      <c r="G409" s="22">
        <v>11</v>
      </c>
      <c r="H409" s="22" t="s">
        <v>1753</v>
      </c>
    </row>
    <row r="410" spans="1:8" x14ac:dyDescent="0.35">
      <c r="A410" s="22" t="s">
        <v>851</v>
      </c>
      <c r="B410" s="22" t="str">
        <f>"00639"</f>
        <v>00639</v>
      </c>
      <c r="C410" s="22" t="str">
        <f t="shared" si="6"/>
        <v>'0639.HK'</v>
      </c>
      <c r="D410" s="22" t="s">
        <v>1754</v>
      </c>
      <c r="E410" s="22" t="s">
        <v>904</v>
      </c>
      <c r="F410" s="22">
        <v>12730631361.84</v>
      </c>
      <c r="G410" s="22">
        <v>93</v>
      </c>
      <c r="H410" s="22" t="s">
        <v>1755</v>
      </c>
    </row>
    <row r="411" spans="1:8" x14ac:dyDescent="0.35">
      <c r="A411" s="22" t="s">
        <v>851</v>
      </c>
      <c r="B411" s="22" t="str">
        <f>"01083"</f>
        <v>01083</v>
      </c>
      <c r="C411" s="22" t="str">
        <f t="shared" si="6"/>
        <v>'1083.HK'</v>
      </c>
      <c r="D411" s="22" t="s">
        <v>1756</v>
      </c>
      <c r="E411" s="22" t="s">
        <v>1031</v>
      </c>
      <c r="F411" s="22">
        <v>12676014396.139999</v>
      </c>
      <c r="G411" s="22">
        <v>77</v>
      </c>
      <c r="H411" s="22" t="s">
        <v>1757</v>
      </c>
    </row>
    <row r="412" spans="1:8" x14ac:dyDescent="0.35">
      <c r="A412" s="22" t="s">
        <v>851</v>
      </c>
      <c r="B412" s="22" t="str">
        <f>"01675"</f>
        <v>01675</v>
      </c>
      <c r="C412" s="22" t="str">
        <f t="shared" si="6"/>
        <v>'1675.HK'</v>
      </c>
      <c r="D412" s="22" t="s">
        <v>1758</v>
      </c>
      <c r="E412" s="22" t="s">
        <v>910</v>
      </c>
      <c r="F412" s="22">
        <v>12631345453.6</v>
      </c>
      <c r="G412" s="22">
        <v>18</v>
      </c>
      <c r="H412" s="22" t="s">
        <v>1759</v>
      </c>
    </row>
    <row r="413" spans="1:8" x14ac:dyDescent="0.35">
      <c r="A413" s="22" t="s">
        <v>851</v>
      </c>
      <c r="B413" s="22" t="str">
        <f>"00564"</f>
        <v>00564</v>
      </c>
      <c r="C413" s="22" t="str">
        <f t="shared" si="6"/>
        <v>'0564.HK'</v>
      </c>
      <c r="D413" s="22" t="s">
        <v>1760</v>
      </c>
      <c r="E413" s="22" t="s">
        <v>1122</v>
      </c>
      <c r="F413" s="22">
        <v>12575024886.9</v>
      </c>
      <c r="G413" s="22">
        <v>57</v>
      </c>
      <c r="H413" s="22" t="s">
        <v>1761</v>
      </c>
    </row>
    <row r="414" spans="1:8" x14ac:dyDescent="0.35">
      <c r="A414" s="22" t="s">
        <v>851</v>
      </c>
      <c r="B414" s="22" t="str">
        <f>"00778"</f>
        <v>00778</v>
      </c>
      <c r="C414" s="22" t="str">
        <f t="shared" si="6"/>
        <v>'0778.HK'</v>
      </c>
      <c r="D414" s="22" t="s">
        <v>1762</v>
      </c>
      <c r="F414" s="22">
        <v>12502162583.48</v>
      </c>
      <c r="G414" s="22">
        <v>109</v>
      </c>
      <c r="H414" s="22" t="s">
        <v>1763</v>
      </c>
    </row>
    <row r="415" spans="1:8" x14ac:dyDescent="0.35">
      <c r="A415" s="22" t="s">
        <v>851</v>
      </c>
      <c r="B415" s="22" t="str">
        <f>"02157"</f>
        <v>02157</v>
      </c>
      <c r="C415" s="22" t="str">
        <f t="shared" si="6"/>
        <v>'2157.HK'</v>
      </c>
      <c r="D415" s="22" t="s">
        <v>1764</v>
      </c>
      <c r="E415" s="22" t="s">
        <v>941</v>
      </c>
      <c r="F415" s="22">
        <v>12429241836.620001</v>
      </c>
      <c r="G415" s="22">
        <v>4</v>
      </c>
      <c r="H415" s="22" t="s">
        <v>1765</v>
      </c>
    </row>
    <row r="416" spans="1:8" x14ac:dyDescent="0.35">
      <c r="A416" s="22" t="s">
        <v>851</v>
      </c>
      <c r="B416" s="22" t="str">
        <f>"00081"</f>
        <v>00081</v>
      </c>
      <c r="C416" s="22" t="str">
        <f t="shared" si="6"/>
        <v>'0081.HK'</v>
      </c>
      <c r="D416" s="22" t="s">
        <v>1766</v>
      </c>
      <c r="E416" s="22" t="s">
        <v>924</v>
      </c>
      <c r="F416" s="22">
        <v>12386624067.360001</v>
      </c>
      <c r="G416" s="22">
        <v>133</v>
      </c>
      <c r="H416" s="22" t="s">
        <v>1767</v>
      </c>
    </row>
    <row r="417" spans="1:8" x14ac:dyDescent="0.35">
      <c r="A417" s="22" t="s">
        <v>851</v>
      </c>
      <c r="B417" s="22" t="str">
        <f>"02179"</f>
        <v>02179</v>
      </c>
      <c r="C417" s="22" t="str">
        <f t="shared" si="6"/>
        <v>'2179.HK'</v>
      </c>
      <c r="D417" s="22" t="s">
        <v>1768</v>
      </c>
      <c r="E417" s="22" t="s">
        <v>941</v>
      </c>
      <c r="F417" s="22">
        <v>12315556500</v>
      </c>
      <c r="G417" s="22">
        <v>2</v>
      </c>
      <c r="H417" s="22" t="s">
        <v>1769</v>
      </c>
    </row>
    <row r="418" spans="1:8" x14ac:dyDescent="0.35">
      <c r="A418" s="22" t="s">
        <v>851</v>
      </c>
      <c r="B418" s="22" t="str">
        <f>"09979"</f>
        <v>09979</v>
      </c>
      <c r="C418" s="22" t="str">
        <f t="shared" si="6"/>
        <v>'9979.HK'</v>
      </c>
      <c r="D418" s="22" t="s">
        <v>1770</v>
      </c>
      <c r="E418" s="22" t="s">
        <v>1104</v>
      </c>
      <c r="F418" s="22">
        <v>12301200000</v>
      </c>
      <c r="G418" s="22">
        <v>28</v>
      </c>
      <c r="H418" s="22" t="s">
        <v>1771</v>
      </c>
    </row>
    <row r="419" spans="1:8" x14ac:dyDescent="0.35">
      <c r="A419" s="22" t="s">
        <v>851</v>
      </c>
      <c r="B419" s="22" t="str">
        <f>"00546"</f>
        <v>00546</v>
      </c>
      <c r="C419" s="22" t="str">
        <f t="shared" si="6"/>
        <v>'0546.HK'</v>
      </c>
      <c r="D419" s="22" t="s">
        <v>1772</v>
      </c>
      <c r="E419" s="22" t="s">
        <v>1451</v>
      </c>
      <c r="F419" s="22">
        <v>12223226158.34</v>
      </c>
      <c r="G419" s="22">
        <v>131</v>
      </c>
      <c r="H419" s="22" t="s">
        <v>1773</v>
      </c>
    </row>
    <row r="420" spans="1:8" x14ac:dyDescent="0.35">
      <c r="A420" s="22" t="s">
        <v>851</v>
      </c>
      <c r="B420" s="22" t="str">
        <f>"00604"</f>
        <v>00604</v>
      </c>
      <c r="C420" s="22" t="str">
        <f t="shared" si="6"/>
        <v>'0604.HK'</v>
      </c>
      <c r="D420" s="22" t="s">
        <v>1774</v>
      </c>
      <c r="E420" s="22" t="s">
        <v>924</v>
      </c>
      <c r="F420" s="22">
        <v>12191346567.549999</v>
      </c>
      <c r="G420" s="22">
        <v>122</v>
      </c>
      <c r="H420" s="22" t="s">
        <v>1775</v>
      </c>
    </row>
    <row r="421" spans="1:8" x14ac:dyDescent="0.35">
      <c r="A421" s="22" t="s">
        <v>851</v>
      </c>
      <c r="B421" s="22" t="str">
        <f>"01302"</f>
        <v>01302</v>
      </c>
      <c r="C421" s="22" t="str">
        <f t="shared" si="6"/>
        <v>'1302.HK'</v>
      </c>
      <c r="D421" s="22" t="s">
        <v>1776</v>
      </c>
      <c r="E421" s="22" t="s">
        <v>1232</v>
      </c>
      <c r="F421" s="22">
        <v>11991778736</v>
      </c>
      <c r="G421" s="22">
        <v>129</v>
      </c>
      <c r="H421" s="22" t="s">
        <v>1777</v>
      </c>
    </row>
    <row r="422" spans="1:8" x14ac:dyDescent="0.35">
      <c r="A422" s="22" t="s">
        <v>851</v>
      </c>
      <c r="B422" s="22" t="str">
        <f>"02145"</f>
        <v>02145</v>
      </c>
      <c r="C422" s="22" t="str">
        <f t="shared" si="6"/>
        <v>'2145.HK'</v>
      </c>
      <c r="D422" s="22" t="s">
        <v>1778</v>
      </c>
      <c r="F422" s="22">
        <v>11908800000</v>
      </c>
      <c r="H422" s="22" t="s">
        <v>1779</v>
      </c>
    </row>
    <row r="423" spans="1:8" x14ac:dyDescent="0.35">
      <c r="A423" s="22" t="s">
        <v>851</v>
      </c>
      <c r="B423" s="22" t="str">
        <f>"01811"</f>
        <v>01811</v>
      </c>
      <c r="C423" s="22" t="str">
        <f t="shared" si="6"/>
        <v>'1811.HK'</v>
      </c>
      <c r="D423" s="22" t="s">
        <v>1780</v>
      </c>
      <c r="E423" s="22" t="s">
        <v>1127</v>
      </c>
      <c r="F423" s="22">
        <v>11885582480</v>
      </c>
      <c r="G423" s="22">
        <v>99</v>
      </c>
      <c r="H423" s="22" t="s">
        <v>1781</v>
      </c>
    </row>
    <row r="424" spans="1:8" x14ac:dyDescent="0.35">
      <c r="A424" s="22" t="s">
        <v>851</v>
      </c>
      <c r="B424" s="22" t="str">
        <f>"01578"</f>
        <v>01578</v>
      </c>
      <c r="C424" s="22" t="str">
        <f t="shared" si="6"/>
        <v>'1578.HK'</v>
      </c>
      <c r="D424" s="22" t="s">
        <v>1782</v>
      </c>
      <c r="E424" s="22" t="s">
        <v>858</v>
      </c>
      <c r="F424" s="22">
        <v>11837576052.9</v>
      </c>
      <c r="G424" s="22">
        <v>52</v>
      </c>
      <c r="H424" s="22" t="s">
        <v>1783</v>
      </c>
    </row>
    <row r="425" spans="1:8" x14ac:dyDescent="0.35">
      <c r="A425" s="22" t="s">
        <v>851</v>
      </c>
      <c r="B425" s="22" t="str">
        <f>"02273"</f>
        <v>02273</v>
      </c>
      <c r="C425" s="22" t="str">
        <f t="shared" si="6"/>
        <v>'2273.HK'</v>
      </c>
      <c r="D425" s="22" t="s">
        <v>1784</v>
      </c>
      <c r="E425" s="22" t="s">
        <v>1362</v>
      </c>
      <c r="F425" s="22">
        <v>11819338295.4</v>
      </c>
      <c r="G425" s="22">
        <v>4</v>
      </c>
      <c r="H425" s="22" t="s">
        <v>1785</v>
      </c>
    </row>
    <row r="426" spans="1:8" x14ac:dyDescent="0.35">
      <c r="A426" s="22" t="s">
        <v>851</v>
      </c>
      <c r="B426" s="22" t="str">
        <f>"00710"</f>
        <v>00710</v>
      </c>
      <c r="C426" s="22" t="str">
        <f t="shared" si="6"/>
        <v>'0710.HK'</v>
      </c>
      <c r="D426" s="22" t="s">
        <v>1786</v>
      </c>
      <c r="E426" s="22" t="s">
        <v>1122</v>
      </c>
      <c r="F426" s="22">
        <v>11649558202.879999</v>
      </c>
      <c r="G426" s="22">
        <v>21</v>
      </c>
      <c r="H426" s="22" t="s">
        <v>1787</v>
      </c>
    </row>
    <row r="427" spans="1:8" x14ac:dyDescent="0.35">
      <c r="A427" s="22" t="s">
        <v>851</v>
      </c>
      <c r="B427" s="22" t="str">
        <f>"01456"</f>
        <v>01456</v>
      </c>
      <c r="C427" s="22" t="str">
        <f t="shared" si="6"/>
        <v>'1456.HK'</v>
      </c>
      <c r="D427" s="22" t="s">
        <v>1788</v>
      </c>
      <c r="E427" s="22" t="s">
        <v>1130</v>
      </c>
      <c r="F427" s="22">
        <v>11610269988.799999</v>
      </c>
      <c r="G427" s="22">
        <v>40</v>
      </c>
      <c r="H427" s="22" t="s">
        <v>1789</v>
      </c>
    </row>
    <row r="428" spans="1:8" x14ac:dyDescent="0.35">
      <c r="A428" s="22" t="s">
        <v>851</v>
      </c>
      <c r="B428" s="22" t="str">
        <f>"00357"</f>
        <v>00357</v>
      </c>
      <c r="C428" s="22" t="str">
        <f t="shared" si="6"/>
        <v>'0357.HK'</v>
      </c>
      <c r="D428" s="22" t="s">
        <v>1790</v>
      </c>
      <c r="E428" s="22" t="s">
        <v>1081</v>
      </c>
      <c r="F428" s="22">
        <v>11570057850</v>
      </c>
      <c r="G428" s="22">
        <v>50</v>
      </c>
      <c r="H428" s="22" t="s">
        <v>1791</v>
      </c>
    </row>
    <row r="429" spans="1:8" x14ac:dyDescent="0.35">
      <c r="A429" s="22" t="s">
        <v>851</v>
      </c>
      <c r="B429" s="22" t="str">
        <f>"03669"</f>
        <v>03669</v>
      </c>
      <c r="C429" s="22" t="str">
        <f t="shared" si="6"/>
        <v>'3669.HK'</v>
      </c>
      <c r="D429" s="22" t="s">
        <v>1792</v>
      </c>
      <c r="E429" s="22" t="s">
        <v>1089</v>
      </c>
      <c r="F429" s="22">
        <v>11286880644.620001</v>
      </c>
      <c r="G429" s="22">
        <v>80</v>
      </c>
      <c r="H429" s="22" t="s">
        <v>1793</v>
      </c>
    </row>
    <row r="430" spans="1:8" x14ac:dyDescent="0.35">
      <c r="A430" s="22" t="s">
        <v>851</v>
      </c>
      <c r="B430" s="22" t="str">
        <f>"06122"</f>
        <v>06122</v>
      </c>
      <c r="C430" s="22" t="str">
        <f t="shared" si="6"/>
        <v>'6122.HK'</v>
      </c>
      <c r="D430" s="22" t="s">
        <v>1794</v>
      </c>
      <c r="E430" s="22" t="s">
        <v>858</v>
      </c>
      <c r="F430" s="22">
        <v>11112479536.110001</v>
      </c>
      <c r="G430" s="22">
        <v>13</v>
      </c>
      <c r="H430" s="22" t="s">
        <v>1795</v>
      </c>
    </row>
    <row r="431" spans="1:8" x14ac:dyDescent="0.35">
      <c r="A431" s="22" t="s">
        <v>851</v>
      </c>
      <c r="B431" s="22" t="str">
        <f>"02009"</f>
        <v>02009</v>
      </c>
      <c r="C431" s="22" t="str">
        <f t="shared" si="6"/>
        <v>'2009.HK'</v>
      </c>
      <c r="D431" s="22" t="s">
        <v>1796</v>
      </c>
      <c r="E431" s="22" t="s">
        <v>1016</v>
      </c>
      <c r="F431" s="22">
        <v>11104881979.360001</v>
      </c>
      <c r="G431" s="22">
        <v>141</v>
      </c>
      <c r="H431" s="22" t="s">
        <v>1797</v>
      </c>
    </row>
    <row r="432" spans="1:8" x14ac:dyDescent="0.35">
      <c r="A432" s="22" t="s">
        <v>851</v>
      </c>
      <c r="B432" s="22" t="str">
        <f>"01528"</f>
        <v>01528</v>
      </c>
      <c r="C432" s="22" t="str">
        <f t="shared" si="6"/>
        <v>'1528.HK'</v>
      </c>
      <c r="D432" s="22" t="s">
        <v>1798</v>
      </c>
      <c r="E432" s="22" t="s">
        <v>1028</v>
      </c>
      <c r="F432" s="22">
        <v>11104568316.15</v>
      </c>
      <c r="G432" s="22">
        <v>170</v>
      </c>
      <c r="H432" s="22" t="s">
        <v>1799</v>
      </c>
    </row>
    <row r="433" spans="1:8" x14ac:dyDescent="0.35">
      <c r="A433" s="22" t="s">
        <v>851</v>
      </c>
      <c r="B433" s="22" t="str">
        <f>"08032"</f>
        <v>08032</v>
      </c>
      <c r="C433" s="22" t="str">
        <f t="shared" si="6"/>
        <v>'8032.HK'</v>
      </c>
      <c r="D433" s="22" t="s">
        <v>1800</v>
      </c>
      <c r="E433" s="22" t="s">
        <v>1744</v>
      </c>
      <c r="F433" s="22">
        <v>11035388928.780001</v>
      </c>
      <c r="G433" s="22">
        <v>3</v>
      </c>
      <c r="H433" s="22" t="s">
        <v>1801</v>
      </c>
    </row>
    <row r="434" spans="1:8" x14ac:dyDescent="0.35">
      <c r="A434" s="22" t="s">
        <v>851</v>
      </c>
      <c r="B434" s="22" t="str">
        <f>"00855"</f>
        <v>00855</v>
      </c>
      <c r="C434" s="22" t="str">
        <f t="shared" si="6"/>
        <v>'0855.HK'</v>
      </c>
      <c r="D434" s="22" t="s">
        <v>1802</v>
      </c>
      <c r="E434" s="22" t="s">
        <v>1255</v>
      </c>
      <c r="F434" s="22">
        <v>10969206165.120001</v>
      </c>
      <c r="G434" s="22">
        <v>74</v>
      </c>
      <c r="H434" s="22" t="s">
        <v>1803</v>
      </c>
    </row>
    <row r="435" spans="1:8" x14ac:dyDescent="0.35">
      <c r="A435" s="22" t="s">
        <v>851</v>
      </c>
      <c r="B435" s="22" t="str">
        <f>"00884"</f>
        <v>00884</v>
      </c>
      <c r="C435" s="22" t="str">
        <f t="shared" si="6"/>
        <v>'0884.HK'</v>
      </c>
      <c r="D435" s="22" t="s">
        <v>1804</v>
      </c>
      <c r="E435" s="22" t="s">
        <v>924</v>
      </c>
      <c r="F435" s="22">
        <v>10907642040.42</v>
      </c>
      <c r="G435" s="22">
        <v>222</v>
      </c>
      <c r="H435" s="22" t="s">
        <v>1805</v>
      </c>
    </row>
    <row r="436" spans="1:8" x14ac:dyDescent="0.35">
      <c r="A436" s="22" t="s">
        <v>851</v>
      </c>
      <c r="B436" s="22" t="str">
        <f>"01789"</f>
        <v>01789</v>
      </c>
      <c r="C436" s="22" t="str">
        <f t="shared" si="6"/>
        <v>'1789.HK'</v>
      </c>
      <c r="D436" s="22" t="s">
        <v>1806</v>
      </c>
      <c r="E436" s="22" t="s">
        <v>1232</v>
      </c>
      <c r="F436" s="22">
        <v>10867405000</v>
      </c>
      <c r="G436" s="22">
        <v>195</v>
      </c>
      <c r="H436" s="22" t="s">
        <v>1807</v>
      </c>
    </row>
    <row r="437" spans="1:8" x14ac:dyDescent="0.35">
      <c r="A437" s="22" t="s">
        <v>851</v>
      </c>
      <c r="B437" s="22" t="str">
        <f>"09997"</f>
        <v>09997</v>
      </c>
      <c r="C437" s="22" t="str">
        <f t="shared" si="6"/>
        <v>'9997.HK'</v>
      </c>
      <c r="D437" s="22" t="s">
        <v>1808</v>
      </c>
      <c r="E437" s="22" t="s">
        <v>1232</v>
      </c>
      <c r="F437" s="22">
        <v>10854734240</v>
      </c>
      <c r="G437" s="22">
        <v>57</v>
      </c>
      <c r="H437" s="22" t="s">
        <v>1809</v>
      </c>
    </row>
    <row r="438" spans="1:8" x14ac:dyDescent="0.35">
      <c r="A438" s="22" t="s">
        <v>851</v>
      </c>
      <c r="B438" s="22" t="str">
        <f>"02400"</f>
        <v>02400</v>
      </c>
      <c r="C438" s="22" t="str">
        <f t="shared" si="6"/>
        <v>'2400.HK'</v>
      </c>
      <c r="D438" s="22" t="s">
        <v>1810</v>
      </c>
      <c r="E438" s="22" t="s">
        <v>910</v>
      </c>
      <c r="F438" s="22">
        <v>10833712285</v>
      </c>
      <c r="G438" s="22">
        <v>163</v>
      </c>
      <c r="H438" s="22" t="s">
        <v>1811</v>
      </c>
    </row>
    <row r="439" spans="1:8" x14ac:dyDescent="0.35">
      <c r="A439" s="22" t="s">
        <v>851</v>
      </c>
      <c r="B439" s="22" t="str">
        <f>"00363"</f>
        <v>00363</v>
      </c>
      <c r="C439" s="22" t="str">
        <f t="shared" si="6"/>
        <v>'0363.HK'</v>
      </c>
      <c r="D439" s="22" t="s">
        <v>1812</v>
      </c>
      <c r="E439" s="22" t="s">
        <v>958</v>
      </c>
      <c r="F439" s="22">
        <v>10806883304</v>
      </c>
      <c r="G439" s="22">
        <v>210</v>
      </c>
      <c r="H439" s="22" t="s">
        <v>1813</v>
      </c>
    </row>
    <row r="440" spans="1:8" x14ac:dyDescent="0.35">
      <c r="A440" s="22" t="s">
        <v>851</v>
      </c>
      <c r="B440" s="22" t="str">
        <f>"00317"</f>
        <v>00317</v>
      </c>
      <c r="C440" s="22" t="str">
        <f t="shared" si="6"/>
        <v>'0317.HK'</v>
      </c>
      <c r="D440" s="22" t="s">
        <v>1814</v>
      </c>
      <c r="E440" s="22" t="s">
        <v>1109</v>
      </c>
      <c r="F440" s="22">
        <v>10714378345.24</v>
      </c>
      <c r="G440" s="22">
        <v>54</v>
      </c>
      <c r="H440" s="22" t="s">
        <v>1815</v>
      </c>
    </row>
    <row r="441" spans="1:8" x14ac:dyDescent="0.35">
      <c r="A441" s="22" t="s">
        <v>851</v>
      </c>
      <c r="B441" s="22" t="str">
        <f>"00995"</f>
        <v>00995</v>
      </c>
      <c r="C441" s="22" t="str">
        <f t="shared" si="6"/>
        <v>'0995.HK'</v>
      </c>
      <c r="D441" s="22" t="s">
        <v>1816</v>
      </c>
      <c r="E441" s="22" t="s">
        <v>1367</v>
      </c>
      <c r="F441" s="22">
        <v>10681448400</v>
      </c>
      <c r="G441" s="22">
        <v>232</v>
      </c>
      <c r="H441" s="22" t="s">
        <v>1817</v>
      </c>
    </row>
    <row r="442" spans="1:8" x14ac:dyDescent="0.35">
      <c r="A442" s="22" t="s">
        <v>851</v>
      </c>
      <c r="B442" s="22" t="str">
        <f>"00990"</f>
        <v>00990</v>
      </c>
      <c r="C442" s="22" t="str">
        <f t="shared" si="6"/>
        <v>'0990.HK'</v>
      </c>
      <c r="D442" s="22" t="s">
        <v>1818</v>
      </c>
      <c r="E442" s="22" t="s">
        <v>1600</v>
      </c>
      <c r="F442" s="22">
        <v>10642362258.49</v>
      </c>
      <c r="G442" s="22">
        <v>8</v>
      </c>
      <c r="H442" s="22" t="s">
        <v>1819</v>
      </c>
    </row>
    <row r="443" spans="1:8" x14ac:dyDescent="0.35">
      <c r="A443" s="22" t="s">
        <v>851</v>
      </c>
      <c r="B443" s="22" t="str">
        <f>"00535"</f>
        <v>00535</v>
      </c>
      <c r="C443" s="22" t="str">
        <f t="shared" si="6"/>
        <v>'0535.HK'</v>
      </c>
      <c r="D443" s="22" t="s">
        <v>1820</v>
      </c>
      <c r="E443" s="22" t="s">
        <v>924</v>
      </c>
      <c r="F443" s="22">
        <v>10630199569.280001</v>
      </c>
      <c r="G443" s="22">
        <v>94</v>
      </c>
      <c r="H443" s="22" t="s">
        <v>1821</v>
      </c>
    </row>
    <row r="444" spans="1:8" x14ac:dyDescent="0.35">
      <c r="A444" s="22" t="s">
        <v>851</v>
      </c>
      <c r="B444" s="22" t="str">
        <f>"01112"</f>
        <v>01112</v>
      </c>
      <c r="C444" s="22" t="str">
        <f t="shared" si="6"/>
        <v>'1112.HK'</v>
      </c>
      <c r="D444" s="22" t="s">
        <v>1822</v>
      </c>
      <c r="E444" s="22" t="s">
        <v>1283</v>
      </c>
      <c r="F444" s="22">
        <v>10594365358.9</v>
      </c>
      <c r="G444" s="22">
        <v>118</v>
      </c>
      <c r="H444" s="22" t="s">
        <v>1823</v>
      </c>
    </row>
    <row r="445" spans="1:8" x14ac:dyDescent="0.35">
      <c r="A445" s="22" t="s">
        <v>851</v>
      </c>
      <c r="B445" s="22" t="str">
        <f>"01896"</f>
        <v>01896</v>
      </c>
      <c r="C445" s="22" t="str">
        <f t="shared" si="6"/>
        <v>'1896.HK'</v>
      </c>
      <c r="D445" s="22" t="s">
        <v>1824</v>
      </c>
      <c r="E445" s="22" t="s">
        <v>1185</v>
      </c>
      <c r="F445" s="22">
        <v>10581669035</v>
      </c>
      <c r="G445" s="22">
        <v>70</v>
      </c>
      <c r="H445" s="22" t="s">
        <v>1825</v>
      </c>
    </row>
    <row r="446" spans="1:8" x14ac:dyDescent="0.35">
      <c r="A446" s="22" t="s">
        <v>851</v>
      </c>
      <c r="B446" s="22" t="str">
        <f>"06869"</f>
        <v>06869</v>
      </c>
      <c r="C446" s="22" t="str">
        <f t="shared" si="6"/>
        <v>'6869.HK'</v>
      </c>
      <c r="D446" s="22" t="s">
        <v>1826</v>
      </c>
      <c r="E446" s="22" t="s">
        <v>938</v>
      </c>
      <c r="F446" s="22">
        <v>10565197205.52</v>
      </c>
      <c r="G446" s="22">
        <v>102</v>
      </c>
      <c r="H446" s="22" t="s">
        <v>1827</v>
      </c>
    </row>
    <row r="447" spans="1:8" x14ac:dyDescent="0.35">
      <c r="A447" s="22" t="s">
        <v>851</v>
      </c>
      <c r="B447" s="22" t="str">
        <f>"09966"</f>
        <v>09966</v>
      </c>
      <c r="C447" s="22" t="str">
        <f t="shared" si="6"/>
        <v>'9966.HK'</v>
      </c>
      <c r="D447" s="22" t="s">
        <v>1828</v>
      </c>
      <c r="E447" s="22" t="s">
        <v>941</v>
      </c>
      <c r="F447" s="22">
        <v>10506029206.66</v>
      </c>
      <c r="G447" s="22">
        <v>33</v>
      </c>
      <c r="H447" s="22" t="s">
        <v>1829</v>
      </c>
    </row>
    <row r="448" spans="1:8" x14ac:dyDescent="0.35">
      <c r="A448" s="22" t="s">
        <v>851</v>
      </c>
      <c r="B448" s="22" t="str">
        <f>"01244"</f>
        <v>01244</v>
      </c>
      <c r="C448" s="22" t="str">
        <f t="shared" si="6"/>
        <v>'1244.HK'</v>
      </c>
      <c r="D448" s="22" t="s">
        <v>1830</v>
      </c>
      <c r="E448" s="22" t="s">
        <v>941</v>
      </c>
      <c r="F448" s="22">
        <v>10263946000</v>
      </c>
      <c r="H448" s="22" t="s">
        <v>1831</v>
      </c>
    </row>
    <row r="449" spans="1:8" x14ac:dyDescent="0.35">
      <c r="A449" s="22" t="s">
        <v>851</v>
      </c>
      <c r="B449" s="22" t="str">
        <f>"01381"</f>
        <v>01381</v>
      </c>
      <c r="C449" s="22" t="str">
        <f t="shared" si="6"/>
        <v>'1381.HK'</v>
      </c>
      <c r="D449" s="22" t="s">
        <v>1832</v>
      </c>
      <c r="E449" s="22" t="s">
        <v>1127</v>
      </c>
      <c r="F449" s="22">
        <v>10197282086.42</v>
      </c>
      <c r="G449" s="22">
        <v>48</v>
      </c>
      <c r="H449" s="22" t="s">
        <v>1833</v>
      </c>
    </row>
    <row r="450" spans="1:8" x14ac:dyDescent="0.35">
      <c r="A450" s="22" t="s">
        <v>851</v>
      </c>
      <c r="B450" s="22" t="str">
        <f>"02315"</f>
        <v>02315</v>
      </c>
      <c r="C450" s="22" t="str">
        <f t="shared" si="6"/>
        <v>'2315.HK'</v>
      </c>
      <c r="D450" s="22" t="s">
        <v>1834</v>
      </c>
      <c r="E450" s="22" t="s">
        <v>941</v>
      </c>
      <c r="F450" s="22">
        <v>10164689789</v>
      </c>
      <c r="G450" s="22">
        <v>1</v>
      </c>
      <c r="H450" s="22" t="s">
        <v>1835</v>
      </c>
    </row>
    <row r="451" spans="1:8" x14ac:dyDescent="0.35">
      <c r="A451" s="22" t="s">
        <v>851</v>
      </c>
      <c r="B451" s="22" t="str">
        <f>"00525"</f>
        <v>00525</v>
      </c>
      <c r="C451" s="22" t="str">
        <f t="shared" ref="C451:C514" si="7">CONCATENATE("'",RIGHT(B451,4),".HK'")</f>
        <v>'0525.HK'</v>
      </c>
      <c r="D451" s="22" t="s">
        <v>1836</v>
      </c>
      <c r="E451" s="22" t="s">
        <v>948</v>
      </c>
      <c r="F451" s="22">
        <v>10129457910</v>
      </c>
      <c r="G451" s="22">
        <v>62</v>
      </c>
      <c r="H451" s="22" t="s">
        <v>1837</v>
      </c>
    </row>
    <row r="452" spans="1:8" x14ac:dyDescent="0.35">
      <c r="A452" s="22" t="s">
        <v>851</v>
      </c>
      <c r="B452" s="22" t="str">
        <f>"06955"</f>
        <v>06955</v>
      </c>
      <c r="C452" s="22" t="str">
        <f t="shared" si="7"/>
        <v>'6955.HK'</v>
      </c>
      <c r="D452" s="22" t="s">
        <v>1838</v>
      </c>
      <c r="F452" s="22">
        <v>10083744000</v>
      </c>
      <c r="H452" s="22" t="s">
        <v>1839</v>
      </c>
    </row>
    <row r="453" spans="1:8" x14ac:dyDescent="0.35">
      <c r="A453" s="22" t="s">
        <v>851</v>
      </c>
      <c r="B453" s="22" t="str">
        <f>"01033"</f>
        <v>01033</v>
      </c>
      <c r="C453" s="22" t="str">
        <f t="shared" si="7"/>
        <v>'1033.HK'</v>
      </c>
      <c r="D453" s="22" t="s">
        <v>1840</v>
      </c>
      <c r="E453" s="22" t="s">
        <v>1294</v>
      </c>
      <c r="F453" s="22">
        <v>10061700217.49</v>
      </c>
      <c r="G453" s="22">
        <v>50</v>
      </c>
      <c r="H453" s="22" t="s">
        <v>1841</v>
      </c>
    </row>
    <row r="454" spans="1:8" x14ac:dyDescent="0.35">
      <c r="A454" s="22" t="s">
        <v>851</v>
      </c>
      <c r="B454" s="22" t="str">
        <f>"01883"</f>
        <v>01883</v>
      </c>
      <c r="C454" s="22" t="str">
        <f t="shared" si="7"/>
        <v>'1883.HK'</v>
      </c>
      <c r="D454" s="22" t="s">
        <v>1842</v>
      </c>
      <c r="E454" s="22" t="s">
        <v>865</v>
      </c>
      <c r="F454" s="22">
        <v>10032047839.040001</v>
      </c>
      <c r="G454" s="22">
        <v>62</v>
      </c>
      <c r="H454" s="22" t="s">
        <v>1843</v>
      </c>
    </row>
    <row r="455" spans="1:8" x14ac:dyDescent="0.35">
      <c r="A455" s="22" t="s">
        <v>851</v>
      </c>
      <c r="B455" s="22" t="str">
        <f>"01686"</f>
        <v>01686</v>
      </c>
      <c r="C455" s="22" t="str">
        <f t="shared" si="7"/>
        <v>'1686.HK'</v>
      </c>
      <c r="D455" s="22" t="s">
        <v>1844</v>
      </c>
      <c r="E455" s="22" t="s">
        <v>1202</v>
      </c>
      <c r="F455" s="22">
        <v>9964384238.5799999</v>
      </c>
      <c r="G455" s="22">
        <v>33</v>
      </c>
      <c r="H455" s="22" t="s">
        <v>1845</v>
      </c>
    </row>
    <row r="456" spans="1:8" x14ac:dyDescent="0.35">
      <c r="A456" s="22" t="s">
        <v>851</v>
      </c>
      <c r="B456" s="22" t="str">
        <f>"02325"</f>
        <v>02325</v>
      </c>
      <c r="C456" s="22" t="str">
        <f t="shared" si="7"/>
        <v>'2325.HK'</v>
      </c>
      <c r="D456" s="22" t="s">
        <v>1846</v>
      </c>
      <c r="E456" s="22" t="s">
        <v>941</v>
      </c>
      <c r="F456" s="22">
        <v>9952433010</v>
      </c>
      <c r="G456" s="22">
        <v>1</v>
      </c>
      <c r="H456" s="22" t="s">
        <v>1847</v>
      </c>
    </row>
    <row r="457" spans="1:8" x14ac:dyDescent="0.35">
      <c r="A457" s="22" t="s">
        <v>851</v>
      </c>
      <c r="B457" s="22" t="str">
        <f>"00165"</f>
        <v>00165</v>
      </c>
      <c r="C457" s="22" t="str">
        <f t="shared" si="7"/>
        <v>'0165.HK'</v>
      </c>
      <c r="D457" s="22" t="s">
        <v>1848</v>
      </c>
      <c r="E457" s="22" t="s">
        <v>964</v>
      </c>
      <c r="F457" s="22">
        <v>9858734215.2000008</v>
      </c>
      <c r="G457" s="22">
        <v>183</v>
      </c>
      <c r="H457" s="22" t="s">
        <v>1849</v>
      </c>
    </row>
    <row r="458" spans="1:8" x14ac:dyDescent="0.35">
      <c r="A458" s="22" t="s">
        <v>851</v>
      </c>
      <c r="B458" s="22" t="str">
        <f>"02291"</f>
        <v>02291</v>
      </c>
      <c r="C458" s="22" t="str">
        <f t="shared" si="7"/>
        <v>'2291.HK'</v>
      </c>
      <c r="D458" s="22" t="s">
        <v>1850</v>
      </c>
      <c r="E458" s="22" t="s">
        <v>1232</v>
      </c>
      <c r="F458" s="22">
        <v>9847699914.7999992</v>
      </c>
      <c r="G458" s="22">
        <v>1</v>
      </c>
      <c r="H458" s="22" t="s">
        <v>1851</v>
      </c>
    </row>
    <row r="459" spans="1:8" x14ac:dyDescent="0.35">
      <c r="A459" s="22" t="s">
        <v>851</v>
      </c>
      <c r="B459" s="22" t="str">
        <f>"03383"</f>
        <v>03383</v>
      </c>
      <c r="C459" s="22" t="str">
        <f t="shared" si="7"/>
        <v>'3383.HK'</v>
      </c>
      <c r="D459" s="22" t="s">
        <v>1852</v>
      </c>
      <c r="E459" s="22" t="s">
        <v>924</v>
      </c>
      <c r="F459" s="22">
        <v>9814070675</v>
      </c>
      <c r="G459" s="22">
        <v>225</v>
      </c>
      <c r="H459" s="22" t="s">
        <v>1853</v>
      </c>
    </row>
    <row r="460" spans="1:8" x14ac:dyDescent="0.35">
      <c r="A460" s="22" t="s">
        <v>851</v>
      </c>
      <c r="B460" s="22" t="str">
        <f>"00142"</f>
        <v>00142</v>
      </c>
      <c r="C460" s="22" t="str">
        <f t="shared" si="7"/>
        <v>'0142.HK'</v>
      </c>
      <c r="D460" s="22" t="s">
        <v>1854</v>
      </c>
      <c r="E460" s="22" t="s">
        <v>1205</v>
      </c>
      <c r="F460" s="22">
        <v>9798235916.7000008</v>
      </c>
      <c r="G460" s="22">
        <v>48</v>
      </c>
      <c r="H460" s="22" t="s">
        <v>1855</v>
      </c>
    </row>
    <row r="461" spans="1:8" x14ac:dyDescent="0.35">
      <c r="A461" s="22" t="s">
        <v>851</v>
      </c>
      <c r="B461" s="22" t="str">
        <f>"00308"</f>
        <v>00308</v>
      </c>
      <c r="C461" s="22" t="str">
        <f t="shared" si="7"/>
        <v>'0308.HK'</v>
      </c>
      <c r="D461" s="22" t="s">
        <v>1856</v>
      </c>
      <c r="E461" s="22" t="s">
        <v>897</v>
      </c>
      <c r="F461" s="22">
        <v>9744475327.8400002</v>
      </c>
      <c r="G461" s="22">
        <v>51</v>
      </c>
      <c r="H461" s="22" t="s">
        <v>1857</v>
      </c>
    </row>
    <row r="462" spans="1:8" x14ac:dyDescent="0.35">
      <c r="A462" s="22" t="s">
        <v>851</v>
      </c>
      <c r="B462" s="22" t="str">
        <f>"00520"</f>
        <v>00520</v>
      </c>
      <c r="C462" s="22" t="str">
        <f t="shared" si="7"/>
        <v>'0520.HK'</v>
      </c>
      <c r="D462" s="22" t="s">
        <v>1858</v>
      </c>
      <c r="E462" s="22" t="s">
        <v>981</v>
      </c>
      <c r="F462" s="22">
        <v>9699452387.3299999</v>
      </c>
      <c r="G462" s="22">
        <v>235</v>
      </c>
      <c r="H462" s="22" t="s">
        <v>1859</v>
      </c>
    </row>
    <row r="463" spans="1:8" x14ac:dyDescent="0.35">
      <c r="A463" s="22" t="s">
        <v>851</v>
      </c>
      <c r="B463" s="22" t="str">
        <f>"02138"</f>
        <v>02138</v>
      </c>
      <c r="C463" s="22" t="str">
        <f t="shared" si="7"/>
        <v>'2138.HK'</v>
      </c>
      <c r="D463" s="22" t="s">
        <v>1860</v>
      </c>
      <c r="E463" s="22" t="s">
        <v>1362</v>
      </c>
      <c r="F463" s="22">
        <v>9698002476.6900005</v>
      </c>
      <c r="G463" s="22">
        <v>42</v>
      </c>
      <c r="H463" s="22" t="s">
        <v>1861</v>
      </c>
    </row>
    <row r="464" spans="1:8" x14ac:dyDescent="0.35">
      <c r="A464" s="22" t="s">
        <v>851</v>
      </c>
      <c r="B464" s="22" t="str">
        <f>"03613"</f>
        <v>03613</v>
      </c>
      <c r="C464" s="22" t="str">
        <f t="shared" si="7"/>
        <v>'3613.HK'</v>
      </c>
      <c r="D464" s="22" t="s">
        <v>1862</v>
      </c>
      <c r="E464" s="22" t="s">
        <v>1349</v>
      </c>
      <c r="F464" s="22">
        <v>9693618000</v>
      </c>
      <c r="G464" s="22">
        <v>139</v>
      </c>
      <c r="H464" s="22" t="s">
        <v>1863</v>
      </c>
    </row>
    <row r="465" spans="1:8" x14ac:dyDescent="0.35">
      <c r="A465" s="22" t="s">
        <v>851</v>
      </c>
      <c r="B465" s="22" t="str">
        <f>"01839"</f>
        <v>01839</v>
      </c>
      <c r="C465" s="22" t="str">
        <f t="shared" si="7"/>
        <v>'1839.HK'</v>
      </c>
      <c r="D465" s="22" t="s">
        <v>1864</v>
      </c>
      <c r="E465" s="22" t="s">
        <v>1109</v>
      </c>
      <c r="F465" s="22">
        <v>9664304000</v>
      </c>
      <c r="G465" s="22">
        <v>16</v>
      </c>
      <c r="H465" s="22" t="s">
        <v>1865</v>
      </c>
    </row>
    <row r="466" spans="1:8" x14ac:dyDescent="0.35">
      <c r="A466" s="22" t="s">
        <v>851</v>
      </c>
      <c r="B466" s="22" t="str">
        <f>"00819"</f>
        <v>00819</v>
      </c>
      <c r="C466" s="22" t="str">
        <f t="shared" si="7"/>
        <v>'0819.HK'</v>
      </c>
      <c r="D466" s="22" t="s">
        <v>1866</v>
      </c>
      <c r="E466" s="22" t="s">
        <v>1145</v>
      </c>
      <c r="F466" s="22">
        <v>9650886965</v>
      </c>
      <c r="G466" s="22">
        <v>246</v>
      </c>
      <c r="H466" s="22" t="s">
        <v>1867</v>
      </c>
    </row>
    <row r="467" spans="1:8" x14ac:dyDescent="0.35">
      <c r="A467" s="22" t="s">
        <v>851</v>
      </c>
      <c r="B467" s="22" t="str">
        <f>"02155"</f>
        <v>02155</v>
      </c>
      <c r="C467" s="22" t="str">
        <f t="shared" si="7"/>
        <v>'2155.HK'</v>
      </c>
      <c r="D467" s="22" t="s">
        <v>1868</v>
      </c>
      <c r="E467" s="22" t="s">
        <v>1395</v>
      </c>
      <c r="F467" s="22">
        <v>9621211264</v>
      </c>
      <c r="G467" s="22">
        <v>7</v>
      </c>
      <c r="H467" s="22" t="s">
        <v>1869</v>
      </c>
    </row>
    <row r="468" spans="1:8" x14ac:dyDescent="0.35">
      <c r="A468" s="22" t="s">
        <v>851</v>
      </c>
      <c r="B468" s="22" t="str">
        <f>"09923"</f>
        <v>09923</v>
      </c>
      <c r="C468" s="22" t="str">
        <f t="shared" si="7"/>
        <v>'9923.HK'</v>
      </c>
      <c r="D468" s="22" t="s">
        <v>1870</v>
      </c>
      <c r="E468" s="22" t="s">
        <v>853</v>
      </c>
      <c r="F468" s="22">
        <v>9600688303</v>
      </c>
      <c r="G468" s="22">
        <v>31</v>
      </c>
      <c r="H468" s="22" t="s">
        <v>1871</v>
      </c>
    </row>
    <row r="469" spans="1:8" x14ac:dyDescent="0.35">
      <c r="A469" s="22" t="s">
        <v>851</v>
      </c>
      <c r="B469" s="22" t="str">
        <f>"06196"</f>
        <v>06196</v>
      </c>
      <c r="C469" s="22" t="str">
        <f t="shared" si="7"/>
        <v>'6196.HK'</v>
      </c>
      <c r="D469" s="22" t="s">
        <v>1872</v>
      </c>
      <c r="E469" s="22" t="s">
        <v>858</v>
      </c>
      <c r="F469" s="22">
        <v>9422712862.8600006</v>
      </c>
      <c r="G469" s="22">
        <v>55</v>
      </c>
      <c r="H469" s="22" t="s">
        <v>1873</v>
      </c>
    </row>
    <row r="470" spans="1:8" x14ac:dyDescent="0.35">
      <c r="A470" s="22" t="s">
        <v>851</v>
      </c>
      <c r="B470" s="22" t="str">
        <f>"02099"</f>
        <v>02099</v>
      </c>
      <c r="C470" s="22" t="str">
        <f t="shared" si="7"/>
        <v>'2099.HK'</v>
      </c>
      <c r="D470" s="22" t="s">
        <v>1874</v>
      </c>
      <c r="E470" s="22" t="s">
        <v>929</v>
      </c>
      <c r="F470" s="22">
        <v>9375185258.4500008</v>
      </c>
      <c r="G470" s="22">
        <v>94</v>
      </c>
      <c r="H470" s="22" t="s">
        <v>1875</v>
      </c>
    </row>
    <row r="471" spans="1:8" x14ac:dyDescent="0.35">
      <c r="A471" s="22" t="s">
        <v>851</v>
      </c>
      <c r="B471" s="22" t="str">
        <f>"03933"</f>
        <v>03933</v>
      </c>
      <c r="C471" s="22" t="str">
        <f t="shared" si="7"/>
        <v>'3933.HK'</v>
      </c>
      <c r="D471" s="22" t="s">
        <v>1876</v>
      </c>
      <c r="E471" s="22" t="s">
        <v>969</v>
      </c>
      <c r="F471" s="22">
        <v>9342332971.1200008</v>
      </c>
      <c r="G471" s="22">
        <v>126</v>
      </c>
      <c r="H471" s="22" t="s">
        <v>1877</v>
      </c>
    </row>
    <row r="472" spans="1:8" x14ac:dyDescent="0.35">
      <c r="A472" s="22" t="s">
        <v>851</v>
      </c>
      <c r="B472" s="22" t="str">
        <f>"09666"</f>
        <v>09666</v>
      </c>
      <c r="C472" s="22" t="str">
        <f t="shared" si="7"/>
        <v>'9666.HK'</v>
      </c>
      <c r="D472" s="22" t="s">
        <v>1878</v>
      </c>
      <c r="E472" s="22" t="s">
        <v>1104</v>
      </c>
      <c r="F472" s="22">
        <v>9335727830</v>
      </c>
      <c r="G472" s="22">
        <v>43</v>
      </c>
      <c r="H472" s="22" t="s">
        <v>1879</v>
      </c>
    </row>
    <row r="473" spans="1:8" x14ac:dyDescent="0.35">
      <c r="A473" s="22" t="s">
        <v>851</v>
      </c>
      <c r="B473" s="22" t="str">
        <f>"09959"</f>
        <v>09959</v>
      </c>
      <c r="C473" s="22" t="str">
        <f t="shared" si="7"/>
        <v>'9959.HK'</v>
      </c>
      <c r="D473" s="22" t="s">
        <v>1880</v>
      </c>
      <c r="E473" s="22" t="s">
        <v>1202</v>
      </c>
      <c r="F473" s="22">
        <v>9332943058.8799992</v>
      </c>
      <c r="G473" s="22">
        <v>15</v>
      </c>
      <c r="H473" s="22" t="s">
        <v>1881</v>
      </c>
    </row>
    <row r="474" spans="1:8" x14ac:dyDescent="0.35">
      <c r="A474" s="22" t="s">
        <v>851</v>
      </c>
      <c r="B474" s="22" t="str">
        <f>"00405"</f>
        <v>00405</v>
      </c>
      <c r="C474" s="22" t="str">
        <f t="shared" si="7"/>
        <v>'0405.HK'</v>
      </c>
      <c r="D474" s="22" t="s">
        <v>1882</v>
      </c>
      <c r="F474" s="22">
        <v>9323385043.5</v>
      </c>
      <c r="G474" s="22">
        <v>115</v>
      </c>
      <c r="H474" s="22" t="s">
        <v>1883</v>
      </c>
    </row>
    <row r="475" spans="1:8" x14ac:dyDescent="0.35">
      <c r="A475" s="22" t="s">
        <v>851</v>
      </c>
      <c r="B475" s="22" t="str">
        <f>"02171"</f>
        <v>02171</v>
      </c>
      <c r="C475" s="22" t="str">
        <f t="shared" si="7"/>
        <v>'2171.HK'</v>
      </c>
      <c r="D475" s="22" t="s">
        <v>1884</v>
      </c>
      <c r="E475" s="22" t="s">
        <v>941</v>
      </c>
      <c r="F475" s="22">
        <v>9272772513</v>
      </c>
      <c r="G475" s="22">
        <v>14</v>
      </c>
      <c r="H475" s="22" t="s">
        <v>1885</v>
      </c>
    </row>
    <row r="476" spans="1:8" x14ac:dyDescent="0.35">
      <c r="A476" s="22" t="s">
        <v>851</v>
      </c>
      <c r="B476" s="22" t="str">
        <f>"00179"</f>
        <v>00179</v>
      </c>
      <c r="C476" s="22" t="str">
        <f t="shared" si="7"/>
        <v>'0179.HK'</v>
      </c>
      <c r="D476" s="22" t="s">
        <v>1886</v>
      </c>
      <c r="E476" s="22" t="s">
        <v>1122</v>
      </c>
      <c r="F476" s="22">
        <v>9217124771.1599998</v>
      </c>
      <c r="G476" s="22">
        <v>39</v>
      </c>
      <c r="H476" s="22" t="s">
        <v>1887</v>
      </c>
    </row>
    <row r="477" spans="1:8" x14ac:dyDescent="0.35">
      <c r="A477" s="22" t="s">
        <v>851</v>
      </c>
      <c r="B477" s="22" t="str">
        <f>"01415"</f>
        <v>01415</v>
      </c>
      <c r="C477" s="22" t="str">
        <f t="shared" si="7"/>
        <v>'1415.HK'</v>
      </c>
      <c r="D477" s="22" t="s">
        <v>1888</v>
      </c>
      <c r="E477" s="22" t="s">
        <v>1075</v>
      </c>
      <c r="F477" s="22">
        <v>9215280800</v>
      </c>
      <c r="G477" s="22">
        <v>23</v>
      </c>
      <c r="H477" s="22" t="s">
        <v>1889</v>
      </c>
    </row>
    <row r="478" spans="1:8" x14ac:dyDescent="0.35">
      <c r="A478" s="22" t="s">
        <v>851</v>
      </c>
      <c r="B478" s="22" t="str">
        <f>"00777"</f>
        <v>00777</v>
      </c>
      <c r="C478" s="22" t="str">
        <f t="shared" si="7"/>
        <v>'0777.HK'</v>
      </c>
      <c r="D478" s="22" t="s">
        <v>1890</v>
      </c>
      <c r="E478" s="22" t="s">
        <v>910</v>
      </c>
      <c r="F478" s="22">
        <v>9073678161.7399998</v>
      </c>
      <c r="G478" s="22">
        <v>65</v>
      </c>
      <c r="H478" s="22" t="s">
        <v>1891</v>
      </c>
    </row>
    <row r="479" spans="1:8" x14ac:dyDescent="0.35">
      <c r="A479" s="22" t="s">
        <v>851</v>
      </c>
      <c r="B479" s="22" t="str">
        <f>"00460"</f>
        <v>00460</v>
      </c>
      <c r="C479" s="22" t="str">
        <f t="shared" si="7"/>
        <v>'0460.HK'</v>
      </c>
      <c r="D479" s="22" t="s">
        <v>1892</v>
      </c>
      <c r="E479" s="22" t="s">
        <v>969</v>
      </c>
      <c r="F479" s="22">
        <v>8956799237.7600002</v>
      </c>
      <c r="G479" s="22">
        <v>94</v>
      </c>
      <c r="H479" s="22" t="s">
        <v>1893</v>
      </c>
    </row>
    <row r="480" spans="1:8" x14ac:dyDescent="0.35">
      <c r="A480" s="22" t="s">
        <v>851</v>
      </c>
      <c r="B480" s="22" t="str">
        <f>"02666"</f>
        <v>02666</v>
      </c>
      <c r="C480" s="22" t="str">
        <f t="shared" si="7"/>
        <v>'2666.HK'</v>
      </c>
      <c r="D480" s="22" t="s">
        <v>1894</v>
      </c>
      <c r="E480" s="22" t="s">
        <v>1498</v>
      </c>
      <c r="F480" s="22">
        <v>8909151803.3099995</v>
      </c>
      <c r="G480" s="22">
        <v>177</v>
      </c>
      <c r="H480" s="22" t="s">
        <v>1895</v>
      </c>
    </row>
    <row r="481" spans="1:8" x14ac:dyDescent="0.35">
      <c r="A481" s="22" t="s">
        <v>851</v>
      </c>
      <c r="B481" s="22" t="str">
        <f>"00034"</f>
        <v>00034</v>
      </c>
      <c r="C481" s="22" t="str">
        <f t="shared" si="7"/>
        <v>'0034.HK'</v>
      </c>
      <c r="D481" s="22" t="s">
        <v>1896</v>
      </c>
      <c r="E481" s="22" t="s">
        <v>924</v>
      </c>
      <c r="F481" s="22">
        <v>8789435781.1200008</v>
      </c>
      <c r="G481" s="22">
        <v>31</v>
      </c>
      <c r="H481" s="22" t="s">
        <v>1897</v>
      </c>
    </row>
    <row r="482" spans="1:8" x14ac:dyDescent="0.35">
      <c r="A482" s="22" t="s">
        <v>851</v>
      </c>
      <c r="B482" s="22" t="str">
        <f>"01610"</f>
        <v>01610</v>
      </c>
      <c r="C482" s="22" t="str">
        <f t="shared" si="7"/>
        <v>'1610.HK'</v>
      </c>
      <c r="D482" s="22" t="s">
        <v>1898</v>
      </c>
      <c r="E482" s="22" t="s">
        <v>1229</v>
      </c>
      <c r="F482" s="22">
        <v>8779496226.75</v>
      </c>
      <c r="G482" s="22">
        <v>235</v>
      </c>
      <c r="H482" s="22" t="s">
        <v>1899</v>
      </c>
    </row>
    <row r="483" spans="1:8" x14ac:dyDescent="0.35">
      <c r="A483" s="22" t="s">
        <v>851</v>
      </c>
      <c r="B483" s="22" t="str">
        <f>"00751"</f>
        <v>00751</v>
      </c>
      <c r="C483" s="22" t="str">
        <f t="shared" si="7"/>
        <v>'0751.HK'</v>
      </c>
      <c r="D483" s="22" t="s">
        <v>1900</v>
      </c>
      <c r="E483" s="22" t="s">
        <v>1167</v>
      </c>
      <c r="F483" s="22">
        <v>8763832813.7999992</v>
      </c>
      <c r="G483" s="22">
        <v>95</v>
      </c>
      <c r="H483" s="22" t="s">
        <v>1901</v>
      </c>
    </row>
    <row r="484" spans="1:8" x14ac:dyDescent="0.35">
      <c r="A484" s="22" t="s">
        <v>851</v>
      </c>
      <c r="B484" s="22" t="str">
        <f>"03983"</f>
        <v>03983</v>
      </c>
      <c r="C484" s="22" t="str">
        <f t="shared" si="7"/>
        <v>'3983.HK'</v>
      </c>
      <c r="D484" s="22" t="s">
        <v>1902</v>
      </c>
      <c r="E484" s="22" t="s">
        <v>1903</v>
      </c>
      <c r="F484" s="22">
        <v>8759000000</v>
      </c>
      <c r="G484" s="22">
        <v>41</v>
      </c>
      <c r="H484" s="22" t="s">
        <v>1904</v>
      </c>
    </row>
    <row r="485" spans="1:8" x14ac:dyDescent="0.35">
      <c r="A485" s="22" t="s">
        <v>851</v>
      </c>
      <c r="B485" s="22" t="str">
        <f>"01967"</f>
        <v>01967</v>
      </c>
      <c r="C485" s="22" t="str">
        <f t="shared" si="7"/>
        <v>'1967.HK'</v>
      </c>
      <c r="D485" s="22" t="s">
        <v>1905</v>
      </c>
      <c r="E485" s="22" t="s">
        <v>1224</v>
      </c>
      <c r="F485" s="22">
        <v>8725000000</v>
      </c>
      <c r="G485" s="22">
        <v>2</v>
      </c>
      <c r="H485" s="22" t="s">
        <v>1906</v>
      </c>
    </row>
    <row r="486" spans="1:8" x14ac:dyDescent="0.35">
      <c r="A486" s="22" t="s">
        <v>851</v>
      </c>
      <c r="B486" s="22" t="str">
        <f>"00173"</f>
        <v>00173</v>
      </c>
      <c r="C486" s="22" t="str">
        <f t="shared" si="7"/>
        <v>'0173.HK'</v>
      </c>
      <c r="D486" s="22" t="s">
        <v>1907</v>
      </c>
      <c r="E486" s="22" t="s">
        <v>924</v>
      </c>
      <c r="F486" s="22">
        <v>8709447029.7000008</v>
      </c>
      <c r="G486" s="22">
        <v>107</v>
      </c>
      <c r="H486" s="22" t="s">
        <v>1908</v>
      </c>
    </row>
    <row r="487" spans="1:8" x14ac:dyDescent="0.35">
      <c r="A487" s="22" t="s">
        <v>851</v>
      </c>
      <c r="B487" s="22" t="str">
        <f>"00341"</f>
        <v>00341</v>
      </c>
      <c r="C487" s="22" t="str">
        <f t="shared" si="7"/>
        <v>'0341.HK'</v>
      </c>
      <c r="D487" s="22" t="s">
        <v>1909</v>
      </c>
      <c r="E487" s="22" t="s">
        <v>981</v>
      </c>
      <c r="F487" s="22">
        <v>8703561930.3799992</v>
      </c>
      <c r="G487" s="22">
        <v>40</v>
      </c>
      <c r="H487" s="22" t="s">
        <v>1910</v>
      </c>
    </row>
    <row r="488" spans="1:8" x14ac:dyDescent="0.35">
      <c r="A488" s="22" t="s">
        <v>851</v>
      </c>
      <c r="B488" s="22" t="str">
        <f>"00558"</f>
        <v>00558</v>
      </c>
      <c r="C488" s="22" t="str">
        <f t="shared" si="7"/>
        <v>'0558.HK'</v>
      </c>
      <c r="D488" s="22" t="s">
        <v>1911</v>
      </c>
      <c r="E488" s="22" t="s">
        <v>1224</v>
      </c>
      <c r="F488" s="22">
        <v>8588682960</v>
      </c>
      <c r="G488" s="22">
        <v>47</v>
      </c>
      <c r="H488" s="22" t="s">
        <v>1912</v>
      </c>
    </row>
    <row r="489" spans="1:8" x14ac:dyDescent="0.35">
      <c r="A489" s="22" t="s">
        <v>851</v>
      </c>
      <c r="B489" s="22" t="str">
        <f>"02299"</f>
        <v>02299</v>
      </c>
      <c r="C489" s="22" t="str">
        <f t="shared" si="7"/>
        <v>'2299.HK'</v>
      </c>
      <c r="D489" s="22" t="s">
        <v>1913</v>
      </c>
      <c r="E489" s="22" t="s">
        <v>1914</v>
      </c>
      <c r="F489" s="22">
        <v>8581893300</v>
      </c>
      <c r="G489" s="22">
        <v>15</v>
      </c>
      <c r="H489" s="22" t="s">
        <v>1915</v>
      </c>
    </row>
    <row r="490" spans="1:8" x14ac:dyDescent="0.35">
      <c r="A490" s="22" t="s">
        <v>851</v>
      </c>
      <c r="B490" s="22" t="str">
        <f>"00071"</f>
        <v>00071</v>
      </c>
      <c r="C490" s="22" t="str">
        <f t="shared" si="7"/>
        <v>'0071.HK'</v>
      </c>
      <c r="D490" s="22" t="s">
        <v>1916</v>
      </c>
      <c r="E490" s="22" t="s">
        <v>1028</v>
      </c>
      <c r="F490" s="22">
        <v>8498804248.5</v>
      </c>
      <c r="G490" s="22">
        <v>18</v>
      </c>
      <c r="H490" s="22" t="s">
        <v>1917</v>
      </c>
    </row>
    <row r="491" spans="1:8" x14ac:dyDescent="0.35">
      <c r="A491" s="22" t="s">
        <v>851</v>
      </c>
      <c r="B491" s="22" t="str">
        <f>"03377"</f>
        <v>03377</v>
      </c>
      <c r="C491" s="22" t="str">
        <f t="shared" si="7"/>
        <v>'3377.HK'</v>
      </c>
      <c r="D491" s="22" t="s">
        <v>1918</v>
      </c>
      <c r="E491" s="22" t="s">
        <v>924</v>
      </c>
      <c r="F491" s="22">
        <v>8453866179.2700005</v>
      </c>
      <c r="G491" s="22">
        <v>156</v>
      </c>
      <c r="H491" s="22" t="s">
        <v>1919</v>
      </c>
    </row>
    <row r="492" spans="1:8" x14ac:dyDescent="0.35">
      <c r="A492" s="22" t="s">
        <v>851</v>
      </c>
      <c r="B492" s="22" t="str">
        <f>"01983"</f>
        <v>01983</v>
      </c>
      <c r="C492" s="22" t="str">
        <f t="shared" si="7"/>
        <v>'1983.HK'</v>
      </c>
      <c r="D492" s="22" t="s">
        <v>1920</v>
      </c>
      <c r="E492" s="22" t="s">
        <v>858</v>
      </c>
      <c r="F492" s="22">
        <v>8425031392.1999998</v>
      </c>
      <c r="G492" s="22">
        <v>11</v>
      </c>
      <c r="H492" s="22" t="s">
        <v>1921</v>
      </c>
    </row>
    <row r="493" spans="1:8" x14ac:dyDescent="0.35">
      <c r="A493" s="22" t="s">
        <v>851</v>
      </c>
      <c r="B493" s="22" t="str">
        <f>"00826"</f>
        <v>00826</v>
      </c>
      <c r="C493" s="22" t="str">
        <f t="shared" si="7"/>
        <v>'0826.HK'</v>
      </c>
      <c r="D493" s="22" t="s">
        <v>1922</v>
      </c>
      <c r="E493" s="22" t="s">
        <v>1579</v>
      </c>
      <c r="F493" s="22">
        <v>8382850000</v>
      </c>
      <c r="G493" s="22">
        <v>34</v>
      </c>
      <c r="H493" s="22" t="s">
        <v>1923</v>
      </c>
    </row>
    <row r="494" spans="1:8" x14ac:dyDescent="0.35">
      <c r="A494" s="22" t="s">
        <v>851</v>
      </c>
      <c r="B494" s="22" t="str">
        <f>"09858"</f>
        <v>09858</v>
      </c>
      <c r="C494" s="22" t="str">
        <f t="shared" si="7"/>
        <v>'9858.HK'</v>
      </c>
      <c r="D494" s="22" t="s">
        <v>1924</v>
      </c>
      <c r="E494" s="22" t="s">
        <v>1019</v>
      </c>
      <c r="F494" s="22">
        <v>8349888800</v>
      </c>
      <c r="G494" s="22">
        <v>13</v>
      </c>
      <c r="H494" s="22" t="s">
        <v>1925</v>
      </c>
    </row>
    <row r="495" spans="1:8" x14ac:dyDescent="0.35">
      <c r="A495" s="22" t="s">
        <v>851</v>
      </c>
      <c r="B495" s="22" t="str">
        <f>"06606"</f>
        <v>06606</v>
      </c>
      <c r="C495" s="22" t="str">
        <f t="shared" si="7"/>
        <v>'6606.HK'</v>
      </c>
      <c r="D495" s="22" t="s">
        <v>1926</v>
      </c>
      <c r="E495" s="22" t="s">
        <v>1232</v>
      </c>
      <c r="F495" s="22">
        <v>8324643880.96</v>
      </c>
      <c r="G495" s="22">
        <v>20</v>
      </c>
      <c r="H495" s="22" t="s">
        <v>1927</v>
      </c>
    </row>
    <row r="496" spans="1:8" x14ac:dyDescent="0.35">
      <c r="A496" s="22" t="s">
        <v>851</v>
      </c>
      <c r="B496" s="22" t="str">
        <f>"03738"</f>
        <v>03738</v>
      </c>
      <c r="C496" s="22" t="str">
        <f t="shared" si="7"/>
        <v>'3738.HK'</v>
      </c>
      <c r="D496" s="22" t="s">
        <v>1928</v>
      </c>
      <c r="E496" s="22" t="s">
        <v>910</v>
      </c>
      <c r="F496" s="22">
        <v>8216275025.2799997</v>
      </c>
      <c r="G496" s="22">
        <v>23</v>
      </c>
      <c r="H496" s="22" t="s">
        <v>1929</v>
      </c>
    </row>
    <row r="497" spans="1:8" x14ac:dyDescent="0.35">
      <c r="A497" s="22" t="s">
        <v>851</v>
      </c>
      <c r="B497" s="22" t="str">
        <f>"01476"</f>
        <v>01476</v>
      </c>
      <c r="C497" s="22" t="str">
        <f t="shared" si="7"/>
        <v>'1476.HK'</v>
      </c>
      <c r="D497" s="22" t="s">
        <v>1930</v>
      </c>
      <c r="E497" s="22" t="s">
        <v>1130</v>
      </c>
      <c r="F497" s="22">
        <v>8204387347.8000002</v>
      </c>
      <c r="G497" s="22">
        <v>11</v>
      </c>
      <c r="H497" s="22" t="s">
        <v>1931</v>
      </c>
    </row>
    <row r="498" spans="1:8" x14ac:dyDescent="0.35">
      <c r="A498" s="22" t="s">
        <v>851</v>
      </c>
      <c r="B498" s="22" t="str">
        <f>"00272"</f>
        <v>00272</v>
      </c>
      <c r="C498" s="22" t="str">
        <f t="shared" si="7"/>
        <v>'0272.HK'</v>
      </c>
      <c r="D498" s="22" t="s">
        <v>1932</v>
      </c>
      <c r="E498" s="22" t="s">
        <v>924</v>
      </c>
      <c r="F498" s="22">
        <v>8187810630.4799995</v>
      </c>
      <c r="G498" s="22">
        <v>65</v>
      </c>
      <c r="H498" s="22" t="s">
        <v>1933</v>
      </c>
    </row>
    <row r="499" spans="1:8" x14ac:dyDescent="0.35">
      <c r="A499" s="22" t="s">
        <v>851</v>
      </c>
      <c r="B499" s="22" t="str">
        <f>"00120"</f>
        <v>00120</v>
      </c>
      <c r="C499" s="22" t="str">
        <f t="shared" si="7"/>
        <v>'0120.HK'</v>
      </c>
      <c r="D499" s="22" t="s">
        <v>1934</v>
      </c>
      <c r="E499" s="22" t="s">
        <v>924</v>
      </c>
      <c r="F499" s="22">
        <v>8182397184</v>
      </c>
      <c r="G499" s="22">
        <v>13</v>
      </c>
      <c r="H499" s="22" t="s">
        <v>1935</v>
      </c>
    </row>
    <row r="500" spans="1:8" x14ac:dyDescent="0.35">
      <c r="A500" s="22" t="s">
        <v>851</v>
      </c>
      <c r="B500" s="22" t="str">
        <f>"02356"</f>
        <v>02356</v>
      </c>
      <c r="C500" s="22" t="str">
        <f t="shared" si="7"/>
        <v>'2356.HK'</v>
      </c>
      <c r="D500" s="22" t="s">
        <v>1936</v>
      </c>
      <c r="E500" s="22" t="s">
        <v>858</v>
      </c>
      <c r="F500" s="22">
        <v>8167419886.9200001</v>
      </c>
      <c r="G500" s="22">
        <v>47</v>
      </c>
      <c r="H500" s="22" t="s">
        <v>1937</v>
      </c>
    </row>
    <row r="501" spans="1:8" x14ac:dyDescent="0.35">
      <c r="A501" s="22" t="s">
        <v>851</v>
      </c>
      <c r="B501" s="22" t="str">
        <f>"01271"</f>
        <v>01271</v>
      </c>
      <c r="C501" s="22" t="str">
        <f t="shared" si="7"/>
        <v>'1271.HK'</v>
      </c>
      <c r="D501" s="22" t="s">
        <v>1938</v>
      </c>
      <c r="E501" s="22" t="s">
        <v>1634</v>
      </c>
      <c r="F501" s="22">
        <v>8162368489.5</v>
      </c>
      <c r="G501" s="22">
        <v>3</v>
      </c>
      <c r="H501" s="22" t="s">
        <v>1939</v>
      </c>
    </row>
    <row r="502" spans="1:8" x14ac:dyDescent="0.35">
      <c r="A502" s="22" t="s">
        <v>851</v>
      </c>
      <c r="B502" s="22" t="str">
        <f>"09989"</f>
        <v>09989</v>
      </c>
      <c r="C502" s="22" t="str">
        <f t="shared" si="7"/>
        <v>'9989.HK'</v>
      </c>
      <c r="D502" s="22" t="s">
        <v>1940</v>
      </c>
      <c r="E502" s="22" t="s">
        <v>969</v>
      </c>
      <c r="F502" s="22">
        <v>8114148008.1199999</v>
      </c>
      <c r="G502" s="22">
        <v>22</v>
      </c>
      <c r="H502" s="22" t="s">
        <v>1941</v>
      </c>
    </row>
    <row r="503" spans="1:8" x14ac:dyDescent="0.35">
      <c r="A503" s="22" t="s">
        <v>851</v>
      </c>
      <c r="B503" s="22" t="str">
        <f>"02391"</f>
        <v>02391</v>
      </c>
      <c r="C503" s="22" t="str">
        <f t="shared" si="7"/>
        <v>'2391.HK'</v>
      </c>
      <c r="D503" s="22" t="s">
        <v>1942</v>
      </c>
      <c r="E503" s="22" t="s">
        <v>910</v>
      </c>
      <c r="F503" s="22">
        <v>8099651840</v>
      </c>
      <c r="G503" s="22">
        <v>1</v>
      </c>
      <c r="H503" s="22" t="s">
        <v>1943</v>
      </c>
    </row>
    <row r="504" spans="1:8" x14ac:dyDescent="0.35">
      <c r="A504" s="22" t="s">
        <v>851</v>
      </c>
      <c r="B504" s="22" t="str">
        <f>"01995"</f>
        <v>01995</v>
      </c>
      <c r="C504" s="22" t="str">
        <f t="shared" si="7"/>
        <v>'1995.HK'</v>
      </c>
      <c r="D504" s="22" t="s">
        <v>1944</v>
      </c>
      <c r="E504" s="22" t="s">
        <v>1104</v>
      </c>
      <c r="F504" s="22">
        <v>8079190960</v>
      </c>
      <c r="G504" s="22">
        <v>131</v>
      </c>
      <c r="H504" s="22" t="s">
        <v>1945</v>
      </c>
    </row>
    <row r="505" spans="1:8" x14ac:dyDescent="0.35">
      <c r="A505" s="22" t="s">
        <v>851</v>
      </c>
      <c r="B505" s="22" t="str">
        <f>"06055"</f>
        <v>06055</v>
      </c>
      <c r="C505" s="22" t="str">
        <f t="shared" si="7"/>
        <v>'6055.HK'</v>
      </c>
      <c r="D505" s="22" t="s">
        <v>1946</v>
      </c>
      <c r="E505" s="22" t="s">
        <v>1947</v>
      </c>
      <c r="F505" s="22">
        <v>8037321600</v>
      </c>
      <c r="G505" s="22">
        <v>86</v>
      </c>
      <c r="H505" s="22" t="s">
        <v>1948</v>
      </c>
    </row>
    <row r="506" spans="1:8" x14ac:dyDescent="0.35">
      <c r="A506" s="22" t="s">
        <v>851</v>
      </c>
      <c r="B506" s="22" t="str">
        <f>"01070"</f>
        <v>01070</v>
      </c>
      <c r="C506" s="22" t="str">
        <f t="shared" si="7"/>
        <v>'1070.HK'</v>
      </c>
      <c r="D506" s="22" t="s">
        <v>1949</v>
      </c>
      <c r="E506" s="22" t="s">
        <v>1167</v>
      </c>
      <c r="F506" s="22">
        <v>8024294451.6300001</v>
      </c>
      <c r="G506" s="22">
        <v>92</v>
      </c>
      <c r="H506" s="22" t="s">
        <v>1950</v>
      </c>
    </row>
    <row r="507" spans="1:8" x14ac:dyDescent="0.35">
      <c r="A507" s="22" t="s">
        <v>851</v>
      </c>
      <c r="B507" s="22" t="str">
        <f>"01117"</f>
        <v>01117</v>
      </c>
      <c r="C507" s="22" t="str">
        <f t="shared" si="7"/>
        <v>'1117.HK'</v>
      </c>
      <c r="D507" s="22" t="s">
        <v>1951</v>
      </c>
      <c r="E507" s="22" t="s">
        <v>1019</v>
      </c>
      <c r="F507" s="22">
        <v>7915662048</v>
      </c>
      <c r="G507" s="22">
        <v>51</v>
      </c>
      <c r="H507" s="22" t="s">
        <v>1952</v>
      </c>
    </row>
    <row r="508" spans="1:8" x14ac:dyDescent="0.35">
      <c r="A508" s="22" t="s">
        <v>851</v>
      </c>
      <c r="B508" s="22" t="str">
        <f>"00506"</f>
        <v>00506</v>
      </c>
      <c r="C508" s="22" t="str">
        <f t="shared" si="7"/>
        <v>'0506.HK'</v>
      </c>
      <c r="D508" s="22" t="s">
        <v>1953</v>
      </c>
      <c r="E508" s="22" t="s">
        <v>892</v>
      </c>
      <c r="F508" s="22">
        <v>7804253274.8400002</v>
      </c>
      <c r="G508" s="22">
        <v>71</v>
      </c>
      <c r="H508" s="22" t="s">
        <v>1954</v>
      </c>
    </row>
    <row r="509" spans="1:8" x14ac:dyDescent="0.35">
      <c r="A509" s="22" t="s">
        <v>851</v>
      </c>
      <c r="B509" s="22" t="str">
        <f>"01755"</f>
        <v>01755</v>
      </c>
      <c r="C509" s="22" t="str">
        <f t="shared" si="7"/>
        <v>'1755.HK'</v>
      </c>
      <c r="D509" s="22" t="s">
        <v>1955</v>
      </c>
      <c r="E509" s="22" t="s">
        <v>1104</v>
      </c>
      <c r="F509" s="22">
        <v>7792577050</v>
      </c>
      <c r="G509" s="22">
        <v>140</v>
      </c>
      <c r="H509" s="22" t="s">
        <v>1956</v>
      </c>
    </row>
    <row r="510" spans="1:8" x14ac:dyDescent="0.35">
      <c r="A510" s="22" t="s">
        <v>851</v>
      </c>
      <c r="B510" s="22" t="str">
        <f>"00650"</f>
        <v>00650</v>
      </c>
      <c r="C510" s="22" t="str">
        <f t="shared" si="7"/>
        <v>'0650.HK'</v>
      </c>
      <c r="D510" s="22" t="s">
        <v>1957</v>
      </c>
      <c r="E510" s="22" t="s">
        <v>883</v>
      </c>
      <c r="F510" s="22">
        <v>7730914861.5</v>
      </c>
      <c r="G510" s="22">
        <v>5</v>
      </c>
      <c r="H510" s="22" t="s">
        <v>1958</v>
      </c>
    </row>
    <row r="511" spans="1:8" x14ac:dyDescent="0.35">
      <c r="A511" s="22" t="s">
        <v>851</v>
      </c>
      <c r="B511" s="22" t="str">
        <f>"06686"</f>
        <v>06686</v>
      </c>
      <c r="C511" s="22" t="str">
        <f t="shared" si="7"/>
        <v>'6686.HK'</v>
      </c>
      <c r="D511" s="22" t="s">
        <v>1959</v>
      </c>
      <c r="E511" s="22" t="s">
        <v>964</v>
      </c>
      <c r="F511" s="22">
        <v>7704000000</v>
      </c>
      <c r="G511" s="22">
        <v>1</v>
      </c>
      <c r="H511" s="22" t="s">
        <v>1960</v>
      </c>
    </row>
    <row r="512" spans="1:8" x14ac:dyDescent="0.35">
      <c r="A512" s="22" t="s">
        <v>851</v>
      </c>
      <c r="B512" s="22" t="str">
        <f>"02407"</f>
        <v>02407</v>
      </c>
      <c r="C512" s="22" t="str">
        <f t="shared" si="7"/>
        <v>'2407.HK'</v>
      </c>
      <c r="D512" s="22" t="s">
        <v>1961</v>
      </c>
      <c r="E512" s="22" t="s">
        <v>1232</v>
      </c>
      <c r="F512" s="22">
        <v>7603602000</v>
      </c>
      <c r="H512" s="22" t="s">
        <v>1962</v>
      </c>
    </row>
    <row r="513" spans="1:8" x14ac:dyDescent="0.35">
      <c r="A513" s="22" t="s">
        <v>851</v>
      </c>
      <c r="B513" s="22" t="str">
        <f>"00775"</f>
        <v>00775</v>
      </c>
      <c r="C513" s="22" t="str">
        <f t="shared" si="7"/>
        <v>'0775.HK'</v>
      </c>
      <c r="D513" s="22" t="s">
        <v>1963</v>
      </c>
      <c r="E513" s="22" t="s">
        <v>969</v>
      </c>
      <c r="F513" s="22">
        <v>7592747196</v>
      </c>
      <c r="G513" s="22">
        <v>16</v>
      </c>
      <c r="H513" s="22" t="s">
        <v>1964</v>
      </c>
    </row>
    <row r="514" spans="1:8" x14ac:dyDescent="0.35">
      <c r="A514" s="22" t="s">
        <v>851</v>
      </c>
      <c r="B514" s="22" t="str">
        <f>"01053"</f>
        <v>01053</v>
      </c>
      <c r="C514" s="22" t="str">
        <f t="shared" si="7"/>
        <v>'1053.HK'</v>
      </c>
      <c r="D514" s="22" t="s">
        <v>1965</v>
      </c>
      <c r="E514" s="22" t="s">
        <v>1579</v>
      </c>
      <c r="F514" s="22">
        <v>7580811926.9499998</v>
      </c>
      <c r="G514" s="22">
        <v>25</v>
      </c>
      <c r="H514" s="22" t="s">
        <v>1966</v>
      </c>
    </row>
    <row r="515" spans="1:8" x14ac:dyDescent="0.35">
      <c r="A515" s="22" t="s">
        <v>851</v>
      </c>
      <c r="B515" s="22" t="str">
        <f>"01224"</f>
        <v>01224</v>
      </c>
      <c r="C515" s="22" t="str">
        <f t="shared" ref="C515:C578" si="8">CONCATENATE("'",RIGHT(B515,4),".HK'")</f>
        <v>'1224.HK'</v>
      </c>
      <c r="D515" s="22" t="s">
        <v>1967</v>
      </c>
      <c r="E515" s="22" t="s">
        <v>924</v>
      </c>
      <c r="F515" s="22">
        <v>7570552602.6000004</v>
      </c>
      <c r="G515" s="22">
        <v>13</v>
      </c>
      <c r="H515" s="22" t="s">
        <v>1968</v>
      </c>
    </row>
    <row r="516" spans="1:8" x14ac:dyDescent="0.35">
      <c r="A516" s="22" t="s">
        <v>851</v>
      </c>
      <c r="B516" s="22" t="str">
        <f>"01812"</f>
        <v>01812</v>
      </c>
      <c r="C516" s="22" t="str">
        <f t="shared" si="8"/>
        <v>'1812.HK'</v>
      </c>
      <c r="D516" s="22" t="s">
        <v>1969</v>
      </c>
      <c r="E516" s="22" t="s">
        <v>1378</v>
      </c>
      <c r="F516" s="22">
        <v>7508950344</v>
      </c>
      <c r="G516" s="22">
        <v>197</v>
      </c>
      <c r="H516" s="22" t="s">
        <v>1970</v>
      </c>
    </row>
    <row r="517" spans="1:8" x14ac:dyDescent="0.35">
      <c r="A517" s="22" t="s">
        <v>851</v>
      </c>
      <c r="B517" s="22" t="str">
        <f>"01717"</f>
        <v>01717</v>
      </c>
      <c r="C517" s="22" t="str">
        <f t="shared" si="8"/>
        <v>'1717.HK'</v>
      </c>
      <c r="D517" s="22" t="s">
        <v>1971</v>
      </c>
      <c r="E517" s="22" t="s">
        <v>1019</v>
      </c>
      <c r="F517" s="22">
        <v>7506466376.9700003</v>
      </c>
      <c r="G517" s="22">
        <v>103</v>
      </c>
      <c r="H517" s="22" t="s">
        <v>1972</v>
      </c>
    </row>
    <row r="518" spans="1:8" x14ac:dyDescent="0.35">
      <c r="A518" s="22" t="s">
        <v>851</v>
      </c>
      <c r="B518" s="22" t="str">
        <f>"01212"</f>
        <v>01212</v>
      </c>
      <c r="C518" s="22" t="str">
        <f t="shared" si="8"/>
        <v>'1212.HK'</v>
      </c>
      <c r="D518" s="22" t="s">
        <v>1973</v>
      </c>
      <c r="E518" s="22" t="s">
        <v>1485</v>
      </c>
      <c r="F518" s="22">
        <v>7479541680</v>
      </c>
      <c r="G518" s="22">
        <v>46</v>
      </c>
      <c r="H518" s="22" t="s">
        <v>1974</v>
      </c>
    </row>
    <row r="519" spans="1:8" x14ac:dyDescent="0.35">
      <c r="A519" s="22" t="s">
        <v>851</v>
      </c>
      <c r="B519" s="22" t="str">
        <f>"03308"</f>
        <v>03308</v>
      </c>
      <c r="C519" s="22" t="str">
        <f t="shared" si="8"/>
        <v>'3308.HK'</v>
      </c>
      <c r="D519" s="22" t="s">
        <v>1975</v>
      </c>
      <c r="E519" s="22" t="s">
        <v>1485</v>
      </c>
      <c r="F519" s="22">
        <v>7470922500</v>
      </c>
      <c r="G519" s="22">
        <v>23</v>
      </c>
      <c r="H519" s="22" t="s">
        <v>1976</v>
      </c>
    </row>
    <row r="520" spans="1:8" x14ac:dyDescent="0.35">
      <c r="A520" s="22" t="s">
        <v>851</v>
      </c>
      <c r="B520" s="22" t="str">
        <f>"01515"</f>
        <v>01515</v>
      </c>
      <c r="C520" s="22" t="str">
        <f t="shared" si="8"/>
        <v>'1515.HK'</v>
      </c>
      <c r="D520" s="22" t="s">
        <v>1977</v>
      </c>
      <c r="E520" s="22" t="s">
        <v>1362</v>
      </c>
      <c r="F520" s="22">
        <v>7455889967</v>
      </c>
      <c r="G520" s="22">
        <v>88</v>
      </c>
      <c r="H520" s="22" t="s">
        <v>1978</v>
      </c>
    </row>
    <row r="521" spans="1:8" x14ac:dyDescent="0.35">
      <c r="A521" s="22" t="s">
        <v>851</v>
      </c>
      <c r="B521" s="22" t="str">
        <f>"01666"</f>
        <v>01666</v>
      </c>
      <c r="C521" s="22" t="str">
        <f t="shared" si="8"/>
        <v>'1666.HK'</v>
      </c>
      <c r="D521" s="22" t="s">
        <v>1979</v>
      </c>
      <c r="E521" s="22" t="s">
        <v>1349</v>
      </c>
      <c r="F521" s="22">
        <v>7441355040</v>
      </c>
      <c r="G521" s="22">
        <v>176</v>
      </c>
      <c r="H521" s="22" t="s">
        <v>1980</v>
      </c>
    </row>
    <row r="522" spans="1:8" x14ac:dyDescent="0.35">
      <c r="A522" s="22" t="s">
        <v>851</v>
      </c>
      <c r="B522" s="22" t="str">
        <f>"09955"</f>
        <v>09955</v>
      </c>
      <c r="C522" s="22" t="str">
        <f t="shared" si="8"/>
        <v>'9955.HK'</v>
      </c>
      <c r="D522" s="22" t="s">
        <v>1981</v>
      </c>
      <c r="E522" s="22" t="s">
        <v>1232</v>
      </c>
      <c r="F522" s="22">
        <v>7396681559.3999996</v>
      </c>
      <c r="G522" s="22">
        <v>2</v>
      </c>
      <c r="H522" s="22" t="s">
        <v>1982</v>
      </c>
    </row>
    <row r="523" spans="1:8" x14ac:dyDescent="0.35">
      <c r="A523" s="22" t="s">
        <v>851</v>
      </c>
      <c r="B523" s="22" t="str">
        <f>"00327"</f>
        <v>00327</v>
      </c>
      <c r="C523" s="22" t="str">
        <f t="shared" si="8"/>
        <v>'0327.HK'</v>
      </c>
      <c r="D523" s="22" t="s">
        <v>1983</v>
      </c>
      <c r="E523" s="22" t="s">
        <v>853</v>
      </c>
      <c r="F523" s="22">
        <v>7341926000</v>
      </c>
      <c r="G523" s="22">
        <v>36</v>
      </c>
      <c r="H523" s="22" t="s">
        <v>1984</v>
      </c>
    </row>
    <row r="524" spans="1:8" x14ac:dyDescent="0.35">
      <c r="A524" s="22" t="s">
        <v>851</v>
      </c>
      <c r="B524" s="22" t="str">
        <f>"01052"</f>
        <v>01052</v>
      </c>
      <c r="C524" s="22" t="str">
        <f t="shared" si="8"/>
        <v>'1052.HK'</v>
      </c>
      <c r="D524" s="22" t="s">
        <v>1985</v>
      </c>
      <c r="E524" s="22" t="s">
        <v>1367</v>
      </c>
      <c r="F524" s="22">
        <v>7244792737.3500004</v>
      </c>
      <c r="G524" s="22">
        <v>149</v>
      </c>
      <c r="H524" s="22" t="s">
        <v>1986</v>
      </c>
    </row>
    <row r="525" spans="1:8" x14ac:dyDescent="0.35">
      <c r="A525" s="22" t="s">
        <v>851</v>
      </c>
      <c r="B525" s="22" t="str">
        <f>"06610"</f>
        <v>06610</v>
      </c>
      <c r="C525" s="22" t="str">
        <f t="shared" si="8"/>
        <v>'6610.HK'</v>
      </c>
      <c r="D525" s="22" t="s">
        <v>1987</v>
      </c>
      <c r="E525" s="22" t="s">
        <v>910</v>
      </c>
      <c r="F525" s="22">
        <v>7240000000</v>
      </c>
      <c r="G525" s="22">
        <v>1</v>
      </c>
      <c r="H525" s="22" t="s">
        <v>1988</v>
      </c>
    </row>
    <row r="526" spans="1:8" x14ac:dyDescent="0.35">
      <c r="A526" s="22" t="s">
        <v>851</v>
      </c>
      <c r="B526" s="22" t="str">
        <f>"00410"</f>
        <v>00410</v>
      </c>
      <c r="C526" s="22" t="str">
        <f t="shared" si="8"/>
        <v>'0410.HK'</v>
      </c>
      <c r="D526" s="22" t="s">
        <v>1989</v>
      </c>
      <c r="E526" s="22" t="s">
        <v>1028</v>
      </c>
      <c r="F526" s="22">
        <v>7227338403.0900002</v>
      </c>
      <c r="G526" s="22">
        <v>133</v>
      </c>
      <c r="H526" s="22" t="s">
        <v>1990</v>
      </c>
    </row>
    <row r="527" spans="1:8" x14ac:dyDescent="0.35">
      <c r="A527" s="22" t="s">
        <v>851</v>
      </c>
      <c r="B527" s="22" t="str">
        <f>"03877"</f>
        <v>03877</v>
      </c>
      <c r="C527" s="22" t="str">
        <f t="shared" si="8"/>
        <v>'3877.HK'</v>
      </c>
      <c r="D527" s="22" t="s">
        <v>1991</v>
      </c>
      <c r="E527" s="22" t="s">
        <v>1498</v>
      </c>
      <c r="F527" s="22">
        <v>7179197493.7799997</v>
      </c>
      <c r="G527" s="22">
        <v>28</v>
      </c>
      <c r="H527" s="22" t="s">
        <v>1992</v>
      </c>
    </row>
    <row r="528" spans="1:8" x14ac:dyDescent="0.35">
      <c r="A528" s="22" t="s">
        <v>851</v>
      </c>
      <c r="B528" s="22" t="str">
        <f>"02362"</f>
        <v>02362</v>
      </c>
      <c r="C528" s="22" t="str">
        <f t="shared" si="8"/>
        <v>'2362.HK'</v>
      </c>
      <c r="D528" s="22" t="s">
        <v>1993</v>
      </c>
      <c r="E528" s="22" t="s">
        <v>1060</v>
      </c>
      <c r="F528" s="22">
        <v>7169050769.0699997</v>
      </c>
      <c r="G528" s="22">
        <v>15</v>
      </c>
      <c r="H528" s="22" t="s">
        <v>1994</v>
      </c>
    </row>
    <row r="529" spans="1:8" x14ac:dyDescent="0.35">
      <c r="A529" s="22" t="s">
        <v>851</v>
      </c>
      <c r="B529" s="22" t="str">
        <f>"02777"</f>
        <v>02777</v>
      </c>
      <c r="C529" s="22" t="str">
        <f t="shared" si="8"/>
        <v>'2777.HK'</v>
      </c>
      <c r="D529" s="22" t="s">
        <v>1995</v>
      </c>
      <c r="E529" s="22" t="s">
        <v>924</v>
      </c>
      <c r="F529" s="22">
        <v>7167021627.04</v>
      </c>
      <c r="G529" s="22">
        <v>226</v>
      </c>
      <c r="H529" s="22" t="s">
        <v>1996</v>
      </c>
    </row>
    <row r="530" spans="1:8" x14ac:dyDescent="0.35">
      <c r="A530" s="22" t="s">
        <v>851</v>
      </c>
      <c r="B530" s="22" t="str">
        <f>"00934"</f>
        <v>00934</v>
      </c>
      <c r="C530" s="22" t="str">
        <f t="shared" si="8"/>
        <v>'0934.HK'</v>
      </c>
      <c r="D530" s="22" t="s">
        <v>1997</v>
      </c>
      <c r="E530" s="22" t="s">
        <v>1294</v>
      </c>
      <c r="F530" s="22">
        <v>7160140800</v>
      </c>
      <c r="G530" s="22">
        <v>201</v>
      </c>
      <c r="H530" s="22" t="s">
        <v>1998</v>
      </c>
    </row>
    <row r="531" spans="1:8" x14ac:dyDescent="0.35">
      <c r="A531" s="22" t="s">
        <v>851</v>
      </c>
      <c r="B531" s="22" t="str">
        <f>"00116"</f>
        <v>00116</v>
      </c>
      <c r="C531" s="22" t="str">
        <f t="shared" si="8"/>
        <v>'0116.HK'</v>
      </c>
      <c r="D531" s="22" t="s">
        <v>1999</v>
      </c>
      <c r="E531" s="22" t="s">
        <v>1002</v>
      </c>
      <c r="F531" s="22">
        <v>7153703040</v>
      </c>
      <c r="G531" s="22">
        <v>161</v>
      </c>
      <c r="H531" s="22" t="s">
        <v>2000</v>
      </c>
    </row>
    <row r="532" spans="1:8" x14ac:dyDescent="0.35">
      <c r="A532" s="22" t="s">
        <v>851</v>
      </c>
      <c r="B532" s="22" t="str">
        <f>"06929"</f>
        <v>06929</v>
      </c>
      <c r="C532" s="22" t="str">
        <f t="shared" si="8"/>
        <v>'6929.HK'</v>
      </c>
      <c r="D532" s="22" t="s">
        <v>2001</v>
      </c>
      <c r="F532" s="22">
        <v>7135377400</v>
      </c>
      <c r="H532" s="22" t="s">
        <v>2002</v>
      </c>
    </row>
    <row r="533" spans="1:8" x14ac:dyDescent="0.35">
      <c r="A533" s="22" t="s">
        <v>851</v>
      </c>
      <c r="B533" s="22" t="str">
        <f>"02232"</f>
        <v>02232</v>
      </c>
      <c r="C533" s="22" t="str">
        <f t="shared" si="8"/>
        <v>'2232.HK'</v>
      </c>
      <c r="D533" s="22" t="s">
        <v>2003</v>
      </c>
      <c r="E533" s="22" t="s">
        <v>889</v>
      </c>
      <c r="F533" s="22">
        <v>7132055000</v>
      </c>
      <c r="G533" s="22">
        <v>19</v>
      </c>
      <c r="H533" s="22" t="s">
        <v>2004</v>
      </c>
    </row>
    <row r="534" spans="1:8" x14ac:dyDescent="0.35">
      <c r="A534" s="22" t="s">
        <v>851</v>
      </c>
      <c r="B534" s="22" t="str">
        <f>"00873"</f>
        <v>00873</v>
      </c>
      <c r="C534" s="22" t="str">
        <f t="shared" si="8"/>
        <v>'0873.HK'</v>
      </c>
      <c r="D534" s="22" t="s">
        <v>2005</v>
      </c>
      <c r="E534" s="22" t="s">
        <v>1104</v>
      </c>
      <c r="F534" s="22">
        <v>7108338240</v>
      </c>
      <c r="G534" s="22">
        <v>48</v>
      </c>
      <c r="H534" s="22" t="s">
        <v>2006</v>
      </c>
    </row>
    <row r="535" spans="1:8" x14ac:dyDescent="0.35">
      <c r="A535" s="22" t="s">
        <v>851</v>
      </c>
      <c r="B535" s="22" t="str">
        <f>"09857"</f>
        <v>09857</v>
      </c>
      <c r="C535" s="22" t="str">
        <f t="shared" si="8"/>
        <v>'9857.HK'</v>
      </c>
      <c r="D535" s="22" t="s">
        <v>2007</v>
      </c>
      <c r="E535" s="22" t="s">
        <v>1185</v>
      </c>
      <c r="F535" s="22">
        <v>7101038931.3000002</v>
      </c>
      <c r="G535" s="22">
        <v>1</v>
      </c>
      <c r="H535" s="22" t="s">
        <v>2008</v>
      </c>
    </row>
    <row r="536" spans="1:8" x14ac:dyDescent="0.35">
      <c r="A536" s="22" t="s">
        <v>851</v>
      </c>
      <c r="B536" s="22" t="str">
        <f>"02696"</f>
        <v>02696</v>
      </c>
      <c r="C536" s="22" t="str">
        <f t="shared" si="8"/>
        <v>'2696.HK'</v>
      </c>
      <c r="D536" s="22" t="s">
        <v>2009</v>
      </c>
      <c r="E536" s="22" t="s">
        <v>941</v>
      </c>
      <c r="F536" s="22">
        <v>7087172883.1199999</v>
      </c>
      <c r="G536" s="22">
        <v>22</v>
      </c>
      <c r="H536" s="22" t="s">
        <v>2010</v>
      </c>
    </row>
    <row r="537" spans="1:8" x14ac:dyDescent="0.35">
      <c r="A537" s="22" t="s">
        <v>851</v>
      </c>
      <c r="B537" s="22" t="str">
        <f>"06855"</f>
        <v>06855</v>
      </c>
      <c r="C537" s="22" t="str">
        <f t="shared" si="8"/>
        <v>'6855.HK'</v>
      </c>
      <c r="D537" s="22" t="s">
        <v>2011</v>
      </c>
      <c r="E537" s="22" t="s">
        <v>941</v>
      </c>
      <c r="F537" s="22">
        <v>7076348606.1000004</v>
      </c>
      <c r="G537" s="22">
        <v>42</v>
      </c>
      <c r="H537" s="22" t="s">
        <v>2012</v>
      </c>
    </row>
    <row r="538" spans="1:8" x14ac:dyDescent="0.35">
      <c r="A538" s="22" t="s">
        <v>851</v>
      </c>
      <c r="B538" s="22" t="str">
        <f>"01788"</f>
        <v>01788</v>
      </c>
      <c r="C538" s="22" t="str">
        <f t="shared" si="8"/>
        <v>'1788.HK'</v>
      </c>
      <c r="D538" s="22" t="s">
        <v>2013</v>
      </c>
      <c r="E538" s="22" t="s">
        <v>1130</v>
      </c>
      <c r="F538" s="22">
        <v>7069956083.1800003</v>
      </c>
      <c r="G538" s="22">
        <v>96</v>
      </c>
      <c r="H538" s="22" t="s">
        <v>2014</v>
      </c>
    </row>
    <row r="539" spans="1:8" x14ac:dyDescent="0.35">
      <c r="A539" s="22" t="s">
        <v>851</v>
      </c>
      <c r="B539" s="22" t="str">
        <f>"03709"</f>
        <v>03709</v>
      </c>
      <c r="C539" s="22" t="str">
        <f t="shared" si="8"/>
        <v>'3709.HK'</v>
      </c>
      <c r="D539" s="22" t="s">
        <v>2015</v>
      </c>
      <c r="E539" s="22" t="s">
        <v>889</v>
      </c>
      <c r="F539" s="22">
        <v>7040501950</v>
      </c>
      <c r="G539" s="22">
        <v>19</v>
      </c>
      <c r="H539" s="22" t="s">
        <v>2016</v>
      </c>
    </row>
    <row r="540" spans="1:8" x14ac:dyDescent="0.35">
      <c r="A540" s="22" t="s">
        <v>851</v>
      </c>
      <c r="B540" s="22" t="str">
        <f>"01475"</f>
        <v>01475</v>
      </c>
      <c r="C540" s="22" t="str">
        <f t="shared" si="8"/>
        <v>'1475.HK'</v>
      </c>
      <c r="D540" s="22" t="s">
        <v>2017</v>
      </c>
      <c r="E540" s="22" t="s">
        <v>1205</v>
      </c>
      <c r="F540" s="22">
        <v>7013606745.6000004</v>
      </c>
      <c r="G540" s="22">
        <v>30</v>
      </c>
      <c r="H540" s="22" t="s">
        <v>2018</v>
      </c>
    </row>
    <row r="541" spans="1:8" x14ac:dyDescent="0.35">
      <c r="A541" s="22" t="s">
        <v>851</v>
      </c>
      <c r="B541" s="22" t="str">
        <f>"00691"</f>
        <v>00691</v>
      </c>
      <c r="C541" s="22" t="str">
        <f t="shared" si="8"/>
        <v>'0691.HK'</v>
      </c>
      <c r="D541" s="22" t="s">
        <v>2019</v>
      </c>
      <c r="E541" s="22" t="s">
        <v>1016</v>
      </c>
      <c r="F541" s="22">
        <v>6966345964.8000002</v>
      </c>
      <c r="G541" s="22">
        <v>24</v>
      </c>
      <c r="H541" s="22" t="s">
        <v>2020</v>
      </c>
    </row>
    <row r="542" spans="1:8" x14ac:dyDescent="0.35">
      <c r="A542" s="22" t="s">
        <v>851</v>
      </c>
      <c r="B542" s="22" t="str">
        <f>"01250"</f>
        <v>01250</v>
      </c>
      <c r="C542" s="22" t="str">
        <f t="shared" si="8"/>
        <v>'1250.HK'</v>
      </c>
      <c r="D542" s="22" t="s">
        <v>2021</v>
      </c>
      <c r="E542" s="22" t="s">
        <v>1127</v>
      </c>
      <c r="F542" s="22">
        <v>6964425050.8479996</v>
      </c>
      <c r="G542" s="22">
        <v>21</v>
      </c>
      <c r="H542" s="22" t="s">
        <v>2022</v>
      </c>
    </row>
    <row r="543" spans="1:8" x14ac:dyDescent="0.35">
      <c r="A543" s="22" t="s">
        <v>851</v>
      </c>
      <c r="B543" s="22" t="str">
        <f>"09699"</f>
        <v>09699</v>
      </c>
      <c r="C543" s="22" t="str">
        <f t="shared" si="8"/>
        <v>'9699.HK'</v>
      </c>
      <c r="D543" s="22" t="s">
        <v>2023</v>
      </c>
      <c r="E543" s="22" t="s">
        <v>853</v>
      </c>
      <c r="F543" s="22">
        <v>6907587031.8000002</v>
      </c>
      <c r="G543" s="22">
        <v>4</v>
      </c>
      <c r="H543" s="22" t="s">
        <v>2024</v>
      </c>
    </row>
    <row r="544" spans="1:8" x14ac:dyDescent="0.35">
      <c r="A544" s="22" t="s">
        <v>851</v>
      </c>
      <c r="B544" s="22" t="str">
        <f>"01361"</f>
        <v>01361</v>
      </c>
      <c r="C544" s="22" t="str">
        <f t="shared" si="8"/>
        <v>'1361.HK'</v>
      </c>
      <c r="D544" s="22" t="s">
        <v>2025</v>
      </c>
      <c r="E544" s="22" t="s">
        <v>1552</v>
      </c>
      <c r="F544" s="22">
        <v>6905790680</v>
      </c>
      <c r="G544" s="22">
        <v>110</v>
      </c>
      <c r="H544" s="22" t="s">
        <v>2026</v>
      </c>
    </row>
    <row r="545" spans="1:8" x14ac:dyDescent="0.35">
      <c r="A545" s="22" t="s">
        <v>851</v>
      </c>
      <c r="B545" s="22" t="str">
        <f>"03380"</f>
        <v>03380</v>
      </c>
      <c r="C545" s="22" t="str">
        <f t="shared" si="8"/>
        <v>'3380.HK'</v>
      </c>
      <c r="D545" s="22" t="s">
        <v>2027</v>
      </c>
      <c r="E545" s="22" t="s">
        <v>924</v>
      </c>
      <c r="F545" s="22">
        <v>6879343014.5</v>
      </c>
      <c r="G545" s="22">
        <v>159</v>
      </c>
      <c r="H545" s="22" t="s">
        <v>2028</v>
      </c>
    </row>
    <row r="546" spans="1:8" x14ac:dyDescent="0.35">
      <c r="A546" s="22" t="s">
        <v>851</v>
      </c>
      <c r="B546" s="22" t="str">
        <f>"00119"</f>
        <v>00119</v>
      </c>
      <c r="C546" s="22" t="str">
        <f t="shared" si="8"/>
        <v>'0119.HK'</v>
      </c>
      <c r="D546" s="22" t="s">
        <v>2029</v>
      </c>
      <c r="E546" s="22" t="s">
        <v>924</v>
      </c>
      <c r="F546" s="22">
        <v>6839917781.2200003</v>
      </c>
      <c r="G546" s="22">
        <v>155</v>
      </c>
      <c r="H546" s="22" t="s">
        <v>2030</v>
      </c>
    </row>
    <row r="547" spans="1:8" x14ac:dyDescent="0.35">
      <c r="A547" s="22" t="s">
        <v>851</v>
      </c>
      <c r="B547" s="22" t="str">
        <f>"09638"</f>
        <v>09638</v>
      </c>
      <c r="C547" s="22" t="str">
        <f t="shared" si="8"/>
        <v>'9638.HK'</v>
      </c>
      <c r="D547" s="22" t="s">
        <v>2031</v>
      </c>
      <c r="E547" s="22" t="s">
        <v>1109</v>
      </c>
      <c r="F547" s="22">
        <v>6837349610.8000002</v>
      </c>
      <c r="G547" s="22">
        <v>1</v>
      </c>
      <c r="H547" s="22" t="s">
        <v>2032</v>
      </c>
    </row>
    <row r="548" spans="1:8" x14ac:dyDescent="0.35">
      <c r="A548" s="22" t="s">
        <v>851</v>
      </c>
      <c r="B548" s="22" t="str">
        <f>"02038"</f>
        <v>02038</v>
      </c>
      <c r="C548" s="22" t="str">
        <f t="shared" si="8"/>
        <v>'2038.HK'</v>
      </c>
      <c r="D548" s="22" t="s">
        <v>2033</v>
      </c>
      <c r="E548" s="22" t="s">
        <v>938</v>
      </c>
      <c r="F548" s="22">
        <v>6827315540</v>
      </c>
      <c r="G548" s="22">
        <v>42</v>
      </c>
      <c r="H548" s="22" t="s">
        <v>2034</v>
      </c>
    </row>
    <row r="549" spans="1:8" x14ac:dyDescent="0.35">
      <c r="A549" s="22" t="s">
        <v>851</v>
      </c>
      <c r="B549" s="22" t="str">
        <f>"02390"</f>
        <v>02390</v>
      </c>
      <c r="C549" s="22" t="str">
        <f t="shared" si="8"/>
        <v>'2390.HK'</v>
      </c>
      <c r="D549" s="22" t="s">
        <v>2035</v>
      </c>
      <c r="E549" s="22" t="s">
        <v>1627</v>
      </c>
      <c r="F549" s="22">
        <v>6825548322.5</v>
      </c>
      <c r="G549" s="22">
        <v>3</v>
      </c>
      <c r="H549" s="22" t="s">
        <v>2036</v>
      </c>
    </row>
    <row r="550" spans="1:8" x14ac:dyDescent="0.35">
      <c r="A550" s="22" t="s">
        <v>851</v>
      </c>
      <c r="B550" s="22" t="str">
        <f>"00797"</f>
        <v>00797</v>
      </c>
      <c r="C550" s="22" t="str">
        <f t="shared" si="8"/>
        <v>'0797.HK'</v>
      </c>
      <c r="D550" s="22" t="s">
        <v>2037</v>
      </c>
      <c r="E550" s="22" t="s">
        <v>910</v>
      </c>
      <c r="F550" s="22">
        <v>6745340000</v>
      </c>
      <c r="G550" s="22">
        <v>3</v>
      </c>
      <c r="H550" s="22" t="s">
        <v>2038</v>
      </c>
    </row>
    <row r="551" spans="1:8" x14ac:dyDescent="0.35">
      <c r="A551" s="22" t="s">
        <v>851</v>
      </c>
      <c r="B551" s="22" t="str">
        <f>"00297"</f>
        <v>00297</v>
      </c>
      <c r="C551" s="22" t="str">
        <f t="shared" si="8"/>
        <v>'0297.HK'</v>
      </c>
      <c r="D551" s="22" t="s">
        <v>2039</v>
      </c>
      <c r="E551" s="22" t="s">
        <v>1903</v>
      </c>
      <c r="F551" s="22">
        <v>6673232946.3500004</v>
      </c>
      <c r="G551" s="22">
        <v>68</v>
      </c>
      <c r="H551" s="22" t="s">
        <v>2040</v>
      </c>
    </row>
    <row r="552" spans="1:8" x14ac:dyDescent="0.35">
      <c r="A552" s="22" t="s">
        <v>851</v>
      </c>
      <c r="B552" s="22" t="str">
        <f>"01238"</f>
        <v>01238</v>
      </c>
      <c r="C552" s="22" t="str">
        <f t="shared" si="8"/>
        <v>'1238.HK'</v>
      </c>
      <c r="D552" s="22" t="s">
        <v>2041</v>
      </c>
      <c r="E552" s="22" t="s">
        <v>924</v>
      </c>
      <c r="F552" s="22">
        <v>6666048830</v>
      </c>
      <c r="G552" s="22">
        <v>129</v>
      </c>
      <c r="H552" s="22" t="s">
        <v>2042</v>
      </c>
    </row>
    <row r="553" spans="1:8" x14ac:dyDescent="0.35">
      <c r="A553" s="22" t="s">
        <v>851</v>
      </c>
      <c r="B553" s="22" t="str">
        <f>"00856"</f>
        <v>00856</v>
      </c>
      <c r="C553" s="22" t="str">
        <f t="shared" si="8"/>
        <v>'0856.HK'</v>
      </c>
      <c r="D553" s="22" t="s">
        <v>2043</v>
      </c>
      <c r="E553" s="22" t="s">
        <v>1202</v>
      </c>
      <c r="F553" s="22">
        <v>6645204430.8400002</v>
      </c>
      <c r="G553" s="22">
        <v>33</v>
      </c>
      <c r="H553" s="22" t="s">
        <v>2044</v>
      </c>
    </row>
    <row r="554" spans="1:8" x14ac:dyDescent="0.35">
      <c r="A554" s="22" t="s">
        <v>851</v>
      </c>
      <c r="B554" s="22" t="str">
        <f>"09996"</f>
        <v>09996</v>
      </c>
      <c r="C554" s="22" t="str">
        <f t="shared" si="8"/>
        <v>'9996.HK'</v>
      </c>
      <c r="D554" s="22" t="s">
        <v>2045</v>
      </c>
      <c r="E554" s="22" t="s">
        <v>1232</v>
      </c>
      <c r="F554" s="22">
        <v>6625109193.8400002</v>
      </c>
      <c r="G554" s="22">
        <v>48</v>
      </c>
      <c r="H554" s="22" t="s">
        <v>2046</v>
      </c>
    </row>
    <row r="555" spans="1:8" x14ac:dyDescent="0.35">
      <c r="A555" s="22" t="s">
        <v>851</v>
      </c>
      <c r="B555" s="22" t="str">
        <f>"01477"</f>
        <v>01477</v>
      </c>
      <c r="C555" s="22" t="str">
        <f t="shared" si="8"/>
        <v>'1477.HK'</v>
      </c>
      <c r="D555" s="22" t="s">
        <v>2047</v>
      </c>
      <c r="E555" s="22" t="s">
        <v>941</v>
      </c>
      <c r="F555" s="22">
        <v>6610305114.4499998</v>
      </c>
      <c r="G555" s="22">
        <v>19</v>
      </c>
      <c r="H555" s="22" t="s">
        <v>2048</v>
      </c>
    </row>
    <row r="556" spans="1:8" x14ac:dyDescent="0.35">
      <c r="A556" s="22" t="s">
        <v>851</v>
      </c>
      <c r="B556" s="22" t="str">
        <f>"08446"</f>
        <v>08446</v>
      </c>
      <c r="C556" s="22" t="str">
        <f t="shared" si="8"/>
        <v>'8446.HK'</v>
      </c>
      <c r="D556" s="22" t="s">
        <v>2049</v>
      </c>
      <c r="E556" s="22" t="s">
        <v>1185</v>
      </c>
      <c r="F556" s="22">
        <v>6600000000</v>
      </c>
      <c r="G556" s="22">
        <v>2</v>
      </c>
      <c r="H556" s="22" t="s">
        <v>2050</v>
      </c>
    </row>
    <row r="557" spans="1:8" x14ac:dyDescent="0.35">
      <c r="A557" s="22" t="s">
        <v>851</v>
      </c>
      <c r="B557" s="22" t="str">
        <f>"02160"</f>
        <v>02160</v>
      </c>
      <c r="C557" s="22" t="str">
        <f t="shared" si="8"/>
        <v>'2160.HK'</v>
      </c>
      <c r="D557" s="22" t="s">
        <v>2051</v>
      </c>
      <c r="E557" s="22" t="s">
        <v>1232</v>
      </c>
      <c r="F557" s="22">
        <v>6596060427.7600002</v>
      </c>
      <c r="G557" s="22">
        <v>29</v>
      </c>
      <c r="H557" s="22" t="s">
        <v>2052</v>
      </c>
    </row>
    <row r="558" spans="1:8" x14ac:dyDescent="0.35">
      <c r="A558" s="22" t="s">
        <v>851</v>
      </c>
      <c r="B558" s="22" t="str">
        <f>"02858"</f>
        <v>02858</v>
      </c>
      <c r="C558" s="22" t="str">
        <f t="shared" si="8"/>
        <v>'2858.HK'</v>
      </c>
      <c r="D558" s="22" t="s">
        <v>2053</v>
      </c>
      <c r="E558" s="22" t="s">
        <v>1498</v>
      </c>
      <c r="F558" s="22">
        <v>6589111742.1199999</v>
      </c>
      <c r="G558" s="22">
        <v>27</v>
      </c>
      <c r="H558" s="22" t="s">
        <v>2054</v>
      </c>
    </row>
    <row r="559" spans="1:8" x14ac:dyDescent="0.35">
      <c r="A559" s="22" t="s">
        <v>851</v>
      </c>
      <c r="B559" s="22" t="str">
        <f>"01310"</f>
        <v>01310</v>
      </c>
      <c r="C559" s="22" t="str">
        <f t="shared" si="8"/>
        <v>'1310.HK'</v>
      </c>
      <c r="D559" s="22" t="s">
        <v>2055</v>
      </c>
      <c r="E559" s="22" t="s">
        <v>865</v>
      </c>
      <c r="F559" s="22">
        <v>6584228767.1199999</v>
      </c>
      <c r="G559" s="22">
        <v>21</v>
      </c>
      <c r="H559" s="22" t="s">
        <v>2056</v>
      </c>
    </row>
    <row r="560" spans="1:8" x14ac:dyDescent="0.35">
      <c r="A560" s="22" t="s">
        <v>851</v>
      </c>
      <c r="B560" s="22" t="str">
        <f>"00811"</f>
        <v>00811</v>
      </c>
      <c r="C560" s="22" t="str">
        <f t="shared" si="8"/>
        <v>'0811.HK'</v>
      </c>
      <c r="D560" s="22" t="s">
        <v>2057</v>
      </c>
      <c r="E560" s="22" t="s">
        <v>1400</v>
      </c>
      <c r="F560" s="22">
        <v>6564034120</v>
      </c>
      <c r="G560" s="22">
        <v>185</v>
      </c>
      <c r="H560" s="22" t="s">
        <v>2058</v>
      </c>
    </row>
    <row r="561" spans="1:8" x14ac:dyDescent="0.35">
      <c r="A561" s="22" t="s">
        <v>851</v>
      </c>
      <c r="B561" s="22" t="str">
        <f>"01860"</f>
        <v>01860</v>
      </c>
      <c r="C561" s="22" t="str">
        <f t="shared" si="8"/>
        <v>'1860.HK'</v>
      </c>
      <c r="D561" s="22" t="s">
        <v>2059</v>
      </c>
      <c r="E561" s="22" t="s">
        <v>1627</v>
      </c>
      <c r="F561" s="22">
        <v>6562846857.6400003</v>
      </c>
      <c r="G561" s="22">
        <v>24</v>
      </c>
      <c r="H561" s="22" t="s">
        <v>2060</v>
      </c>
    </row>
    <row r="562" spans="1:8" x14ac:dyDescent="0.35">
      <c r="A562" s="22" t="s">
        <v>851</v>
      </c>
      <c r="B562" s="22" t="str">
        <f>"01668"</f>
        <v>01668</v>
      </c>
      <c r="C562" s="22" t="str">
        <f t="shared" si="8"/>
        <v>'1668.HK'</v>
      </c>
      <c r="D562" s="22" t="s">
        <v>2061</v>
      </c>
      <c r="E562" s="22" t="s">
        <v>924</v>
      </c>
      <c r="F562" s="22">
        <v>6521878923.3599997</v>
      </c>
      <c r="G562" s="22">
        <v>142</v>
      </c>
      <c r="H562" s="22" t="s">
        <v>2062</v>
      </c>
    </row>
    <row r="563" spans="1:8" x14ac:dyDescent="0.35">
      <c r="A563" s="22" t="s">
        <v>851</v>
      </c>
      <c r="B563" s="22" t="str">
        <f>"01357"</f>
        <v>01357</v>
      </c>
      <c r="C563" s="22" t="str">
        <f t="shared" si="8"/>
        <v>'1357.HK'</v>
      </c>
      <c r="D563" s="22" t="s">
        <v>2063</v>
      </c>
      <c r="E563" s="22" t="s">
        <v>853</v>
      </c>
      <c r="F563" s="22">
        <v>6486588973.1999998</v>
      </c>
      <c r="G563" s="22">
        <v>74</v>
      </c>
      <c r="H563" s="22" t="s">
        <v>2064</v>
      </c>
    </row>
    <row r="564" spans="1:8" x14ac:dyDescent="0.35">
      <c r="A564" s="22" t="s">
        <v>851</v>
      </c>
      <c r="B564" s="22" t="str">
        <f>"00373"</f>
        <v>00373</v>
      </c>
      <c r="C564" s="22" t="str">
        <f t="shared" si="8"/>
        <v>'0373.HK'</v>
      </c>
      <c r="D564" s="22" t="s">
        <v>2065</v>
      </c>
      <c r="E564" s="22" t="s">
        <v>1498</v>
      </c>
      <c r="F564" s="22">
        <v>6465179222.3999996</v>
      </c>
      <c r="G564" s="22">
        <v>19</v>
      </c>
      <c r="H564" s="22" t="s">
        <v>2066</v>
      </c>
    </row>
    <row r="565" spans="1:8" x14ac:dyDescent="0.35">
      <c r="A565" s="22" t="s">
        <v>851</v>
      </c>
      <c r="B565" s="22" t="str">
        <f>"02877"</f>
        <v>02877</v>
      </c>
      <c r="C565" s="22" t="str">
        <f t="shared" si="8"/>
        <v>'2877.HK'</v>
      </c>
      <c r="D565" s="22" t="s">
        <v>2067</v>
      </c>
      <c r="E565" s="22" t="s">
        <v>1349</v>
      </c>
      <c r="F565" s="22">
        <v>6450600000</v>
      </c>
      <c r="G565" s="22">
        <v>132</v>
      </c>
      <c r="H565" s="22" t="s">
        <v>2068</v>
      </c>
    </row>
    <row r="566" spans="1:8" x14ac:dyDescent="0.35">
      <c r="A566" s="22" t="s">
        <v>851</v>
      </c>
      <c r="B566" s="22" t="str">
        <f>"00861"</f>
        <v>00861</v>
      </c>
      <c r="C566" s="22" t="str">
        <f t="shared" si="8"/>
        <v>'0861.HK'</v>
      </c>
      <c r="D566" s="22" t="s">
        <v>2069</v>
      </c>
      <c r="E566" s="22" t="s">
        <v>1202</v>
      </c>
      <c r="F566" s="22">
        <v>6443388436.1000004</v>
      </c>
      <c r="G566" s="22">
        <v>30</v>
      </c>
      <c r="H566" s="22" t="s">
        <v>2070</v>
      </c>
    </row>
    <row r="567" spans="1:8" x14ac:dyDescent="0.35">
      <c r="A567" s="22" t="s">
        <v>851</v>
      </c>
      <c r="B567" s="22" t="str">
        <f>"00095"</f>
        <v>00095</v>
      </c>
      <c r="C567" s="22" t="str">
        <f t="shared" si="8"/>
        <v>'0095.HK'</v>
      </c>
      <c r="D567" s="22" t="s">
        <v>2071</v>
      </c>
      <c r="E567" s="22" t="s">
        <v>924</v>
      </c>
      <c r="F567" s="22">
        <v>6423107008.5</v>
      </c>
      <c r="G567" s="22">
        <v>40</v>
      </c>
      <c r="H567" s="22" t="s">
        <v>2072</v>
      </c>
    </row>
    <row r="568" spans="1:8" x14ac:dyDescent="0.35">
      <c r="A568" s="22" t="s">
        <v>851</v>
      </c>
      <c r="B568" s="22" t="str">
        <f>"87001"</f>
        <v>87001</v>
      </c>
      <c r="C568" s="22" t="str">
        <f t="shared" si="8"/>
        <v>'7001.HK'</v>
      </c>
      <c r="D568" s="22" t="s">
        <v>2073</v>
      </c>
      <c r="F568" s="22">
        <v>6417270050.1599998</v>
      </c>
      <c r="G568" s="22">
        <v>86</v>
      </c>
      <c r="H568" s="22" t="s">
        <v>2074</v>
      </c>
    </row>
    <row r="569" spans="1:8" x14ac:dyDescent="0.35">
      <c r="A569" s="22" t="s">
        <v>851</v>
      </c>
      <c r="B569" s="22" t="str">
        <f>"02158"</f>
        <v>02158</v>
      </c>
      <c r="C569" s="22" t="str">
        <f t="shared" si="8"/>
        <v>'2158.HK'</v>
      </c>
      <c r="D569" s="22" t="s">
        <v>2075</v>
      </c>
      <c r="E569" s="22" t="s">
        <v>1362</v>
      </c>
      <c r="F569" s="22">
        <v>6389332899.1599998</v>
      </c>
      <c r="G569" s="22">
        <v>31</v>
      </c>
      <c r="H569" s="22" t="s">
        <v>2076</v>
      </c>
    </row>
    <row r="570" spans="1:8" x14ac:dyDescent="0.35">
      <c r="A570" s="22" t="s">
        <v>851</v>
      </c>
      <c r="B570" s="22" t="str">
        <f>"00182"</f>
        <v>00182</v>
      </c>
      <c r="C570" s="22" t="str">
        <f t="shared" si="8"/>
        <v>'0182.HK'</v>
      </c>
      <c r="D570" s="22" t="s">
        <v>2077</v>
      </c>
      <c r="E570" s="22" t="s">
        <v>1127</v>
      </c>
      <c r="F570" s="22">
        <v>6372583102.1800003</v>
      </c>
      <c r="G570" s="22">
        <v>31</v>
      </c>
      <c r="H570" s="22" t="s">
        <v>2078</v>
      </c>
    </row>
    <row r="571" spans="1:8" x14ac:dyDescent="0.35">
      <c r="A571" s="22" t="s">
        <v>851</v>
      </c>
      <c r="B571" s="22" t="str">
        <f>"01905"</f>
        <v>01905</v>
      </c>
      <c r="C571" s="22" t="str">
        <f t="shared" si="8"/>
        <v>'1905.HK'</v>
      </c>
      <c r="D571" s="22" t="s">
        <v>2079</v>
      </c>
      <c r="E571" s="22" t="s">
        <v>1498</v>
      </c>
      <c r="F571" s="22">
        <v>6341181000</v>
      </c>
      <c r="G571" s="22">
        <v>10</v>
      </c>
      <c r="H571" s="22" t="s">
        <v>2080</v>
      </c>
    </row>
    <row r="572" spans="1:8" x14ac:dyDescent="0.35">
      <c r="A572" s="22" t="s">
        <v>851</v>
      </c>
      <c r="B572" s="22" t="str">
        <f>"02500"</f>
        <v>02500</v>
      </c>
      <c r="C572" s="22" t="str">
        <f t="shared" si="8"/>
        <v>'2500.HK'</v>
      </c>
      <c r="D572" s="22" t="s">
        <v>2081</v>
      </c>
      <c r="E572" s="22" t="s">
        <v>1232</v>
      </c>
      <c r="F572" s="22">
        <v>6332924321.4799995</v>
      </c>
      <c r="G572" s="22">
        <v>103</v>
      </c>
      <c r="H572" s="22" t="s">
        <v>2082</v>
      </c>
    </row>
    <row r="573" spans="1:8" x14ac:dyDescent="0.35">
      <c r="A573" s="22" t="s">
        <v>851</v>
      </c>
      <c r="B573" s="22" t="str">
        <f>"06826"</f>
        <v>06826</v>
      </c>
      <c r="C573" s="22" t="str">
        <f t="shared" si="8"/>
        <v>'6826.HK'</v>
      </c>
      <c r="D573" s="22" t="s">
        <v>2083</v>
      </c>
      <c r="E573" s="22" t="s">
        <v>941</v>
      </c>
      <c r="F573" s="22">
        <v>6329625500</v>
      </c>
      <c r="G573" s="22">
        <v>71</v>
      </c>
      <c r="H573" s="22" t="s">
        <v>2084</v>
      </c>
    </row>
    <row r="574" spans="1:8" x14ac:dyDescent="0.35">
      <c r="A574" s="22" t="s">
        <v>851</v>
      </c>
      <c r="B574" s="22" t="str">
        <f>"01813"</f>
        <v>01813</v>
      </c>
      <c r="C574" s="22" t="str">
        <f t="shared" si="8"/>
        <v>'1813.HK'</v>
      </c>
      <c r="D574" s="22" t="s">
        <v>2085</v>
      </c>
      <c r="E574" s="22" t="s">
        <v>924</v>
      </c>
      <c r="F574" s="22">
        <v>6324236923.25</v>
      </c>
      <c r="G574" s="22">
        <v>174</v>
      </c>
      <c r="H574" s="22" t="s">
        <v>2086</v>
      </c>
    </row>
    <row r="575" spans="1:8" x14ac:dyDescent="0.35">
      <c r="A575" s="22" t="s">
        <v>851</v>
      </c>
      <c r="B575" s="22" t="str">
        <f>"01890"</f>
        <v>01890</v>
      </c>
      <c r="C575" s="22" t="str">
        <f t="shared" si="8"/>
        <v>'1890.HK'</v>
      </c>
      <c r="D575" s="22" t="s">
        <v>2087</v>
      </c>
      <c r="E575" s="22" t="s">
        <v>1270</v>
      </c>
      <c r="F575" s="22">
        <v>6307728327.71</v>
      </c>
      <c r="G575" s="22">
        <v>60</v>
      </c>
      <c r="H575" s="22" t="s">
        <v>2088</v>
      </c>
    </row>
    <row r="576" spans="1:8" x14ac:dyDescent="0.35">
      <c r="A576" s="22" t="s">
        <v>851</v>
      </c>
      <c r="B576" s="22" t="str">
        <f>"00737"</f>
        <v>00737</v>
      </c>
      <c r="C576" s="22" t="str">
        <f t="shared" si="8"/>
        <v>'0737.HK'</v>
      </c>
      <c r="D576" s="22" t="s">
        <v>2089</v>
      </c>
      <c r="E576" s="22" t="s">
        <v>1367</v>
      </c>
      <c r="F576" s="22">
        <v>6286648177.3199997</v>
      </c>
      <c r="G576" s="22">
        <v>24</v>
      </c>
      <c r="H576" s="22" t="s">
        <v>2090</v>
      </c>
    </row>
    <row r="577" spans="1:8" x14ac:dyDescent="0.35">
      <c r="A577" s="22" t="s">
        <v>851</v>
      </c>
      <c r="B577" s="22" t="str">
        <f>"06069"</f>
        <v>06069</v>
      </c>
      <c r="C577" s="22" t="str">
        <f t="shared" si="8"/>
        <v>'6069.HK'</v>
      </c>
      <c r="D577" s="22" t="s">
        <v>2091</v>
      </c>
      <c r="E577" s="22" t="s">
        <v>1498</v>
      </c>
      <c r="F577" s="22">
        <v>6278061335</v>
      </c>
      <c r="G577" s="22">
        <v>9</v>
      </c>
      <c r="H577" s="22" t="s">
        <v>2092</v>
      </c>
    </row>
    <row r="578" spans="1:8" x14ac:dyDescent="0.35">
      <c r="A578" s="22" t="s">
        <v>851</v>
      </c>
      <c r="B578" s="22" t="str">
        <f>"03309"</f>
        <v>03309</v>
      </c>
      <c r="C578" s="22" t="str">
        <f t="shared" si="8"/>
        <v>'3309.HK'</v>
      </c>
      <c r="D578" s="22" t="s">
        <v>2093</v>
      </c>
      <c r="E578" s="22" t="s">
        <v>1362</v>
      </c>
      <c r="F578" s="22">
        <v>6269466406.5</v>
      </c>
      <c r="G578" s="22">
        <v>83</v>
      </c>
      <c r="H578" s="22" t="s">
        <v>2094</v>
      </c>
    </row>
    <row r="579" spans="1:8" x14ac:dyDescent="0.35">
      <c r="A579" s="22" t="s">
        <v>851</v>
      </c>
      <c r="B579" s="22" t="str">
        <f>"03369"</f>
        <v>03369</v>
      </c>
      <c r="C579" s="22" t="str">
        <f t="shared" ref="C579:C642" si="9">CONCATENATE("'",RIGHT(B579,4),".HK'")</f>
        <v>'3369.HK'</v>
      </c>
      <c r="D579" s="22" t="s">
        <v>2095</v>
      </c>
      <c r="E579" s="22" t="s">
        <v>1047</v>
      </c>
      <c r="F579" s="22">
        <v>6257901440</v>
      </c>
      <c r="G579" s="22">
        <v>115</v>
      </c>
      <c r="H579" s="22" t="s">
        <v>2096</v>
      </c>
    </row>
    <row r="580" spans="1:8" x14ac:dyDescent="0.35">
      <c r="A580" s="22" t="s">
        <v>851</v>
      </c>
      <c r="B580" s="22" t="str">
        <f>"01164"</f>
        <v>01164</v>
      </c>
      <c r="C580" s="22" t="str">
        <f t="shared" si="9"/>
        <v>'1164.HK'</v>
      </c>
      <c r="D580" s="22" t="s">
        <v>2097</v>
      </c>
      <c r="E580" s="22" t="s">
        <v>1060</v>
      </c>
      <c r="F580" s="22">
        <v>6156552942.4499998</v>
      </c>
      <c r="G580" s="22">
        <v>18</v>
      </c>
      <c r="H580" s="22" t="s">
        <v>2098</v>
      </c>
    </row>
    <row r="581" spans="1:8" x14ac:dyDescent="0.35">
      <c r="A581" s="22" t="s">
        <v>851</v>
      </c>
      <c r="B581" s="22" t="str">
        <f>"02279"</f>
        <v>02279</v>
      </c>
      <c r="C581" s="22" t="str">
        <f t="shared" si="9"/>
        <v>'2279.HK'</v>
      </c>
      <c r="D581" s="22" t="s">
        <v>2099</v>
      </c>
      <c r="E581" s="22" t="s">
        <v>1362</v>
      </c>
      <c r="F581" s="22">
        <v>6145757650.5600004</v>
      </c>
      <c r="G581" s="22">
        <v>20</v>
      </c>
      <c r="H581" s="22" t="s">
        <v>2100</v>
      </c>
    </row>
    <row r="582" spans="1:8" x14ac:dyDescent="0.35">
      <c r="A582" s="22" t="s">
        <v>851</v>
      </c>
      <c r="B582" s="22" t="str">
        <f>"01133"</f>
        <v>01133</v>
      </c>
      <c r="C582" s="22" t="str">
        <f t="shared" si="9"/>
        <v>'1133.HK'</v>
      </c>
      <c r="D582" s="22" t="s">
        <v>2101</v>
      </c>
      <c r="E582" s="22" t="s">
        <v>1301</v>
      </c>
      <c r="F582" s="22">
        <v>6143482800</v>
      </c>
      <c r="G582" s="22">
        <v>42</v>
      </c>
      <c r="H582" s="22" t="s">
        <v>2102</v>
      </c>
    </row>
    <row r="583" spans="1:8" x14ac:dyDescent="0.35">
      <c r="A583" s="22" t="s">
        <v>851</v>
      </c>
      <c r="B583" s="22" t="str">
        <f>"02558"</f>
        <v>02558</v>
      </c>
      <c r="C583" s="22" t="str">
        <f t="shared" si="9"/>
        <v>'2558.HK'</v>
      </c>
      <c r="D583" s="22" t="s">
        <v>2103</v>
      </c>
      <c r="E583" s="22" t="s">
        <v>858</v>
      </c>
      <c r="F583" s="22">
        <v>6130582500</v>
      </c>
      <c r="G583" s="22">
        <v>7</v>
      </c>
      <c r="H583" s="22" t="s">
        <v>2104</v>
      </c>
    </row>
    <row r="584" spans="1:8" x14ac:dyDescent="0.35">
      <c r="A584" s="22" t="s">
        <v>851</v>
      </c>
      <c r="B584" s="22" t="str">
        <f>"02192"</f>
        <v>02192</v>
      </c>
      <c r="C584" s="22" t="str">
        <f t="shared" si="9"/>
        <v>'2192.HK'</v>
      </c>
      <c r="D584" s="22" t="s">
        <v>2105</v>
      </c>
      <c r="E584" s="22" t="s">
        <v>1362</v>
      </c>
      <c r="F584" s="22">
        <v>6126151920</v>
      </c>
      <c r="G584" s="22">
        <v>9</v>
      </c>
      <c r="H584" s="22" t="s">
        <v>2106</v>
      </c>
    </row>
    <row r="585" spans="1:8" x14ac:dyDescent="0.35">
      <c r="A585" s="22" t="s">
        <v>851</v>
      </c>
      <c r="B585" s="22" t="str">
        <f>"00440"</f>
        <v>00440</v>
      </c>
      <c r="C585" s="22" t="str">
        <f t="shared" si="9"/>
        <v>'0440.HK'</v>
      </c>
      <c r="D585" s="22" t="s">
        <v>2107</v>
      </c>
      <c r="E585" s="22" t="s">
        <v>858</v>
      </c>
      <c r="F585" s="22">
        <v>6059143896</v>
      </c>
      <c r="G585" s="22">
        <v>75</v>
      </c>
      <c r="H585" s="22" t="s">
        <v>2108</v>
      </c>
    </row>
    <row r="586" spans="1:8" x14ac:dyDescent="0.35">
      <c r="A586" s="22" t="s">
        <v>851</v>
      </c>
      <c r="B586" s="22" t="str">
        <f>"02678"</f>
        <v>02678</v>
      </c>
      <c r="C586" s="22" t="str">
        <f t="shared" si="9"/>
        <v>'2678.HK'</v>
      </c>
      <c r="D586" s="22" t="s">
        <v>2109</v>
      </c>
      <c r="E586" s="22" t="s">
        <v>1914</v>
      </c>
      <c r="F586" s="22">
        <v>6022080000</v>
      </c>
      <c r="G586" s="22">
        <v>86</v>
      </c>
      <c r="H586" s="22" t="s">
        <v>2110</v>
      </c>
    </row>
    <row r="587" spans="1:8" x14ac:dyDescent="0.35">
      <c r="A587" s="22" t="s">
        <v>851</v>
      </c>
      <c r="B587" s="22" t="str">
        <f>"00587"</f>
        <v>00587</v>
      </c>
      <c r="C587" s="22" t="str">
        <f t="shared" si="9"/>
        <v>'0587.HK'</v>
      </c>
      <c r="D587" s="22" t="s">
        <v>2111</v>
      </c>
      <c r="E587" s="22" t="s">
        <v>1301</v>
      </c>
      <c r="F587" s="22">
        <v>6010057044.1099997</v>
      </c>
      <c r="G587" s="22">
        <v>16</v>
      </c>
      <c r="H587" s="22" t="s">
        <v>2112</v>
      </c>
    </row>
    <row r="588" spans="1:8" x14ac:dyDescent="0.35">
      <c r="A588" s="22" t="s">
        <v>851</v>
      </c>
      <c r="B588" s="22" t="str">
        <f>"09658"</f>
        <v>09658</v>
      </c>
      <c r="C588" s="22" t="str">
        <f t="shared" si="9"/>
        <v>'9658.HK'</v>
      </c>
      <c r="D588" s="22" t="s">
        <v>2113</v>
      </c>
      <c r="F588" s="22">
        <v>6007501000</v>
      </c>
      <c r="H588" s="22" t="s">
        <v>2114</v>
      </c>
    </row>
    <row r="589" spans="1:8" x14ac:dyDescent="0.35">
      <c r="A589" s="22" t="s">
        <v>851</v>
      </c>
      <c r="B589" s="22" t="str">
        <f>"01521"</f>
        <v>01521</v>
      </c>
      <c r="C589" s="22" t="str">
        <f t="shared" si="9"/>
        <v>'1521.HK'</v>
      </c>
      <c r="D589" s="22" t="s">
        <v>2115</v>
      </c>
      <c r="E589" s="22" t="s">
        <v>941</v>
      </c>
      <c r="F589" s="22">
        <v>5999217117.1999998</v>
      </c>
      <c r="G589" s="22">
        <v>76</v>
      </c>
      <c r="H589" s="22" t="s">
        <v>2116</v>
      </c>
    </row>
    <row r="590" spans="1:8" x14ac:dyDescent="0.35">
      <c r="A590" s="22" t="s">
        <v>851</v>
      </c>
      <c r="B590" s="22" t="str">
        <f>"01858"</f>
        <v>01858</v>
      </c>
      <c r="C590" s="22" t="str">
        <f t="shared" si="9"/>
        <v>'1858.HK'</v>
      </c>
      <c r="D590" s="22" t="s">
        <v>2117</v>
      </c>
      <c r="E590" s="22" t="s">
        <v>1232</v>
      </c>
      <c r="F590" s="22">
        <v>5994768000</v>
      </c>
      <c r="G590" s="22">
        <v>107</v>
      </c>
      <c r="H590" s="22" t="s">
        <v>2118</v>
      </c>
    </row>
    <row r="591" spans="1:8" x14ac:dyDescent="0.35">
      <c r="A591" s="22" t="s">
        <v>851</v>
      </c>
      <c r="B591" s="22" t="str">
        <f>"03339"</f>
        <v>03339</v>
      </c>
      <c r="C591" s="22" t="str">
        <f t="shared" si="9"/>
        <v>'3339.HK'</v>
      </c>
      <c r="D591" s="22" t="s">
        <v>2119</v>
      </c>
      <c r="E591" s="22" t="s">
        <v>1395</v>
      </c>
      <c r="F591" s="22">
        <v>5992140000</v>
      </c>
      <c r="G591" s="22">
        <v>86</v>
      </c>
      <c r="H591" s="22" t="s">
        <v>2120</v>
      </c>
    </row>
    <row r="592" spans="1:8" x14ac:dyDescent="0.35">
      <c r="A592" s="22" t="s">
        <v>851</v>
      </c>
      <c r="B592" s="22" t="str">
        <f>"01468"</f>
        <v>01468</v>
      </c>
      <c r="C592" s="22" t="str">
        <f t="shared" si="9"/>
        <v>'1468.HK'</v>
      </c>
      <c r="D592" s="22" t="s">
        <v>2121</v>
      </c>
      <c r="E592" s="22" t="s">
        <v>958</v>
      </c>
      <c r="F592" s="22">
        <v>5984920464.1499996</v>
      </c>
      <c r="G592" s="22">
        <v>1</v>
      </c>
      <c r="H592" s="22" t="s">
        <v>2122</v>
      </c>
    </row>
    <row r="593" spans="1:8" x14ac:dyDescent="0.35">
      <c r="A593" s="22" t="s">
        <v>851</v>
      </c>
      <c r="B593" s="22" t="str">
        <f>"00743"</f>
        <v>00743</v>
      </c>
      <c r="C593" s="22" t="str">
        <f t="shared" si="9"/>
        <v>'0743.HK'</v>
      </c>
      <c r="D593" s="22" t="s">
        <v>2123</v>
      </c>
      <c r="E593" s="22" t="s">
        <v>1016</v>
      </c>
      <c r="F593" s="22">
        <v>5969702310</v>
      </c>
      <c r="G593" s="22">
        <v>106</v>
      </c>
      <c r="H593" s="22" t="s">
        <v>2124</v>
      </c>
    </row>
    <row r="594" spans="1:8" x14ac:dyDescent="0.35">
      <c r="A594" s="22" t="s">
        <v>851</v>
      </c>
      <c r="B594" s="22" t="str">
        <f>"06600"</f>
        <v>06600</v>
      </c>
      <c r="C594" s="22" t="str">
        <f t="shared" si="9"/>
        <v>'6600.HK'</v>
      </c>
      <c r="D594" s="22" t="s">
        <v>2125</v>
      </c>
      <c r="E594" s="22" t="s">
        <v>969</v>
      </c>
      <c r="F594" s="22">
        <v>5957201138.1000004</v>
      </c>
      <c r="G594" s="22">
        <v>14</v>
      </c>
      <c r="H594" s="22" t="s">
        <v>2126</v>
      </c>
    </row>
    <row r="595" spans="1:8" x14ac:dyDescent="0.35">
      <c r="A595" s="22" t="s">
        <v>851</v>
      </c>
      <c r="B595" s="22" t="str">
        <f>"00215"</f>
        <v>00215</v>
      </c>
      <c r="C595" s="22" t="str">
        <f t="shared" si="9"/>
        <v>'0215.HK'</v>
      </c>
      <c r="D595" s="22" t="s">
        <v>2127</v>
      </c>
      <c r="E595" s="22" t="s">
        <v>865</v>
      </c>
      <c r="F595" s="22">
        <v>5927488335.8400002</v>
      </c>
      <c r="G595" s="22">
        <v>41</v>
      </c>
      <c r="H595" s="22" t="s">
        <v>2128</v>
      </c>
    </row>
    <row r="596" spans="1:8" x14ac:dyDescent="0.35">
      <c r="A596" s="22" t="s">
        <v>851</v>
      </c>
      <c r="B596" s="22" t="str">
        <f>"02001"</f>
        <v>02001</v>
      </c>
      <c r="C596" s="22" t="str">
        <f t="shared" si="9"/>
        <v>'2001.HK'</v>
      </c>
      <c r="D596" s="22" t="s">
        <v>2129</v>
      </c>
      <c r="E596" s="22" t="s">
        <v>1270</v>
      </c>
      <c r="F596" s="22">
        <v>5921308887.6999998</v>
      </c>
      <c r="G596" s="22">
        <v>105</v>
      </c>
      <c r="H596" s="22" t="s">
        <v>2130</v>
      </c>
    </row>
    <row r="597" spans="1:8" x14ac:dyDescent="0.35">
      <c r="A597" s="22" t="s">
        <v>851</v>
      </c>
      <c r="B597" s="22" t="str">
        <f>"00665"</f>
        <v>00665</v>
      </c>
      <c r="C597" s="22" t="str">
        <f t="shared" si="9"/>
        <v>'0665.HK'</v>
      </c>
      <c r="D597" s="22" t="s">
        <v>2131</v>
      </c>
      <c r="E597" s="22" t="s">
        <v>1130</v>
      </c>
      <c r="F597" s="22">
        <v>5910991598.6599998</v>
      </c>
      <c r="G597" s="22">
        <v>147</v>
      </c>
      <c r="H597" s="22" t="s">
        <v>2132</v>
      </c>
    </row>
    <row r="598" spans="1:8" x14ac:dyDescent="0.35">
      <c r="A598" s="22" t="s">
        <v>851</v>
      </c>
      <c r="B598" s="22" t="str">
        <f>"02686"</f>
        <v>02686</v>
      </c>
      <c r="C598" s="22" t="str">
        <f t="shared" si="9"/>
        <v>'2686.HK'</v>
      </c>
      <c r="D598" s="22" t="s">
        <v>2133</v>
      </c>
      <c r="E598" s="22" t="s">
        <v>883</v>
      </c>
      <c r="F598" s="22">
        <v>5873564722.4099998</v>
      </c>
      <c r="G598" s="22">
        <v>16</v>
      </c>
      <c r="H598" s="22" t="s">
        <v>2134</v>
      </c>
    </row>
    <row r="599" spans="1:8" x14ac:dyDescent="0.35">
      <c r="A599" s="22" t="s">
        <v>851</v>
      </c>
      <c r="B599" s="22" t="str">
        <f>"01176"</f>
        <v>01176</v>
      </c>
      <c r="C599" s="22" t="str">
        <f t="shared" si="9"/>
        <v>'1176.HK'</v>
      </c>
      <c r="D599" s="22" t="s">
        <v>2135</v>
      </c>
      <c r="E599" s="22" t="s">
        <v>924</v>
      </c>
      <c r="F599" s="22">
        <v>5852762529.9300003</v>
      </c>
      <c r="G599" s="22">
        <v>17</v>
      </c>
      <c r="H599" s="22" t="s">
        <v>2136</v>
      </c>
    </row>
    <row r="600" spans="1:8" x14ac:dyDescent="0.35">
      <c r="A600" s="22" t="s">
        <v>851</v>
      </c>
      <c r="B600" s="22" t="str">
        <f>"00086"</f>
        <v>00086</v>
      </c>
      <c r="C600" s="22" t="str">
        <f t="shared" si="9"/>
        <v>'0086.HK'</v>
      </c>
      <c r="D600" s="22" t="s">
        <v>2137</v>
      </c>
      <c r="E600" s="22" t="s">
        <v>1498</v>
      </c>
      <c r="F600" s="22">
        <v>5844115014.21</v>
      </c>
      <c r="G600" s="22">
        <v>78</v>
      </c>
      <c r="H600" s="22" t="s">
        <v>2138</v>
      </c>
    </row>
    <row r="601" spans="1:8" x14ac:dyDescent="0.35">
      <c r="A601" s="22" t="s">
        <v>851</v>
      </c>
      <c r="B601" s="22" t="str">
        <f>"01558"</f>
        <v>01558</v>
      </c>
      <c r="C601" s="22" t="str">
        <f t="shared" si="9"/>
        <v>'1558.HK'</v>
      </c>
      <c r="D601" s="22" t="s">
        <v>2139</v>
      </c>
      <c r="E601" s="22" t="s">
        <v>969</v>
      </c>
      <c r="F601" s="22">
        <v>5807786820</v>
      </c>
      <c r="G601" s="22">
        <v>129</v>
      </c>
      <c r="H601" s="22" t="s">
        <v>2140</v>
      </c>
    </row>
    <row r="602" spans="1:8" x14ac:dyDescent="0.35">
      <c r="A602" s="22" t="s">
        <v>851</v>
      </c>
      <c r="B602" s="22" t="str">
        <f>"00658"</f>
        <v>00658</v>
      </c>
      <c r="C602" s="22" t="str">
        <f t="shared" si="9"/>
        <v>'0658.HK'</v>
      </c>
      <c r="D602" s="22" t="s">
        <v>2141</v>
      </c>
      <c r="E602" s="22" t="s">
        <v>1301</v>
      </c>
      <c r="F602" s="22">
        <v>5805285023.8000002</v>
      </c>
      <c r="G602" s="22">
        <v>33</v>
      </c>
      <c r="H602" s="22" t="s">
        <v>2142</v>
      </c>
    </row>
    <row r="603" spans="1:8" x14ac:dyDescent="0.35">
      <c r="A603" s="22" t="s">
        <v>851</v>
      </c>
      <c r="B603" s="22" t="str">
        <f>"01836"</f>
        <v>01836</v>
      </c>
      <c r="C603" s="22" t="str">
        <f t="shared" si="9"/>
        <v>'1836.HK'</v>
      </c>
      <c r="D603" s="22" t="s">
        <v>2143</v>
      </c>
      <c r="E603" s="22" t="s">
        <v>1552</v>
      </c>
      <c r="F603" s="22">
        <v>5796043050</v>
      </c>
      <c r="G603" s="22">
        <v>18</v>
      </c>
      <c r="H603" s="22" t="s">
        <v>2144</v>
      </c>
    </row>
    <row r="604" spans="1:8" x14ac:dyDescent="0.35">
      <c r="A604" s="22" t="s">
        <v>851</v>
      </c>
      <c r="B604" s="22" t="str">
        <f>"01916"</f>
        <v>01916</v>
      </c>
      <c r="C604" s="22" t="str">
        <f t="shared" si="9"/>
        <v>'1916.HK'</v>
      </c>
      <c r="D604" s="22" t="s">
        <v>2145</v>
      </c>
      <c r="E604" s="22" t="s">
        <v>858</v>
      </c>
      <c r="F604" s="22">
        <v>5783305824.96</v>
      </c>
      <c r="G604" s="22">
        <v>12</v>
      </c>
      <c r="H604" s="22" t="s">
        <v>2146</v>
      </c>
    </row>
    <row r="605" spans="1:8" x14ac:dyDescent="0.35">
      <c r="A605" s="22" t="s">
        <v>851</v>
      </c>
      <c r="B605" s="22" t="str">
        <f>"00028"</f>
        <v>00028</v>
      </c>
      <c r="C605" s="22" t="str">
        <f t="shared" si="9"/>
        <v>'0028.HK'</v>
      </c>
      <c r="D605" s="22" t="s">
        <v>2147</v>
      </c>
      <c r="E605" s="22" t="s">
        <v>924</v>
      </c>
      <c r="F605" s="22">
        <v>5776313794.54</v>
      </c>
      <c r="G605" s="22">
        <v>29</v>
      </c>
      <c r="H605" s="22" t="s">
        <v>2148</v>
      </c>
    </row>
    <row r="606" spans="1:8" x14ac:dyDescent="0.35">
      <c r="A606" s="22" t="s">
        <v>851</v>
      </c>
      <c r="B606" s="22" t="str">
        <f>"02156"</f>
        <v>02156</v>
      </c>
      <c r="C606" s="22" t="str">
        <f t="shared" si="9"/>
        <v>'2156.HK'</v>
      </c>
      <c r="D606" s="22" t="s">
        <v>2149</v>
      </c>
      <c r="E606" s="22" t="s">
        <v>1104</v>
      </c>
      <c r="F606" s="22">
        <v>5772647977.9200001</v>
      </c>
      <c r="G606" s="22">
        <v>8</v>
      </c>
      <c r="H606" s="22" t="s">
        <v>2150</v>
      </c>
    </row>
    <row r="607" spans="1:8" x14ac:dyDescent="0.35">
      <c r="A607" s="22" t="s">
        <v>851</v>
      </c>
      <c r="B607" s="22" t="str">
        <f>"00178"</f>
        <v>00178</v>
      </c>
      <c r="C607" s="22" t="str">
        <f t="shared" si="9"/>
        <v>'0178.HK'</v>
      </c>
      <c r="D607" s="22" t="s">
        <v>2151</v>
      </c>
      <c r="E607" s="22" t="s">
        <v>1002</v>
      </c>
      <c r="F607" s="22">
        <v>5771932391.8800001</v>
      </c>
      <c r="G607" s="22">
        <v>49</v>
      </c>
      <c r="H607" s="22" t="s">
        <v>2152</v>
      </c>
    </row>
    <row r="608" spans="1:8" x14ac:dyDescent="0.35">
      <c r="A608" s="22" t="s">
        <v>851</v>
      </c>
      <c r="B608" s="22" t="str">
        <f>"02616"</f>
        <v>02616</v>
      </c>
      <c r="C608" s="22" t="str">
        <f t="shared" si="9"/>
        <v>'2616.HK'</v>
      </c>
      <c r="D608" s="22" t="s">
        <v>2153</v>
      </c>
      <c r="E608" s="22" t="s">
        <v>941</v>
      </c>
      <c r="F608" s="22">
        <v>5739368472.6899996</v>
      </c>
      <c r="G608" s="22">
        <v>39</v>
      </c>
      <c r="H608" s="22" t="s">
        <v>2154</v>
      </c>
    </row>
    <row r="609" spans="1:8" x14ac:dyDescent="0.35">
      <c r="A609" s="22" t="s">
        <v>851</v>
      </c>
      <c r="B609" s="22" t="str">
        <f>"01952"</f>
        <v>01952</v>
      </c>
      <c r="C609" s="22" t="str">
        <f t="shared" si="9"/>
        <v>'1952.HK'</v>
      </c>
      <c r="D609" s="22" t="s">
        <v>2155</v>
      </c>
      <c r="E609" s="22" t="s">
        <v>941</v>
      </c>
      <c r="F609" s="22">
        <v>5735064034.7399998</v>
      </c>
      <c r="G609" s="22">
        <v>28</v>
      </c>
      <c r="H609" s="22" t="s">
        <v>2156</v>
      </c>
    </row>
    <row r="610" spans="1:8" x14ac:dyDescent="0.35">
      <c r="A610" s="22" t="s">
        <v>851</v>
      </c>
      <c r="B610" s="22" t="str">
        <f>"06626"</f>
        <v>06626</v>
      </c>
      <c r="C610" s="22" t="str">
        <f t="shared" si="9"/>
        <v>'6626.HK'</v>
      </c>
      <c r="D610" s="22" t="s">
        <v>2157</v>
      </c>
      <c r="E610" s="22" t="s">
        <v>1104</v>
      </c>
      <c r="F610" s="22">
        <v>5707613163.75</v>
      </c>
      <c r="G610" s="22">
        <v>16</v>
      </c>
      <c r="H610" s="22" t="s">
        <v>2158</v>
      </c>
    </row>
    <row r="611" spans="1:8" x14ac:dyDescent="0.35">
      <c r="A611" s="22" t="s">
        <v>851</v>
      </c>
      <c r="B611" s="22" t="str">
        <f>"01765"</f>
        <v>01765</v>
      </c>
      <c r="C611" s="22" t="str">
        <f t="shared" si="9"/>
        <v>'1765.HK'</v>
      </c>
      <c r="D611" s="22" t="s">
        <v>2159</v>
      </c>
      <c r="E611" s="22" t="s">
        <v>1270</v>
      </c>
      <c r="F611" s="22">
        <v>5699561001.2600002</v>
      </c>
      <c r="G611" s="22">
        <v>82</v>
      </c>
      <c r="H611" s="22" t="s">
        <v>2160</v>
      </c>
    </row>
    <row r="612" spans="1:8" x14ac:dyDescent="0.35">
      <c r="A612" s="22" t="s">
        <v>851</v>
      </c>
      <c r="B612" s="22" t="str">
        <f>"02148"</f>
        <v>02148</v>
      </c>
      <c r="C612" s="22" t="str">
        <f t="shared" si="9"/>
        <v>'2148.HK'</v>
      </c>
      <c r="D612" s="22" t="s">
        <v>2161</v>
      </c>
      <c r="E612" s="22" t="s">
        <v>953</v>
      </c>
      <c r="F612" s="22">
        <v>5674877824</v>
      </c>
      <c r="G612" s="22">
        <v>14</v>
      </c>
      <c r="H612" s="22" t="s">
        <v>2162</v>
      </c>
    </row>
    <row r="613" spans="1:8" x14ac:dyDescent="0.35">
      <c r="A613" s="22" t="s">
        <v>851</v>
      </c>
      <c r="B613" s="22" t="str">
        <f>"00435"</f>
        <v>00435</v>
      </c>
      <c r="C613" s="22" t="str">
        <f t="shared" si="9"/>
        <v>'0435.HK'</v>
      </c>
      <c r="D613" s="22" t="s">
        <v>2163</v>
      </c>
      <c r="F613" s="22">
        <v>5672672342.3999996</v>
      </c>
      <c r="G613" s="22">
        <v>70</v>
      </c>
      <c r="H613" s="22" t="s">
        <v>2164</v>
      </c>
    </row>
    <row r="614" spans="1:8" x14ac:dyDescent="0.35">
      <c r="A614" s="22" t="s">
        <v>851</v>
      </c>
      <c r="B614" s="22" t="str">
        <f>"01773"</f>
        <v>01773</v>
      </c>
      <c r="C614" s="22" t="str">
        <f t="shared" si="9"/>
        <v>'1773.HK'</v>
      </c>
      <c r="D614" s="22" t="s">
        <v>2165</v>
      </c>
      <c r="E614" s="22" t="s">
        <v>1270</v>
      </c>
      <c r="F614" s="22">
        <v>5665020000</v>
      </c>
      <c r="G614" s="22">
        <v>123</v>
      </c>
      <c r="H614" s="22" t="s">
        <v>2166</v>
      </c>
    </row>
    <row r="615" spans="1:8" x14ac:dyDescent="0.35">
      <c r="A615" s="22" t="s">
        <v>851</v>
      </c>
      <c r="B615" s="22" t="str">
        <f>"00107"</f>
        <v>00107</v>
      </c>
      <c r="C615" s="22" t="str">
        <f t="shared" si="9"/>
        <v>'0107.HK'</v>
      </c>
      <c r="D615" s="22" t="s">
        <v>2167</v>
      </c>
      <c r="E615" s="22" t="s">
        <v>1367</v>
      </c>
      <c r="F615" s="22">
        <v>5626830400</v>
      </c>
      <c r="G615" s="22">
        <v>133</v>
      </c>
      <c r="H615" s="22" t="s">
        <v>2168</v>
      </c>
    </row>
    <row r="616" spans="1:8" x14ac:dyDescent="0.35">
      <c r="A616" s="22" t="s">
        <v>851</v>
      </c>
      <c r="B616" s="22" t="str">
        <f>"00719"</f>
        <v>00719</v>
      </c>
      <c r="C616" s="22" t="str">
        <f t="shared" si="9"/>
        <v>'0719.HK'</v>
      </c>
      <c r="D616" s="22" t="s">
        <v>2169</v>
      </c>
      <c r="E616" s="22" t="s">
        <v>969</v>
      </c>
      <c r="F616" s="22">
        <v>5611476229.3000002</v>
      </c>
      <c r="G616" s="22">
        <v>59</v>
      </c>
      <c r="H616" s="22" t="s">
        <v>2170</v>
      </c>
    </row>
    <row r="617" spans="1:8" x14ac:dyDescent="0.35">
      <c r="A617" s="22" t="s">
        <v>851</v>
      </c>
      <c r="B617" s="22" t="str">
        <f>"06868"</f>
        <v>06868</v>
      </c>
      <c r="C617" s="22" t="str">
        <f t="shared" si="9"/>
        <v>'6868.HK'</v>
      </c>
      <c r="D617" s="22" t="s">
        <v>2171</v>
      </c>
      <c r="E617" s="22" t="s">
        <v>892</v>
      </c>
      <c r="F617" s="22">
        <v>5593238835.1999998</v>
      </c>
      <c r="G617" s="22">
        <v>18</v>
      </c>
      <c r="H617" s="22" t="s">
        <v>2172</v>
      </c>
    </row>
    <row r="618" spans="1:8" x14ac:dyDescent="0.35">
      <c r="A618" s="22" t="s">
        <v>851</v>
      </c>
      <c r="B618" s="22" t="str">
        <f>"00806"</f>
        <v>00806</v>
      </c>
      <c r="C618" s="22" t="str">
        <f t="shared" si="9"/>
        <v>'0806.HK'</v>
      </c>
      <c r="D618" s="22" t="s">
        <v>2173</v>
      </c>
      <c r="E618" s="22" t="s">
        <v>964</v>
      </c>
      <c r="F618" s="22">
        <v>5571464984.5500002</v>
      </c>
      <c r="G618" s="22">
        <v>122</v>
      </c>
      <c r="H618" s="22" t="s">
        <v>2174</v>
      </c>
    </row>
    <row r="619" spans="1:8" x14ac:dyDescent="0.35">
      <c r="A619" s="22" t="s">
        <v>851</v>
      </c>
      <c r="B619" s="22" t="str">
        <f>"00746"</f>
        <v>00746</v>
      </c>
      <c r="C619" s="22" t="str">
        <f t="shared" si="9"/>
        <v>'0746.HK'</v>
      </c>
      <c r="D619" s="22" t="s">
        <v>2175</v>
      </c>
      <c r="E619" s="22" t="s">
        <v>1600</v>
      </c>
      <c r="F619" s="22">
        <v>5568750000</v>
      </c>
      <c r="G619" s="22">
        <v>26</v>
      </c>
      <c r="H619" s="22" t="s">
        <v>2176</v>
      </c>
    </row>
    <row r="620" spans="1:8" x14ac:dyDescent="0.35">
      <c r="A620" s="22" t="s">
        <v>851</v>
      </c>
      <c r="B620" s="22" t="str">
        <f>"06639"</f>
        <v>06639</v>
      </c>
      <c r="C620" s="22" t="str">
        <f t="shared" si="9"/>
        <v>'6639.HK'</v>
      </c>
      <c r="D620" s="22" t="s">
        <v>2177</v>
      </c>
      <c r="E620" s="22" t="s">
        <v>1362</v>
      </c>
      <c r="F620" s="22">
        <v>5530939444.5</v>
      </c>
      <c r="G620" s="22">
        <v>8</v>
      </c>
      <c r="H620" s="22" t="s">
        <v>2178</v>
      </c>
    </row>
    <row r="621" spans="1:8" x14ac:dyDescent="0.35">
      <c r="A621" s="22" t="s">
        <v>851</v>
      </c>
      <c r="B621" s="22" t="str">
        <f>"03316"</f>
        <v>03316</v>
      </c>
      <c r="C621" s="22" t="str">
        <f t="shared" si="9"/>
        <v>'3316.HK'</v>
      </c>
      <c r="D621" s="22" t="s">
        <v>2179</v>
      </c>
      <c r="E621" s="22" t="s">
        <v>1104</v>
      </c>
      <c r="F621" s="22">
        <v>5528140000</v>
      </c>
      <c r="G621" s="22">
        <v>88</v>
      </c>
      <c r="H621" s="22" t="s">
        <v>2180</v>
      </c>
    </row>
    <row r="622" spans="1:8" x14ac:dyDescent="0.35">
      <c r="A622" s="22" t="s">
        <v>851</v>
      </c>
      <c r="B622" s="22" t="str">
        <f>"80737"</f>
        <v>80737</v>
      </c>
      <c r="C622" s="22" t="str">
        <f t="shared" si="9"/>
        <v>'0737.HK'</v>
      </c>
      <c r="D622" s="22" t="s">
        <v>2181</v>
      </c>
      <c r="E622" s="22" t="s">
        <v>1367</v>
      </c>
      <c r="F622" s="22">
        <v>5485408200</v>
      </c>
      <c r="G622" s="22">
        <v>0</v>
      </c>
      <c r="H622" s="22" t="s">
        <v>2182</v>
      </c>
    </row>
    <row r="623" spans="1:8" x14ac:dyDescent="0.35">
      <c r="A623" s="22" t="s">
        <v>851</v>
      </c>
      <c r="B623" s="22" t="str">
        <f>"02137"</f>
        <v>02137</v>
      </c>
      <c r="C623" s="22" t="str">
        <f t="shared" si="9"/>
        <v>'2137.HK'</v>
      </c>
      <c r="D623" s="22" t="s">
        <v>2183</v>
      </c>
      <c r="E623" s="22" t="s">
        <v>941</v>
      </c>
      <c r="F623" s="22">
        <v>5459772418.2200003</v>
      </c>
      <c r="G623" s="22">
        <v>15</v>
      </c>
      <c r="H623" s="22" t="s">
        <v>2184</v>
      </c>
    </row>
    <row r="624" spans="1:8" x14ac:dyDescent="0.35">
      <c r="A624" s="22" t="s">
        <v>851</v>
      </c>
      <c r="B624" s="22" t="str">
        <f>"09956"</f>
        <v>09956</v>
      </c>
      <c r="C624" s="22" t="str">
        <f t="shared" si="9"/>
        <v>'9956.HK'</v>
      </c>
      <c r="D624" s="22" t="s">
        <v>2185</v>
      </c>
      <c r="E624" s="22" t="s">
        <v>974</v>
      </c>
      <c r="F624" s="22">
        <v>5440993674.4799995</v>
      </c>
      <c r="G624" s="22">
        <v>2</v>
      </c>
      <c r="H624" s="22" t="s">
        <v>2186</v>
      </c>
    </row>
    <row r="625" spans="1:8" x14ac:dyDescent="0.35">
      <c r="A625" s="22" t="s">
        <v>851</v>
      </c>
      <c r="B625" s="22" t="str">
        <f>"01119"</f>
        <v>01119</v>
      </c>
      <c r="C625" s="22" t="str">
        <f t="shared" si="9"/>
        <v>'1119.HK'</v>
      </c>
      <c r="D625" s="22" t="s">
        <v>2187</v>
      </c>
      <c r="E625" s="22" t="s">
        <v>910</v>
      </c>
      <c r="F625" s="22">
        <v>5433643388.25</v>
      </c>
      <c r="G625" s="22">
        <v>18</v>
      </c>
      <c r="H625" s="22" t="s">
        <v>2188</v>
      </c>
    </row>
    <row r="626" spans="1:8" x14ac:dyDescent="0.35">
      <c r="A626" s="22" t="s">
        <v>851</v>
      </c>
      <c r="B626" s="22" t="str">
        <f>"01108"</f>
        <v>01108</v>
      </c>
      <c r="C626" s="22" t="str">
        <f t="shared" si="9"/>
        <v>'1108.HK'</v>
      </c>
      <c r="D626" s="22" t="s">
        <v>2189</v>
      </c>
      <c r="E626" s="22" t="s">
        <v>1224</v>
      </c>
      <c r="F626" s="22">
        <v>5397842690.6800003</v>
      </c>
      <c r="G626" s="22">
        <v>42</v>
      </c>
      <c r="H626" s="22" t="s">
        <v>2190</v>
      </c>
    </row>
    <row r="627" spans="1:8" x14ac:dyDescent="0.35">
      <c r="A627" s="22" t="s">
        <v>851</v>
      </c>
      <c r="B627" s="22" t="str">
        <f>"00581"</f>
        <v>00581</v>
      </c>
      <c r="C627" s="22" t="str">
        <f t="shared" si="9"/>
        <v>'0581.HK'</v>
      </c>
      <c r="D627" s="22" t="s">
        <v>2191</v>
      </c>
      <c r="E627" s="22" t="s">
        <v>1579</v>
      </c>
      <c r="F627" s="22">
        <v>5397725050</v>
      </c>
      <c r="G627" s="22">
        <v>116</v>
      </c>
      <c r="H627" s="22" t="s">
        <v>2192</v>
      </c>
    </row>
    <row r="628" spans="1:8" x14ac:dyDescent="0.35">
      <c r="A628" s="22" t="s">
        <v>851</v>
      </c>
      <c r="B628" s="22" t="str">
        <f>"06669"</f>
        <v>06669</v>
      </c>
      <c r="C628" s="22" t="str">
        <f t="shared" si="9"/>
        <v>'6669.HK'</v>
      </c>
      <c r="D628" s="22" t="s">
        <v>2193</v>
      </c>
      <c r="E628" s="22" t="s">
        <v>1232</v>
      </c>
      <c r="F628" s="22">
        <v>5390293741.1999998</v>
      </c>
      <c r="G628" s="22">
        <v>14</v>
      </c>
      <c r="H628" s="22" t="s">
        <v>2194</v>
      </c>
    </row>
    <row r="629" spans="1:8" x14ac:dyDescent="0.35">
      <c r="A629" s="22" t="s">
        <v>851</v>
      </c>
      <c r="B629" s="22" t="str">
        <f>"01942"</f>
        <v>01942</v>
      </c>
      <c r="C629" s="22" t="str">
        <f t="shared" si="9"/>
        <v>'1942.HK'</v>
      </c>
      <c r="D629" s="22" t="s">
        <v>2195</v>
      </c>
      <c r="E629" s="22" t="s">
        <v>1002</v>
      </c>
      <c r="F629" s="22">
        <v>5384945316.9499998</v>
      </c>
      <c r="G629" s="22">
        <v>4</v>
      </c>
      <c r="H629" s="22" t="s">
        <v>2196</v>
      </c>
    </row>
    <row r="630" spans="1:8" x14ac:dyDescent="0.35">
      <c r="A630" s="22" t="s">
        <v>851</v>
      </c>
      <c r="B630" s="22" t="str">
        <f>"06608"</f>
        <v>06608</v>
      </c>
      <c r="C630" s="22" t="str">
        <f t="shared" si="9"/>
        <v>'6608.HK'</v>
      </c>
      <c r="D630" s="22" t="s">
        <v>2197</v>
      </c>
      <c r="E630" s="22" t="s">
        <v>1202</v>
      </c>
      <c r="F630" s="22">
        <v>5363137905.4399996</v>
      </c>
      <c r="G630" s="22">
        <v>16</v>
      </c>
      <c r="H630" s="22" t="s">
        <v>2198</v>
      </c>
    </row>
    <row r="631" spans="1:8" x14ac:dyDescent="0.35">
      <c r="A631" s="22" t="s">
        <v>851</v>
      </c>
      <c r="B631" s="22" t="str">
        <f>"01230"</f>
        <v>01230</v>
      </c>
      <c r="C631" s="22" t="str">
        <f t="shared" si="9"/>
        <v>'1230.HK'</v>
      </c>
      <c r="D631" s="22" t="s">
        <v>2199</v>
      </c>
      <c r="E631" s="22" t="s">
        <v>1019</v>
      </c>
      <c r="F631" s="22">
        <v>5362483134.4799995</v>
      </c>
      <c r="G631" s="22">
        <v>25</v>
      </c>
      <c r="H631" s="22" t="s">
        <v>2200</v>
      </c>
    </row>
    <row r="632" spans="1:8" x14ac:dyDescent="0.35">
      <c r="A632" s="22" t="s">
        <v>851</v>
      </c>
      <c r="B632" s="22" t="str">
        <f>"01375"</f>
        <v>01375</v>
      </c>
      <c r="C632" s="22" t="str">
        <f t="shared" si="9"/>
        <v>'1375.HK'</v>
      </c>
      <c r="D632" s="22" t="s">
        <v>2201</v>
      </c>
      <c r="E632" s="22" t="s">
        <v>1130</v>
      </c>
      <c r="F632" s="22">
        <v>5339317405</v>
      </c>
      <c r="G632" s="22">
        <v>57</v>
      </c>
      <c r="H632" s="22" t="s">
        <v>2202</v>
      </c>
    </row>
    <row r="633" spans="1:8" x14ac:dyDescent="0.35">
      <c r="A633" s="22" t="s">
        <v>851</v>
      </c>
      <c r="B633" s="22" t="str">
        <f>"00315"</f>
        <v>00315</v>
      </c>
      <c r="C633" s="22" t="str">
        <f t="shared" si="9"/>
        <v>'0315.HK'</v>
      </c>
      <c r="D633" s="22" t="s">
        <v>2203</v>
      </c>
      <c r="E633" s="22" t="s">
        <v>865</v>
      </c>
      <c r="F633" s="22">
        <v>5316322730.8100004</v>
      </c>
      <c r="G633" s="22">
        <v>34</v>
      </c>
      <c r="H633" s="22" t="s">
        <v>2204</v>
      </c>
    </row>
    <row r="634" spans="1:8" x14ac:dyDescent="0.35">
      <c r="A634" s="22" t="s">
        <v>851</v>
      </c>
      <c r="B634" s="22" t="str">
        <f>"00062"</f>
        <v>00062</v>
      </c>
      <c r="C634" s="22" t="str">
        <f t="shared" si="9"/>
        <v>'0062.HK'</v>
      </c>
      <c r="D634" s="22" t="s">
        <v>2205</v>
      </c>
      <c r="E634" s="22" t="s">
        <v>948</v>
      </c>
      <c r="F634" s="22">
        <v>5300331237</v>
      </c>
      <c r="G634" s="22">
        <v>23</v>
      </c>
      <c r="H634" s="22" t="s">
        <v>2206</v>
      </c>
    </row>
    <row r="635" spans="1:8" x14ac:dyDescent="0.35">
      <c r="A635" s="22" t="s">
        <v>851</v>
      </c>
      <c r="B635" s="22" t="str">
        <f>"02068"</f>
        <v>02068</v>
      </c>
      <c r="C635" s="22" t="str">
        <f t="shared" si="9"/>
        <v>'2068.HK'</v>
      </c>
      <c r="D635" s="22" t="s">
        <v>2207</v>
      </c>
      <c r="E635" s="22" t="s">
        <v>1078</v>
      </c>
      <c r="F635" s="22">
        <v>5296729333.9300003</v>
      </c>
      <c r="G635" s="22">
        <v>32</v>
      </c>
      <c r="H635" s="22" t="s">
        <v>2208</v>
      </c>
    </row>
    <row r="636" spans="1:8" x14ac:dyDescent="0.35">
      <c r="A636" s="22" t="s">
        <v>851</v>
      </c>
      <c r="B636" s="22" t="str">
        <f>"01622"</f>
        <v>01622</v>
      </c>
      <c r="C636" s="22" t="str">
        <f t="shared" si="9"/>
        <v>'1622.HK'</v>
      </c>
      <c r="D636" s="22" t="s">
        <v>2209</v>
      </c>
      <c r="E636" s="22" t="s">
        <v>924</v>
      </c>
      <c r="F636" s="22">
        <v>5291897889.7799997</v>
      </c>
      <c r="G636" s="22">
        <v>42</v>
      </c>
      <c r="H636" s="22" t="s">
        <v>2210</v>
      </c>
    </row>
    <row r="637" spans="1:8" x14ac:dyDescent="0.35">
      <c r="A637" s="22" t="s">
        <v>851</v>
      </c>
      <c r="B637" s="22" t="str">
        <f>"00051"</f>
        <v>00051</v>
      </c>
      <c r="C637" s="22" t="str">
        <f t="shared" si="9"/>
        <v>'0051.HK'</v>
      </c>
      <c r="D637" s="22" t="s">
        <v>2211</v>
      </c>
      <c r="E637" s="22" t="s">
        <v>924</v>
      </c>
      <c r="F637" s="22">
        <v>5280187500</v>
      </c>
      <c r="G637" s="22">
        <v>16</v>
      </c>
      <c r="H637" s="22" t="s">
        <v>2212</v>
      </c>
    </row>
    <row r="638" spans="1:8" x14ac:dyDescent="0.35">
      <c r="A638" s="22" t="s">
        <v>851</v>
      </c>
      <c r="B638" s="22" t="str">
        <f>"01576"</f>
        <v>01576</v>
      </c>
      <c r="C638" s="22" t="str">
        <f t="shared" si="9"/>
        <v>'1576.HK'</v>
      </c>
      <c r="D638" s="22" t="s">
        <v>2213</v>
      </c>
      <c r="E638" s="22" t="s">
        <v>1367</v>
      </c>
      <c r="F638" s="22">
        <v>5260000000</v>
      </c>
      <c r="G638" s="22">
        <v>24</v>
      </c>
      <c r="H638" s="22" t="s">
        <v>2214</v>
      </c>
    </row>
    <row r="639" spans="1:8" x14ac:dyDescent="0.35">
      <c r="A639" s="22" t="s">
        <v>851</v>
      </c>
      <c r="B639" s="22" t="str">
        <f>"01830"</f>
        <v>01830</v>
      </c>
      <c r="C639" s="22" t="str">
        <f t="shared" si="9"/>
        <v>'1830.HK'</v>
      </c>
      <c r="D639" s="22" t="s">
        <v>2215</v>
      </c>
      <c r="E639" s="22" t="s">
        <v>1362</v>
      </c>
      <c r="F639" s="22">
        <v>5258593702.7799997</v>
      </c>
      <c r="G639" s="22">
        <v>131</v>
      </c>
      <c r="H639" s="22" t="s">
        <v>2216</v>
      </c>
    </row>
    <row r="640" spans="1:8" x14ac:dyDescent="0.35">
      <c r="A640" s="22" t="s">
        <v>851</v>
      </c>
      <c r="B640" s="22" t="str">
        <f>"00242"</f>
        <v>00242</v>
      </c>
      <c r="C640" s="22" t="str">
        <f t="shared" si="9"/>
        <v>'0242.HK'</v>
      </c>
      <c r="D640" s="22" t="s">
        <v>2217</v>
      </c>
      <c r="E640" s="22" t="s">
        <v>958</v>
      </c>
      <c r="F640" s="22">
        <v>5255460825.8999996</v>
      </c>
      <c r="G640" s="22">
        <v>46</v>
      </c>
      <c r="H640" s="22" t="s">
        <v>2218</v>
      </c>
    </row>
    <row r="641" spans="1:8" x14ac:dyDescent="0.35">
      <c r="A641" s="22" t="s">
        <v>851</v>
      </c>
      <c r="B641" s="22" t="str">
        <f>"00256"</f>
        <v>00256</v>
      </c>
      <c r="C641" s="22" t="str">
        <f t="shared" si="9"/>
        <v>'0256.HK'</v>
      </c>
      <c r="D641" s="22" t="s">
        <v>2219</v>
      </c>
      <c r="E641" s="22" t="s">
        <v>2220</v>
      </c>
      <c r="F641" s="22">
        <v>5222265847.1999998</v>
      </c>
      <c r="G641" s="22">
        <v>14</v>
      </c>
      <c r="H641" s="22" t="s">
        <v>2221</v>
      </c>
    </row>
    <row r="642" spans="1:8" x14ac:dyDescent="0.35">
      <c r="A642" s="22" t="s">
        <v>851</v>
      </c>
      <c r="B642" s="22" t="str">
        <f>"01478"</f>
        <v>01478</v>
      </c>
      <c r="C642" s="22" t="str">
        <f t="shared" si="9"/>
        <v>'1478.HK'</v>
      </c>
      <c r="D642" s="22" t="s">
        <v>2222</v>
      </c>
      <c r="E642" s="22" t="s">
        <v>1075</v>
      </c>
      <c r="F642" s="22">
        <v>5200123905.25</v>
      </c>
      <c r="G642" s="22">
        <v>70</v>
      </c>
      <c r="H642" s="22" t="s">
        <v>2223</v>
      </c>
    </row>
    <row r="643" spans="1:8" x14ac:dyDescent="0.35">
      <c r="A643" s="22" t="s">
        <v>851</v>
      </c>
      <c r="B643" s="22" t="str">
        <f>"01183"</f>
        <v>01183</v>
      </c>
      <c r="C643" s="22" t="str">
        <f t="shared" ref="C643:C706" si="10">CONCATENATE("'",RIGHT(B643,4),".HK'")</f>
        <v>'1183.HK'</v>
      </c>
      <c r="D643" s="22" t="s">
        <v>2224</v>
      </c>
      <c r="E643" s="22" t="s">
        <v>1634</v>
      </c>
      <c r="F643" s="22">
        <v>5194924507.5</v>
      </c>
      <c r="G643" s="22">
        <v>3</v>
      </c>
      <c r="H643" s="22" t="s">
        <v>2225</v>
      </c>
    </row>
    <row r="644" spans="1:8" x14ac:dyDescent="0.35">
      <c r="A644" s="22" t="s">
        <v>851</v>
      </c>
      <c r="B644" s="22" t="str">
        <f>"01672"</f>
        <v>01672</v>
      </c>
      <c r="C644" s="22" t="str">
        <f t="shared" si="10"/>
        <v>'1672.HK'</v>
      </c>
      <c r="D644" s="22" t="s">
        <v>2226</v>
      </c>
      <c r="E644" s="22" t="s">
        <v>941</v>
      </c>
      <c r="F644" s="22">
        <v>5174757840</v>
      </c>
      <c r="G644" s="22">
        <v>31</v>
      </c>
      <c r="H644" s="22" t="s">
        <v>2227</v>
      </c>
    </row>
    <row r="645" spans="1:8" x14ac:dyDescent="0.35">
      <c r="A645" s="22" t="s">
        <v>851</v>
      </c>
      <c r="B645" s="22" t="str">
        <f>"01198"</f>
        <v>01198</v>
      </c>
      <c r="C645" s="22" t="str">
        <f t="shared" si="10"/>
        <v>'1198.HK'</v>
      </c>
      <c r="D645" s="22" t="s">
        <v>2228</v>
      </c>
      <c r="E645" s="22" t="s">
        <v>1429</v>
      </c>
      <c r="F645" s="22">
        <v>5171137038.7399998</v>
      </c>
      <c r="G645" s="22">
        <v>15</v>
      </c>
      <c r="H645" s="22" t="s">
        <v>2229</v>
      </c>
    </row>
    <row r="646" spans="1:8" x14ac:dyDescent="0.35">
      <c r="A646" s="22" t="s">
        <v>851</v>
      </c>
      <c r="B646" s="22" t="str">
        <f>"00686"</f>
        <v>00686</v>
      </c>
      <c r="C646" s="22" t="str">
        <f t="shared" si="10"/>
        <v>'0686.HK'</v>
      </c>
      <c r="D646" s="22" t="s">
        <v>2230</v>
      </c>
      <c r="E646" s="22" t="s">
        <v>1127</v>
      </c>
      <c r="F646" s="22">
        <v>5136000190.9280005</v>
      </c>
      <c r="G646" s="22">
        <v>17</v>
      </c>
      <c r="H646" s="22" t="s">
        <v>2231</v>
      </c>
    </row>
    <row r="647" spans="1:8" x14ac:dyDescent="0.35">
      <c r="A647" s="22" t="s">
        <v>851</v>
      </c>
      <c r="B647" s="22" t="str">
        <f>"01065"</f>
        <v>01065</v>
      </c>
      <c r="C647" s="22" t="str">
        <f t="shared" si="10"/>
        <v>'1065.HK'</v>
      </c>
      <c r="D647" s="22" t="s">
        <v>2232</v>
      </c>
      <c r="E647" s="22" t="s">
        <v>1255</v>
      </c>
      <c r="F647" s="22">
        <v>5135267137.9499998</v>
      </c>
      <c r="G647" s="22">
        <v>58</v>
      </c>
      <c r="H647" s="22" t="s">
        <v>2233</v>
      </c>
    </row>
    <row r="648" spans="1:8" x14ac:dyDescent="0.35">
      <c r="A648" s="22" t="s">
        <v>851</v>
      </c>
      <c r="B648" s="22" t="str">
        <f>"02257"</f>
        <v>02257</v>
      </c>
      <c r="C648" s="22" t="str">
        <f t="shared" si="10"/>
        <v>'2257.HK'</v>
      </c>
      <c r="D648" s="22" t="s">
        <v>2234</v>
      </c>
      <c r="E648" s="22" t="s">
        <v>941</v>
      </c>
      <c r="F648" s="22">
        <v>5093328672</v>
      </c>
      <c r="G648" s="22">
        <v>2</v>
      </c>
      <c r="H648" s="22" t="s">
        <v>2235</v>
      </c>
    </row>
    <row r="649" spans="1:8" x14ac:dyDescent="0.35">
      <c r="A649" s="22" t="s">
        <v>851</v>
      </c>
      <c r="B649" s="22" t="str">
        <f>"00035"</f>
        <v>00035</v>
      </c>
      <c r="C649" s="22" t="str">
        <f t="shared" si="10"/>
        <v>'0035.HK'</v>
      </c>
      <c r="D649" s="22" t="s">
        <v>2236</v>
      </c>
      <c r="E649" s="22" t="s">
        <v>924</v>
      </c>
      <c r="F649" s="22">
        <v>5054608175.6000004</v>
      </c>
      <c r="G649" s="22">
        <v>43</v>
      </c>
      <c r="H649" s="22" t="s">
        <v>2237</v>
      </c>
    </row>
    <row r="650" spans="1:8" x14ac:dyDescent="0.35">
      <c r="A650" s="22" t="s">
        <v>851</v>
      </c>
      <c r="B650" s="22" t="str">
        <f>"01137"</f>
        <v>01137</v>
      </c>
      <c r="C650" s="22" t="str">
        <f t="shared" si="10"/>
        <v>'1137.HK'</v>
      </c>
      <c r="D650" s="22" t="s">
        <v>2238</v>
      </c>
      <c r="E650" s="22" t="s">
        <v>853</v>
      </c>
      <c r="F650" s="22">
        <v>5048350481.71</v>
      </c>
      <c r="G650" s="22">
        <v>18</v>
      </c>
      <c r="H650" s="22" t="s">
        <v>2239</v>
      </c>
    </row>
    <row r="651" spans="1:8" x14ac:dyDescent="0.35">
      <c r="A651" s="22" t="s">
        <v>851</v>
      </c>
      <c r="B651" s="22" t="str">
        <f>"02098"</f>
        <v>02098</v>
      </c>
      <c r="C651" s="22" t="str">
        <f t="shared" si="10"/>
        <v>'2098.HK'</v>
      </c>
      <c r="D651" s="22" t="s">
        <v>2240</v>
      </c>
      <c r="E651" s="22" t="s">
        <v>1086</v>
      </c>
      <c r="F651" s="22">
        <v>5021799849</v>
      </c>
      <c r="G651" s="22">
        <v>23</v>
      </c>
      <c r="H651" s="22" t="s">
        <v>2241</v>
      </c>
    </row>
    <row r="652" spans="1:8" x14ac:dyDescent="0.35">
      <c r="A652" s="22" t="s">
        <v>851</v>
      </c>
      <c r="B652" s="22" t="str">
        <f>"00302"</f>
        <v>00302</v>
      </c>
      <c r="C652" s="22" t="str">
        <f t="shared" si="10"/>
        <v>'0302.HK'</v>
      </c>
      <c r="D652" s="22" t="s">
        <v>2242</v>
      </c>
      <c r="E652" s="22" t="s">
        <v>910</v>
      </c>
      <c r="F652" s="22">
        <v>4982490000</v>
      </c>
      <c r="G652" s="22">
        <v>39</v>
      </c>
      <c r="H652" s="22" t="s">
        <v>2243</v>
      </c>
    </row>
    <row r="653" spans="1:8" x14ac:dyDescent="0.35">
      <c r="A653" s="22" t="s">
        <v>851</v>
      </c>
      <c r="B653" s="22" t="str">
        <f>"01277"</f>
        <v>01277</v>
      </c>
      <c r="C653" s="22" t="str">
        <f t="shared" si="10"/>
        <v>'1277.HK'</v>
      </c>
      <c r="D653" s="22" t="s">
        <v>2244</v>
      </c>
      <c r="E653" s="22" t="s">
        <v>904</v>
      </c>
      <c r="F653" s="22">
        <v>4973700000</v>
      </c>
      <c r="G653" s="22">
        <v>22</v>
      </c>
      <c r="H653" s="22" t="s">
        <v>2245</v>
      </c>
    </row>
    <row r="654" spans="1:8" x14ac:dyDescent="0.35">
      <c r="A654" s="22" t="s">
        <v>851</v>
      </c>
      <c r="B654" s="22" t="str">
        <f>"02233"</f>
        <v>02233</v>
      </c>
      <c r="C654" s="22" t="str">
        <f t="shared" si="10"/>
        <v>'2233.HK'</v>
      </c>
      <c r="D654" s="22" t="s">
        <v>2246</v>
      </c>
      <c r="E654" s="22" t="s">
        <v>1016</v>
      </c>
      <c r="F654" s="22">
        <v>4949383366.1999998</v>
      </c>
      <c r="G654" s="22">
        <v>152</v>
      </c>
      <c r="H654" s="22" t="s">
        <v>2247</v>
      </c>
    </row>
    <row r="655" spans="1:8" x14ac:dyDescent="0.35">
      <c r="A655" s="22" t="s">
        <v>851</v>
      </c>
      <c r="B655" s="22" t="str">
        <f>"01866"</f>
        <v>01866</v>
      </c>
      <c r="C655" s="22" t="str">
        <f t="shared" si="10"/>
        <v>'1866.HK'</v>
      </c>
      <c r="D655" s="22" t="s">
        <v>2248</v>
      </c>
      <c r="E655" s="22" t="s">
        <v>1903</v>
      </c>
      <c r="F655" s="22">
        <v>4949327630</v>
      </c>
      <c r="G655" s="22">
        <v>39</v>
      </c>
      <c r="H655" s="22" t="s">
        <v>2249</v>
      </c>
    </row>
    <row r="656" spans="1:8" x14ac:dyDescent="0.35">
      <c r="A656" s="22" t="s">
        <v>851</v>
      </c>
      <c r="B656" s="22" t="str">
        <f>"00612"</f>
        <v>00612</v>
      </c>
      <c r="C656" s="22" t="str">
        <f t="shared" si="10"/>
        <v>'0612.HK'</v>
      </c>
      <c r="D656" s="22" t="s">
        <v>2250</v>
      </c>
      <c r="E656" s="22" t="s">
        <v>964</v>
      </c>
      <c r="F656" s="22">
        <v>4857391081.8000002</v>
      </c>
      <c r="G656" s="22">
        <v>6</v>
      </c>
      <c r="H656" s="22" t="s">
        <v>2251</v>
      </c>
    </row>
    <row r="657" spans="1:8" x14ac:dyDescent="0.35">
      <c r="A657" s="22" t="s">
        <v>851</v>
      </c>
      <c r="B657" s="22" t="str">
        <f>"00127"</f>
        <v>00127</v>
      </c>
      <c r="C657" s="22" t="str">
        <f t="shared" si="10"/>
        <v>'0127.HK'</v>
      </c>
      <c r="D657" s="22" t="s">
        <v>2252</v>
      </c>
      <c r="E657" s="22" t="s">
        <v>1028</v>
      </c>
      <c r="F657" s="22">
        <v>4788123888.29</v>
      </c>
      <c r="G657" s="22">
        <v>26</v>
      </c>
      <c r="H657" s="22" t="s">
        <v>2253</v>
      </c>
    </row>
    <row r="658" spans="1:8" x14ac:dyDescent="0.35">
      <c r="A658" s="22" t="s">
        <v>851</v>
      </c>
      <c r="B658" s="22" t="str">
        <f>"03306"</f>
        <v>03306</v>
      </c>
      <c r="C658" s="22" t="str">
        <f t="shared" si="10"/>
        <v>'3306.HK'</v>
      </c>
      <c r="D658" s="22" t="s">
        <v>2254</v>
      </c>
      <c r="E658" s="22" t="s">
        <v>889</v>
      </c>
      <c r="F658" s="22">
        <v>4777687500</v>
      </c>
      <c r="G658" s="22">
        <v>88</v>
      </c>
      <c r="H658" s="22" t="s">
        <v>2255</v>
      </c>
    </row>
    <row r="659" spans="1:8" x14ac:dyDescent="0.35">
      <c r="A659" s="22" t="s">
        <v>851</v>
      </c>
      <c r="B659" s="22" t="str">
        <f>"06100"</f>
        <v>06100</v>
      </c>
      <c r="C659" s="22" t="str">
        <f t="shared" si="10"/>
        <v>'6100.HK'</v>
      </c>
      <c r="D659" s="22" t="s">
        <v>2256</v>
      </c>
      <c r="E659" s="22" t="s">
        <v>1671</v>
      </c>
      <c r="F659" s="22">
        <v>4775490483.3999996</v>
      </c>
      <c r="G659" s="22">
        <v>17</v>
      </c>
      <c r="H659" s="22" t="s">
        <v>2257</v>
      </c>
    </row>
    <row r="660" spans="1:8" x14ac:dyDescent="0.35">
      <c r="A660" s="22" t="s">
        <v>851</v>
      </c>
      <c r="B660" s="22" t="str">
        <f>"00906"</f>
        <v>00906</v>
      </c>
      <c r="C660" s="22" t="str">
        <f t="shared" si="10"/>
        <v>'0906.HK'</v>
      </c>
      <c r="D660" s="22" t="s">
        <v>2258</v>
      </c>
      <c r="E660" s="22" t="s">
        <v>2259</v>
      </c>
      <c r="F660" s="22">
        <v>4765450440</v>
      </c>
      <c r="G660" s="22">
        <v>29</v>
      </c>
      <c r="H660" s="22" t="s">
        <v>2260</v>
      </c>
    </row>
    <row r="661" spans="1:8" x14ac:dyDescent="0.35">
      <c r="A661" s="22" t="s">
        <v>851</v>
      </c>
      <c r="B661" s="22" t="str">
        <f>"06616"</f>
        <v>06616</v>
      </c>
      <c r="C661" s="22" t="str">
        <f t="shared" si="10"/>
        <v>'6616.HK'</v>
      </c>
      <c r="D661" s="22" t="s">
        <v>2261</v>
      </c>
      <c r="E661" s="22" t="s">
        <v>1600</v>
      </c>
      <c r="F661" s="22">
        <v>4755136708.1400003</v>
      </c>
      <c r="G661" s="22">
        <v>2</v>
      </c>
      <c r="H661" s="22" t="s">
        <v>2262</v>
      </c>
    </row>
    <row r="662" spans="1:8" x14ac:dyDescent="0.35">
      <c r="A662" s="22" t="s">
        <v>851</v>
      </c>
      <c r="B662" s="22" t="str">
        <f>"01501"</f>
        <v>01501</v>
      </c>
      <c r="C662" s="22" t="str">
        <f t="shared" si="10"/>
        <v>'1501.HK'</v>
      </c>
      <c r="D662" s="22" t="s">
        <v>2263</v>
      </c>
      <c r="E662" s="22" t="s">
        <v>1232</v>
      </c>
      <c r="F662" s="22">
        <v>4754400000</v>
      </c>
      <c r="G662" s="22">
        <v>15</v>
      </c>
      <c r="H662" s="22" t="s">
        <v>2264</v>
      </c>
    </row>
    <row r="663" spans="1:8" x14ac:dyDescent="0.35">
      <c r="A663" s="22" t="s">
        <v>851</v>
      </c>
      <c r="B663" s="22" t="str">
        <f>"00369"</f>
        <v>00369</v>
      </c>
      <c r="C663" s="22" t="str">
        <f t="shared" si="10"/>
        <v>'0369.HK'</v>
      </c>
      <c r="D663" s="22" t="s">
        <v>2265</v>
      </c>
      <c r="E663" s="22" t="s">
        <v>924</v>
      </c>
      <c r="F663" s="22">
        <v>4745899476.5</v>
      </c>
      <c r="G663" s="22">
        <v>12</v>
      </c>
      <c r="H663" s="22" t="s">
        <v>2266</v>
      </c>
    </row>
    <row r="664" spans="1:8" x14ac:dyDescent="0.35">
      <c r="A664" s="22" t="s">
        <v>851</v>
      </c>
      <c r="B664" s="22" t="str">
        <f>"00207"</f>
        <v>00207</v>
      </c>
      <c r="C664" s="22" t="str">
        <f t="shared" si="10"/>
        <v>'0207.HK'</v>
      </c>
      <c r="D664" s="22" t="s">
        <v>2267</v>
      </c>
      <c r="E664" s="22" t="s">
        <v>1028</v>
      </c>
      <c r="F664" s="22">
        <v>4696271203.1400003</v>
      </c>
      <c r="G664" s="22">
        <v>84</v>
      </c>
      <c r="H664" s="22" t="s">
        <v>2268</v>
      </c>
    </row>
    <row r="665" spans="1:8" x14ac:dyDescent="0.35">
      <c r="A665" s="22" t="s">
        <v>851</v>
      </c>
      <c r="B665" s="22" t="str">
        <f>"01763"</f>
        <v>01763</v>
      </c>
      <c r="C665" s="22" t="str">
        <f t="shared" si="10"/>
        <v>'1763.HK'</v>
      </c>
      <c r="D665" s="22" t="s">
        <v>2269</v>
      </c>
      <c r="E665" s="22" t="s">
        <v>969</v>
      </c>
      <c r="F665" s="22">
        <v>4695763532</v>
      </c>
      <c r="G665" s="22">
        <v>46</v>
      </c>
      <c r="H665" s="22" t="s">
        <v>2270</v>
      </c>
    </row>
    <row r="666" spans="1:8" x14ac:dyDescent="0.35">
      <c r="A666" s="22" t="s">
        <v>851</v>
      </c>
      <c r="B666" s="22" t="str">
        <f>"01911"</f>
        <v>01911</v>
      </c>
      <c r="C666" s="22" t="str">
        <f t="shared" si="10"/>
        <v>'1911.HK'</v>
      </c>
      <c r="D666" s="22" t="s">
        <v>2271</v>
      </c>
      <c r="E666" s="22" t="s">
        <v>964</v>
      </c>
      <c r="F666" s="22">
        <v>4672229718.7200003</v>
      </c>
      <c r="G666" s="22">
        <v>30</v>
      </c>
      <c r="H666" s="22" t="s">
        <v>2272</v>
      </c>
    </row>
    <row r="667" spans="1:8" x14ac:dyDescent="0.35">
      <c r="A667" s="22" t="s">
        <v>851</v>
      </c>
      <c r="B667" s="22" t="str">
        <f>"01596"</f>
        <v>01596</v>
      </c>
      <c r="C667" s="22" t="str">
        <f t="shared" si="10"/>
        <v>'1596.HK'</v>
      </c>
      <c r="D667" s="22" t="s">
        <v>2273</v>
      </c>
      <c r="E667" s="22" t="s">
        <v>1109</v>
      </c>
      <c r="F667" s="22">
        <v>4668768000</v>
      </c>
      <c r="G667" s="22">
        <v>7</v>
      </c>
      <c r="H667" s="22" t="s">
        <v>2274</v>
      </c>
    </row>
    <row r="668" spans="1:8" x14ac:dyDescent="0.35">
      <c r="A668" s="22" t="s">
        <v>851</v>
      </c>
      <c r="B668" s="22" t="str">
        <f>"06989"</f>
        <v>06989</v>
      </c>
      <c r="C668" s="22" t="str">
        <f t="shared" si="10"/>
        <v>'6989.HK'</v>
      </c>
      <c r="D668" s="22" t="s">
        <v>2275</v>
      </c>
      <c r="E668" s="22" t="s">
        <v>1104</v>
      </c>
      <c r="F668" s="22">
        <v>4649525880</v>
      </c>
      <c r="G668" s="22">
        <v>34</v>
      </c>
      <c r="H668" s="22" t="s">
        <v>2276</v>
      </c>
    </row>
    <row r="669" spans="1:8" x14ac:dyDescent="0.35">
      <c r="A669" s="22" t="s">
        <v>851</v>
      </c>
      <c r="B669" s="22" t="str">
        <f>"00596"</f>
        <v>00596</v>
      </c>
      <c r="C669" s="22" t="str">
        <f t="shared" si="10"/>
        <v>'0596.HK'</v>
      </c>
      <c r="D669" s="22" t="s">
        <v>2277</v>
      </c>
      <c r="E669" s="22" t="s">
        <v>910</v>
      </c>
      <c r="F669" s="22">
        <v>4624778960.5500002</v>
      </c>
      <c r="G669" s="22">
        <v>28</v>
      </c>
      <c r="H669" s="22" t="s">
        <v>2278</v>
      </c>
    </row>
    <row r="670" spans="1:8" x14ac:dyDescent="0.35">
      <c r="A670" s="22" t="s">
        <v>851</v>
      </c>
      <c r="B670" s="22" t="str">
        <f>"09939"</f>
        <v>09939</v>
      </c>
      <c r="C670" s="22" t="str">
        <f t="shared" si="10"/>
        <v>'9939.HK'</v>
      </c>
      <c r="D670" s="22" t="s">
        <v>2279</v>
      </c>
      <c r="E670" s="22" t="s">
        <v>969</v>
      </c>
      <c r="F670" s="22">
        <v>4582395904</v>
      </c>
      <c r="G670" s="22">
        <v>17</v>
      </c>
      <c r="H670" s="22" t="s">
        <v>2280</v>
      </c>
    </row>
    <row r="671" spans="1:8" x14ac:dyDescent="0.35">
      <c r="A671" s="22" t="s">
        <v>851</v>
      </c>
      <c r="B671" s="22" t="str">
        <f>"01234"</f>
        <v>01234</v>
      </c>
      <c r="C671" s="22" t="str">
        <f t="shared" si="10"/>
        <v>'1234.HK'</v>
      </c>
      <c r="D671" s="22" t="s">
        <v>2281</v>
      </c>
      <c r="E671" s="22" t="s">
        <v>889</v>
      </c>
      <c r="F671" s="22">
        <v>4574392390.5799999</v>
      </c>
      <c r="G671" s="22">
        <v>94</v>
      </c>
      <c r="H671" s="22" t="s">
        <v>2282</v>
      </c>
    </row>
    <row r="672" spans="1:8" x14ac:dyDescent="0.35">
      <c r="A672" s="22" t="s">
        <v>851</v>
      </c>
      <c r="B672" s="22" t="str">
        <f>"01881"</f>
        <v>01881</v>
      </c>
      <c r="C672" s="22" t="str">
        <f t="shared" si="10"/>
        <v>'1881.HK'</v>
      </c>
      <c r="D672" s="22" t="s">
        <v>2283</v>
      </c>
      <c r="F672" s="22">
        <v>4527829352.71</v>
      </c>
      <c r="G672" s="22">
        <v>50</v>
      </c>
      <c r="H672" s="22" t="s">
        <v>2284</v>
      </c>
    </row>
    <row r="673" spans="1:8" x14ac:dyDescent="0.35">
      <c r="A673" s="22" t="s">
        <v>851</v>
      </c>
      <c r="B673" s="22" t="str">
        <f>"01760"</f>
        <v>01760</v>
      </c>
      <c r="C673" s="22" t="str">
        <f t="shared" si="10"/>
        <v>'1760.HK'</v>
      </c>
      <c r="D673" s="22" t="s">
        <v>2285</v>
      </c>
      <c r="E673" s="22" t="s">
        <v>1122</v>
      </c>
      <c r="F673" s="22">
        <v>4456412590</v>
      </c>
      <c r="G673" s="22">
        <v>3</v>
      </c>
      <c r="H673" s="22" t="s">
        <v>2286</v>
      </c>
    </row>
    <row r="674" spans="1:8" x14ac:dyDescent="0.35">
      <c r="A674" s="22" t="s">
        <v>851</v>
      </c>
      <c r="B674" s="22" t="str">
        <f>"01696"</f>
        <v>01696</v>
      </c>
      <c r="C674" s="22" t="str">
        <f t="shared" si="10"/>
        <v>'1696.HK'</v>
      </c>
      <c r="D674" s="22" t="s">
        <v>2287</v>
      </c>
      <c r="E674" s="22" t="s">
        <v>1232</v>
      </c>
      <c r="F674" s="22">
        <v>4345821263.6999998</v>
      </c>
      <c r="G674" s="22">
        <v>23</v>
      </c>
      <c r="H674" s="22" t="s">
        <v>2288</v>
      </c>
    </row>
    <row r="675" spans="1:8" x14ac:dyDescent="0.35">
      <c r="A675" s="22" t="s">
        <v>851</v>
      </c>
      <c r="B675" s="22" t="str">
        <f>"01966"</f>
        <v>01966</v>
      </c>
      <c r="C675" s="22" t="str">
        <f t="shared" si="10"/>
        <v>'1966.HK'</v>
      </c>
      <c r="D675" s="22" t="s">
        <v>2289</v>
      </c>
      <c r="E675" s="22" t="s">
        <v>924</v>
      </c>
      <c r="F675" s="22">
        <v>4307445848.5200005</v>
      </c>
      <c r="G675" s="22">
        <v>88</v>
      </c>
      <c r="H675" s="22" t="s">
        <v>2290</v>
      </c>
    </row>
    <row r="676" spans="1:8" x14ac:dyDescent="0.35">
      <c r="A676" s="22" t="s">
        <v>851</v>
      </c>
      <c r="B676" s="22" t="str">
        <f>"02199"</f>
        <v>02199</v>
      </c>
      <c r="C676" s="22" t="str">
        <f t="shared" si="10"/>
        <v>'2199.HK'</v>
      </c>
      <c r="D676" s="22" t="s">
        <v>2291</v>
      </c>
      <c r="E676" s="22" t="s">
        <v>889</v>
      </c>
      <c r="F676" s="22">
        <v>4284875000</v>
      </c>
      <c r="G676" s="22">
        <v>18</v>
      </c>
      <c r="H676" s="22" t="s">
        <v>2292</v>
      </c>
    </row>
    <row r="677" spans="1:8" x14ac:dyDescent="0.35">
      <c r="A677" s="22" t="s">
        <v>851</v>
      </c>
      <c r="B677" s="22" t="str">
        <f>"00038"</f>
        <v>00038</v>
      </c>
      <c r="C677" s="22" t="str">
        <f t="shared" si="10"/>
        <v>'0038.HK'</v>
      </c>
      <c r="D677" s="22" t="s">
        <v>2293</v>
      </c>
      <c r="E677" s="22" t="s">
        <v>1395</v>
      </c>
      <c r="F677" s="22">
        <v>4269852045</v>
      </c>
      <c r="G677" s="22">
        <v>39</v>
      </c>
      <c r="H677" s="22" t="s">
        <v>2294</v>
      </c>
    </row>
    <row r="678" spans="1:8" x14ac:dyDescent="0.35">
      <c r="A678" s="22" t="s">
        <v>851</v>
      </c>
      <c r="B678" s="22" t="str">
        <f>"02190"</f>
        <v>02190</v>
      </c>
      <c r="C678" s="22" t="str">
        <f t="shared" si="10"/>
        <v>'2190.HK'</v>
      </c>
      <c r="D678" s="22" t="s">
        <v>2295</v>
      </c>
      <c r="E678" s="22" t="s">
        <v>1232</v>
      </c>
      <c r="F678" s="22">
        <v>4268028852.8400002</v>
      </c>
      <c r="G678" s="22">
        <v>11</v>
      </c>
      <c r="H678" s="22" t="s">
        <v>2296</v>
      </c>
    </row>
    <row r="679" spans="1:8" x14ac:dyDescent="0.35">
      <c r="A679" s="22" t="s">
        <v>851</v>
      </c>
      <c r="B679" s="22" t="str">
        <f>"06830"</f>
        <v>06830</v>
      </c>
      <c r="C679" s="22" t="str">
        <f t="shared" si="10"/>
        <v>'6830.HK'</v>
      </c>
      <c r="D679" s="22" t="s">
        <v>2297</v>
      </c>
      <c r="E679" s="22" t="s">
        <v>1122</v>
      </c>
      <c r="F679" s="22">
        <v>4263757058</v>
      </c>
      <c r="G679" s="22">
        <v>7</v>
      </c>
      <c r="H679" s="22" t="s">
        <v>2298</v>
      </c>
    </row>
    <row r="680" spans="1:8" x14ac:dyDescent="0.35">
      <c r="A680" s="22" t="s">
        <v>851</v>
      </c>
      <c r="B680" s="22" t="str">
        <f>"01709"</f>
        <v>01709</v>
      </c>
      <c r="C680" s="22" t="str">
        <f t="shared" si="10"/>
        <v>'1709.HK'</v>
      </c>
      <c r="D680" s="22" t="s">
        <v>2299</v>
      </c>
      <c r="E680" s="22" t="s">
        <v>1130</v>
      </c>
      <c r="F680" s="22">
        <v>4231012978.5</v>
      </c>
      <c r="G680" s="22">
        <v>3</v>
      </c>
      <c r="H680" s="22" t="s">
        <v>2300</v>
      </c>
    </row>
    <row r="681" spans="1:8" x14ac:dyDescent="0.35">
      <c r="A681" s="22" t="s">
        <v>851</v>
      </c>
      <c r="B681" s="22" t="str">
        <f>"09909"</f>
        <v>09909</v>
      </c>
      <c r="C681" s="22" t="str">
        <f t="shared" si="10"/>
        <v>'9909.HK'</v>
      </c>
      <c r="D681" s="22" t="s">
        <v>2301</v>
      </c>
      <c r="E681" s="22" t="s">
        <v>1104</v>
      </c>
      <c r="F681" s="22">
        <v>4230282000</v>
      </c>
      <c r="G681" s="22">
        <v>59</v>
      </c>
      <c r="H681" s="22" t="s">
        <v>2302</v>
      </c>
    </row>
    <row r="682" spans="1:8" x14ac:dyDescent="0.35">
      <c r="A682" s="22" t="s">
        <v>851</v>
      </c>
      <c r="B682" s="22" t="str">
        <f>"01733"</f>
        <v>01733</v>
      </c>
      <c r="C682" s="22" t="str">
        <f t="shared" si="10"/>
        <v>'1733.HK'</v>
      </c>
      <c r="D682" s="22" t="s">
        <v>2303</v>
      </c>
      <c r="E682" s="22" t="s">
        <v>904</v>
      </c>
      <c r="F682" s="22">
        <v>4215846754.1399999</v>
      </c>
      <c r="G682" s="22">
        <v>10</v>
      </c>
      <c r="H682" s="22" t="s">
        <v>2304</v>
      </c>
    </row>
    <row r="683" spans="1:8" x14ac:dyDescent="0.35">
      <c r="A683" s="22" t="s">
        <v>851</v>
      </c>
      <c r="B683" s="22" t="str">
        <f>"01286"</f>
        <v>01286</v>
      </c>
      <c r="C683" s="22" t="str">
        <f t="shared" si="10"/>
        <v>'1286.HK'</v>
      </c>
      <c r="D683" s="22" t="s">
        <v>2305</v>
      </c>
      <c r="E683" s="22" t="s">
        <v>1224</v>
      </c>
      <c r="F683" s="22">
        <v>4180919340</v>
      </c>
      <c r="G683" s="22">
        <v>6</v>
      </c>
      <c r="H683" s="22" t="s">
        <v>2306</v>
      </c>
    </row>
    <row r="684" spans="1:8" x14ac:dyDescent="0.35">
      <c r="A684" s="22" t="s">
        <v>851</v>
      </c>
      <c r="B684" s="22" t="str">
        <f>"00376"</f>
        <v>00376</v>
      </c>
      <c r="C684" s="22" t="str">
        <f t="shared" si="10"/>
        <v>'0376.HK'</v>
      </c>
      <c r="D684" s="22" t="s">
        <v>2307</v>
      </c>
      <c r="E684" s="22" t="s">
        <v>870</v>
      </c>
      <c r="F684" s="22">
        <v>4177431006.8400002</v>
      </c>
      <c r="G684" s="22">
        <v>10</v>
      </c>
      <c r="H684" s="22" t="s">
        <v>2308</v>
      </c>
    </row>
    <row r="685" spans="1:8" x14ac:dyDescent="0.35">
      <c r="A685" s="22" t="s">
        <v>851</v>
      </c>
      <c r="B685" s="22" t="str">
        <f>"01257"</f>
        <v>01257</v>
      </c>
      <c r="C685" s="22" t="str">
        <f t="shared" si="10"/>
        <v>'1257.HK'</v>
      </c>
      <c r="D685" s="22" t="s">
        <v>2309</v>
      </c>
      <c r="E685" s="22" t="s">
        <v>1127</v>
      </c>
      <c r="F685" s="22">
        <v>4173477560</v>
      </c>
      <c r="G685" s="22">
        <v>75</v>
      </c>
      <c r="H685" s="22" t="s">
        <v>2310</v>
      </c>
    </row>
    <row r="686" spans="1:8" x14ac:dyDescent="0.35">
      <c r="A686" s="22" t="s">
        <v>851</v>
      </c>
      <c r="B686" s="22" t="str">
        <f>"01969"</f>
        <v>01969</v>
      </c>
      <c r="C686" s="22" t="str">
        <f t="shared" si="10"/>
        <v>'1969.HK'</v>
      </c>
      <c r="D686" s="22" t="s">
        <v>2311</v>
      </c>
      <c r="E686" s="22" t="s">
        <v>1270</v>
      </c>
      <c r="F686" s="22">
        <v>4164000000</v>
      </c>
      <c r="G686" s="22">
        <v>11</v>
      </c>
      <c r="H686" s="22" t="s">
        <v>2312</v>
      </c>
    </row>
    <row r="687" spans="1:8" x14ac:dyDescent="0.35">
      <c r="A687" s="22" t="s">
        <v>851</v>
      </c>
      <c r="B687" s="22" t="str">
        <f>"06889"</f>
        <v>06889</v>
      </c>
      <c r="C687" s="22" t="str">
        <f t="shared" si="10"/>
        <v>'6889.HK'</v>
      </c>
      <c r="D687" s="22" t="s">
        <v>2313</v>
      </c>
      <c r="E687" s="22" t="s">
        <v>961</v>
      </c>
      <c r="F687" s="22">
        <v>4140666550.8800001</v>
      </c>
      <c r="G687" s="22">
        <v>14</v>
      </c>
      <c r="H687" s="22" t="s">
        <v>2314</v>
      </c>
    </row>
    <row r="688" spans="1:8" x14ac:dyDescent="0.35">
      <c r="A688" s="22" t="s">
        <v>851</v>
      </c>
      <c r="B688" s="22" t="str">
        <f>"01003"</f>
        <v>01003</v>
      </c>
      <c r="C688" s="22" t="str">
        <f t="shared" si="10"/>
        <v>'1003.HK'</v>
      </c>
      <c r="D688" s="22" t="s">
        <v>2315</v>
      </c>
      <c r="E688" s="22" t="s">
        <v>1185</v>
      </c>
      <c r="F688" s="22">
        <v>4131813769.0599999</v>
      </c>
      <c r="G688" s="22">
        <v>4</v>
      </c>
      <c r="H688" s="22" t="s">
        <v>2316</v>
      </c>
    </row>
    <row r="689" spans="1:8" x14ac:dyDescent="0.35">
      <c r="A689" s="22" t="s">
        <v>851</v>
      </c>
      <c r="B689" s="22" t="str">
        <f>"02235"</f>
        <v>02235</v>
      </c>
      <c r="C689" s="22" t="str">
        <f t="shared" si="10"/>
        <v>'2235.HK'</v>
      </c>
      <c r="D689" s="22" t="s">
        <v>2317</v>
      </c>
      <c r="E689" s="22" t="s">
        <v>1232</v>
      </c>
      <c r="F689" s="22">
        <v>4121188368</v>
      </c>
      <c r="G689" s="22">
        <v>6</v>
      </c>
      <c r="H689" s="22" t="s">
        <v>2318</v>
      </c>
    </row>
    <row r="690" spans="1:8" x14ac:dyDescent="0.35">
      <c r="A690" s="22" t="s">
        <v>851</v>
      </c>
      <c r="B690" s="22" t="str">
        <f>"02425"</f>
        <v>02425</v>
      </c>
      <c r="C690" s="22" t="str">
        <f t="shared" si="10"/>
        <v>'2425.HK'</v>
      </c>
      <c r="D690" s="22" t="s">
        <v>2319</v>
      </c>
      <c r="F690" s="22">
        <v>4115176800</v>
      </c>
      <c r="H690" s="22" t="s">
        <v>2320</v>
      </c>
    </row>
    <row r="691" spans="1:8" x14ac:dyDescent="0.35">
      <c r="A691" s="22" t="s">
        <v>851</v>
      </c>
      <c r="B691" s="22" t="str">
        <f>"00289"</f>
        <v>00289</v>
      </c>
      <c r="C691" s="22" t="str">
        <f t="shared" si="10"/>
        <v>'0289.HK'</v>
      </c>
      <c r="D691" s="22" t="s">
        <v>2321</v>
      </c>
      <c r="E691" s="22" t="s">
        <v>1485</v>
      </c>
      <c r="F691" s="22">
        <v>4102127100</v>
      </c>
      <c r="G691" s="22">
        <v>13</v>
      </c>
      <c r="H691" s="22" t="s">
        <v>2322</v>
      </c>
    </row>
    <row r="692" spans="1:8" x14ac:dyDescent="0.35">
      <c r="A692" s="22" t="s">
        <v>851</v>
      </c>
      <c r="B692" s="22" t="str">
        <f>"00032"</f>
        <v>00032</v>
      </c>
      <c r="C692" s="22" t="str">
        <f t="shared" si="10"/>
        <v>'0032.HK'</v>
      </c>
      <c r="D692" s="22" t="s">
        <v>2323</v>
      </c>
      <c r="E692" s="22" t="s">
        <v>1270</v>
      </c>
      <c r="F692" s="22">
        <v>4062301445.4000001</v>
      </c>
      <c r="G692" s="22">
        <v>13</v>
      </c>
      <c r="H692" s="22" t="s">
        <v>2324</v>
      </c>
    </row>
    <row r="693" spans="1:8" x14ac:dyDescent="0.35">
      <c r="A693" s="22" t="s">
        <v>851</v>
      </c>
      <c r="B693" s="22" t="str">
        <f>"09983"</f>
        <v>09983</v>
      </c>
      <c r="C693" s="22" t="str">
        <f t="shared" si="10"/>
        <v>'9983.HK'</v>
      </c>
      <c r="D693" s="22" t="s">
        <v>2325</v>
      </c>
      <c r="E693" s="22" t="s">
        <v>1104</v>
      </c>
      <c r="F693" s="22">
        <v>4053561420</v>
      </c>
      <c r="G693" s="22">
        <v>77</v>
      </c>
      <c r="H693" s="22" t="s">
        <v>2326</v>
      </c>
    </row>
    <row r="694" spans="1:8" x14ac:dyDescent="0.35">
      <c r="A694" s="22" t="s">
        <v>851</v>
      </c>
      <c r="B694" s="22" t="str">
        <f>"02436"</f>
        <v>02436</v>
      </c>
      <c r="C694" s="22" t="str">
        <f t="shared" si="10"/>
        <v>'2436.HK'</v>
      </c>
      <c r="D694" s="22" t="s">
        <v>2327</v>
      </c>
      <c r="E694" s="22" t="s">
        <v>1152</v>
      </c>
      <c r="F694" s="22">
        <v>4048359600</v>
      </c>
      <c r="H694" s="22" t="s">
        <v>2328</v>
      </c>
    </row>
    <row r="695" spans="1:8" x14ac:dyDescent="0.35">
      <c r="A695" s="22" t="s">
        <v>851</v>
      </c>
      <c r="B695" s="22" t="str">
        <f>"03813"</f>
        <v>03813</v>
      </c>
      <c r="C695" s="22" t="str">
        <f t="shared" si="10"/>
        <v>'3813.HK'</v>
      </c>
      <c r="D695" s="22" t="s">
        <v>2329</v>
      </c>
      <c r="E695" s="22" t="s">
        <v>1332</v>
      </c>
      <c r="F695" s="22">
        <v>4047896507.4000001</v>
      </c>
      <c r="G695" s="22">
        <v>18</v>
      </c>
      <c r="H695" s="22" t="s">
        <v>2330</v>
      </c>
    </row>
    <row r="696" spans="1:8" x14ac:dyDescent="0.35">
      <c r="A696" s="22" t="s">
        <v>851</v>
      </c>
      <c r="B696" s="22" t="str">
        <f>"08328"</f>
        <v>08328</v>
      </c>
      <c r="C696" s="22" t="str">
        <f t="shared" si="10"/>
        <v>'8328.HK'</v>
      </c>
      <c r="D696" s="22" t="s">
        <v>2331</v>
      </c>
      <c r="E696" s="22" t="s">
        <v>1145</v>
      </c>
      <c r="F696" s="22">
        <v>4043228342.3000002</v>
      </c>
      <c r="G696" s="22">
        <v>5</v>
      </c>
      <c r="H696" s="22" t="s">
        <v>2332</v>
      </c>
    </row>
    <row r="697" spans="1:8" x14ac:dyDescent="0.35">
      <c r="A697" s="22" t="s">
        <v>851</v>
      </c>
      <c r="B697" s="22" t="str">
        <f>"00493"</f>
        <v>00493</v>
      </c>
      <c r="C697" s="22" t="str">
        <f t="shared" si="10"/>
        <v>'0493.HK'</v>
      </c>
      <c r="D697" s="22" t="s">
        <v>2333</v>
      </c>
      <c r="E697" s="22" t="s">
        <v>2334</v>
      </c>
      <c r="F697" s="22">
        <v>4036251994.487</v>
      </c>
      <c r="G697" s="22">
        <v>62</v>
      </c>
      <c r="H697" s="22" t="s">
        <v>2335</v>
      </c>
    </row>
    <row r="698" spans="1:8" x14ac:dyDescent="0.35">
      <c r="A698" s="22" t="s">
        <v>851</v>
      </c>
      <c r="B698" s="22" t="str">
        <f>"01167"</f>
        <v>01167</v>
      </c>
      <c r="C698" s="22" t="str">
        <f t="shared" si="10"/>
        <v>'1167.HK'</v>
      </c>
      <c r="D698" s="22" t="s">
        <v>2336</v>
      </c>
      <c r="E698" s="22" t="s">
        <v>941</v>
      </c>
      <c r="F698" s="22">
        <v>4034747201.4000001</v>
      </c>
      <c r="G698" s="22">
        <v>18</v>
      </c>
      <c r="H698" s="22" t="s">
        <v>2337</v>
      </c>
    </row>
    <row r="699" spans="1:8" x14ac:dyDescent="0.35">
      <c r="A699" s="22" t="s">
        <v>851</v>
      </c>
      <c r="B699" s="22" t="str">
        <f>"01857"</f>
        <v>01857</v>
      </c>
      <c r="C699" s="22" t="str">
        <f t="shared" si="10"/>
        <v>'1857.HK'</v>
      </c>
      <c r="D699" s="22" t="s">
        <v>2338</v>
      </c>
      <c r="E699" s="22" t="s">
        <v>1255</v>
      </c>
      <c r="F699" s="22">
        <v>4033836179.4299998</v>
      </c>
      <c r="G699" s="22">
        <v>22</v>
      </c>
      <c r="H699" s="22" t="s">
        <v>2339</v>
      </c>
    </row>
    <row r="700" spans="1:8" x14ac:dyDescent="0.35">
      <c r="A700" s="22" t="s">
        <v>851</v>
      </c>
      <c r="B700" s="22" t="str">
        <f>"02169"</f>
        <v>02169</v>
      </c>
      <c r="C700" s="22" t="str">
        <f t="shared" si="10"/>
        <v>'2169.HK'</v>
      </c>
      <c r="D700" s="22" t="s">
        <v>2340</v>
      </c>
      <c r="E700" s="22" t="s">
        <v>1367</v>
      </c>
      <c r="F700" s="22">
        <v>4020000000</v>
      </c>
      <c r="G700" s="22">
        <v>4</v>
      </c>
      <c r="H700" s="22" t="s">
        <v>2341</v>
      </c>
    </row>
    <row r="701" spans="1:8" x14ac:dyDescent="0.35">
      <c r="A701" s="22" t="s">
        <v>851</v>
      </c>
      <c r="B701" s="22" t="str">
        <f>"06922"</f>
        <v>06922</v>
      </c>
      <c r="C701" s="22" t="str">
        <f t="shared" si="10"/>
        <v>'6922.HK'</v>
      </c>
      <c r="D701" s="22" t="s">
        <v>2342</v>
      </c>
      <c r="F701" s="22">
        <v>4017048000</v>
      </c>
      <c r="H701" s="22" t="s">
        <v>2343</v>
      </c>
    </row>
    <row r="702" spans="1:8" x14ac:dyDescent="0.35">
      <c r="A702" s="22" t="s">
        <v>851</v>
      </c>
      <c r="B702" s="22" t="str">
        <f>"00382"</f>
        <v>00382</v>
      </c>
      <c r="C702" s="22" t="str">
        <f t="shared" si="10"/>
        <v>'0382.HK'</v>
      </c>
      <c r="D702" s="22" t="s">
        <v>2344</v>
      </c>
      <c r="E702" s="22" t="s">
        <v>1270</v>
      </c>
      <c r="F702" s="22">
        <v>4004894922.0999999</v>
      </c>
      <c r="G702" s="22">
        <v>61</v>
      </c>
      <c r="H702" s="22" t="s">
        <v>2345</v>
      </c>
    </row>
    <row r="703" spans="1:8" x14ac:dyDescent="0.35">
      <c r="A703" s="22" t="s">
        <v>851</v>
      </c>
      <c r="B703" s="22" t="str">
        <f>"00732"</f>
        <v>00732</v>
      </c>
      <c r="C703" s="22" t="str">
        <f t="shared" si="10"/>
        <v>'0732.HK'</v>
      </c>
      <c r="D703" s="22" t="s">
        <v>2346</v>
      </c>
      <c r="E703" s="22" t="s">
        <v>1075</v>
      </c>
      <c r="F703" s="22">
        <v>3981765733.52</v>
      </c>
      <c r="G703" s="22">
        <v>38</v>
      </c>
      <c r="H703" s="22" t="s">
        <v>2347</v>
      </c>
    </row>
    <row r="704" spans="1:8" x14ac:dyDescent="0.35">
      <c r="A704" s="22" t="s">
        <v>851</v>
      </c>
      <c r="B704" s="22" t="str">
        <f>"01600"</f>
        <v>01600</v>
      </c>
      <c r="C704" s="22" t="str">
        <f t="shared" si="10"/>
        <v>'1600.HK'</v>
      </c>
      <c r="D704" s="22" t="s">
        <v>2348</v>
      </c>
      <c r="E704" s="22" t="s">
        <v>1031</v>
      </c>
      <c r="F704" s="22">
        <v>3959306263.3600001</v>
      </c>
      <c r="G704" s="22">
        <v>63</v>
      </c>
      <c r="H704" s="22" t="s">
        <v>2349</v>
      </c>
    </row>
    <row r="705" spans="1:8" x14ac:dyDescent="0.35">
      <c r="A705" s="22" t="s">
        <v>851</v>
      </c>
      <c r="B705" s="22" t="str">
        <f>"00830"</f>
        <v>00830</v>
      </c>
      <c r="C705" s="22" t="str">
        <f t="shared" si="10"/>
        <v>'0830.HK'</v>
      </c>
      <c r="D705" s="22" t="s">
        <v>2350</v>
      </c>
      <c r="E705" s="22" t="s">
        <v>1634</v>
      </c>
      <c r="F705" s="22">
        <v>3947203750</v>
      </c>
      <c r="G705" s="22">
        <v>10</v>
      </c>
      <c r="H705" s="22" t="s">
        <v>2351</v>
      </c>
    </row>
    <row r="706" spans="1:8" x14ac:dyDescent="0.35">
      <c r="A706" s="22" t="s">
        <v>851</v>
      </c>
      <c r="B706" s="22" t="str">
        <f>"08083"</f>
        <v>08083</v>
      </c>
      <c r="C706" s="22" t="str">
        <f t="shared" si="10"/>
        <v>'8083.HK'</v>
      </c>
      <c r="D706" s="22" t="s">
        <v>2352</v>
      </c>
      <c r="E706" s="22" t="s">
        <v>853</v>
      </c>
      <c r="F706" s="22">
        <v>3905388124.5640001</v>
      </c>
      <c r="G706" s="22">
        <v>110</v>
      </c>
      <c r="H706" s="22" t="s">
        <v>2353</v>
      </c>
    </row>
    <row r="707" spans="1:8" x14ac:dyDescent="0.35">
      <c r="A707" s="22" t="s">
        <v>851</v>
      </c>
      <c r="B707" s="22" t="str">
        <f>"02552"</f>
        <v>02552</v>
      </c>
      <c r="C707" s="22" t="str">
        <f t="shared" ref="C707:C770" si="11">CONCATENATE("'",RIGHT(B707,4),".HK'")</f>
        <v>'2552.HK'</v>
      </c>
      <c r="D707" s="22" t="s">
        <v>2354</v>
      </c>
      <c r="E707" s="22" t="s">
        <v>941</v>
      </c>
      <c r="F707" s="22">
        <v>3905195565.6999998</v>
      </c>
      <c r="G707" s="22">
        <v>20</v>
      </c>
      <c r="H707" s="22" t="s">
        <v>2355</v>
      </c>
    </row>
    <row r="708" spans="1:8" x14ac:dyDescent="0.35">
      <c r="A708" s="22" t="s">
        <v>851</v>
      </c>
      <c r="B708" s="22" t="str">
        <f>"00606"</f>
        <v>00606</v>
      </c>
      <c r="C708" s="22" t="str">
        <f t="shared" si="11"/>
        <v>'0606.HK'</v>
      </c>
      <c r="D708" s="22" t="s">
        <v>2356</v>
      </c>
      <c r="E708" s="22" t="s">
        <v>1104</v>
      </c>
      <c r="F708" s="22">
        <v>3901000000</v>
      </c>
      <c r="G708" s="22">
        <v>59</v>
      </c>
      <c r="H708" s="22" t="s">
        <v>2357</v>
      </c>
    </row>
    <row r="709" spans="1:8" x14ac:dyDescent="0.35">
      <c r="A709" s="22" t="s">
        <v>851</v>
      </c>
      <c r="B709" s="22" t="str">
        <f>"01031"</f>
        <v>01031</v>
      </c>
      <c r="C709" s="22" t="str">
        <f t="shared" si="11"/>
        <v>'1031.HK'</v>
      </c>
      <c r="D709" s="22" t="s">
        <v>2358</v>
      </c>
      <c r="E709" s="22" t="s">
        <v>1130</v>
      </c>
      <c r="F709" s="22">
        <v>3880126989.8099999</v>
      </c>
      <c r="G709" s="22">
        <v>13</v>
      </c>
      <c r="H709" s="22" t="s">
        <v>2359</v>
      </c>
    </row>
    <row r="710" spans="1:8" x14ac:dyDescent="0.35">
      <c r="A710" s="22" t="s">
        <v>851</v>
      </c>
      <c r="B710" s="22" t="str">
        <f>"01809"</f>
        <v>01809</v>
      </c>
      <c r="C710" s="22" t="str">
        <f t="shared" si="11"/>
        <v>'1809.HK'</v>
      </c>
      <c r="D710" s="22" t="s">
        <v>2360</v>
      </c>
      <c r="E710" s="22" t="s">
        <v>1122</v>
      </c>
      <c r="F710" s="22">
        <v>3863190800</v>
      </c>
      <c r="G710" s="22">
        <v>7</v>
      </c>
      <c r="H710" s="22" t="s">
        <v>2361</v>
      </c>
    </row>
    <row r="711" spans="1:8" x14ac:dyDescent="0.35">
      <c r="A711" s="22" t="s">
        <v>851</v>
      </c>
      <c r="B711" s="22" t="str">
        <f>"02342"</f>
        <v>02342</v>
      </c>
      <c r="C711" s="22" t="str">
        <f t="shared" si="11"/>
        <v>'2342.HK'</v>
      </c>
      <c r="D711" s="22" t="s">
        <v>2362</v>
      </c>
      <c r="E711" s="22" t="s">
        <v>938</v>
      </c>
      <c r="F711" s="22">
        <v>3836368491.8400002</v>
      </c>
      <c r="G711" s="22">
        <v>45</v>
      </c>
      <c r="H711" s="22" t="s">
        <v>2363</v>
      </c>
    </row>
    <row r="712" spans="1:8" x14ac:dyDescent="0.35">
      <c r="A712" s="22" t="s">
        <v>851</v>
      </c>
      <c r="B712" s="22" t="str">
        <f>"02163"</f>
        <v>02163</v>
      </c>
      <c r="C712" s="22" t="str">
        <f t="shared" si="11"/>
        <v>'2163.HK'</v>
      </c>
      <c r="D712" s="22" t="s">
        <v>2364</v>
      </c>
      <c r="E712" s="22" t="s">
        <v>1016</v>
      </c>
      <c r="F712" s="22">
        <v>3803587320</v>
      </c>
      <c r="G712" s="22">
        <v>19</v>
      </c>
      <c r="H712" s="22" t="s">
        <v>2365</v>
      </c>
    </row>
    <row r="713" spans="1:8" x14ac:dyDescent="0.35">
      <c r="A713" s="22" t="s">
        <v>851</v>
      </c>
      <c r="B713" s="22" t="str">
        <f>"06988"</f>
        <v>06988</v>
      </c>
      <c r="C713" s="22" t="str">
        <f t="shared" si="11"/>
        <v>'6988.HK'</v>
      </c>
      <c r="D713" s="22" t="s">
        <v>2366</v>
      </c>
      <c r="E713" s="22" t="s">
        <v>1627</v>
      </c>
      <c r="F713" s="22">
        <v>3795083520</v>
      </c>
      <c r="G713" s="22">
        <v>10</v>
      </c>
      <c r="H713" s="22" t="s">
        <v>2367</v>
      </c>
    </row>
    <row r="714" spans="1:8" x14ac:dyDescent="0.35">
      <c r="A714" s="22" t="s">
        <v>851</v>
      </c>
      <c r="B714" s="22" t="str">
        <f>"01817"</f>
        <v>01817</v>
      </c>
      <c r="C714" s="22" t="str">
        <f t="shared" si="11"/>
        <v>'1817.HK'</v>
      </c>
      <c r="D714" s="22" t="s">
        <v>2368</v>
      </c>
      <c r="E714" s="22" t="s">
        <v>1332</v>
      </c>
      <c r="F714" s="22">
        <v>3790500000</v>
      </c>
      <c r="G714" s="22">
        <v>8</v>
      </c>
      <c r="H714" s="22" t="s">
        <v>2369</v>
      </c>
    </row>
    <row r="715" spans="1:8" x14ac:dyDescent="0.35">
      <c r="A715" s="22" t="s">
        <v>851</v>
      </c>
      <c r="B715" s="22" t="str">
        <f>"01382"</f>
        <v>01382</v>
      </c>
      <c r="C715" s="22" t="str">
        <f t="shared" si="11"/>
        <v>'1382.HK'</v>
      </c>
      <c r="D715" s="22" t="s">
        <v>2370</v>
      </c>
      <c r="E715" s="22" t="s">
        <v>1914</v>
      </c>
      <c r="F715" s="22">
        <v>3774836280</v>
      </c>
      <c r="G715" s="22">
        <v>71</v>
      </c>
      <c r="H715" s="22" t="s">
        <v>2371</v>
      </c>
    </row>
    <row r="716" spans="1:8" x14ac:dyDescent="0.35">
      <c r="A716" s="22" t="s">
        <v>851</v>
      </c>
      <c r="B716" s="22" t="str">
        <f>"01708"</f>
        <v>01708</v>
      </c>
      <c r="C716" s="22" t="str">
        <f t="shared" si="11"/>
        <v>'1708.HK'</v>
      </c>
      <c r="D716" s="22" t="s">
        <v>2372</v>
      </c>
      <c r="E716" s="22" t="s">
        <v>1202</v>
      </c>
      <c r="F716" s="22">
        <v>3762277875</v>
      </c>
      <c r="G716" s="22">
        <v>12</v>
      </c>
      <c r="H716" s="22" t="s">
        <v>2373</v>
      </c>
    </row>
    <row r="717" spans="1:8" x14ac:dyDescent="0.35">
      <c r="A717" s="22" t="s">
        <v>851</v>
      </c>
      <c r="B717" s="22" t="str">
        <f>"01140"</f>
        <v>01140</v>
      </c>
      <c r="C717" s="22" t="str">
        <f t="shared" si="11"/>
        <v>'1140.HK'</v>
      </c>
      <c r="D717" s="22" t="s">
        <v>2374</v>
      </c>
      <c r="E717" s="22" t="s">
        <v>964</v>
      </c>
      <c r="F717" s="22">
        <v>3756052456.6500001</v>
      </c>
      <c r="G717" s="22">
        <v>6</v>
      </c>
      <c r="H717" s="22" t="s">
        <v>2375</v>
      </c>
    </row>
    <row r="718" spans="1:8" x14ac:dyDescent="0.35">
      <c r="A718" s="22" t="s">
        <v>851</v>
      </c>
      <c r="B718" s="22" t="str">
        <f>"00816"</f>
        <v>00816</v>
      </c>
      <c r="C718" s="22" t="str">
        <f t="shared" si="11"/>
        <v>'0816.HK'</v>
      </c>
      <c r="D718" s="22" t="s">
        <v>2376</v>
      </c>
      <c r="E718" s="22" t="s">
        <v>1104</v>
      </c>
      <c r="F718" s="22">
        <v>3707174900</v>
      </c>
      <c r="G718" s="22">
        <v>104</v>
      </c>
      <c r="H718" s="22" t="s">
        <v>2377</v>
      </c>
    </row>
    <row r="719" spans="1:8" x14ac:dyDescent="0.35">
      <c r="A719" s="22" t="s">
        <v>851</v>
      </c>
      <c r="B719" s="22" t="str">
        <f>"00517"</f>
        <v>00517</v>
      </c>
      <c r="C719" s="22" t="str">
        <f t="shared" si="11"/>
        <v>'0517.HK'</v>
      </c>
      <c r="D719" s="22" t="s">
        <v>2378</v>
      </c>
      <c r="E719" s="22" t="s">
        <v>1086</v>
      </c>
      <c r="F719" s="22">
        <v>3704233572.5</v>
      </c>
      <c r="G719" s="22">
        <v>46</v>
      </c>
      <c r="H719" s="22" t="s">
        <v>2379</v>
      </c>
    </row>
    <row r="720" spans="1:8" x14ac:dyDescent="0.35">
      <c r="A720" s="22" t="s">
        <v>851</v>
      </c>
      <c r="B720" s="22" t="str">
        <f>"01270"</f>
        <v>01270</v>
      </c>
      <c r="C720" s="22" t="str">
        <f t="shared" si="11"/>
        <v>'1270.HK'</v>
      </c>
      <c r="D720" s="22" t="s">
        <v>2380</v>
      </c>
      <c r="E720" s="22" t="s">
        <v>1070</v>
      </c>
      <c r="F720" s="22">
        <v>3666301048.48</v>
      </c>
      <c r="G720" s="22">
        <v>20</v>
      </c>
      <c r="H720" s="22" t="s">
        <v>2381</v>
      </c>
    </row>
    <row r="721" spans="1:8" x14ac:dyDescent="0.35">
      <c r="A721" s="22" t="s">
        <v>851</v>
      </c>
      <c r="B721" s="22" t="str">
        <f>"00098"</f>
        <v>00098</v>
      </c>
      <c r="C721" s="22" t="str">
        <f t="shared" si="11"/>
        <v>'0098.HK'</v>
      </c>
      <c r="D721" s="22" t="s">
        <v>2382</v>
      </c>
      <c r="E721" s="22" t="s">
        <v>1174</v>
      </c>
      <c r="F721" s="22">
        <v>3659647465.8000002</v>
      </c>
      <c r="G721" s="22">
        <v>41</v>
      </c>
      <c r="H721" s="22" t="s">
        <v>2383</v>
      </c>
    </row>
    <row r="722" spans="1:8" x14ac:dyDescent="0.35">
      <c r="A722" s="22" t="s">
        <v>851</v>
      </c>
      <c r="B722" s="22" t="str">
        <f>"00480"</f>
        <v>00480</v>
      </c>
      <c r="C722" s="22" t="str">
        <f t="shared" si="11"/>
        <v>'0480.HK'</v>
      </c>
      <c r="D722" s="22" t="s">
        <v>2384</v>
      </c>
      <c r="E722" s="22" t="s">
        <v>924</v>
      </c>
      <c r="F722" s="22">
        <v>3638989417.3499999</v>
      </c>
      <c r="G722" s="22">
        <v>30</v>
      </c>
      <c r="H722" s="22" t="s">
        <v>2385</v>
      </c>
    </row>
    <row r="723" spans="1:8" x14ac:dyDescent="0.35">
      <c r="A723" s="22" t="s">
        <v>851</v>
      </c>
      <c r="B723" s="22" t="str">
        <f>"00693"</f>
        <v>00693</v>
      </c>
      <c r="C723" s="22" t="str">
        <f t="shared" si="11"/>
        <v>'0693.HK'</v>
      </c>
      <c r="D723" s="22" t="s">
        <v>2386</v>
      </c>
      <c r="E723" s="22" t="s">
        <v>1089</v>
      </c>
      <c r="F723" s="22">
        <v>3623956200</v>
      </c>
      <c r="G723" s="22">
        <v>4</v>
      </c>
      <c r="H723" s="22" t="s">
        <v>2387</v>
      </c>
    </row>
    <row r="724" spans="1:8" x14ac:dyDescent="0.35">
      <c r="A724" s="22" t="s">
        <v>851</v>
      </c>
      <c r="B724" s="22" t="str">
        <f>"01426"</f>
        <v>01426</v>
      </c>
      <c r="C724" s="22" t="str">
        <f t="shared" si="11"/>
        <v>'1426.HK'</v>
      </c>
      <c r="D724" s="22" t="s">
        <v>2388</v>
      </c>
      <c r="F724" s="22">
        <v>3623232096.2800002</v>
      </c>
      <c r="G724" s="22">
        <v>60</v>
      </c>
      <c r="H724" s="22" t="s">
        <v>2389</v>
      </c>
    </row>
    <row r="725" spans="1:8" x14ac:dyDescent="0.35">
      <c r="A725" s="22" t="s">
        <v>851</v>
      </c>
      <c r="B725" s="22" t="str">
        <f>"06633"</f>
        <v>06633</v>
      </c>
      <c r="C725" s="22" t="str">
        <f t="shared" si="11"/>
        <v>'6633.HK'</v>
      </c>
      <c r="D725" s="22" t="s">
        <v>2390</v>
      </c>
      <c r="E725" s="22" t="s">
        <v>910</v>
      </c>
      <c r="F725" s="22">
        <v>3588005295</v>
      </c>
      <c r="G725" s="22">
        <v>2</v>
      </c>
      <c r="H725" s="22" t="s">
        <v>2391</v>
      </c>
    </row>
    <row r="726" spans="1:8" x14ac:dyDescent="0.35">
      <c r="A726" s="22" t="s">
        <v>851</v>
      </c>
      <c r="B726" s="22" t="str">
        <f>"06138"</f>
        <v>06138</v>
      </c>
      <c r="C726" s="22" t="str">
        <f t="shared" si="11"/>
        <v>'6138.HK'</v>
      </c>
      <c r="D726" s="22" t="s">
        <v>2392</v>
      </c>
      <c r="E726" s="22" t="s">
        <v>858</v>
      </c>
      <c r="F726" s="22">
        <v>3573569854.7249999</v>
      </c>
      <c r="G726" s="22">
        <v>86</v>
      </c>
      <c r="H726" s="22" t="s">
        <v>2393</v>
      </c>
    </row>
    <row r="727" spans="1:8" x14ac:dyDescent="0.35">
      <c r="A727" s="22" t="s">
        <v>851</v>
      </c>
      <c r="B727" s="22" t="str">
        <f>"03913"</f>
        <v>03913</v>
      </c>
      <c r="C727" s="22" t="str">
        <f t="shared" si="11"/>
        <v>'3913.HK'</v>
      </c>
      <c r="D727" s="22" t="s">
        <v>2394</v>
      </c>
      <c r="E727" s="22" t="s">
        <v>1104</v>
      </c>
      <c r="F727" s="22">
        <v>3565511692.1599998</v>
      </c>
      <c r="G727" s="22">
        <v>45</v>
      </c>
      <c r="H727" s="22" t="s">
        <v>2395</v>
      </c>
    </row>
    <row r="728" spans="1:8" x14ac:dyDescent="0.35">
      <c r="A728" s="22" t="s">
        <v>851</v>
      </c>
      <c r="B728" s="22" t="str">
        <f>"01330"</f>
        <v>01330</v>
      </c>
      <c r="C728" s="22" t="str">
        <f t="shared" si="11"/>
        <v>'1330.HK'</v>
      </c>
      <c r="D728" s="22" t="s">
        <v>2396</v>
      </c>
      <c r="E728" s="22" t="s">
        <v>1301</v>
      </c>
      <c r="F728" s="22">
        <v>3553290492.5999999</v>
      </c>
      <c r="G728" s="22">
        <v>89</v>
      </c>
      <c r="H728" s="22" t="s">
        <v>2397</v>
      </c>
    </row>
    <row r="729" spans="1:8" x14ac:dyDescent="0.35">
      <c r="A729" s="22" t="s">
        <v>851</v>
      </c>
      <c r="B729" s="22" t="str">
        <f>"02217"</f>
        <v>02217</v>
      </c>
      <c r="C729" s="22" t="str">
        <f t="shared" si="11"/>
        <v>'2217.HK'</v>
      </c>
      <c r="D729" s="22" t="s">
        <v>2398</v>
      </c>
      <c r="E729" s="22" t="s">
        <v>981</v>
      </c>
      <c r="F729" s="22">
        <v>3552603488.5</v>
      </c>
      <c r="G729" s="22">
        <v>5</v>
      </c>
      <c r="H729" s="22" t="s">
        <v>2399</v>
      </c>
    </row>
    <row r="730" spans="1:8" x14ac:dyDescent="0.35">
      <c r="A730" s="22" t="s">
        <v>851</v>
      </c>
      <c r="B730" s="22" t="str">
        <f>"01921"</f>
        <v>01921</v>
      </c>
      <c r="C730" s="22" t="str">
        <f t="shared" si="11"/>
        <v>'1921.HK'</v>
      </c>
      <c r="D730" s="22" t="s">
        <v>2400</v>
      </c>
      <c r="E730" s="22" t="s">
        <v>1294</v>
      </c>
      <c r="F730" s="22">
        <v>3521399800</v>
      </c>
      <c r="G730" s="22">
        <v>3</v>
      </c>
      <c r="H730" s="22" t="s">
        <v>2401</v>
      </c>
    </row>
    <row r="731" spans="1:8" x14ac:dyDescent="0.35">
      <c r="A731" s="22" t="s">
        <v>851</v>
      </c>
      <c r="B731" s="22" t="str">
        <f>"03382"</f>
        <v>03382</v>
      </c>
      <c r="C731" s="22" t="str">
        <f t="shared" si="11"/>
        <v>'3382.HK'</v>
      </c>
      <c r="D731" s="22" t="s">
        <v>2402</v>
      </c>
      <c r="E731" s="22" t="s">
        <v>1047</v>
      </c>
      <c r="F731" s="22">
        <v>3510060000</v>
      </c>
      <c r="G731" s="22">
        <v>56</v>
      </c>
      <c r="H731" s="22" t="s">
        <v>2403</v>
      </c>
    </row>
    <row r="732" spans="1:8" x14ac:dyDescent="0.35">
      <c r="A732" s="22" t="s">
        <v>851</v>
      </c>
      <c r="B732" s="22" t="str">
        <f>"08137"</f>
        <v>08137</v>
      </c>
      <c r="C732" s="22" t="str">
        <f t="shared" si="11"/>
        <v>'8137.HK'</v>
      </c>
      <c r="D732" s="22" t="s">
        <v>2404</v>
      </c>
      <c r="E732" s="22" t="s">
        <v>1145</v>
      </c>
      <c r="F732" s="22">
        <v>3498359430.1300001</v>
      </c>
      <c r="G732" s="22">
        <v>1</v>
      </c>
      <c r="H732" s="22" t="s">
        <v>2405</v>
      </c>
    </row>
    <row r="733" spans="1:8" x14ac:dyDescent="0.35">
      <c r="A733" s="22" t="s">
        <v>851</v>
      </c>
      <c r="B733" s="22" t="str">
        <f>"06996"</f>
        <v>06996</v>
      </c>
      <c r="C733" s="22" t="str">
        <f t="shared" si="11"/>
        <v>'6996.HK'</v>
      </c>
      <c r="D733" s="22" t="s">
        <v>2406</v>
      </c>
      <c r="E733" s="22" t="s">
        <v>969</v>
      </c>
      <c r="F733" s="22">
        <v>3475677031.5999999</v>
      </c>
      <c r="G733" s="22">
        <v>19</v>
      </c>
      <c r="H733" s="22" t="s">
        <v>2407</v>
      </c>
    </row>
    <row r="734" spans="1:8" x14ac:dyDescent="0.35">
      <c r="A734" s="22" t="s">
        <v>851</v>
      </c>
      <c r="B734" s="22" t="str">
        <f>"00799"</f>
        <v>00799</v>
      </c>
      <c r="C734" s="22" t="str">
        <f t="shared" si="11"/>
        <v>'0799.HK'</v>
      </c>
      <c r="D734" s="22" t="s">
        <v>2408</v>
      </c>
      <c r="E734" s="22" t="s">
        <v>910</v>
      </c>
      <c r="F734" s="22">
        <v>3460470391.1100001</v>
      </c>
      <c r="G734" s="22">
        <v>207</v>
      </c>
      <c r="H734" s="22" t="s">
        <v>2409</v>
      </c>
    </row>
    <row r="735" spans="1:8" x14ac:dyDescent="0.35">
      <c r="A735" s="22" t="s">
        <v>851</v>
      </c>
      <c r="B735" s="22" t="str">
        <f>"01635"</f>
        <v>01635</v>
      </c>
      <c r="C735" s="22" t="str">
        <f t="shared" si="11"/>
        <v>'1635.HK'</v>
      </c>
      <c r="D735" s="22" t="s">
        <v>2410</v>
      </c>
      <c r="E735" s="22" t="s">
        <v>1031</v>
      </c>
      <c r="F735" s="22">
        <v>3454348569.75</v>
      </c>
      <c r="G735" s="22">
        <v>33</v>
      </c>
      <c r="H735" s="22" t="s">
        <v>2411</v>
      </c>
    </row>
    <row r="736" spans="1:8" x14ac:dyDescent="0.35">
      <c r="A736" s="22" t="s">
        <v>851</v>
      </c>
      <c r="B736" s="22" t="str">
        <f>"01873"</f>
        <v>01873</v>
      </c>
      <c r="C736" s="22" t="str">
        <f t="shared" si="11"/>
        <v>'1873.HK'</v>
      </c>
      <c r="D736" s="22" t="s">
        <v>2412</v>
      </c>
      <c r="E736" s="22" t="s">
        <v>941</v>
      </c>
      <c r="F736" s="22">
        <v>3444365512.9000001</v>
      </c>
      <c r="G736" s="22">
        <v>59</v>
      </c>
      <c r="H736" s="22" t="s">
        <v>2413</v>
      </c>
    </row>
    <row r="737" spans="1:8" x14ac:dyDescent="0.35">
      <c r="A737" s="22" t="s">
        <v>851</v>
      </c>
      <c r="B737" s="22" t="str">
        <f>"01463"</f>
        <v>01463</v>
      </c>
      <c r="C737" s="22" t="str">
        <f t="shared" si="11"/>
        <v>'1463.HK'</v>
      </c>
      <c r="D737" s="22" t="s">
        <v>2414</v>
      </c>
      <c r="E737" s="22" t="s">
        <v>1671</v>
      </c>
      <c r="F737" s="22">
        <v>3400000000</v>
      </c>
      <c r="G737" s="22">
        <v>4</v>
      </c>
      <c r="H737" s="22" t="s">
        <v>2415</v>
      </c>
    </row>
    <row r="738" spans="1:8" x14ac:dyDescent="0.35">
      <c r="A738" s="22" t="s">
        <v>851</v>
      </c>
      <c r="B738" s="22" t="str">
        <f>"01428"</f>
        <v>01428</v>
      </c>
      <c r="C738" s="22" t="str">
        <f t="shared" si="11"/>
        <v>'1428.HK'</v>
      </c>
      <c r="D738" s="22" t="s">
        <v>2416</v>
      </c>
      <c r="E738" s="22" t="s">
        <v>1130</v>
      </c>
      <c r="F738" s="22">
        <v>3394592616</v>
      </c>
      <c r="G738" s="22">
        <v>29</v>
      </c>
      <c r="H738" s="22" t="s">
        <v>2417</v>
      </c>
    </row>
    <row r="739" spans="1:8" x14ac:dyDescent="0.35">
      <c r="A739" s="22" t="s">
        <v>851</v>
      </c>
      <c r="B739" s="22" t="str">
        <f>"02197"</f>
        <v>02197</v>
      </c>
      <c r="C739" s="22" t="str">
        <f t="shared" si="11"/>
        <v>'2197.HK'</v>
      </c>
      <c r="D739" s="22" t="s">
        <v>2418</v>
      </c>
      <c r="E739" s="22" t="s">
        <v>941</v>
      </c>
      <c r="F739" s="22">
        <v>3373777958.1300001</v>
      </c>
      <c r="G739" s="22">
        <v>6</v>
      </c>
      <c r="H739" s="22" t="s">
        <v>2419</v>
      </c>
    </row>
    <row r="740" spans="1:8" x14ac:dyDescent="0.35">
      <c r="A740" s="22" t="s">
        <v>851</v>
      </c>
      <c r="B740" s="22" t="str">
        <f>"00662"</f>
        <v>00662</v>
      </c>
      <c r="C740" s="22" t="str">
        <f t="shared" si="11"/>
        <v>'0662.HK'</v>
      </c>
      <c r="D740" s="22" t="s">
        <v>2420</v>
      </c>
      <c r="E740" s="22" t="s">
        <v>870</v>
      </c>
      <c r="F740" s="22">
        <v>3327308500</v>
      </c>
      <c r="G740" s="22">
        <v>5</v>
      </c>
      <c r="H740" s="22" t="s">
        <v>2421</v>
      </c>
    </row>
    <row r="741" spans="1:8" x14ac:dyDescent="0.35">
      <c r="A741" s="22" t="s">
        <v>851</v>
      </c>
      <c r="B741" s="22" t="str">
        <f>"01681"</f>
        <v>01681</v>
      </c>
      <c r="C741" s="22" t="str">
        <f t="shared" si="11"/>
        <v>'1681.HK'</v>
      </c>
      <c r="D741" s="22" t="s">
        <v>2422</v>
      </c>
      <c r="E741" s="22" t="s">
        <v>969</v>
      </c>
      <c r="F741" s="22">
        <v>3308588094.5999999</v>
      </c>
      <c r="G741" s="22">
        <v>51</v>
      </c>
      <c r="H741" s="22" t="s">
        <v>2423</v>
      </c>
    </row>
    <row r="742" spans="1:8" x14ac:dyDescent="0.35">
      <c r="A742" s="22" t="s">
        <v>851</v>
      </c>
      <c r="B742" s="22" t="str">
        <f>"00553"</f>
        <v>00553</v>
      </c>
      <c r="C742" s="22" t="str">
        <f t="shared" si="11"/>
        <v>'0553.HK'</v>
      </c>
      <c r="D742" s="22" t="s">
        <v>2424</v>
      </c>
      <c r="E742" s="22" t="s">
        <v>938</v>
      </c>
      <c r="F742" s="22">
        <v>3308095474.98</v>
      </c>
      <c r="G742" s="22">
        <v>33</v>
      </c>
      <c r="H742" s="22" t="s">
        <v>2425</v>
      </c>
    </row>
    <row r="743" spans="1:8" x14ac:dyDescent="0.35">
      <c r="A743" s="22" t="s">
        <v>851</v>
      </c>
      <c r="B743" s="22" t="str">
        <f>"01205"</f>
        <v>01205</v>
      </c>
      <c r="C743" s="22" t="str">
        <f t="shared" si="11"/>
        <v>'1205.HK'</v>
      </c>
      <c r="D743" s="22" t="s">
        <v>2426</v>
      </c>
      <c r="E743" s="22" t="s">
        <v>1060</v>
      </c>
      <c r="F743" s="22">
        <v>3300245402.5799999</v>
      </c>
      <c r="G743" s="22">
        <v>24</v>
      </c>
      <c r="H743" s="22" t="s">
        <v>2427</v>
      </c>
    </row>
    <row r="744" spans="1:8" x14ac:dyDescent="0.35">
      <c r="A744" s="22" t="s">
        <v>851</v>
      </c>
      <c r="B744" s="22" t="str">
        <f>"00105"</f>
        <v>00105</v>
      </c>
      <c r="C744" s="22" t="str">
        <f t="shared" si="11"/>
        <v>'0105.HK'</v>
      </c>
      <c r="D744" s="22" t="s">
        <v>2428</v>
      </c>
      <c r="E744" s="22" t="s">
        <v>1028</v>
      </c>
      <c r="F744" s="22">
        <v>3240000000</v>
      </c>
      <c r="G744" s="22">
        <v>8</v>
      </c>
      <c r="H744" s="22" t="s">
        <v>2429</v>
      </c>
    </row>
    <row r="745" spans="1:8" x14ac:dyDescent="0.35">
      <c r="A745" s="22" t="s">
        <v>851</v>
      </c>
      <c r="B745" s="22" t="str">
        <f>"00026"</f>
        <v>00026</v>
      </c>
      <c r="C745" s="22" t="str">
        <f t="shared" si="11"/>
        <v>'0026.HK'</v>
      </c>
      <c r="D745" s="22" t="s">
        <v>2430</v>
      </c>
      <c r="E745" s="22" t="s">
        <v>1028</v>
      </c>
      <c r="F745" s="22">
        <v>3230464392.8000002</v>
      </c>
      <c r="G745" s="22">
        <v>19</v>
      </c>
      <c r="H745" s="22" t="s">
        <v>2431</v>
      </c>
    </row>
    <row r="746" spans="1:8" x14ac:dyDescent="0.35">
      <c r="A746" s="22" t="s">
        <v>851</v>
      </c>
      <c r="B746" s="22" t="str">
        <f>"09990"</f>
        <v>09990</v>
      </c>
      <c r="C746" s="22" t="str">
        <f t="shared" si="11"/>
        <v>'9990.HK'</v>
      </c>
      <c r="D746" s="22" t="s">
        <v>2432</v>
      </c>
      <c r="E746" s="22" t="s">
        <v>910</v>
      </c>
      <c r="F746" s="22">
        <v>3190788334.8000002</v>
      </c>
      <c r="G746" s="22">
        <v>23</v>
      </c>
      <c r="H746" s="22" t="s">
        <v>2433</v>
      </c>
    </row>
    <row r="747" spans="1:8" x14ac:dyDescent="0.35">
      <c r="A747" s="22" t="s">
        <v>851</v>
      </c>
      <c r="B747" s="22" t="str">
        <f>"01785"</f>
        <v>01785</v>
      </c>
      <c r="C747" s="22" t="str">
        <f t="shared" si="11"/>
        <v>'1785.HK'</v>
      </c>
      <c r="D747" s="22" t="s">
        <v>2434</v>
      </c>
      <c r="E747" s="22" t="s">
        <v>1367</v>
      </c>
      <c r="F747" s="22">
        <v>3179715840</v>
      </c>
      <c r="G747" s="22">
        <v>17</v>
      </c>
      <c r="H747" s="22" t="s">
        <v>2435</v>
      </c>
    </row>
    <row r="748" spans="1:8" x14ac:dyDescent="0.35">
      <c r="A748" s="22" t="s">
        <v>851</v>
      </c>
      <c r="B748" s="22" t="str">
        <f>"02322"</f>
        <v>02322</v>
      </c>
      <c r="C748" s="22" t="str">
        <f t="shared" si="11"/>
        <v>'2322.HK'</v>
      </c>
      <c r="D748" s="22" t="s">
        <v>2436</v>
      </c>
      <c r="E748" s="22" t="s">
        <v>1600</v>
      </c>
      <c r="F748" s="22">
        <v>3172862000</v>
      </c>
      <c r="G748" s="22">
        <v>1</v>
      </c>
      <c r="H748" s="22" t="s">
        <v>2437</v>
      </c>
    </row>
    <row r="749" spans="1:8" x14ac:dyDescent="0.35">
      <c r="A749" s="22" t="s">
        <v>851</v>
      </c>
      <c r="B749" s="22" t="str">
        <f>"01848"</f>
        <v>01848</v>
      </c>
      <c r="C749" s="22" t="str">
        <f t="shared" si="11"/>
        <v>'1848.HK'</v>
      </c>
      <c r="D749" s="22" t="s">
        <v>2438</v>
      </c>
      <c r="E749" s="22" t="s">
        <v>1081</v>
      </c>
      <c r="F749" s="22">
        <v>3156066692.48</v>
      </c>
      <c r="G749" s="22">
        <v>107</v>
      </c>
      <c r="H749" s="22" t="s">
        <v>2439</v>
      </c>
    </row>
    <row r="750" spans="1:8" x14ac:dyDescent="0.35">
      <c r="A750" s="22" t="s">
        <v>851</v>
      </c>
      <c r="B750" s="22" t="str">
        <f>"00258"</f>
        <v>00258</v>
      </c>
      <c r="C750" s="22" t="str">
        <f t="shared" si="11"/>
        <v>'0258.HK'</v>
      </c>
      <c r="D750" s="22" t="s">
        <v>2440</v>
      </c>
      <c r="E750" s="22" t="s">
        <v>924</v>
      </c>
      <c r="F750" s="22">
        <v>3153640200</v>
      </c>
      <c r="G750" s="22">
        <v>43</v>
      </c>
      <c r="H750" s="22" t="s">
        <v>2441</v>
      </c>
    </row>
    <row r="751" spans="1:8" x14ac:dyDescent="0.35">
      <c r="A751" s="22" t="s">
        <v>851</v>
      </c>
      <c r="B751" s="22" t="str">
        <f>"01855"</f>
        <v>01855</v>
      </c>
      <c r="C751" s="22" t="str">
        <f t="shared" si="11"/>
        <v>'1855.HK'</v>
      </c>
      <c r="D751" s="22" t="s">
        <v>2442</v>
      </c>
      <c r="E751" s="22" t="s">
        <v>1634</v>
      </c>
      <c r="F751" s="22">
        <v>3129500000</v>
      </c>
      <c r="G751" s="22">
        <v>4</v>
      </c>
      <c r="H751" s="22" t="s">
        <v>2443</v>
      </c>
    </row>
    <row r="752" spans="1:8" x14ac:dyDescent="0.35">
      <c r="A752" s="22" t="s">
        <v>851</v>
      </c>
      <c r="B752" s="22" t="str">
        <f>"02219"</f>
        <v>02219</v>
      </c>
      <c r="C752" s="22" t="str">
        <f t="shared" si="11"/>
        <v>'2219.HK'</v>
      </c>
      <c r="D752" s="22" t="s">
        <v>2444</v>
      </c>
      <c r="E752" s="22" t="s">
        <v>1362</v>
      </c>
      <c r="F752" s="22">
        <v>3127702500</v>
      </c>
      <c r="G752" s="22">
        <v>11</v>
      </c>
      <c r="H752" s="22" t="s">
        <v>2445</v>
      </c>
    </row>
    <row r="753" spans="1:8" x14ac:dyDescent="0.35">
      <c r="A753" s="22" t="s">
        <v>851</v>
      </c>
      <c r="B753" s="22" t="str">
        <f>"00810"</f>
        <v>00810</v>
      </c>
      <c r="C753" s="22" t="str">
        <f t="shared" si="11"/>
        <v>'0810.HK'</v>
      </c>
      <c r="D753" s="22" t="s">
        <v>2446</v>
      </c>
      <c r="E753" s="22" t="s">
        <v>964</v>
      </c>
      <c r="F753" s="22">
        <v>3118381273.3499999</v>
      </c>
      <c r="G753" s="22">
        <v>39</v>
      </c>
      <c r="H753" s="22" t="s">
        <v>2447</v>
      </c>
    </row>
    <row r="754" spans="1:8" x14ac:dyDescent="0.35">
      <c r="A754" s="22" t="s">
        <v>851</v>
      </c>
      <c r="B754" s="22" t="str">
        <f>"00563"</f>
        <v>00563</v>
      </c>
      <c r="C754" s="22" t="str">
        <f t="shared" si="11"/>
        <v>'0563.HK'</v>
      </c>
      <c r="D754" s="22" t="s">
        <v>2448</v>
      </c>
      <c r="E754" s="22" t="s">
        <v>924</v>
      </c>
      <c r="F754" s="22">
        <v>3076046840.96</v>
      </c>
      <c r="G754" s="22">
        <v>49</v>
      </c>
      <c r="H754" s="22" t="s">
        <v>2449</v>
      </c>
    </row>
    <row r="755" spans="1:8" x14ac:dyDescent="0.35">
      <c r="A755" s="22" t="s">
        <v>851</v>
      </c>
      <c r="B755" s="22" t="str">
        <f>"00108"</f>
        <v>00108</v>
      </c>
      <c r="C755" s="22" t="str">
        <f t="shared" si="11"/>
        <v>'0108.HK'</v>
      </c>
      <c r="D755" s="22" t="s">
        <v>2450</v>
      </c>
      <c r="E755" s="22" t="s">
        <v>1104</v>
      </c>
      <c r="F755" s="22">
        <v>3071399026.5599999</v>
      </c>
      <c r="G755" s="22">
        <v>12</v>
      </c>
      <c r="H755" s="22" t="s">
        <v>2451</v>
      </c>
    </row>
    <row r="756" spans="1:8" x14ac:dyDescent="0.35">
      <c r="A756" s="22" t="s">
        <v>851</v>
      </c>
      <c r="B756" s="22" t="str">
        <f>"01233"</f>
        <v>01233</v>
      </c>
      <c r="C756" s="22" t="str">
        <f t="shared" si="11"/>
        <v>'1233.HK'</v>
      </c>
      <c r="D756" s="22" t="s">
        <v>2452</v>
      </c>
      <c r="E756" s="22" t="s">
        <v>924</v>
      </c>
      <c r="F756" s="22">
        <v>3068651416.9400001</v>
      </c>
      <c r="G756" s="22">
        <v>203</v>
      </c>
      <c r="H756" s="22" t="s">
        <v>2453</v>
      </c>
    </row>
    <row r="757" spans="1:8" x14ac:dyDescent="0.35">
      <c r="A757" s="22" t="s">
        <v>851</v>
      </c>
      <c r="B757" s="22" t="str">
        <f>"00989"</f>
        <v>00989</v>
      </c>
      <c r="C757" s="22" t="str">
        <f t="shared" si="11"/>
        <v>'0989.HK'</v>
      </c>
      <c r="D757" s="22" t="s">
        <v>2454</v>
      </c>
      <c r="E757" s="22" t="s">
        <v>924</v>
      </c>
      <c r="F757" s="22">
        <v>3061546493.4000001</v>
      </c>
      <c r="G757" s="22">
        <v>7</v>
      </c>
      <c r="H757" s="22" t="s">
        <v>2455</v>
      </c>
    </row>
    <row r="758" spans="1:8" x14ac:dyDescent="0.35">
      <c r="A758" s="22" t="s">
        <v>851</v>
      </c>
      <c r="B758" s="22" t="str">
        <f>"02337"</f>
        <v>02337</v>
      </c>
      <c r="C758" s="22" t="str">
        <f t="shared" si="11"/>
        <v>'2337.HK'</v>
      </c>
      <c r="D758" s="22" t="s">
        <v>2456</v>
      </c>
      <c r="E758" s="22" t="s">
        <v>1031</v>
      </c>
      <c r="F758" s="22">
        <v>3059681340</v>
      </c>
      <c r="G758" s="22">
        <v>7</v>
      </c>
      <c r="H758" s="22" t="s">
        <v>2457</v>
      </c>
    </row>
    <row r="759" spans="1:8" x14ac:dyDescent="0.35">
      <c r="A759" s="22" t="s">
        <v>851</v>
      </c>
      <c r="B759" s="22" t="str">
        <f>"00808"</f>
        <v>00808</v>
      </c>
      <c r="C759" s="22" t="str">
        <f t="shared" si="11"/>
        <v>'0808.HK'</v>
      </c>
      <c r="D759" s="22" t="s">
        <v>2458</v>
      </c>
      <c r="F759" s="22">
        <v>3047091735.0999999</v>
      </c>
      <c r="G759" s="22">
        <v>74</v>
      </c>
      <c r="H759" s="22" t="s">
        <v>2459</v>
      </c>
    </row>
    <row r="760" spans="1:8" x14ac:dyDescent="0.35">
      <c r="A760" s="22" t="s">
        <v>851</v>
      </c>
      <c r="B760" s="22" t="str">
        <f>"00588"</f>
        <v>00588</v>
      </c>
      <c r="C760" s="22" t="str">
        <f t="shared" si="11"/>
        <v>'0588.HK'</v>
      </c>
      <c r="D760" s="22" t="s">
        <v>2460</v>
      </c>
      <c r="E760" s="22" t="s">
        <v>924</v>
      </c>
      <c r="F760" s="22">
        <v>3030318000</v>
      </c>
      <c r="G760" s="22">
        <v>71</v>
      </c>
      <c r="H760" s="22" t="s">
        <v>2461</v>
      </c>
    </row>
    <row r="761" spans="1:8" x14ac:dyDescent="0.35">
      <c r="A761" s="22" t="s">
        <v>851</v>
      </c>
      <c r="B761" s="22" t="str">
        <f>"03318"</f>
        <v>03318</v>
      </c>
      <c r="C761" s="22" t="str">
        <f t="shared" si="11"/>
        <v>'3318.HK'</v>
      </c>
      <c r="D761" s="22" t="s">
        <v>2462</v>
      </c>
      <c r="E761" s="22" t="s">
        <v>1451</v>
      </c>
      <c r="F761" s="22">
        <v>3014628887.3400002</v>
      </c>
      <c r="G761" s="22">
        <v>11</v>
      </c>
      <c r="H761" s="22" t="s">
        <v>2463</v>
      </c>
    </row>
    <row r="762" spans="1:8" x14ac:dyDescent="0.35">
      <c r="A762" s="22" t="s">
        <v>851</v>
      </c>
      <c r="B762" s="22" t="str">
        <f>"01628"</f>
        <v>01628</v>
      </c>
      <c r="C762" s="22" t="str">
        <f t="shared" si="11"/>
        <v>'1628.HK'</v>
      </c>
      <c r="D762" s="22" t="s">
        <v>2464</v>
      </c>
      <c r="E762" s="22" t="s">
        <v>924</v>
      </c>
      <c r="F762" s="22">
        <v>3010198370</v>
      </c>
      <c r="G762" s="22">
        <v>114</v>
      </c>
      <c r="H762" s="22" t="s">
        <v>2465</v>
      </c>
    </row>
    <row r="763" spans="1:8" x14ac:dyDescent="0.35">
      <c r="A763" s="22" t="s">
        <v>851</v>
      </c>
      <c r="B763" s="22" t="str">
        <f>"01084"</f>
        <v>01084</v>
      </c>
      <c r="C763" s="22" t="str">
        <f t="shared" si="11"/>
        <v>'1084.HK'</v>
      </c>
      <c r="D763" s="22" t="s">
        <v>2466</v>
      </c>
      <c r="E763" s="22" t="s">
        <v>1451</v>
      </c>
      <c r="F763" s="22">
        <v>3003931840</v>
      </c>
      <c r="G763" s="22">
        <v>6</v>
      </c>
      <c r="H763" s="22" t="s">
        <v>2467</v>
      </c>
    </row>
    <row r="764" spans="1:8" x14ac:dyDescent="0.35">
      <c r="A764" s="22" t="s">
        <v>851</v>
      </c>
      <c r="B764" s="22" t="str">
        <f>"00798"</f>
        <v>00798</v>
      </c>
      <c r="C764" s="22" t="str">
        <f t="shared" si="11"/>
        <v>'0798.HK'</v>
      </c>
      <c r="D764" s="22" t="s">
        <v>2468</v>
      </c>
      <c r="E764" s="22" t="s">
        <v>1104</v>
      </c>
      <c r="F764" s="22">
        <v>2991869040</v>
      </c>
      <c r="G764" s="22">
        <v>27</v>
      </c>
      <c r="H764" s="22" t="s">
        <v>2469</v>
      </c>
    </row>
    <row r="765" spans="1:8" x14ac:dyDescent="0.35">
      <c r="A765" s="22" t="s">
        <v>851</v>
      </c>
      <c r="B765" s="22" t="str">
        <f>"01050"</f>
        <v>01050</v>
      </c>
      <c r="C765" s="22" t="str">
        <f t="shared" si="11"/>
        <v>'1050.HK'</v>
      </c>
      <c r="D765" s="22" t="s">
        <v>2470</v>
      </c>
      <c r="E765" s="22" t="s">
        <v>1152</v>
      </c>
      <c r="F765" s="22">
        <v>2991537616</v>
      </c>
      <c r="G765" s="22">
        <v>6</v>
      </c>
      <c r="H765" s="22" t="s">
        <v>2471</v>
      </c>
    </row>
    <row r="766" spans="1:8" x14ac:dyDescent="0.35">
      <c r="A766" s="22" t="s">
        <v>851</v>
      </c>
      <c r="B766" s="22" t="str">
        <f>"02448"</f>
        <v>02448</v>
      </c>
      <c r="C766" s="22" t="str">
        <f t="shared" si="11"/>
        <v>'2448.HK'</v>
      </c>
      <c r="D766" s="22" t="s">
        <v>2472</v>
      </c>
      <c r="E766" s="22" t="s">
        <v>1634</v>
      </c>
      <c r="F766" s="22">
        <v>2974140000</v>
      </c>
      <c r="G766" s="22">
        <v>7</v>
      </c>
      <c r="H766" s="22" t="s">
        <v>2473</v>
      </c>
    </row>
    <row r="767" spans="1:8" x14ac:dyDescent="0.35">
      <c r="A767" s="22" t="s">
        <v>851</v>
      </c>
      <c r="B767" s="22" t="str">
        <f>"01098"</f>
        <v>01098</v>
      </c>
      <c r="C767" s="22" t="str">
        <f t="shared" si="11"/>
        <v>'1098.HK'</v>
      </c>
      <c r="D767" s="22" t="s">
        <v>2474</v>
      </c>
      <c r="E767" s="22" t="s">
        <v>924</v>
      </c>
      <c r="F767" s="22">
        <v>2967372801.3600001</v>
      </c>
      <c r="G767" s="22">
        <v>153</v>
      </c>
      <c r="H767" s="22" t="s">
        <v>2475</v>
      </c>
    </row>
    <row r="768" spans="1:8" x14ac:dyDescent="0.35">
      <c r="A768" s="22" t="s">
        <v>851</v>
      </c>
      <c r="B768" s="22" t="str">
        <f>"06667"</f>
        <v>06667</v>
      </c>
      <c r="C768" s="22" t="str">
        <f t="shared" si="11"/>
        <v>'6667.HK'</v>
      </c>
      <c r="D768" s="22" t="s">
        <v>2476</v>
      </c>
      <c r="E768" s="22" t="s">
        <v>941</v>
      </c>
      <c r="F768" s="22">
        <v>2956929768</v>
      </c>
      <c r="G768" s="22">
        <v>1</v>
      </c>
      <c r="H768" s="22" t="s">
        <v>2477</v>
      </c>
    </row>
    <row r="769" spans="1:8" x14ac:dyDescent="0.35">
      <c r="A769" s="22" t="s">
        <v>851</v>
      </c>
      <c r="B769" s="22" t="str">
        <f>"00259"</f>
        <v>00259</v>
      </c>
      <c r="C769" s="22" t="str">
        <f t="shared" si="11"/>
        <v>'0259.HK'</v>
      </c>
      <c r="D769" s="22" t="s">
        <v>2478</v>
      </c>
      <c r="E769" s="22" t="s">
        <v>1167</v>
      </c>
      <c r="F769" s="22">
        <v>2953911660</v>
      </c>
      <c r="G769" s="22">
        <v>8</v>
      </c>
      <c r="H769" s="22" t="s">
        <v>2479</v>
      </c>
    </row>
    <row r="770" spans="1:8" x14ac:dyDescent="0.35">
      <c r="A770" s="22" t="s">
        <v>851</v>
      </c>
      <c r="B770" s="22" t="str">
        <f>"01034"</f>
        <v>01034</v>
      </c>
      <c r="C770" s="22" t="str">
        <f t="shared" si="11"/>
        <v>'1034.HK'</v>
      </c>
      <c r="D770" s="22" t="s">
        <v>2480</v>
      </c>
      <c r="E770" s="22" t="s">
        <v>1078</v>
      </c>
      <c r="F770" s="22">
        <v>2928000000</v>
      </c>
      <c r="G770" s="22">
        <v>2</v>
      </c>
      <c r="H770" s="22" t="s">
        <v>2481</v>
      </c>
    </row>
    <row r="771" spans="1:8" x14ac:dyDescent="0.35">
      <c r="A771" s="22" t="s">
        <v>851</v>
      </c>
      <c r="B771" s="22" t="str">
        <f>"01272"</f>
        <v>01272</v>
      </c>
      <c r="C771" s="22" t="str">
        <f t="shared" ref="C771:C834" si="12">CONCATENATE("'",RIGHT(B771,4),".HK'")</f>
        <v>'1272.HK'</v>
      </c>
      <c r="D771" s="22" t="s">
        <v>2482</v>
      </c>
      <c r="E771" s="22" t="s">
        <v>1301</v>
      </c>
      <c r="F771" s="22">
        <v>2848840320</v>
      </c>
      <c r="G771" s="22">
        <v>20</v>
      </c>
      <c r="H771" s="22" t="s">
        <v>2483</v>
      </c>
    </row>
    <row r="772" spans="1:8" x14ac:dyDescent="0.35">
      <c r="A772" s="22" t="s">
        <v>851</v>
      </c>
      <c r="B772" s="22" t="str">
        <f>"00607"</f>
        <v>00607</v>
      </c>
      <c r="C772" s="22" t="str">
        <f t="shared" si="12"/>
        <v>'0607.HK'</v>
      </c>
      <c r="D772" s="22" t="s">
        <v>2484</v>
      </c>
      <c r="E772" s="22" t="s">
        <v>1301</v>
      </c>
      <c r="F772" s="22">
        <v>2838945050.217</v>
      </c>
      <c r="G772" s="22">
        <v>20</v>
      </c>
      <c r="H772" s="22" t="s">
        <v>2485</v>
      </c>
    </row>
    <row r="773" spans="1:8" x14ac:dyDescent="0.35">
      <c r="A773" s="22" t="s">
        <v>851</v>
      </c>
      <c r="B773" s="22" t="str">
        <f>"02215"</f>
        <v>02215</v>
      </c>
      <c r="C773" s="22" t="str">
        <f t="shared" si="12"/>
        <v>'2215.HK'</v>
      </c>
      <c r="D773" s="22" t="s">
        <v>2486</v>
      </c>
      <c r="E773" s="22" t="s">
        <v>1104</v>
      </c>
      <c r="F773" s="22">
        <v>2838696900</v>
      </c>
      <c r="G773" s="22">
        <v>10</v>
      </c>
      <c r="H773" s="22" t="s">
        <v>2487</v>
      </c>
    </row>
    <row r="774" spans="1:8" x14ac:dyDescent="0.35">
      <c r="A774" s="22" t="s">
        <v>851</v>
      </c>
      <c r="B774" s="22" t="str">
        <f>"00305"</f>
        <v>00305</v>
      </c>
      <c r="C774" s="22" t="str">
        <f t="shared" si="12"/>
        <v>'0305.HK'</v>
      </c>
      <c r="D774" s="22" t="s">
        <v>2488</v>
      </c>
      <c r="E774" s="22" t="s">
        <v>1122</v>
      </c>
      <c r="F774" s="22">
        <v>2836418745.52</v>
      </c>
      <c r="G774" s="22">
        <v>31</v>
      </c>
      <c r="H774" s="22" t="s">
        <v>2489</v>
      </c>
    </row>
    <row r="775" spans="1:8" x14ac:dyDescent="0.35">
      <c r="A775" s="22" t="s">
        <v>851</v>
      </c>
      <c r="B775" s="22" t="str">
        <f>"00050"</f>
        <v>00050</v>
      </c>
      <c r="C775" s="22" t="str">
        <f t="shared" si="12"/>
        <v>'0050.HK'</v>
      </c>
      <c r="D775" s="22" t="s">
        <v>2490</v>
      </c>
      <c r="E775" s="22" t="s">
        <v>1028</v>
      </c>
      <c r="F775" s="22">
        <v>2832377369.8499999</v>
      </c>
      <c r="G775" s="22">
        <v>18</v>
      </c>
      <c r="H775" s="22" t="s">
        <v>2491</v>
      </c>
    </row>
    <row r="776" spans="1:8" x14ac:dyDescent="0.35">
      <c r="A776" s="22" t="s">
        <v>851</v>
      </c>
      <c r="B776" s="22" t="str">
        <f>"01345"</f>
        <v>01345</v>
      </c>
      <c r="C776" s="22" t="str">
        <f t="shared" si="12"/>
        <v>'1345.HK'</v>
      </c>
      <c r="D776" s="22" t="s">
        <v>2492</v>
      </c>
      <c r="E776" s="22" t="s">
        <v>969</v>
      </c>
      <c r="F776" s="22">
        <v>2829255750</v>
      </c>
      <c r="G776" s="22">
        <v>22</v>
      </c>
      <c r="H776" s="22" t="s">
        <v>2493</v>
      </c>
    </row>
    <row r="777" spans="1:8" x14ac:dyDescent="0.35">
      <c r="A777" s="22" t="s">
        <v>851</v>
      </c>
      <c r="B777" s="22" t="str">
        <f>"02420"</f>
        <v>02420</v>
      </c>
      <c r="C777" s="22" t="str">
        <f t="shared" si="12"/>
        <v>'2420.HK'</v>
      </c>
      <c r="D777" s="22" t="s">
        <v>2494</v>
      </c>
      <c r="E777" s="22" t="s">
        <v>853</v>
      </c>
      <c r="F777" s="22">
        <v>2825000000</v>
      </c>
      <c r="H777" s="22" t="s">
        <v>2495</v>
      </c>
    </row>
    <row r="778" spans="1:8" x14ac:dyDescent="0.35">
      <c r="A778" s="22" t="s">
        <v>851</v>
      </c>
      <c r="B778" s="22" t="str">
        <f>"08279"</f>
        <v>08279</v>
      </c>
      <c r="C778" s="22" t="str">
        <f t="shared" si="12"/>
        <v>'8279.HK'</v>
      </c>
      <c r="D778" s="22" t="s">
        <v>2496</v>
      </c>
      <c r="E778" s="22" t="s">
        <v>961</v>
      </c>
      <c r="F778" s="22">
        <v>2824706820.8699999</v>
      </c>
      <c r="G778" s="22">
        <v>6</v>
      </c>
      <c r="H778" s="22" t="s">
        <v>2497</v>
      </c>
    </row>
    <row r="779" spans="1:8" x14ac:dyDescent="0.35">
      <c r="A779" s="22" t="s">
        <v>851</v>
      </c>
      <c r="B779" s="22" t="str">
        <f>"00078"</f>
        <v>00078</v>
      </c>
      <c r="C779" s="22" t="str">
        <f t="shared" si="12"/>
        <v>'0078.HK'</v>
      </c>
      <c r="D779" s="22" t="s">
        <v>2498</v>
      </c>
      <c r="E779" s="22" t="s">
        <v>1070</v>
      </c>
      <c r="F779" s="22">
        <v>2786225232.3000002</v>
      </c>
      <c r="G779" s="22">
        <v>10</v>
      </c>
      <c r="H779" s="22" t="s">
        <v>2499</v>
      </c>
    </row>
    <row r="780" spans="1:8" x14ac:dyDescent="0.35">
      <c r="A780" s="22" t="s">
        <v>851</v>
      </c>
      <c r="B780" s="22" t="str">
        <f>"00580"</f>
        <v>00580</v>
      </c>
      <c r="C780" s="22" t="str">
        <f t="shared" si="12"/>
        <v>'0580.HK'</v>
      </c>
      <c r="D780" s="22" t="s">
        <v>2500</v>
      </c>
      <c r="E780" s="22" t="s">
        <v>1224</v>
      </c>
      <c r="F780" s="22">
        <v>2772067600</v>
      </c>
      <c r="G780" s="22">
        <v>15</v>
      </c>
      <c r="H780" s="22" t="s">
        <v>2501</v>
      </c>
    </row>
    <row r="781" spans="1:8" x14ac:dyDescent="0.35">
      <c r="A781" s="22" t="s">
        <v>851</v>
      </c>
      <c r="B781" s="22" t="str">
        <f>"06677"</f>
        <v>06677</v>
      </c>
      <c r="C781" s="22" t="str">
        <f t="shared" si="12"/>
        <v>'6677.HK'</v>
      </c>
      <c r="D781" s="22" t="s">
        <v>2502</v>
      </c>
      <c r="E781" s="22" t="s">
        <v>1104</v>
      </c>
      <c r="F781" s="22">
        <v>2770560000</v>
      </c>
      <c r="G781" s="22">
        <v>26</v>
      </c>
      <c r="H781" s="22" t="s">
        <v>2503</v>
      </c>
    </row>
    <row r="782" spans="1:8" x14ac:dyDescent="0.35">
      <c r="A782" s="22" t="s">
        <v>851</v>
      </c>
      <c r="B782" s="22" t="str">
        <f>"03833"</f>
        <v>03833</v>
      </c>
      <c r="C782" s="22" t="str">
        <f t="shared" si="12"/>
        <v>'3833.HK'</v>
      </c>
      <c r="D782" s="22" t="s">
        <v>2504</v>
      </c>
      <c r="E782" s="22" t="s">
        <v>1060</v>
      </c>
      <c r="F782" s="22">
        <v>2762500000</v>
      </c>
      <c r="G782" s="22">
        <v>13</v>
      </c>
      <c r="H782" s="22" t="s">
        <v>2505</v>
      </c>
    </row>
    <row r="783" spans="1:8" x14ac:dyDescent="0.35">
      <c r="A783" s="22" t="s">
        <v>851</v>
      </c>
      <c r="B783" s="22" t="str">
        <f>"02772"</f>
        <v>02772</v>
      </c>
      <c r="C783" s="22" t="str">
        <f t="shared" si="12"/>
        <v>'2772.HK'</v>
      </c>
      <c r="D783" s="22" t="s">
        <v>2506</v>
      </c>
      <c r="E783" s="22" t="s">
        <v>924</v>
      </c>
      <c r="F783" s="22">
        <v>2757979455</v>
      </c>
      <c r="G783" s="22">
        <v>37</v>
      </c>
      <c r="H783" s="22" t="s">
        <v>2507</v>
      </c>
    </row>
    <row r="784" spans="1:8" x14ac:dyDescent="0.35">
      <c r="A784" s="22" t="s">
        <v>851</v>
      </c>
      <c r="B784" s="22" t="str">
        <f>"02225"</f>
        <v>02225</v>
      </c>
      <c r="C784" s="22" t="str">
        <f t="shared" si="12"/>
        <v>'2225.HK'</v>
      </c>
      <c r="D784" s="22" t="s">
        <v>2508</v>
      </c>
      <c r="E784" s="22" t="s">
        <v>1671</v>
      </c>
      <c r="F784" s="22">
        <v>2755200000</v>
      </c>
      <c r="G784" s="22">
        <v>2</v>
      </c>
      <c r="H784" s="22" t="s">
        <v>2509</v>
      </c>
    </row>
    <row r="785" spans="1:8" x14ac:dyDescent="0.35">
      <c r="A785" s="22" t="s">
        <v>851</v>
      </c>
      <c r="B785" s="22" t="str">
        <f>"00194"</f>
        <v>00194</v>
      </c>
      <c r="C785" s="22" t="str">
        <f t="shared" si="12"/>
        <v>'0194.HK'</v>
      </c>
      <c r="D785" s="22" t="s">
        <v>2510</v>
      </c>
      <c r="E785" s="22" t="s">
        <v>1028</v>
      </c>
      <c r="F785" s="22">
        <v>2744729940</v>
      </c>
      <c r="G785" s="22">
        <v>22</v>
      </c>
      <c r="H785" s="22" t="s">
        <v>2511</v>
      </c>
    </row>
    <row r="786" spans="1:8" x14ac:dyDescent="0.35">
      <c r="A786" s="22" t="s">
        <v>851</v>
      </c>
      <c r="B786" s="22" t="str">
        <f>"02385"</f>
        <v>02385</v>
      </c>
      <c r="C786" s="22" t="str">
        <f t="shared" si="12"/>
        <v>'2385.HK'</v>
      </c>
      <c r="D786" s="22" t="s">
        <v>2512</v>
      </c>
      <c r="E786" s="22" t="s">
        <v>1270</v>
      </c>
      <c r="F786" s="22">
        <v>2742080000</v>
      </c>
      <c r="G786" s="22">
        <v>1</v>
      </c>
      <c r="H786" s="22" t="s">
        <v>2513</v>
      </c>
    </row>
    <row r="787" spans="1:8" x14ac:dyDescent="0.35">
      <c r="A787" s="22" t="s">
        <v>851</v>
      </c>
      <c r="B787" s="22" t="str">
        <f>"01651"</f>
        <v>01651</v>
      </c>
      <c r="C787" s="22" t="str">
        <f t="shared" si="12"/>
        <v>'1651.HK'</v>
      </c>
      <c r="D787" s="22" t="s">
        <v>2514</v>
      </c>
      <c r="E787" s="22" t="s">
        <v>1224</v>
      </c>
      <c r="F787" s="22">
        <v>2741788800</v>
      </c>
      <c r="G787" s="22">
        <v>11</v>
      </c>
      <c r="H787" s="22" t="s">
        <v>2515</v>
      </c>
    </row>
    <row r="788" spans="1:8" x14ac:dyDescent="0.35">
      <c r="A788" s="22" t="s">
        <v>851</v>
      </c>
      <c r="B788" s="22" t="str">
        <f>"00807"</f>
        <v>00807</v>
      </c>
      <c r="C788" s="22" t="str">
        <f t="shared" si="12"/>
        <v>'0807.HK'</v>
      </c>
      <c r="D788" s="22" t="s">
        <v>2516</v>
      </c>
      <c r="E788" s="22" t="s">
        <v>1255</v>
      </c>
      <c r="F788" s="22">
        <v>2730205669.5599999</v>
      </c>
      <c r="G788" s="22">
        <v>53</v>
      </c>
      <c r="H788" s="22" t="s">
        <v>2517</v>
      </c>
    </row>
    <row r="789" spans="1:8" x14ac:dyDescent="0.35">
      <c r="A789" s="22" t="s">
        <v>851</v>
      </c>
      <c r="B789" s="22" t="str">
        <f>"00158"</f>
        <v>00158</v>
      </c>
      <c r="C789" s="22" t="str">
        <f t="shared" si="12"/>
        <v>'0158.HK'</v>
      </c>
      <c r="D789" s="22" t="s">
        <v>2518</v>
      </c>
      <c r="E789" s="22" t="s">
        <v>1028</v>
      </c>
      <c r="F789" s="22">
        <v>2725000000</v>
      </c>
      <c r="G789" s="22">
        <v>11</v>
      </c>
      <c r="H789" s="22" t="s">
        <v>2519</v>
      </c>
    </row>
    <row r="790" spans="1:8" x14ac:dyDescent="0.35">
      <c r="A790" s="22" t="s">
        <v>851</v>
      </c>
      <c r="B790" s="22" t="str">
        <f>"01729"</f>
        <v>01729</v>
      </c>
      <c r="C790" s="22" t="str">
        <f t="shared" si="12"/>
        <v>'1729.HK'</v>
      </c>
      <c r="D790" s="22" t="s">
        <v>2520</v>
      </c>
      <c r="E790" s="22" t="s">
        <v>938</v>
      </c>
      <c r="F790" s="22">
        <v>2724332800</v>
      </c>
      <c r="G790" s="22">
        <v>9</v>
      </c>
      <c r="H790" s="22" t="s">
        <v>2521</v>
      </c>
    </row>
    <row r="791" spans="1:8" x14ac:dyDescent="0.35">
      <c r="A791" s="22" t="s">
        <v>851</v>
      </c>
      <c r="B791" s="22" t="str">
        <f>"00709"</f>
        <v>00709</v>
      </c>
      <c r="C791" s="22" t="str">
        <f t="shared" si="12"/>
        <v>'0709.HK'</v>
      </c>
      <c r="D791" s="22" t="s">
        <v>2522</v>
      </c>
      <c r="E791" s="22" t="s">
        <v>889</v>
      </c>
      <c r="F791" s="22">
        <v>2718402410.96</v>
      </c>
      <c r="G791" s="22">
        <v>34</v>
      </c>
      <c r="H791" s="22" t="s">
        <v>2523</v>
      </c>
    </row>
    <row r="792" spans="1:8" x14ac:dyDescent="0.35">
      <c r="A792" s="22" t="s">
        <v>851</v>
      </c>
      <c r="B792" s="22" t="str">
        <f>"01450"</f>
        <v>01450</v>
      </c>
      <c r="C792" s="22" t="str">
        <f t="shared" si="12"/>
        <v>'1450.HK'</v>
      </c>
      <c r="D792" s="22" t="s">
        <v>2524</v>
      </c>
      <c r="E792" s="22" t="s">
        <v>1202</v>
      </c>
      <c r="F792" s="22">
        <v>2714330959.6500001</v>
      </c>
      <c r="G792" s="22">
        <v>2</v>
      </c>
      <c r="H792" s="22" t="s">
        <v>2525</v>
      </c>
    </row>
    <row r="793" spans="1:8" x14ac:dyDescent="0.35">
      <c r="A793" s="22" t="s">
        <v>851</v>
      </c>
      <c r="B793" s="22" t="str">
        <f>"00978"</f>
        <v>00978</v>
      </c>
      <c r="C793" s="22" t="str">
        <f t="shared" si="12"/>
        <v>'0978.HK'</v>
      </c>
      <c r="D793" s="22" t="s">
        <v>2526</v>
      </c>
      <c r="E793" s="22" t="s">
        <v>924</v>
      </c>
      <c r="F793" s="22">
        <v>2697891823</v>
      </c>
      <c r="G793" s="22">
        <v>72</v>
      </c>
      <c r="H793" s="22" t="s">
        <v>2527</v>
      </c>
    </row>
    <row r="794" spans="1:8" x14ac:dyDescent="0.35">
      <c r="A794" s="22" t="s">
        <v>851</v>
      </c>
      <c r="B794" s="22" t="str">
        <f>"01970"</f>
        <v>01970</v>
      </c>
      <c r="C794" s="22" t="str">
        <f t="shared" si="12"/>
        <v>'1970.HK'</v>
      </c>
      <c r="D794" s="22" t="s">
        <v>2528</v>
      </c>
      <c r="E794" s="22" t="s">
        <v>1185</v>
      </c>
      <c r="F794" s="22">
        <v>2697856159.6799998</v>
      </c>
      <c r="G794" s="22">
        <v>40</v>
      </c>
      <c r="H794" s="22" t="s">
        <v>2529</v>
      </c>
    </row>
    <row r="795" spans="1:8" x14ac:dyDescent="0.35">
      <c r="A795" s="22" t="s">
        <v>851</v>
      </c>
      <c r="B795" s="22" t="str">
        <f>"01432"</f>
        <v>01432</v>
      </c>
      <c r="C795" s="22" t="str">
        <f t="shared" si="12"/>
        <v>'1432.HK'</v>
      </c>
      <c r="D795" s="22" t="s">
        <v>2530</v>
      </c>
      <c r="E795" s="22" t="s">
        <v>1019</v>
      </c>
      <c r="F795" s="22">
        <v>2682014473.2800002</v>
      </c>
      <c r="G795" s="22">
        <v>19</v>
      </c>
      <c r="H795" s="22" t="s">
        <v>2531</v>
      </c>
    </row>
    <row r="796" spans="1:8" x14ac:dyDescent="0.35">
      <c r="A796" s="22" t="s">
        <v>851</v>
      </c>
      <c r="B796" s="22" t="str">
        <f>"09960"</f>
        <v>09960</v>
      </c>
      <c r="C796" s="22" t="str">
        <f t="shared" si="12"/>
        <v>'9960.HK'</v>
      </c>
      <c r="D796" s="22" t="s">
        <v>2532</v>
      </c>
      <c r="E796" s="22" t="s">
        <v>1362</v>
      </c>
      <c r="F796" s="22">
        <v>2681360452.48</v>
      </c>
      <c r="G796" s="22">
        <v>5</v>
      </c>
      <c r="H796" s="22" t="s">
        <v>2533</v>
      </c>
    </row>
    <row r="797" spans="1:8" x14ac:dyDescent="0.35">
      <c r="A797" s="22" t="s">
        <v>851</v>
      </c>
      <c r="B797" s="22" t="str">
        <f>"00085"</f>
        <v>00085</v>
      </c>
      <c r="C797" s="22" t="str">
        <f t="shared" si="12"/>
        <v>'0085.HK'</v>
      </c>
      <c r="D797" s="22" t="s">
        <v>2534</v>
      </c>
      <c r="E797" s="22" t="s">
        <v>1040</v>
      </c>
      <c r="F797" s="22">
        <v>2679431040</v>
      </c>
      <c r="G797" s="22">
        <v>21</v>
      </c>
      <c r="H797" s="22" t="s">
        <v>2535</v>
      </c>
    </row>
    <row r="798" spans="1:8" x14ac:dyDescent="0.35">
      <c r="A798" s="22" t="s">
        <v>851</v>
      </c>
      <c r="B798" s="22" t="str">
        <f>"00185"</f>
        <v>00185</v>
      </c>
      <c r="C798" s="22" t="str">
        <f t="shared" si="12"/>
        <v>'0185.HK'</v>
      </c>
      <c r="D798" s="22" t="s">
        <v>2536</v>
      </c>
      <c r="E798" s="22" t="s">
        <v>924</v>
      </c>
      <c r="F798" s="22">
        <v>2678741336.5999999</v>
      </c>
      <c r="G798" s="22">
        <v>9</v>
      </c>
      <c r="H798" s="22" t="s">
        <v>2537</v>
      </c>
    </row>
    <row r="799" spans="1:8" x14ac:dyDescent="0.35">
      <c r="A799" s="22" t="s">
        <v>851</v>
      </c>
      <c r="B799" s="22" t="str">
        <f>"01599"</f>
        <v>01599</v>
      </c>
      <c r="C799" s="22" t="str">
        <f t="shared" si="12"/>
        <v>'1599.HK'</v>
      </c>
      <c r="D799" s="22" t="s">
        <v>2538</v>
      </c>
      <c r="E799" s="22" t="s">
        <v>1634</v>
      </c>
      <c r="F799" s="22">
        <v>2670366600</v>
      </c>
      <c r="G799" s="22">
        <v>51</v>
      </c>
      <c r="H799" s="22" t="s">
        <v>2539</v>
      </c>
    </row>
    <row r="800" spans="1:8" x14ac:dyDescent="0.35">
      <c r="A800" s="22" t="s">
        <v>851</v>
      </c>
      <c r="B800" s="22" t="str">
        <f>"01899"</f>
        <v>01899</v>
      </c>
      <c r="C800" s="22" t="str">
        <f t="shared" si="12"/>
        <v>'1899.HK'</v>
      </c>
      <c r="D800" s="22" t="s">
        <v>2540</v>
      </c>
      <c r="E800" s="22" t="s">
        <v>1109</v>
      </c>
      <c r="F800" s="22">
        <v>2659912318.4000001</v>
      </c>
      <c r="G800" s="22">
        <v>38</v>
      </c>
      <c r="H800" s="22" t="s">
        <v>2541</v>
      </c>
    </row>
    <row r="801" spans="1:8" x14ac:dyDescent="0.35">
      <c r="A801" s="22" t="s">
        <v>851</v>
      </c>
      <c r="B801" s="22" t="str">
        <f>"03393"</f>
        <v>03393</v>
      </c>
      <c r="C801" s="22" t="str">
        <f t="shared" si="12"/>
        <v>'3393.HK'</v>
      </c>
      <c r="D801" s="22" t="s">
        <v>2542</v>
      </c>
      <c r="E801" s="22" t="s">
        <v>1224</v>
      </c>
      <c r="F801" s="22">
        <v>2658998732.25</v>
      </c>
      <c r="G801" s="22">
        <v>27</v>
      </c>
      <c r="H801" s="22" t="s">
        <v>2543</v>
      </c>
    </row>
    <row r="802" spans="1:8" x14ac:dyDescent="0.35">
      <c r="A802" s="22" t="s">
        <v>851</v>
      </c>
      <c r="B802" s="22" t="str">
        <f>"00088"</f>
        <v>00088</v>
      </c>
      <c r="C802" s="22" t="str">
        <f t="shared" si="12"/>
        <v>'0088.HK'</v>
      </c>
      <c r="D802" s="22" t="s">
        <v>2544</v>
      </c>
      <c r="E802" s="22" t="s">
        <v>924</v>
      </c>
      <c r="F802" s="22">
        <v>2655385127.5</v>
      </c>
      <c r="G802" s="22">
        <v>14</v>
      </c>
      <c r="H802" s="22" t="s">
        <v>2545</v>
      </c>
    </row>
    <row r="803" spans="1:8" x14ac:dyDescent="0.35">
      <c r="A803" s="22" t="s">
        <v>851</v>
      </c>
      <c r="B803" s="22" t="str">
        <f>"01223"</f>
        <v>01223</v>
      </c>
      <c r="C803" s="22" t="str">
        <f t="shared" si="12"/>
        <v>'1223.HK'</v>
      </c>
      <c r="D803" s="22" t="s">
        <v>2546</v>
      </c>
      <c r="E803" s="22" t="s">
        <v>1332</v>
      </c>
      <c r="F803" s="22">
        <v>2647060457.3699999</v>
      </c>
      <c r="G803" s="22">
        <v>2</v>
      </c>
      <c r="H803" s="22" t="s">
        <v>2547</v>
      </c>
    </row>
    <row r="804" spans="1:8" x14ac:dyDescent="0.35">
      <c r="A804" s="22" t="s">
        <v>851</v>
      </c>
      <c r="B804" s="22" t="str">
        <f>"01680"</f>
        <v>01680</v>
      </c>
      <c r="C804" s="22" t="str">
        <f t="shared" si="12"/>
        <v>'1680.HK'</v>
      </c>
      <c r="D804" s="22" t="s">
        <v>2548</v>
      </c>
      <c r="E804" s="22" t="s">
        <v>961</v>
      </c>
      <c r="F804" s="22">
        <v>2635504526</v>
      </c>
      <c r="G804" s="22">
        <v>12</v>
      </c>
      <c r="H804" s="22" t="s">
        <v>2549</v>
      </c>
    </row>
    <row r="805" spans="1:8" x14ac:dyDescent="0.35">
      <c r="A805" s="22" t="s">
        <v>851</v>
      </c>
      <c r="B805" s="22" t="str">
        <f>"00626"</f>
        <v>00626</v>
      </c>
      <c r="C805" s="22" t="str">
        <f t="shared" si="12"/>
        <v>'0626.HK'</v>
      </c>
      <c r="D805" s="22" t="s">
        <v>2550</v>
      </c>
      <c r="E805" s="22" t="s">
        <v>858</v>
      </c>
      <c r="F805" s="22">
        <v>2635002283.1999998</v>
      </c>
      <c r="G805" s="22">
        <v>19</v>
      </c>
      <c r="H805" s="22" t="s">
        <v>2551</v>
      </c>
    </row>
    <row r="806" spans="1:8" x14ac:dyDescent="0.35">
      <c r="A806" s="22" t="s">
        <v>851</v>
      </c>
      <c r="B806" s="22" t="str">
        <f>"01660"</f>
        <v>01660</v>
      </c>
      <c r="C806" s="22" t="str">
        <f t="shared" si="12"/>
        <v>'1660.HK'</v>
      </c>
      <c r="D806" s="22" t="s">
        <v>2552</v>
      </c>
      <c r="E806" s="22" t="s">
        <v>1395</v>
      </c>
      <c r="F806" s="22">
        <v>2632875000</v>
      </c>
      <c r="G806" s="22">
        <v>3</v>
      </c>
      <c r="H806" s="22" t="s">
        <v>2553</v>
      </c>
    </row>
    <row r="807" spans="1:8" x14ac:dyDescent="0.35">
      <c r="A807" s="22" t="s">
        <v>851</v>
      </c>
      <c r="B807" s="22" t="str">
        <f>"01931"</f>
        <v>01931</v>
      </c>
      <c r="C807" s="22" t="str">
        <f t="shared" si="12"/>
        <v>'1931.HK'</v>
      </c>
      <c r="D807" s="22" t="s">
        <v>2554</v>
      </c>
      <c r="E807" s="22" t="s">
        <v>1232</v>
      </c>
      <c r="F807" s="22">
        <v>2627904755.1999998</v>
      </c>
      <c r="G807" s="22">
        <v>3</v>
      </c>
      <c r="H807" s="22" t="s">
        <v>2555</v>
      </c>
    </row>
    <row r="808" spans="1:8" x14ac:dyDescent="0.35">
      <c r="A808" s="22" t="s">
        <v>851</v>
      </c>
      <c r="B808" s="22" t="str">
        <f>"01231"</f>
        <v>01231</v>
      </c>
      <c r="C808" s="22" t="str">
        <f t="shared" si="12"/>
        <v>'1231.HK'</v>
      </c>
      <c r="D808" s="22" t="s">
        <v>2556</v>
      </c>
      <c r="E808" s="22" t="s">
        <v>1579</v>
      </c>
      <c r="F808" s="22">
        <v>2600000000</v>
      </c>
      <c r="G808" s="22">
        <v>3</v>
      </c>
      <c r="H808" s="22" t="s">
        <v>2557</v>
      </c>
    </row>
    <row r="809" spans="1:8" x14ac:dyDescent="0.35">
      <c r="A809" s="22" t="s">
        <v>851</v>
      </c>
      <c r="B809" s="22" t="str">
        <f>"01122"</f>
        <v>01122</v>
      </c>
      <c r="C809" s="22" t="str">
        <f t="shared" si="12"/>
        <v>'1122.HK'</v>
      </c>
      <c r="D809" s="22" t="s">
        <v>2558</v>
      </c>
      <c r="E809" s="22" t="s">
        <v>1109</v>
      </c>
      <c r="F809" s="22">
        <v>2581558998.7199998</v>
      </c>
      <c r="G809" s="22">
        <v>33</v>
      </c>
      <c r="H809" s="22" t="s">
        <v>2559</v>
      </c>
    </row>
    <row r="810" spans="1:8" x14ac:dyDescent="0.35">
      <c r="A810" s="22" t="s">
        <v>851</v>
      </c>
      <c r="B810" s="22" t="str">
        <f>"03611"</f>
        <v>03611</v>
      </c>
      <c r="C810" s="22" t="str">
        <f t="shared" si="12"/>
        <v>'3611.HK'</v>
      </c>
      <c r="D810" s="22" t="s">
        <v>2560</v>
      </c>
      <c r="E810" s="22" t="s">
        <v>853</v>
      </c>
      <c r="F810" s="22">
        <v>2580000000</v>
      </c>
      <c r="H810" s="22" t="s">
        <v>2561</v>
      </c>
    </row>
    <row r="811" spans="1:8" x14ac:dyDescent="0.35">
      <c r="A811" s="22" t="s">
        <v>851</v>
      </c>
      <c r="B811" s="22" t="str">
        <f>"00411"</f>
        <v>00411</v>
      </c>
      <c r="C811" s="22" t="str">
        <f t="shared" si="12"/>
        <v>'0411.HK'</v>
      </c>
      <c r="D811" s="22" t="s">
        <v>2562</v>
      </c>
      <c r="E811" s="22" t="s">
        <v>1329</v>
      </c>
      <c r="F811" s="22">
        <v>2579554149</v>
      </c>
      <c r="G811" s="22">
        <v>25</v>
      </c>
      <c r="H811" s="22" t="s">
        <v>2563</v>
      </c>
    </row>
    <row r="812" spans="1:8" x14ac:dyDescent="0.35">
      <c r="A812" s="22" t="s">
        <v>851</v>
      </c>
      <c r="B812" s="22" t="str">
        <f>"02383"</f>
        <v>02383</v>
      </c>
      <c r="C812" s="22" t="str">
        <f t="shared" si="12"/>
        <v>'2383.HK'</v>
      </c>
      <c r="D812" s="22" t="s">
        <v>2564</v>
      </c>
      <c r="E812" s="22" t="s">
        <v>1400</v>
      </c>
      <c r="F812" s="22">
        <v>2533446757.1199999</v>
      </c>
      <c r="G812" s="22">
        <v>7</v>
      </c>
      <c r="H812" s="22" t="s">
        <v>2565</v>
      </c>
    </row>
    <row r="813" spans="1:8" x14ac:dyDescent="0.35">
      <c r="A813" s="22" t="s">
        <v>851</v>
      </c>
      <c r="B813" s="22" t="str">
        <f>"03886"</f>
        <v>03886</v>
      </c>
      <c r="C813" s="22" t="str">
        <f t="shared" si="12"/>
        <v>'3886.HK'</v>
      </c>
      <c r="D813" s="22" t="s">
        <v>2566</v>
      </c>
      <c r="E813" s="22" t="s">
        <v>1362</v>
      </c>
      <c r="F813" s="22">
        <v>2529458547.2399998</v>
      </c>
      <c r="G813" s="22">
        <v>6</v>
      </c>
      <c r="H813" s="22" t="s">
        <v>2567</v>
      </c>
    </row>
    <row r="814" spans="1:8" x14ac:dyDescent="0.35">
      <c r="A814" s="22" t="s">
        <v>851</v>
      </c>
      <c r="B814" s="22" t="str">
        <f>"00400"</f>
        <v>00400</v>
      </c>
      <c r="C814" s="22" t="str">
        <f t="shared" si="12"/>
        <v>'0400.HK'</v>
      </c>
      <c r="D814" s="22" t="s">
        <v>2568</v>
      </c>
      <c r="E814" s="22" t="s">
        <v>853</v>
      </c>
      <c r="F814" s="22">
        <v>2509672917.5999999</v>
      </c>
      <c r="G814" s="22">
        <v>35</v>
      </c>
      <c r="H814" s="22" t="s">
        <v>2569</v>
      </c>
    </row>
    <row r="815" spans="1:8" x14ac:dyDescent="0.35">
      <c r="A815" s="22" t="s">
        <v>851</v>
      </c>
      <c r="B815" s="22" t="str">
        <f>"00163"</f>
        <v>00163</v>
      </c>
      <c r="C815" s="22" t="str">
        <f t="shared" si="12"/>
        <v>'0163.HK'</v>
      </c>
      <c r="D815" s="22" t="s">
        <v>2570</v>
      </c>
      <c r="E815" s="22" t="s">
        <v>1028</v>
      </c>
      <c r="F815" s="22">
        <v>2463955596.8899999</v>
      </c>
      <c r="G815" s="22">
        <v>41</v>
      </c>
      <c r="H815" s="22" t="s">
        <v>2571</v>
      </c>
    </row>
    <row r="816" spans="1:8" x14ac:dyDescent="0.35">
      <c r="A816" s="22" t="s">
        <v>851</v>
      </c>
      <c r="B816" s="22" t="str">
        <f>"09991"</f>
        <v>09991</v>
      </c>
      <c r="C816" s="22" t="str">
        <f t="shared" si="12"/>
        <v>'9991.HK'</v>
      </c>
      <c r="D816" s="22" t="s">
        <v>2572</v>
      </c>
      <c r="E816" s="22" t="s">
        <v>853</v>
      </c>
      <c r="F816" s="22">
        <v>2454735234.2399998</v>
      </c>
      <c r="G816" s="22">
        <v>13</v>
      </c>
      <c r="H816" s="22" t="s">
        <v>2573</v>
      </c>
    </row>
    <row r="817" spans="1:8" x14ac:dyDescent="0.35">
      <c r="A817" s="22" t="s">
        <v>851</v>
      </c>
      <c r="B817" s="22" t="str">
        <f>"00331"</f>
        <v>00331</v>
      </c>
      <c r="C817" s="22" t="str">
        <f t="shared" si="12"/>
        <v>'0331.HK'</v>
      </c>
      <c r="D817" s="22" t="s">
        <v>2574</v>
      </c>
      <c r="E817" s="22" t="s">
        <v>1634</v>
      </c>
      <c r="F817" s="22">
        <v>2452500000</v>
      </c>
      <c r="G817" s="22">
        <v>14</v>
      </c>
      <c r="H817" s="22" t="s">
        <v>2575</v>
      </c>
    </row>
    <row r="818" spans="1:8" x14ac:dyDescent="0.35">
      <c r="A818" s="22" t="s">
        <v>851</v>
      </c>
      <c r="B818" s="22" t="str">
        <f>"00846"</f>
        <v>00846</v>
      </c>
      <c r="C818" s="22" t="str">
        <f t="shared" si="12"/>
        <v>'0846.HK'</v>
      </c>
      <c r="D818" s="22" t="s">
        <v>2576</v>
      </c>
      <c r="E818" s="22" t="s">
        <v>924</v>
      </c>
      <c r="F818" s="22">
        <v>2437380410.4000001</v>
      </c>
      <c r="G818" s="22">
        <v>8</v>
      </c>
      <c r="H818" s="22" t="s">
        <v>2577</v>
      </c>
    </row>
    <row r="819" spans="1:8" x14ac:dyDescent="0.35">
      <c r="A819" s="22" t="s">
        <v>851</v>
      </c>
      <c r="B819" s="22" t="str">
        <f>"01442"</f>
        <v>01442</v>
      </c>
      <c r="C819" s="22" t="str">
        <f t="shared" si="12"/>
        <v>'1442.HK'</v>
      </c>
      <c r="D819" s="22" t="s">
        <v>2578</v>
      </c>
      <c r="E819" s="22" t="s">
        <v>974</v>
      </c>
      <c r="F819" s="22">
        <v>2435520000</v>
      </c>
      <c r="G819" s="22">
        <v>4</v>
      </c>
      <c r="H819" s="22" t="s">
        <v>2579</v>
      </c>
    </row>
    <row r="820" spans="1:8" x14ac:dyDescent="0.35">
      <c r="A820" s="22" t="s">
        <v>851</v>
      </c>
      <c r="B820" s="22" t="str">
        <f>"02722"</f>
        <v>02722</v>
      </c>
      <c r="C820" s="22" t="str">
        <f t="shared" si="12"/>
        <v>'2722.HK'</v>
      </c>
      <c r="D820" s="22" t="s">
        <v>2580</v>
      </c>
      <c r="E820" s="22" t="s">
        <v>1224</v>
      </c>
      <c r="F820" s="22">
        <v>2431862501.6399999</v>
      </c>
      <c r="G820" s="22">
        <v>24</v>
      </c>
      <c r="H820" s="22" t="s">
        <v>2581</v>
      </c>
    </row>
    <row r="821" spans="1:8" x14ac:dyDescent="0.35">
      <c r="A821" s="22" t="s">
        <v>851</v>
      </c>
      <c r="B821" s="22" t="str">
        <f>"01543"</f>
        <v>01543</v>
      </c>
      <c r="C821" s="22" t="str">
        <f t="shared" si="12"/>
        <v>'1543.HK'</v>
      </c>
      <c r="D821" s="22" t="s">
        <v>2582</v>
      </c>
      <c r="E821" s="22" t="s">
        <v>1498</v>
      </c>
      <c r="F821" s="22">
        <v>2419228664.8499999</v>
      </c>
      <c r="G821" s="22">
        <v>7</v>
      </c>
      <c r="H821" s="22" t="s">
        <v>2583</v>
      </c>
    </row>
    <row r="822" spans="1:8" x14ac:dyDescent="0.35">
      <c r="A822" s="22" t="s">
        <v>851</v>
      </c>
      <c r="B822" s="22" t="str">
        <f>"06978"</f>
        <v>06978</v>
      </c>
      <c r="C822" s="22" t="str">
        <f t="shared" si="12"/>
        <v>'6978.HK'</v>
      </c>
      <c r="D822" s="22" t="s">
        <v>2584</v>
      </c>
      <c r="E822" s="22" t="s">
        <v>941</v>
      </c>
      <c r="F822" s="22">
        <v>2408253120</v>
      </c>
      <c r="G822" s="22">
        <v>12</v>
      </c>
      <c r="H822" s="22" t="s">
        <v>2585</v>
      </c>
    </row>
    <row r="823" spans="1:8" x14ac:dyDescent="0.35">
      <c r="A823" s="22" t="s">
        <v>851</v>
      </c>
      <c r="B823" s="22" t="str">
        <f>"00330"</f>
        <v>00330</v>
      </c>
      <c r="C823" s="22" t="str">
        <f t="shared" si="12"/>
        <v>'0330.HK'</v>
      </c>
      <c r="D823" s="22" t="s">
        <v>2586</v>
      </c>
      <c r="E823" s="22" t="s">
        <v>889</v>
      </c>
      <c r="F823" s="22">
        <v>2406194741.5500002</v>
      </c>
      <c r="G823" s="22">
        <v>17</v>
      </c>
      <c r="H823" s="22" t="s">
        <v>2587</v>
      </c>
    </row>
    <row r="824" spans="1:8" x14ac:dyDescent="0.35">
      <c r="A824" s="22" t="s">
        <v>851</v>
      </c>
      <c r="B824" s="22" t="str">
        <f>"01184"</f>
        <v>01184</v>
      </c>
      <c r="C824" s="22" t="str">
        <f t="shared" si="12"/>
        <v>'1184.HK'</v>
      </c>
      <c r="D824" s="22" t="s">
        <v>2588</v>
      </c>
      <c r="E824" s="22" t="s">
        <v>1224</v>
      </c>
      <c r="F824" s="22">
        <v>2378182272</v>
      </c>
      <c r="G824" s="22">
        <v>17</v>
      </c>
      <c r="H824" s="22" t="s">
        <v>2589</v>
      </c>
    </row>
    <row r="825" spans="1:8" x14ac:dyDescent="0.35">
      <c r="A825" s="22" t="s">
        <v>851</v>
      </c>
      <c r="B825" s="22" t="str">
        <f>"06601"</f>
        <v>06601</v>
      </c>
      <c r="C825" s="22" t="str">
        <f t="shared" si="12"/>
        <v>'6601.HK'</v>
      </c>
      <c r="D825" s="22" t="s">
        <v>2590</v>
      </c>
      <c r="E825" s="22" t="s">
        <v>1429</v>
      </c>
      <c r="F825" s="22">
        <v>2373333630</v>
      </c>
      <c r="G825" s="22">
        <v>19</v>
      </c>
      <c r="H825" s="22" t="s">
        <v>2591</v>
      </c>
    </row>
    <row r="826" spans="1:8" x14ac:dyDescent="0.35">
      <c r="A826" s="22" t="s">
        <v>851</v>
      </c>
      <c r="B826" s="22" t="str">
        <f>"02191"</f>
        <v>02191</v>
      </c>
      <c r="C826" s="22" t="str">
        <f t="shared" si="12"/>
        <v>'2191.HK'</v>
      </c>
      <c r="D826" s="22" t="s">
        <v>2592</v>
      </c>
      <c r="F826" s="22">
        <v>2368000000</v>
      </c>
      <c r="G826" s="22">
        <v>9</v>
      </c>
      <c r="H826" s="22" t="s">
        <v>2593</v>
      </c>
    </row>
    <row r="827" spans="1:8" x14ac:dyDescent="0.35">
      <c r="A827" s="22" t="s">
        <v>851</v>
      </c>
      <c r="B827" s="22" t="str">
        <f>"00818"</f>
        <v>00818</v>
      </c>
      <c r="C827" s="22" t="str">
        <f t="shared" si="12"/>
        <v>'0818.HK'</v>
      </c>
      <c r="D827" s="22" t="s">
        <v>2594</v>
      </c>
      <c r="E827" s="22" t="s">
        <v>853</v>
      </c>
      <c r="F827" s="22">
        <v>2360308759.75</v>
      </c>
      <c r="G827" s="22">
        <v>14</v>
      </c>
      <c r="H827" s="22" t="s">
        <v>2595</v>
      </c>
    </row>
    <row r="828" spans="1:8" x14ac:dyDescent="0.35">
      <c r="A828" s="22" t="s">
        <v>851</v>
      </c>
      <c r="B828" s="22" t="str">
        <f>"02361"</f>
        <v>02361</v>
      </c>
      <c r="C828" s="22" t="str">
        <f t="shared" si="12"/>
        <v>'2361.HK'</v>
      </c>
      <c r="D828" s="22" t="s">
        <v>2596</v>
      </c>
      <c r="E828" s="22" t="s">
        <v>1202</v>
      </c>
      <c r="F828" s="22">
        <v>2349204000</v>
      </c>
      <c r="G828" s="22">
        <v>1</v>
      </c>
      <c r="H828" s="22" t="s">
        <v>2597</v>
      </c>
    </row>
    <row r="829" spans="1:8" x14ac:dyDescent="0.35">
      <c r="A829" s="22" t="s">
        <v>851</v>
      </c>
      <c r="B829" s="22" t="str">
        <f>"02130"</f>
        <v>02130</v>
      </c>
      <c r="C829" s="22" t="str">
        <f t="shared" si="12"/>
        <v>'2130.HK'</v>
      </c>
      <c r="D829" s="22" t="s">
        <v>2598</v>
      </c>
      <c r="E829" s="22" t="s">
        <v>974</v>
      </c>
      <c r="F829" s="22">
        <v>2341328000</v>
      </c>
      <c r="G829" s="22">
        <v>2</v>
      </c>
      <c r="H829" s="22" t="s">
        <v>2599</v>
      </c>
    </row>
    <row r="830" spans="1:8" x14ac:dyDescent="0.35">
      <c r="A830" s="22" t="s">
        <v>851</v>
      </c>
      <c r="B830" s="22" t="str">
        <f>"02142"</f>
        <v>02142</v>
      </c>
      <c r="C830" s="22" t="str">
        <f t="shared" si="12"/>
        <v>'2142.HK'</v>
      </c>
      <c r="D830" s="22" t="s">
        <v>2600</v>
      </c>
      <c r="E830" s="22" t="s">
        <v>941</v>
      </c>
      <c r="F830" s="22">
        <v>2334506926.4000001</v>
      </c>
      <c r="G830" s="22">
        <v>26</v>
      </c>
      <c r="H830" s="22" t="s">
        <v>2601</v>
      </c>
    </row>
    <row r="831" spans="1:8" x14ac:dyDescent="0.35">
      <c r="A831" s="22" t="s">
        <v>851</v>
      </c>
      <c r="B831" s="22" t="str">
        <f>"01061"</f>
        <v>01061</v>
      </c>
      <c r="C831" s="22" t="str">
        <f t="shared" si="12"/>
        <v>'1061.HK'</v>
      </c>
      <c r="D831" s="22" t="s">
        <v>2602</v>
      </c>
      <c r="E831" s="22" t="s">
        <v>969</v>
      </c>
      <c r="F831" s="22">
        <v>2333213280</v>
      </c>
      <c r="G831" s="22">
        <v>54</v>
      </c>
      <c r="H831" s="22" t="s">
        <v>2603</v>
      </c>
    </row>
    <row r="832" spans="1:8" x14ac:dyDescent="0.35">
      <c r="A832" s="22" t="s">
        <v>851</v>
      </c>
      <c r="B832" s="22" t="str">
        <f>"09616"</f>
        <v>09616</v>
      </c>
      <c r="C832" s="22" t="str">
        <f t="shared" si="12"/>
        <v>'9616.HK'</v>
      </c>
      <c r="D832" s="22" t="s">
        <v>2604</v>
      </c>
      <c r="E832" s="22" t="s">
        <v>1270</v>
      </c>
      <c r="F832" s="22">
        <v>2326332726</v>
      </c>
      <c r="G832" s="22">
        <v>7</v>
      </c>
      <c r="H832" s="22" t="s">
        <v>2605</v>
      </c>
    </row>
    <row r="833" spans="1:8" x14ac:dyDescent="0.35">
      <c r="A833" s="22" t="s">
        <v>851</v>
      </c>
      <c r="B833" s="22" t="str">
        <f>"00750"</f>
        <v>00750</v>
      </c>
      <c r="C833" s="22" t="str">
        <f t="shared" si="12"/>
        <v>'0750.HK'</v>
      </c>
      <c r="D833" s="22" t="s">
        <v>2606</v>
      </c>
      <c r="E833" s="22" t="s">
        <v>1634</v>
      </c>
      <c r="F833" s="22">
        <v>2319395237.5999999</v>
      </c>
      <c r="G833" s="22">
        <v>17</v>
      </c>
      <c r="H833" s="22" t="s">
        <v>2607</v>
      </c>
    </row>
    <row r="834" spans="1:8" x14ac:dyDescent="0.35">
      <c r="A834" s="22" t="s">
        <v>851</v>
      </c>
      <c r="B834" s="22" t="str">
        <f>"02019"</f>
        <v>02019</v>
      </c>
      <c r="C834" s="22" t="str">
        <f t="shared" si="12"/>
        <v>'2019.HK'</v>
      </c>
      <c r="D834" s="22" t="s">
        <v>2608</v>
      </c>
      <c r="E834" s="22" t="s">
        <v>924</v>
      </c>
      <c r="F834" s="22">
        <v>2316085980</v>
      </c>
      <c r="G834" s="22">
        <v>25</v>
      </c>
      <c r="H834" s="22" t="s">
        <v>2609</v>
      </c>
    </row>
    <row r="835" spans="1:8" x14ac:dyDescent="0.35">
      <c r="A835" s="22" t="s">
        <v>851</v>
      </c>
      <c r="B835" s="22" t="str">
        <f>"00975"</f>
        <v>00975</v>
      </c>
      <c r="C835" s="22" t="str">
        <f t="shared" ref="C835:C898" si="13">CONCATENATE("'",RIGHT(B835,4),".HK'")</f>
        <v>'0975.HK'</v>
      </c>
      <c r="D835" s="22" t="s">
        <v>2610</v>
      </c>
      <c r="E835" s="22" t="s">
        <v>904</v>
      </c>
      <c r="F835" s="22">
        <v>2314298464.9200001</v>
      </c>
      <c r="G835" s="22">
        <v>10</v>
      </c>
      <c r="H835" s="22" t="s">
        <v>2611</v>
      </c>
    </row>
    <row r="836" spans="1:8" x14ac:dyDescent="0.35">
      <c r="A836" s="22" t="s">
        <v>851</v>
      </c>
      <c r="B836" s="22" t="str">
        <f>"03718"</f>
        <v>03718</v>
      </c>
      <c r="C836" s="22" t="str">
        <f t="shared" si="13"/>
        <v>'3718.HK'</v>
      </c>
      <c r="D836" s="22" t="s">
        <v>2612</v>
      </c>
      <c r="E836" s="22" t="s">
        <v>1301</v>
      </c>
      <c r="F836" s="22">
        <v>2304000000</v>
      </c>
      <c r="G836" s="22">
        <v>17</v>
      </c>
      <c r="H836" s="22" t="s">
        <v>2613</v>
      </c>
    </row>
    <row r="837" spans="1:8" x14ac:dyDescent="0.35">
      <c r="A837" s="22" t="s">
        <v>851</v>
      </c>
      <c r="B837" s="22" t="str">
        <f>"00860"</f>
        <v>00860</v>
      </c>
      <c r="C837" s="22" t="str">
        <f t="shared" si="13"/>
        <v>'0860.HK'</v>
      </c>
      <c r="D837" s="22" t="s">
        <v>2614</v>
      </c>
      <c r="E837" s="22" t="s">
        <v>886</v>
      </c>
      <c r="F837" s="22">
        <v>2297530556.3179998</v>
      </c>
      <c r="G837" s="22">
        <v>6</v>
      </c>
      <c r="H837" s="22" t="s">
        <v>2615</v>
      </c>
    </row>
    <row r="838" spans="1:8" x14ac:dyDescent="0.35">
      <c r="A838" s="22" t="s">
        <v>851</v>
      </c>
      <c r="B838" s="22" t="str">
        <f>"03989"</f>
        <v>03989</v>
      </c>
      <c r="C838" s="22" t="str">
        <f t="shared" si="13"/>
        <v>'3989.HK'</v>
      </c>
      <c r="D838" s="22" t="s">
        <v>2616</v>
      </c>
      <c r="E838" s="22" t="s">
        <v>1127</v>
      </c>
      <c r="F838" s="22">
        <v>2287157306.7199998</v>
      </c>
      <c r="G838" s="22">
        <v>12</v>
      </c>
      <c r="H838" s="22" t="s">
        <v>2617</v>
      </c>
    </row>
    <row r="839" spans="1:8" x14ac:dyDescent="0.35">
      <c r="A839" s="22" t="s">
        <v>851</v>
      </c>
      <c r="B839" s="22" t="str">
        <f>"03600"</f>
        <v>03600</v>
      </c>
      <c r="C839" s="22" t="str">
        <f t="shared" si="13"/>
        <v>'3600.HK'</v>
      </c>
      <c r="D839" s="22" t="s">
        <v>2618</v>
      </c>
      <c r="E839" s="22" t="s">
        <v>1232</v>
      </c>
      <c r="F839" s="22">
        <v>2282428490</v>
      </c>
      <c r="G839" s="22">
        <v>24</v>
      </c>
      <c r="H839" s="22" t="s">
        <v>2619</v>
      </c>
    </row>
    <row r="840" spans="1:8" x14ac:dyDescent="0.35">
      <c r="A840" s="22" t="s">
        <v>851</v>
      </c>
      <c r="B840" s="22" t="str">
        <f>"01523"</f>
        <v>01523</v>
      </c>
      <c r="C840" s="22" t="str">
        <f t="shared" si="13"/>
        <v>'1523.HK'</v>
      </c>
      <c r="D840" s="22" t="s">
        <v>2620</v>
      </c>
      <c r="E840" s="22" t="s">
        <v>1152</v>
      </c>
      <c r="F840" s="22">
        <v>2281427200</v>
      </c>
      <c r="G840" s="22">
        <v>33</v>
      </c>
      <c r="H840" s="22" t="s">
        <v>2621</v>
      </c>
    </row>
    <row r="841" spans="1:8" x14ac:dyDescent="0.35">
      <c r="A841" s="22" t="s">
        <v>851</v>
      </c>
      <c r="B841" s="22" t="str">
        <f>"01503"</f>
        <v>01503</v>
      </c>
      <c r="C841" s="22" t="str">
        <f t="shared" si="13"/>
        <v>'1503.HK'</v>
      </c>
      <c r="D841" s="22" t="s">
        <v>2622</v>
      </c>
      <c r="F841" s="22">
        <v>2278195488.98</v>
      </c>
      <c r="G841" s="22">
        <v>24</v>
      </c>
      <c r="H841" s="22" t="s">
        <v>2623</v>
      </c>
    </row>
    <row r="842" spans="1:8" x14ac:dyDescent="0.35">
      <c r="A842" s="22" t="s">
        <v>851</v>
      </c>
      <c r="B842" s="22" t="str">
        <f>"09911"</f>
        <v>09911</v>
      </c>
      <c r="C842" s="22" t="str">
        <f t="shared" si="13"/>
        <v>'9911.HK'</v>
      </c>
      <c r="D842" s="22" t="s">
        <v>2624</v>
      </c>
      <c r="E842" s="22" t="s">
        <v>853</v>
      </c>
      <c r="F842" s="22">
        <v>2275222560</v>
      </c>
      <c r="G842" s="22">
        <v>23</v>
      </c>
      <c r="H842" s="22" t="s">
        <v>2625</v>
      </c>
    </row>
    <row r="843" spans="1:8" x14ac:dyDescent="0.35">
      <c r="A843" s="22" t="s">
        <v>851</v>
      </c>
      <c r="B843" s="22" t="str">
        <f>"01005"</f>
        <v>01005</v>
      </c>
      <c r="C843" s="22" t="str">
        <f t="shared" si="13"/>
        <v>'1005.HK'</v>
      </c>
      <c r="D843" s="22" t="s">
        <v>2626</v>
      </c>
      <c r="E843" s="22" t="s">
        <v>1446</v>
      </c>
      <c r="F843" s="22">
        <v>2268609939</v>
      </c>
      <c r="G843" s="22">
        <v>5</v>
      </c>
      <c r="H843" s="22" t="s">
        <v>2627</v>
      </c>
    </row>
    <row r="844" spans="1:8" x14ac:dyDescent="0.35">
      <c r="A844" s="22" t="s">
        <v>851</v>
      </c>
      <c r="B844" s="22" t="str">
        <f>"06819"</f>
        <v>06819</v>
      </c>
      <c r="C844" s="22" t="str">
        <f t="shared" si="13"/>
        <v>'6819.HK'</v>
      </c>
      <c r="D844" s="22" t="s">
        <v>2628</v>
      </c>
      <c r="E844" s="22" t="s">
        <v>1671</v>
      </c>
      <c r="F844" s="22">
        <v>2267248721.5500002</v>
      </c>
      <c r="G844" s="22">
        <v>2</v>
      </c>
      <c r="H844" s="22" t="s">
        <v>2629</v>
      </c>
    </row>
    <row r="845" spans="1:8" x14ac:dyDescent="0.35">
      <c r="A845" s="22" t="s">
        <v>851</v>
      </c>
      <c r="B845" s="22" t="str">
        <f>"00029"</f>
        <v>00029</v>
      </c>
      <c r="C845" s="22" t="str">
        <f t="shared" si="13"/>
        <v>'0029.HK'</v>
      </c>
      <c r="D845" s="22" t="s">
        <v>2630</v>
      </c>
      <c r="E845" s="22" t="s">
        <v>1028</v>
      </c>
      <c r="F845" s="22">
        <v>2258184969.5</v>
      </c>
      <c r="G845" s="22">
        <v>18</v>
      </c>
      <c r="H845" s="22" t="s">
        <v>2631</v>
      </c>
    </row>
    <row r="846" spans="1:8" x14ac:dyDescent="0.35">
      <c r="A846" s="22" t="s">
        <v>851</v>
      </c>
      <c r="B846" s="22" t="str">
        <f>"01571"</f>
        <v>01571</v>
      </c>
      <c r="C846" s="22" t="str">
        <f t="shared" si="13"/>
        <v>'1571.HK'</v>
      </c>
      <c r="D846" s="22" t="s">
        <v>2632</v>
      </c>
      <c r="E846" s="22" t="s">
        <v>1122</v>
      </c>
      <c r="F846" s="22">
        <v>2256536250</v>
      </c>
      <c r="G846" s="22">
        <v>11</v>
      </c>
      <c r="H846" s="22" t="s">
        <v>2633</v>
      </c>
    </row>
    <row r="847" spans="1:8" x14ac:dyDescent="0.35">
      <c r="A847" s="22" t="s">
        <v>851</v>
      </c>
      <c r="B847" s="22" t="str">
        <f>"01090"</f>
        <v>01090</v>
      </c>
      <c r="C847" s="22" t="str">
        <f t="shared" si="13"/>
        <v>'1090.HK'</v>
      </c>
      <c r="D847" s="22" t="s">
        <v>2634</v>
      </c>
      <c r="E847" s="22" t="s">
        <v>1579</v>
      </c>
      <c r="F847" s="22">
        <v>2255914560</v>
      </c>
      <c r="G847" s="22">
        <v>5</v>
      </c>
      <c r="H847" s="22" t="s">
        <v>2635</v>
      </c>
    </row>
    <row r="848" spans="1:8" x14ac:dyDescent="0.35">
      <c r="A848" s="22" t="s">
        <v>851</v>
      </c>
      <c r="B848" s="22" t="str">
        <f>"06928"</f>
        <v>06928</v>
      </c>
      <c r="C848" s="22" t="str">
        <f t="shared" si="13"/>
        <v>'6928.HK'</v>
      </c>
      <c r="D848" s="22" t="s">
        <v>2636</v>
      </c>
      <c r="E848" s="22" t="s">
        <v>1122</v>
      </c>
      <c r="F848" s="22">
        <v>2250000000</v>
      </c>
      <c r="G848" s="22">
        <v>1</v>
      </c>
      <c r="H848" s="22" t="s">
        <v>2637</v>
      </c>
    </row>
    <row r="849" spans="1:8" x14ac:dyDescent="0.35">
      <c r="A849" s="22" t="s">
        <v>851</v>
      </c>
      <c r="B849" s="22" t="str">
        <f>"02418"</f>
        <v>02418</v>
      </c>
      <c r="C849" s="22" t="str">
        <f t="shared" si="13"/>
        <v>'2418.HK'</v>
      </c>
      <c r="D849" s="22" t="s">
        <v>2638</v>
      </c>
      <c r="E849" s="22" t="s">
        <v>1086</v>
      </c>
      <c r="F849" s="22">
        <v>2236042500</v>
      </c>
      <c r="G849" s="22">
        <v>1</v>
      </c>
      <c r="H849" s="22" t="s">
        <v>2639</v>
      </c>
    </row>
    <row r="850" spans="1:8" x14ac:dyDescent="0.35">
      <c r="A850" s="22" t="s">
        <v>851</v>
      </c>
      <c r="B850" s="22" t="str">
        <f>"02218"</f>
        <v>02218</v>
      </c>
      <c r="C850" s="22" t="str">
        <f t="shared" si="13"/>
        <v>'2218.HK'</v>
      </c>
      <c r="D850" s="22" t="s">
        <v>2640</v>
      </c>
      <c r="E850" s="22" t="s">
        <v>892</v>
      </c>
      <c r="F850" s="22">
        <v>2235625000</v>
      </c>
      <c r="G850" s="22">
        <v>22</v>
      </c>
      <c r="H850" s="22" t="s">
        <v>2641</v>
      </c>
    </row>
    <row r="851" spans="1:8" x14ac:dyDescent="0.35">
      <c r="A851" s="22" t="s">
        <v>851</v>
      </c>
      <c r="B851" s="22" t="str">
        <f>"00568"</f>
        <v>00568</v>
      </c>
      <c r="C851" s="22" t="str">
        <f t="shared" si="13"/>
        <v>'0568.HK'</v>
      </c>
      <c r="D851" s="22" t="s">
        <v>2642</v>
      </c>
      <c r="E851" s="22" t="s">
        <v>1294</v>
      </c>
      <c r="F851" s="22">
        <v>2233975520</v>
      </c>
      <c r="G851" s="22">
        <v>34</v>
      </c>
      <c r="H851" s="22" t="s">
        <v>2643</v>
      </c>
    </row>
    <row r="852" spans="1:8" x14ac:dyDescent="0.35">
      <c r="A852" s="22" t="s">
        <v>851</v>
      </c>
      <c r="B852" s="22" t="str">
        <f>"03700"</f>
        <v>03700</v>
      </c>
      <c r="C852" s="22" t="str">
        <f t="shared" si="13"/>
        <v>'3700.HK'</v>
      </c>
      <c r="D852" s="22" t="s">
        <v>2644</v>
      </c>
      <c r="E852" s="22" t="s">
        <v>2645</v>
      </c>
      <c r="F852" s="22">
        <v>2229050750</v>
      </c>
      <c r="G852" s="22">
        <v>14</v>
      </c>
      <c r="H852" s="22" t="s">
        <v>2646</v>
      </c>
    </row>
    <row r="853" spans="1:8" x14ac:dyDescent="0.35">
      <c r="A853" s="22" t="s">
        <v>851</v>
      </c>
      <c r="B853" s="22" t="str">
        <f>"02167"</f>
        <v>02167</v>
      </c>
      <c r="C853" s="22" t="str">
        <f t="shared" si="13"/>
        <v>'2167.HK'</v>
      </c>
      <c r="D853" s="22" t="s">
        <v>2647</v>
      </c>
      <c r="E853" s="22" t="s">
        <v>1202</v>
      </c>
      <c r="F853" s="22">
        <v>2206325072</v>
      </c>
      <c r="G853" s="22">
        <v>2</v>
      </c>
      <c r="H853" s="22" t="s">
        <v>2648</v>
      </c>
    </row>
    <row r="854" spans="1:8" x14ac:dyDescent="0.35">
      <c r="A854" s="22" t="s">
        <v>851</v>
      </c>
      <c r="B854" s="22" t="str">
        <f>"09982"</f>
        <v>09982</v>
      </c>
      <c r="C854" s="22" t="str">
        <f t="shared" si="13"/>
        <v>'9982.HK'</v>
      </c>
      <c r="D854" s="22" t="s">
        <v>2649</v>
      </c>
      <c r="E854" s="22" t="s">
        <v>1634</v>
      </c>
      <c r="F854" s="22">
        <v>2204103100.4000001</v>
      </c>
      <c r="G854" s="22">
        <v>6</v>
      </c>
      <c r="H854" s="22" t="s">
        <v>2650</v>
      </c>
    </row>
    <row r="855" spans="1:8" x14ac:dyDescent="0.35">
      <c r="A855" s="22" t="s">
        <v>851</v>
      </c>
      <c r="B855" s="22" t="str">
        <f>"01593"</f>
        <v>01593</v>
      </c>
      <c r="C855" s="22" t="str">
        <f t="shared" si="13"/>
        <v>'1593.HK'</v>
      </c>
      <c r="D855" s="22" t="s">
        <v>2651</v>
      </c>
      <c r="E855" s="22" t="s">
        <v>1270</v>
      </c>
      <c r="F855" s="22">
        <v>2200000000</v>
      </c>
      <c r="G855" s="22">
        <v>5</v>
      </c>
      <c r="H855" s="22" t="s">
        <v>2652</v>
      </c>
    </row>
    <row r="856" spans="1:8" x14ac:dyDescent="0.35">
      <c r="A856" s="22" t="s">
        <v>851</v>
      </c>
      <c r="B856" s="22" t="str">
        <f>"00279"</f>
        <v>00279</v>
      </c>
      <c r="C856" s="22" t="str">
        <f t="shared" si="13"/>
        <v>'0279.HK'</v>
      </c>
      <c r="D856" s="22" t="s">
        <v>2653</v>
      </c>
      <c r="E856" s="22" t="s">
        <v>1130</v>
      </c>
      <c r="F856" s="22">
        <v>2196355354.0799999</v>
      </c>
      <c r="G856" s="22">
        <v>10</v>
      </c>
      <c r="H856" s="22" t="s">
        <v>2654</v>
      </c>
    </row>
    <row r="857" spans="1:8" x14ac:dyDescent="0.35">
      <c r="A857" s="22" t="s">
        <v>851</v>
      </c>
      <c r="B857" s="22" t="str">
        <f>"00895"</f>
        <v>00895</v>
      </c>
      <c r="C857" s="22" t="str">
        <f t="shared" si="13"/>
        <v>'0895.HK'</v>
      </c>
      <c r="D857" s="22" t="s">
        <v>2655</v>
      </c>
      <c r="E857" s="22" t="s">
        <v>1301</v>
      </c>
      <c r="F857" s="22">
        <v>2189375083.98</v>
      </c>
      <c r="G857" s="22">
        <v>79</v>
      </c>
      <c r="H857" s="22" t="s">
        <v>2656</v>
      </c>
    </row>
    <row r="858" spans="1:8" x14ac:dyDescent="0.35">
      <c r="A858" s="22" t="s">
        <v>851</v>
      </c>
      <c r="B858" s="22" t="str">
        <f>"01981"</f>
        <v>01981</v>
      </c>
      <c r="C858" s="22" t="str">
        <f t="shared" si="13"/>
        <v>'1981.HK'</v>
      </c>
      <c r="D858" s="22" t="s">
        <v>2657</v>
      </c>
      <c r="E858" s="22" t="s">
        <v>1185</v>
      </c>
      <c r="F858" s="22">
        <v>2184516840</v>
      </c>
      <c r="G858" s="22">
        <v>18</v>
      </c>
      <c r="H858" s="22" t="s">
        <v>2658</v>
      </c>
    </row>
    <row r="859" spans="1:8" x14ac:dyDescent="0.35">
      <c r="A859" s="22" t="s">
        <v>851</v>
      </c>
      <c r="B859" s="22" t="str">
        <f>"02002"</f>
        <v>02002</v>
      </c>
      <c r="C859" s="22" t="str">
        <f t="shared" si="13"/>
        <v>'2002.HK'</v>
      </c>
      <c r="D859" s="22" t="s">
        <v>2659</v>
      </c>
      <c r="E859" s="22" t="s">
        <v>1378</v>
      </c>
      <c r="F859" s="22">
        <v>2164130681.0799999</v>
      </c>
      <c r="G859" s="22">
        <v>120</v>
      </c>
      <c r="H859" s="22" t="s">
        <v>2660</v>
      </c>
    </row>
    <row r="860" spans="1:8" x14ac:dyDescent="0.35">
      <c r="A860" s="22" t="s">
        <v>851</v>
      </c>
      <c r="B860" s="22" t="str">
        <f>"02368"</f>
        <v>02368</v>
      </c>
      <c r="C860" s="22" t="str">
        <f t="shared" si="13"/>
        <v>'2368.HK'</v>
      </c>
      <c r="D860" s="22" t="s">
        <v>2661</v>
      </c>
      <c r="E860" s="22" t="s">
        <v>889</v>
      </c>
      <c r="F860" s="22">
        <v>2161890000</v>
      </c>
      <c r="G860" s="22">
        <v>12</v>
      </c>
      <c r="H860" s="22" t="s">
        <v>2662</v>
      </c>
    </row>
    <row r="861" spans="1:8" x14ac:dyDescent="0.35">
      <c r="A861" s="22" t="s">
        <v>851</v>
      </c>
      <c r="B861" s="22" t="str">
        <f>"01091"</f>
        <v>01091</v>
      </c>
      <c r="C861" s="22" t="str">
        <f t="shared" si="13"/>
        <v>'1091.HK'</v>
      </c>
      <c r="D861" s="22" t="s">
        <v>2663</v>
      </c>
      <c r="E861" s="22" t="s">
        <v>1060</v>
      </c>
      <c r="F861" s="22">
        <v>2159929170</v>
      </c>
      <c r="G861" s="22">
        <v>18</v>
      </c>
      <c r="H861" s="22" t="s">
        <v>2664</v>
      </c>
    </row>
    <row r="862" spans="1:8" x14ac:dyDescent="0.35">
      <c r="A862" s="22" t="s">
        <v>851</v>
      </c>
      <c r="B862" s="22" t="str">
        <f>"02246"</f>
        <v>02246</v>
      </c>
      <c r="C862" s="22" t="str">
        <f t="shared" si="13"/>
        <v>'2246.HK'</v>
      </c>
      <c r="D862" s="22" t="s">
        <v>2665</v>
      </c>
      <c r="E862" s="22" t="s">
        <v>974</v>
      </c>
      <c r="F862" s="22">
        <v>2148192674.6300001</v>
      </c>
      <c r="G862" s="22">
        <v>1</v>
      </c>
      <c r="H862" s="22" t="s">
        <v>2666</v>
      </c>
    </row>
    <row r="863" spans="1:8" x14ac:dyDescent="0.35">
      <c r="A863" s="22" t="s">
        <v>851</v>
      </c>
      <c r="B863" s="22" t="str">
        <f>"06913"</f>
        <v>06913</v>
      </c>
      <c r="C863" s="22" t="str">
        <f t="shared" si="13"/>
        <v>'6913.HK'</v>
      </c>
      <c r="D863" s="22" t="s">
        <v>2667</v>
      </c>
      <c r="E863" s="22" t="s">
        <v>1270</v>
      </c>
      <c r="F863" s="22">
        <v>2147740000</v>
      </c>
      <c r="G863" s="22">
        <v>1</v>
      </c>
      <c r="H863" s="22" t="s">
        <v>2668</v>
      </c>
    </row>
    <row r="864" spans="1:8" x14ac:dyDescent="0.35">
      <c r="A864" s="22" t="s">
        <v>851</v>
      </c>
      <c r="B864" s="22" t="str">
        <f>"00025"</f>
        <v>00025</v>
      </c>
      <c r="C864" s="22" t="str">
        <f t="shared" si="13"/>
        <v>'0025.HK'</v>
      </c>
      <c r="D864" s="22" t="s">
        <v>2669</v>
      </c>
      <c r="E864" s="22" t="s">
        <v>958</v>
      </c>
      <c r="F864" s="22">
        <v>2143691924</v>
      </c>
      <c r="G864" s="22">
        <v>10</v>
      </c>
      <c r="H864" s="22" t="s">
        <v>2670</v>
      </c>
    </row>
    <row r="865" spans="1:8" x14ac:dyDescent="0.35">
      <c r="A865" s="22" t="s">
        <v>851</v>
      </c>
      <c r="B865" s="22" t="str">
        <f>"06668"</f>
        <v>06668</v>
      </c>
      <c r="C865" s="22" t="str">
        <f t="shared" si="13"/>
        <v>'6668.HK'</v>
      </c>
      <c r="D865" s="22" t="s">
        <v>2671</v>
      </c>
      <c r="E865" s="22" t="s">
        <v>1104</v>
      </c>
      <c r="F865" s="22">
        <v>2142081900</v>
      </c>
      <c r="G865" s="22">
        <v>18</v>
      </c>
      <c r="H865" s="22" t="s">
        <v>2672</v>
      </c>
    </row>
    <row r="866" spans="1:8" x14ac:dyDescent="0.35">
      <c r="A866" s="22" t="s">
        <v>851</v>
      </c>
      <c r="B866" s="22" t="str">
        <f>"01373"</f>
        <v>01373</v>
      </c>
      <c r="C866" s="22" t="str">
        <f t="shared" si="13"/>
        <v>'1373.HK'</v>
      </c>
      <c r="D866" s="22" t="s">
        <v>2673</v>
      </c>
      <c r="E866" s="22" t="s">
        <v>2334</v>
      </c>
      <c r="F866" s="22">
        <v>2135867850</v>
      </c>
      <c r="G866" s="22">
        <v>13</v>
      </c>
      <c r="H866" s="22" t="s">
        <v>2674</v>
      </c>
    </row>
    <row r="867" spans="1:8" x14ac:dyDescent="0.35">
      <c r="A867" s="22" t="s">
        <v>851</v>
      </c>
      <c r="B867" s="22" t="str">
        <f>"02207"</f>
        <v>02207</v>
      </c>
      <c r="C867" s="22" t="str">
        <f t="shared" si="13"/>
        <v>'2207.HK'</v>
      </c>
      <c r="D867" s="22" t="s">
        <v>2675</v>
      </c>
      <c r="E867" s="22" t="s">
        <v>1104</v>
      </c>
      <c r="F867" s="22">
        <v>2134036800</v>
      </c>
      <c r="G867" s="22">
        <v>9</v>
      </c>
      <c r="H867" s="22" t="s">
        <v>2676</v>
      </c>
    </row>
    <row r="868" spans="1:8" x14ac:dyDescent="0.35">
      <c r="A868" s="22" t="s">
        <v>851</v>
      </c>
      <c r="B868" s="22" t="str">
        <f>"02256"</f>
        <v>02256</v>
      </c>
      <c r="C868" s="22" t="str">
        <f t="shared" si="13"/>
        <v>'2256.HK'</v>
      </c>
      <c r="D868" s="22" t="s">
        <v>2677</v>
      </c>
      <c r="E868" s="22" t="s">
        <v>941</v>
      </c>
      <c r="F868" s="22">
        <v>2133394024</v>
      </c>
      <c r="G868" s="22">
        <v>5</v>
      </c>
      <c r="H868" s="22" t="s">
        <v>2678</v>
      </c>
    </row>
    <row r="869" spans="1:8" x14ac:dyDescent="0.35">
      <c r="A869" s="22" t="s">
        <v>851</v>
      </c>
      <c r="B869" s="22" t="str">
        <f>"01321"</f>
        <v>01321</v>
      </c>
      <c r="C869" s="22" t="str">
        <f t="shared" si="13"/>
        <v>'1321.HK'</v>
      </c>
      <c r="D869" s="22" t="s">
        <v>2679</v>
      </c>
      <c r="E869" s="22" t="s">
        <v>924</v>
      </c>
      <c r="F869" s="22">
        <v>2131414080</v>
      </c>
      <c r="G869" s="22">
        <v>7</v>
      </c>
      <c r="H869" s="22" t="s">
        <v>2680</v>
      </c>
    </row>
    <row r="870" spans="1:8" x14ac:dyDescent="0.35">
      <c r="A870" s="22" t="s">
        <v>851</v>
      </c>
      <c r="B870" s="22" t="str">
        <f>"06909"</f>
        <v>06909</v>
      </c>
      <c r="C870" s="22" t="str">
        <f t="shared" si="13"/>
        <v>'6909.HK'</v>
      </c>
      <c r="D870" s="22" t="s">
        <v>2681</v>
      </c>
      <c r="E870" s="22" t="s">
        <v>1089</v>
      </c>
      <c r="F870" s="22">
        <v>2128950000</v>
      </c>
      <c r="G870" s="22">
        <v>5</v>
      </c>
      <c r="H870" s="22" t="s">
        <v>2682</v>
      </c>
    </row>
    <row r="871" spans="1:8" x14ac:dyDescent="0.35">
      <c r="A871" s="22" t="s">
        <v>851</v>
      </c>
      <c r="B871" s="22" t="str">
        <f>"02886"</f>
        <v>02886</v>
      </c>
      <c r="C871" s="22" t="str">
        <f t="shared" si="13"/>
        <v>'2886.HK'</v>
      </c>
      <c r="D871" s="22" t="s">
        <v>2683</v>
      </c>
      <c r="E871" s="22" t="s">
        <v>1031</v>
      </c>
      <c r="F871" s="22">
        <v>2122679458.8099999</v>
      </c>
      <c r="G871" s="22">
        <v>9</v>
      </c>
      <c r="H871" s="22" t="s">
        <v>2684</v>
      </c>
    </row>
    <row r="872" spans="1:8" x14ac:dyDescent="0.35">
      <c r="A872" s="22" t="s">
        <v>851</v>
      </c>
      <c r="B872" s="22" t="str">
        <f>"06820"</f>
        <v>06820</v>
      </c>
      <c r="C872" s="22" t="str">
        <f t="shared" si="13"/>
        <v>'6820.HK'</v>
      </c>
      <c r="D872" s="22" t="s">
        <v>2685</v>
      </c>
      <c r="E872" s="22" t="s">
        <v>910</v>
      </c>
      <c r="F872" s="22">
        <v>2115424500</v>
      </c>
      <c r="G872" s="22">
        <v>18</v>
      </c>
      <c r="H872" s="22" t="s">
        <v>2686</v>
      </c>
    </row>
    <row r="873" spans="1:8" x14ac:dyDescent="0.35">
      <c r="A873" s="22" t="s">
        <v>851</v>
      </c>
      <c r="B873" s="22" t="str">
        <f>"02360"</f>
        <v>02360</v>
      </c>
      <c r="C873" s="22" t="str">
        <f t="shared" si="13"/>
        <v>'2360.HK'</v>
      </c>
      <c r="D873" s="22" t="s">
        <v>2687</v>
      </c>
      <c r="E873" s="22" t="s">
        <v>1503</v>
      </c>
      <c r="F873" s="22">
        <v>2110000000</v>
      </c>
      <c r="G873" s="22">
        <v>19</v>
      </c>
      <c r="H873" s="22" t="s">
        <v>2688</v>
      </c>
    </row>
    <row r="874" spans="1:8" x14ac:dyDescent="0.35">
      <c r="A874" s="22" t="s">
        <v>851</v>
      </c>
      <c r="B874" s="22" t="str">
        <f>"01569"</f>
        <v>01569</v>
      </c>
      <c r="C874" s="22" t="str">
        <f t="shared" si="13"/>
        <v>'1569.HK'</v>
      </c>
      <c r="D874" s="22" t="s">
        <v>2689</v>
      </c>
      <c r="E874" s="22" t="s">
        <v>1270</v>
      </c>
      <c r="F874" s="22">
        <v>2108860000</v>
      </c>
      <c r="G874" s="22">
        <v>60</v>
      </c>
      <c r="H874" s="22" t="s">
        <v>2690</v>
      </c>
    </row>
    <row r="875" spans="1:8" x14ac:dyDescent="0.35">
      <c r="A875" s="22" t="s">
        <v>851</v>
      </c>
      <c r="B875" s="22" t="str">
        <f>"02355"</f>
        <v>02355</v>
      </c>
      <c r="C875" s="22" t="str">
        <f t="shared" si="13"/>
        <v>'2355.HK'</v>
      </c>
      <c r="D875" s="22" t="s">
        <v>2691</v>
      </c>
      <c r="E875" s="22" t="s">
        <v>1634</v>
      </c>
      <c r="F875" s="22">
        <v>2104619606.7</v>
      </c>
      <c r="G875" s="22">
        <v>30</v>
      </c>
      <c r="H875" s="22" t="s">
        <v>2692</v>
      </c>
    </row>
    <row r="876" spans="1:8" x14ac:dyDescent="0.35">
      <c r="A876" s="22" t="s">
        <v>851</v>
      </c>
      <c r="B876" s="22" t="str">
        <f>"09913"</f>
        <v>09913</v>
      </c>
      <c r="C876" s="22" t="str">
        <f t="shared" si="13"/>
        <v>'9913.HK'</v>
      </c>
      <c r="D876" s="22" t="s">
        <v>2693</v>
      </c>
      <c r="E876" s="22" t="s">
        <v>1634</v>
      </c>
      <c r="F876" s="22">
        <v>2100000000</v>
      </c>
      <c r="G876" s="22">
        <v>2</v>
      </c>
      <c r="H876" s="22" t="s">
        <v>2694</v>
      </c>
    </row>
    <row r="877" spans="1:8" x14ac:dyDescent="0.35">
      <c r="A877" s="22" t="s">
        <v>851</v>
      </c>
      <c r="B877" s="22" t="str">
        <f>"09977"</f>
        <v>09977</v>
      </c>
      <c r="C877" s="22" t="str">
        <f t="shared" si="13"/>
        <v>'9977.HK'</v>
      </c>
      <c r="D877" s="22" t="s">
        <v>2695</v>
      </c>
      <c r="E877" s="22" t="s">
        <v>1229</v>
      </c>
      <c r="F877" s="22">
        <v>2100000000</v>
      </c>
      <c r="G877" s="22">
        <v>13</v>
      </c>
      <c r="H877" s="22" t="s">
        <v>2696</v>
      </c>
    </row>
    <row r="878" spans="1:8" x14ac:dyDescent="0.35">
      <c r="A878" s="22" t="s">
        <v>851</v>
      </c>
      <c r="B878" s="22" t="str">
        <f>"01948"</f>
        <v>01948</v>
      </c>
      <c r="C878" s="22" t="str">
        <f t="shared" si="13"/>
        <v>'1948.HK'</v>
      </c>
      <c r="D878" s="22" t="s">
        <v>2697</v>
      </c>
      <c r="E878" s="22" t="s">
        <v>1627</v>
      </c>
      <c r="F878" s="22">
        <v>2094000000</v>
      </c>
      <c r="G878" s="22">
        <v>1</v>
      </c>
      <c r="H878" s="22" t="s">
        <v>2698</v>
      </c>
    </row>
    <row r="879" spans="1:8" x14ac:dyDescent="0.35">
      <c r="A879" s="22" t="s">
        <v>851</v>
      </c>
      <c r="B879" s="22" t="str">
        <f>"00337"</f>
        <v>00337</v>
      </c>
      <c r="C879" s="22" t="str">
        <f t="shared" si="13"/>
        <v>'0337.HK'</v>
      </c>
      <c r="D879" s="22" t="s">
        <v>2699</v>
      </c>
      <c r="E879" s="22" t="s">
        <v>924</v>
      </c>
      <c r="F879" s="22">
        <v>2093913512.25</v>
      </c>
      <c r="G879" s="22">
        <v>137</v>
      </c>
      <c r="H879" s="22" t="s">
        <v>2700</v>
      </c>
    </row>
    <row r="880" spans="1:8" x14ac:dyDescent="0.35">
      <c r="A880" s="22" t="s">
        <v>851</v>
      </c>
      <c r="B880" s="22" t="str">
        <f>"02101"</f>
        <v>02101</v>
      </c>
      <c r="C880" s="22" t="str">
        <f t="shared" si="13"/>
        <v>'2101.HK'</v>
      </c>
      <c r="D880" s="22" t="s">
        <v>2701</v>
      </c>
      <c r="E880" s="22" t="s">
        <v>853</v>
      </c>
      <c r="F880" s="22">
        <v>2093305276.5999999</v>
      </c>
      <c r="G880" s="22">
        <v>3</v>
      </c>
      <c r="H880" s="22" t="s">
        <v>2702</v>
      </c>
    </row>
    <row r="881" spans="1:8" x14ac:dyDescent="0.35">
      <c r="A881" s="22" t="s">
        <v>851</v>
      </c>
      <c r="B881" s="22" t="str">
        <f>"01221"</f>
        <v>01221</v>
      </c>
      <c r="C881" s="22" t="str">
        <f t="shared" si="13"/>
        <v>'1221.HK'</v>
      </c>
      <c r="D881" s="22" t="s">
        <v>2703</v>
      </c>
      <c r="E881" s="22" t="s">
        <v>1070</v>
      </c>
      <c r="F881" s="22">
        <v>2091071090.3399999</v>
      </c>
      <c r="G881" s="22">
        <v>6</v>
      </c>
      <c r="H881" s="22" t="s">
        <v>2704</v>
      </c>
    </row>
    <row r="882" spans="1:8" x14ac:dyDescent="0.35">
      <c r="A882" s="22" t="s">
        <v>851</v>
      </c>
      <c r="B882" s="22" t="str">
        <f>"00398"</f>
        <v>00398</v>
      </c>
      <c r="C882" s="22" t="str">
        <f t="shared" si="13"/>
        <v>'0398.HK'</v>
      </c>
      <c r="D882" s="22" t="s">
        <v>2705</v>
      </c>
      <c r="E882" s="22" t="s">
        <v>1002</v>
      </c>
      <c r="F882" s="22">
        <v>2090766780.96</v>
      </c>
      <c r="G882" s="22">
        <v>13</v>
      </c>
      <c r="H882" s="22" t="s">
        <v>2706</v>
      </c>
    </row>
    <row r="883" spans="1:8" x14ac:dyDescent="0.35">
      <c r="A883" s="22" t="s">
        <v>851</v>
      </c>
      <c r="B883" s="22" t="str">
        <f>"01341"</f>
        <v>01341</v>
      </c>
      <c r="C883" s="22" t="str">
        <f t="shared" si="13"/>
        <v>'1341.HK'</v>
      </c>
      <c r="D883" s="22" t="s">
        <v>2707</v>
      </c>
      <c r="E883" s="22" t="s">
        <v>1395</v>
      </c>
      <c r="F883" s="22">
        <v>2087785016.9000001</v>
      </c>
      <c r="G883" s="22">
        <v>1</v>
      </c>
      <c r="H883" s="22" t="s">
        <v>2708</v>
      </c>
    </row>
    <row r="884" spans="1:8" x14ac:dyDescent="0.35">
      <c r="A884" s="22" t="s">
        <v>851</v>
      </c>
      <c r="B884" s="22" t="str">
        <f>"00900"</f>
        <v>00900</v>
      </c>
      <c r="C884" s="22" t="str">
        <f t="shared" si="13"/>
        <v>'0900.HK'</v>
      </c>
      <c r="D884" s="22" t="s">
        <v>2709</v>
      </c>
      <c r="E884" s="22" t="s">
        <v>1498</v>
      </c>
      <c r="F884" s="22">
        <v>2072889720</v>
      </c>
      <c r="G884" s="22">
        <v>24</v>
      </c>
      <c r="H884" s="22" t="s">
        <v>2710</v>
      </c>
    </row>
    <row r="885" spans="1:8" x14ac:dyDescent="0.35">
      <c r="A885" s="22" t="s">
        <v>851</v>
      </c>
      <c r="B885" s="22" t="str">
        <f>"00617"</f>
        <v>00617</v>
      </c>
      <c r="C885" s="22" t="str">
        <f t="shared" si="13"/>
        <v>'0617.HK'</v>
      </c>
      <c r="D885" s="22" t="s">
        <v>2711</v>
      </c>
      <c r="E885" s="22" t="s">
        <v>1070</v>
      </c>
      <c r="F885" s="22">
        <v>2061983126.9000001</v>
      </c>
      <c r="G885" s="22">
        <v>7</v>
      </c>
      <c r="H885" s="22" t="s">
        <v>2712</v>
      </c>
    </row>
    <row r="886" spans="1:8" x14ac:dyDescent="0.35">
      <c r="A886" s="22" t="s">
        <v>851</v>
      </c>
      <c r="B886" s="22" t="str">
        <f>"00251"</f>
        <v>00251</v>
      </c>
      <c r="C886" s="22" t="str">
        <f t="shared" si="13"/>
        <v>'0251.HK'</v>
      </c>
      <c r="D886" s="22" t="s">
        <v>2713</v>
      </c>
      <c r="E886" s="22" t="s">
        <v>1028</v>
      </c>
      <c r="F886" s="22">
        <v>2053238495.6600001</v>
      </c>
      <c r="G886" s="22">
        <v>9</v>
      </c>
      <c r="H886" s="22" t="s">
        <v>2714</v>
      </c>
    </row>
    <row r="887" spans="1:8" x14ac:dyDescent="0.35">
      <c r="A887" s="22" t="s">
        <v>851</v>
      </c>
      <c r="B887" s="22" t="str">
        <f>"02231"</f>
        <v>02231</v>
      </c>
      <c r="C887" s="22" t="str">
        <f t="shared" si="13"/>
        <v>'2231.HK'</v>
      </c>
      <c r="D887" s="22" t="s">
        <v>2715</v>
      </c>
      <c r="E887" s="22" t="s">
        <v>924</v>
      </c>
      <c r="F887" s="22">
        <v>2041254520</v>
      </c>
      <c r="G887" s="22">
        <v>4</v>
      </c>
      <c r="H887" s="22" t="s">
        <v>2716</v>
      </c>
    </row>
    <row r="888" spans="1:8" x14ac:dyDescent="0.35">
      <c r="A888" s="22" t="s">
        <v>851</v>
      </c>
      <c r="B888" s="22" t="str">
        <f>"00776"</f>
        <v>00776</v>
      </c>
      <c r="C888" s="22" t="str">
        <f t="shared" si="13"/>
        <v>'0776.HK'</v>
      </c>
      <c r="D888" s="22" t="s">
        <v>2717</v>
      </c>
      <c r="E888" s="22" t="s">
        <v>1429</v>
      </c>
      <c r="F888" s="22">
        <v>2021734000</v>
      </c>
      <c r="G888" s="22">
        <v>2</v>
      </c>
      <c r="H888" s="22" t="s">
        <v>2718</v>
      </c>
    </row>
    <row r="889" spans="1:8" x14ac:dyDescent="0.35">
      <c r="A889" s="22" t="s">
        <v>851</v>
      </c>
      <c r="B889" s="22" t="str">
        <f>"00468"</f>
        <v>00468</v>
      </c>
      <c r="C889" s="22" t="str">
        <f t="shared" si="13"/>
        <v>'0468.HK'</v>
      </c>
      <c r="D889" s="22" t="s">
        <v>2719</v>
      </c>
      <c r="E889" s="22" t="s">
        <v>2259</v>
      </c>
      <c r="F889" s="22">
        <v>2018312810</v>
      </c>
      <c r="G889" s="22">
        <v>46</v>
      </c>
      <c r="H889" s="22" t="s">
        <v>2720</v>
      </c>
    </row>
    <row r="890" spans="1:8" x14ac:dyDescent="0.35">
      <c r="A890" s="22" t="s">
        <v>851</v>
      </c>
      <c r="B890" s="22" t="str">
        <f>"02276"</f>
        <v>02276</v>
      </c>
      <c r="C890" s="22" t="str">
        <f t="shared" si="13"/>
        <v>'2276.HK'</v>
      </c>
      <c r="D890" s="22" t="s">
        <v>2721</v>
      </c>
      <c r="E890" s="22" t="s">
        <v>1224</v>
      </c>
      <c r="F890" s="22">
        <v>2005020000</v>
      </c>
      <c r="G890" s="22">
        <v>3</v>
      </c>
      <c r="H890" s="22" t="s">
        <v>2722</v>
      </c>
    </row>
    <row r="891" spans="1:8" x14ac:dyDescent="0.35">
      <c r="A891" s="22" t="s">
        <v>851</v>
      </c>
      <c r="B891" s="22" t="str">
        <f>"06093"</f>
        <v>06093</v>
      </c>
      <c r="C891" s="22" t="str">
        <f t="shared" si="13"/>
        <v>'6093.HK'</v>
      </c>
      <c r="D891" s="22" t="s">
        <v>2723</v>
      </c>
      <c r="E891" s="22" t="s">
        <v>1104</v>
      </c>
      <c r="F891" s="22">
        <v>2004800000</v>
      </c>
      <c r="G891" s="22">
        <v>21</v>
      </c>
      <c r="H891" s="22" t="s">
        <v>2724</v>
      </c>
    </row>
    <row r="892" spans="1:8" x14ac:dyDescent="0.35">
      <c r="A892" s="22" t="s">
        <v>851</v>
      </c>
      <c r="B892" s="22" t="str">
        <f>"02422"</f>
        <v>02422</v>
      </c>
      <c r="C892" s="22" t="str">
        <f t="shared" si="13"/>
        <v>'2422.HK'</v>
      </c>
      <c r="D892" s="22" t="s">
        <v>2725</v>
      </c>
      <c r="E892" s="22" t="s">
        <v>1627</v>
      </c>
      <c r="F892" s="22">
        <v>1990000000</v>
      </c>
      <c r="H892" s="22" t="s">
        <v>2726</v>
      </c>
    </row>
    <row r="893" spans="1:8" x14ac:dyDescent="0.35">
      <c r="A893" s="22" t="s">
        <v>851</v>
      </c>
      <c r="B893" s="22" t="str">
        <f>"00878"</f>
        <v>00878</v>
      </c>
      <c r="C893" s="22" t="str">
        <f t="shared" si="13"/>
        <v>'0878.HK'</v>
      </c>
      <c r="D893" s="22" t="s">
        <v>2727</v>
      </c>
      <c r="E893" s="22" t="s">
        <v>1028</v>
      </c>
      <c r="F893" s="22">
        <v>1980327358.6500001</v>
      </c>
      <c r="G893" s="22">
        <v>34</v>
      </c>
      <c r="H893" s="22" t="s">
        <v>2728</v>
      </c>
    </row>
    <row r="894" spans="1:8" x14ac:dyDescent="0.35">
      <c r="A894" s="22" t="s">
        <v>851</v>
      </c>
      <c r="B894" s="22" t="str">
        <f>"00931"</f>
        <v>00931</v>
      </c>
      <c r="C894" s="22" t="str">
        <f t="shared" si="13"/>
        <v>'0931.HK'</v>
      </c>
      <c r="D894" s="22" t="s">
        <v>2729</v>
      </c>
      <c r="E894" s="22" t="s">
        <v>1127</v>
      </c>
      <c r="F894" s="22">
        <v>1975328981.5</v>
      </c>
      <c r="G894" s="22">
        <v>8</v>
      </c>
      <c r="H894" s="22" t="s">
        <v>2730</v>
      </c>
    </row>
    <row r="895" spans="1:8" x14ac:dyDescent="0.35">
      <c r="A895" s="22" t="s">
        <v>851</v>
      </c>
      <c r="B895" s="22" t="str">
        <f>"03818"</f>
        <v>03818</v>
      </c>
      <c r="C895" s="22" t="str">
        <f t="shared" si="13"/>
        <v>'3818.HK'</v>
      </c>
      <c r="D895" s="22" t="s">
        <v>2731</v>
      </c>
      <c r="E895" s="22" t="s">
        <v>889</v>
      </c>
      <c r="F895" s="22">
        <v>1972332943.375</v>
      </c>
      <c r="G895" s="22">
        <v>93</v>
      </c>
      <c r="H895" s="22" t="s">
        <v>2732</v>
      </c>
    </row>
    <row r="896" spans="1:8" x14ac:dyDescent="0.35">
      <c r="A896" s="22" t="s">
        <v>851</v>
      </c>
      <c r="B896" s="22" t="str">
        <f>"00419"</f>
        <v>00419</v>
      </c>
      <c r="C896" s="22" t="str">
        <f t="shared" si="13"/>
        <v>'0419.HK'</v>
      </c>
      <c r="D896" s="22" t="s">
        <v>2733</v>
      </c>
      <c r="E896" s="22" t="s">
        <v>1744</v>
      </c>
      <c r="F896" s="22">
        <v>1969874098.3050001</v>
      </c>
      <c r="G896" s="22">
        <v>17</v>
      </c>
      <c r="H896" s="22" t="s">
        <v>2734</v>
      </c>
    </row>
    <row r="897" spans="1:8" x14ac:dyDescent="0.35">
      <c r="A897" s="22" t="s">
        <v>851</v>
      </c>
      <c r="B897" s="22" t="str">
        <f>"01045"</f>
        <v>01045</v>
      </c>
      <c r="C897" s="22" t="str">
        <f t="shared" si="13"/>
        <v>'1045.HK'</v>
      </c>
      <c r="D897" s="22" t="s">
        <v>2735</v>
      </c>
      <c r="E897" s="22" t="s">
        <v>1013</v>
      </c>
      <c r="F897" s="22">
        <v>1968573700</v>
      </c>
      <c r="G897" s="22">
        <v>35</v>
      </c>
      <c r="H897" s="22" t="s">
        <v>2736</v>
      </c>
    </row>
    <row r="898" spans="1:8" x14ac:dyDescent="0.35">
      <c r="A898" s="22" t="s">
        <v>851</v>
      </c>
      <c r="B898" s="22" t="str">
        <f>"06858"</f>
        <v>06858</v>
      </c>
      <c r="C898" s="22" t="str">
        <f t="shared" si="13"/>
        <v>'6858.HK'</v>
      </c>
      <c r="D898" s="22" t="s">
        <v>2737</v>
      </c>
      <c r="E898" s="22" t="s">
        <v>1446</v>
      </c>
      <c r="F898" s="22">
        <v>1968338125</v>
      </c>
      <c r="G898" s="22">
        <v>7</v>
      </c>
      <c r="H898" s="22" t="s">
        <v>2738</v>
      </c>
    </row>
    <row r="899" spans="1:8" x14ac:dyDescent="0.35">
      <c r="A899" s="22" t="s">
        <v>851</v>
      </c>
      <c r="B899" s="22" t="str">
        <f>"01725"</f>
        <v>01725</v>
      </c>
      <c r="C899" s="22" t="str">
        <f t="shared" ref="C899:C962" si="14">CONCATENATE("'",RIGHT(B899,4),".HK'")</f>
        <v>'1725.HK'</v>
      </c>
      <c r="D899" s="22" t="s">
        <v>2739</v>
      </c>
      <c r="E899" s="22" t="s">
        <v>1224</v>
      </c>
      <c r="F899" s="22">
        <v>1968330000</v>
      </c>
      <c r="G899" s="22">
        <v>2</v>
      </c>
      <c r="H899" s="22" t="s">
        <v>2740</v>
      </c>
    </row>
    <row r="900" spans="1:8" x14ac:dyDescent="0.35">
      <c r="A900" s="22" t="s">
        <v>851</v>
      </c>
      <c r="B900" s="22" t="str">
        <f>"02698"</f>
        <v>02698</v>
      </c>
      <c r="C900" s="22" t="str">
        <f t="shared" si="14"/>
        <v>'2698.HK'</v>
      </c>
      <c r="D900" s="22" t="s">
        <v>2741</v>
      </c>
      <c r="E900" s="22" t="s">
        <v>1914</v>
      </c>
      <c r="F900" s="22">
        <v>1958797960</v>
      </c>
      <c r="G900" s="22">
        <v>56</v>
      </c>
      <c r="H900" s="22" t="s">
        <v>2742</v>
      </c>
    </row>
    <row r="901" spans="1:8" x14ac:dyDescent="0.35">
      <c r="A901" s="22" t="s">
        <v>851</v>
      </c>
      <c r="B901" s="22" t="str">
        <f>"02392"</f>
        <v>02392</v>
      </c>
      <c r="C901" s="22" t="str">
        <f t="shared" si="14"/>
        <v>'2392.HK'</v>
      </c>
      <c r="D901" s="22" t="s">
        <v>2743</v>
      </c>
      <c r="E901" s="22" t="s">
        <v>910</v>
      </c>
      <c r="F901" s="22">
        <v>1955518545</v>
      </c>
      <c r="G901" s="22">
        <v>2</v>
      </c>
      <c r="H901" s="22" t="s">
        <v>2744</v>
      </c>
    </row>
    <row r="902" spans="1:8" x14ac:dyDescent="0.35">
      <c r="A902" s="22" t="s">
        <v>851</v>
      </c>
      <c r="B902" s="22" t="str">
        <f>"00842"</f>
        <v>00842</v>
      </c>
      <c r="C902" s="22" t="str">
        <f t="shared" si="14"/>
        <v>'0842.HK'</v>
      </c>
      <c r="D902" s="22" t="s">
        <v>2745</v>
      </c>
      <c r="E902" s="22" t="s">
        <v>1145</v>
      </c>
      <c r="F902" s="22">
        <v>1955310719.04</v>
      </c>
      <c r="G902" s="22">
        <v>11</v>
      </c>
      <c r="H902" s="22" t="s">
        <v>2746</v>
      </c>
    </row>
    <row r="903" spans="1:8" x14ac:dyDescent="0.35">
      <c r="A903" s="22" t="s">
        <v>851</v>
      </c>
      <c r="B903" s="22" t="str">
        <f>"03390"</f>
        <v>03390</v>
      </c>
      <c r="C903" s="22" t="str">
        <f t="shared" si="14"/>
        <v>'3390.HK'</v>
      </c>
      <c r="D903" s="22" t="s">
        <v>2747</v>
      </c>
      <c r="E903" s="22" t="s">
        <v>969</v>
      </c>
      <c r="F903" s="22">
        <v>1952000000</v>
      </c>
      <c r="G903" s="22">
        <v>3</v>
      </c>
      <c r="H903" s="22" t="s">
        <v>2748</v>
      </c>
    </row>
    <row r="904" spans="1:8" x14ac:dyDescent="0.35">
      <c r="A904" s="22" t="s">
        <v>851</v>
      </c>
      <c r="B904" s="22" t="str">
        <f>"01085"</f>
        <v>01085</v>
      </c>
      <c r="C904" s="22" t="str">
        <f t="shared" si="14"/>
        <v>'1085.HK'</v>
      </c>
      <c r="D904" s="22" t="s">
        <v>2749</v>
      </c>
      <c r="E904" s="22" t="s">
        <v>938</v>
      </c>
      <c r="F904" s="22">
        <v>1940000000</v>
      </c>
      <c r="G904" s="22">
        <v>3</v>
      </c>
      <c r="H904" s="22" t="s">
        <v>2750</v>
      </c>
    </row>
    <row r="905" spans="1:8" x14ac:dyDescent="0.35">
      <c r="A905" s="22" t="s">
        <v>851</v>
      </c>
      <c r="B905" s="22" t="str">
        <f>"02187"</f>
        <v>02187</v>
      </c>
      <c r="C905" s="22" t="str">
        <f t="shared" si="14"/>
        <v>'2187.HK'</v>
      </c>
      <c r="D905" s="22" t="s">
        <v>2751</v>
      </c>
      <c r="E905" s="22" t="s">
        <v>1016</v>
      </c>
      <c r="F905" s="22">
        <v>1937320000</v>
      </c>
      <c r="G905" s="22">
        <v>3</v>
      </c>
      <c r="H905" s="22" t="s">
        <v>2752</v>
      </c>
    </row>
    <row r="906" spans="1:8" x14ac:dyDescent="0.35">
      <c r="A906" s="22" t="s">
        <v>851</v>
      </c>
      <c r="B906" s="22" t="str">
        <f>"06158"</f>
        <v>06158</v>
      </c>
      <c r="C906" s="22" t="str">
        <f t="shared" si="14"/>
        <v>'6158.HK'</v>
      </c>
      <c r="D906" s="22" t="s">
        <v>2753</v>
      </c>
      <c r="E906" s="22" t="s">
        <v>924</v>
      </c>
      <c r="F906" s="22">
        <v>1921812640</v>
      </c>
      <c r="G906" s="22">
        <v>40</v>
      </c>
      <c r="H906" s="22" t="s">
        <v>2754</v>
      </c>
    </row>
    <row r="907" spans="1:8" x14ac:dyDescent="0.35">
      <c r="A907" s="22" t="s">
        <v>851</v>
      </c>
      <c r="B907" s="22" t="str">
        <f>"00408"</f>
        <v>00408</v>
      </c>
      <c r="C907" s="22" t="str">
        <f t="shared" si="14"/>
        <v>'0408.HK'</v>
      </c>
      <c r="D907" s="22" t="s">
        <v>2755</v>
      </c>
      <c r="E907" s="22" t="s">
        <v>1600</v>
      </c>
      <c r="F907" s="22">
        <v>1921476244.48</v>
      </c>
      <c r="G907" s="22">
        <v>16</v>
      </c>
      <c r="H907" s="22" t="s">
        <v>2756</v>
      </c>
    </row>
    <row r="908" spans="1:8" x14ac:dyDescent="0.35">
      <c r="A908" s="22" t="s">
        <v>851</v>
      </c>
      <c r="B908" s="22" t="str">
        <f>"00329"</f>
        <v>00329</v>
      </c>
      <c r="C908" s="22" t="str">
        <f t="shared" si="14"/>
        <v>'0329.HK'</v>
      </c>
      <c r="D908" s="22" t="s">
        <v>2757</v>
      </c>
      <c r="E908" s="22" t="s">
        <v>1130</v>
      </c>
      <c r="F908" s="22">
        <v>1919679897.5999999</v>
      </c>
      <c r="G908" s="22">
        <v>3</v>
      </c>
      <c r="H908" s="22" t="s">
        <v>2758</v>
      </c>
    </row>
    <row r="909" spans="1:8" x14ac:dyDescent="0.35">
      <c r="A909" s="22" t="s">
        <v>851</v>
      </c>
      <c r="B909" s="22" t="str">
        <f>"02348"</f>
        <v>02348</v>
      </c>
      <c r="C909" s="22" t="str">
        <f t="shared" si="14"/>
        <v>'2348.HK'</v>
      </c>
      <c r="D909" s="22" t="s">
        <v>2759</v>
      </c>
      <c r="E909" s="22" t="s">
        <v>969</v>
      </c>
      <c r="F909" s="22">
        <v>1918255360</v>
      </c>
      <c r="G909" s="22">
        <v>23</v>
      </c>
      <c r="H909" s="22" t="s">
        <v>2760</v>
      </c>
    </row>
    <row r="910" spans="1:8" x14ac:dyDescent="0.35">
      <c r="A910" s="22" t="s">
        <v>851</v>
      </c>
      <c r="B910" s="22" t="str">
        <f>"00951"</f>
        <v>00951</v>
      </c>
      <c r="C910" s="22" t="str">
        <f t="shared" si="14"/>
        <v>'0951.HK'</v>
      </c>
      <c r="D910" s="22" t="s">
        <v>2761</v>
      </c>
      <c r="E910" s="22" t="s">
        <v>1145</v>
      </c>
      <c r="F910" s="22">
        <v>1899098403.8800001</v>
      </c>
      <c r="G910" s="22">
        <v>62</v>
      </c>
      <c r="H910" s="22" t="s">
        <v>2762</v>
      </c>
    </row>
    <row r="911" spans="1:8" x14ac:dyDescent="0.35">
      <c r="A911" s="22" t="s">
        <v>851</v>
      </c>
      <c r="B911" s="22" t="str">
        <f>"01665"</f>
        <v>01665</v>
      </c>
      <c r="C911" s="22" t="str">
        <f t="shared" si="14"/>
        <v>'1665.HK'</v>
      </c>
      <c r="D911" s="22" t="s">
        <v>2763</v>
      </c>
      <c r="E911" s="22" t="s">
        <v>1202</v>
      </c>
      <c r="F911" s="22">
        <v>1896000000</v>
      </c>
      <c r="G911" s="22">
        <v>19</v>
      </c>
      <c r="H911" s="22" t="s">
        <v>2764</v>
      </c>
    </row>
    <row r="912" spans="1:8" x14ac:dyDescent="0.35">
      <c r="A912" s="22" t="s">
        <v>851</v>
      </c>
      <c r="B912" s="22" t="str">
        <f>"01728"</f>
        <v>01728</v>
      </c>
      <c r="C912" s="22" t="str">
        <f t="shared" si="14"/>
        <v>'1728.HK'</v>
      </c>
      <c r="D912" s="22" t="s">
        <v>2765</v>
      </c>
      <c r="E912" s="22" t="s">
        <v>1089</v>
      </c>
      <c r="F912" s="22">
        <v>1893734269.8</v>
      </c>
      <c r="G912" s="22">
        <v>45</v>
      </c>
      <c r="H912" s="22" t="s">
        <v>2766</v>
      </c>
    </row>
    <row r="913" spans="1:8" x14ac:dyDescent="0.35">
      <c r="A913" s="22" t="s">
        <v>851</v>
      </c>
      <c r="B913" s="22" t="str">
        <f>"03301"</f>
        <v>03301</v>
      </c>
      <c r="C913" s="22" t="str">
        <f t="shared" si="14"/>
        <v>'3301.HK'</v>
      </c>
      <c r="D913" s="22" t="s">
        <v>2767</v>
      </c>
      <c r="E913" s="22" t="s">
        <v>924</v>
      </c>
      <c r="F913" s="22">
        <v>1885443187.04</v>
      </c>
      <c r="G913" s="22">
        <v>105</v>
      </c>
      <c r="H913" s="22" t="s">
        <v>2768</v>
      </c>
    </row>
    <row r="914" spans="1:8" x14ac:dyDescent="0.35">
      <c r="A914" s="22" t="s">
        <v>851</v>
      </c>
      <c r="B914" s="22" t="str">
        <f>"01263"</f>
        <v>01263</v>
      </c>
      <c r="C914" s="22" t="str">
        <f t="shared" si="14"/>
        <v>'1263.HK'</v>
      </c>
      <c r="D914" s="22" t="s">
        <v>2769</v>
      </c>
      <c r="E914" s="22" t="s">
        <v>1152</v>
      </c>
      <c r="F914" s="22">
        <v>1880265789.8</v>
      </c>
      <c r="G914" s="22">
        <v>16</v>
      </c>
      <c r="H914" s="22" t="s">
        <v>2770</v>
      </c>
    </row>
    <row r="915" spans="1:8" x14ac:dyDescent="0.35">
      <c r="A915" s="22" t="s">
        <v>851</v>
      </c>
      <c r="B915" s="22" t="str">
        <f>"00609"</f>
        <v>00609</v>
      </c>
      <c r="C915" s="22" t="str">
        <f t="shared" si="14"/>
        <v>'0609.HK'</v>
      </c>
      <c r="D915" s="22" t="s">
        <v>2771</v>
      </c>
      <c r="E915" s="22" t="s">
        <v>1600</v>
      </c>
      <c r="F915" s="22">
        <v>1877942880</v>
      </c>
      <c r="G915" s="22">
        <v>21</v>
      </c>
      <c r="H915" s="22" t="s">
        <v>2772</v>
      </c>
    </row>
    <row r="916" spans="1:8" x14ac:dyDescent="0.35">
      <c r="A916" s="22" t="s">
        <v>851</v>
      </c>
      <c r="B916" s="22" t="str">
        <f>"01141"</f>
        <v>01141</v>
      </c>
      <c r="C916" s="22" t="str">
        <f t="shared" si="14"/>
        <v>'1141.HK'</v>
      </c>
      <c r="D916" s="22" t="s">
        <v>2773</v>
      </c>
      <c r="E916" s="22" t="s">
        <v>1130</v>
      </c>
      <c r="F916" s="22">
        <v>1865283390.3800001</v>
      </c>
      <c r="G916" s="22">
        <v>16</v>
      </c>
      <c r="H916" s="22" t="s">
        <v>2774</v>
      </c>
    </row>
    <row r="917" spans="1:8" x14ac:dyDescent="0.35">
      <c r="A917" s="22" t="s">
        <v>851</v>
      </c>
      <c r="B917" s="22" t="str">
        <f>"03681"</f>
        <v>03681</v>
      </c>
      <c r="C917" s="22" t="str">
        <f t="shared" si="14"/>
        <v>'3681.HK'</v>
      </c>
      <c r="D917" s="22" t="s">
        <v>2775</v>
      </c>
      <c r="E917" s="22" t="s">
        <v>941</v>
      </c>
      <c r="F917" s="22">
        <v>1862856720</v>
      </c>
      <c r="G917" s="22">
        <v>8</v>
      </c>
      <c r="H917" s="22" t="s">
        <v>2776</v>
      </c>
    </row>
    <row r="918" spans="1:8" x14ac:dyDescent="0.35">
      <c r="A918" s="22" t="s">
        <v>851</v>
      </c>
      <c r="B918" s="22" t="str">
        <f>"01820"</f>
        <v>01820</v>
      </c>
      <c r="C918" s="22" t="str">
        <f t="shared" si="14"/>
        <v>'1820.HK'</v>
      </c>
      <c r="D918" s="22" t="s">
        <v>2777</v>
      </c>
      <c r="E918" s="22" t="s">
        <v>2259</v>
      </c>
      <c r="F918" s="22">
        <v>1860912080</v>
      </c>
      <c r="G918" s="22">
        <v>2</v>
      </c>
      <c r="H918" s="22" t="s">
        <v>2778</v>
      </c>
    </row>
    <row r="919" spans="1:8" x14ac:dyDescent="0.35">
      <c r="A919" s="22" t="s">
        <v>851</v>
      </c>
      <c r="B919" s="22" t="str">
        <f>"03836"</f>
        <v>03836</v>
      </c>
      <c r="C919" s="22" t="str">
        <f t="shared" si="14"/>
        <v>'3836.HK'</v>
      </c>
      <c r="D919" s="22" t="s">
        <v>2779</v>
      </c>
      <c r="E919" s="22" t="s">
        <v>1089</v>
      </c>
      <c r="F919" s="22">
        <v>1856396012.4000001</v>
      </c>
      <c r="G919" s="22">
        <v>35</v>
      </c>
      <c r="H919" s="22" t="s">
        <v>2780</v>
      </c>
    </row>
    <row r="920" spans="1:8" x14ac:dyDescent="0.35">
      <c r="A920" s="22" t="s">
        <v>851</v>
      </c>
      <c r="B920" s="22" t="str">
        <f>"02126"</f>
        <v>02126</v>
      </c>
      <c r="C920" s="22" t="str">
        <f t="shared" si="14"/>
        <v>'2126.HK'</v>
      </c>
      <c r="D920" s="22" t="s">
        <v>2781</v>
      </c>
      <c r="E920" s="22" t="s">
        <v>941</v>
      </c>
      <c r="F920" s="22">
        <v>1853765549.9000001</v>
      </c>
      <c r="G920" s="22">
        <v>35</v>
      </c>
      <c r="H920" s="22" t="s">
        <v>2782</v>
      </c>
    </row>
    <row r="921" spans="1:8" x14ac:dyDescent="0.35">
      <c r="A921" s="22" t="s">
        <v>851</v>
      </c>
      <c r="B921" s="22" t="str">
        <f>"02633"</f>
        <v>02633</v>
      </c>
      <c r="C921" s="22" t="str">
        <f t="shared" si="14"/>
        <v>'2633.HK'</v>
      </c>
      <c r="D921" s="22" t="s">
        <v>2783</v>
      </c>
      <c r="E921" s="22" t="s">
        <v>969</v>
      </c>
      <c r="F921" s="22">
        <v>1837509950</v>
      </c>
      <c r="G921" s="22">
        <v>10</v>
      </c>
      <c r="H921" s="22" t="s">
        <v>2784</v>
      </c>
    </row>
    <row r="922" spans="1:8" x14ac:dyDescent="0.35">
      <c r="A922" s="22" t="s">
        <v>851</v>
      </c>
      <c r="B922" s="22" t="str">
        <f>"01846"</f>
        <v>01846</v>
      </c>
      <c r="C922" s="22" t="str">
        <f t="shared" si="14"/>
        <v>'1846.HK'</v>
      </c>
      <c r="D922" s="22" t="s">
        <v>2785</v>
      </c>
      <c r="E922" s="22" t="s">
        <v>1362</v>
      </c>
      <c r="F922" s="22">
        <v>1829487600</v>
      </c>
      <c r="G922" s="22">
        <v>15</v>
      </c>
      <c r="H922" s="22" t="s">
        <v>2786</v>
      </c>
    </row>
    <row r="923" spans="1:8" x14ac:dyDescent="0.35">
      <c r="A923" s="22" t="s">
        <v>851</v>
      </c>
      <c r="B923" s="22" t="str">
        <f>"00286"</f>
        <v>00286</v>
      </c>
      <c r="C923" s="22" t="str">
        <f t="shared" si="14"/>
        <v>'0286.HK'</v>
      </c>
      <c r="D923" s="22" t="s">
        <v>2787</v>
      </c>
      <c r="E923" s="22" t="s">
        <v>1362</v>
      </c>
      <c r="F923" s="22">
        <v>1824906289.0799999</v>
      </c>
      <c r="G923" s="22">
        <v>10</v>
      </c>
      <c r="H923" s="22" t="s">
        <v>2788</v>
      </c>
    </row>
    <row r="924" spans="1:8" x14ac:dyDescent="0.35">
      <c r="A924" s="22" t="s">
        <v>851</v>
      </c>
      <c r="B924" s="22" t="str">
        <f>"01697"</f>
        <v>01697</v>
      </c>
      <c r="C924" s="22" t="str">
        <f t="shared" si="14"/>
        <v>'1697.HK'</v>
      </c>
      <c r="D924" s="22" t="s">
        <v>2789</v>
      </c>
      <c r="E924" s="22" t="s">
        <v>964</v>
      </c>
      <c r="F924" s="22">
        <v>1816951500</v>
      </c>
      <c r="G924" s="22">
        <v>20</v>
      </c>
      <c r="H924" s="22" t="s">
        <v>2790</v>
      </c>
    </row>
    <row r="925" spans="1:8" x14ac:dyDescent="0.35">
      <c r="A925" s="22" t="s">
        <v>851</v>
      </c>
      <c r="B925" s="22" t="str">
        <f>"02297"</f>
        <v>02297</v>
      </c>
      <c r="C925" s="22" t="str">
        <f t="shared" si="14"/>
        <v>'2297.HK'</v>
      </c>
      <c r="D925" s="22" t="s">
        <v>2791</v>
      </c>
      <c r="E925" s="22" t="s">
        <v>1232</v>
      </c>
      <c r="F925" s="22">
        <v>1810088450</v>
      </c>
      <c r="G925" s="22">
        <v>1</v>
      </c>
      <c r="H925" s="22" t="s">
        <v>2792</v>
      </c>
    </row>
    <row r="926" spans="1:8" x14ac:dyDescent="0.35">
      <c r="A926" s="22" t="s">
        <v>851</v>
      </c>
      <c r="B926" s="22" t="str">
        <f>"00695"</f>
        <v>00695</v>
      </c>
      <c r="C926" s="22" t="str">
        <f t="shared" si="14"/>
        <v>'0695.HK'</v>
      </c>
      <c r="D926" s="22" t="s">
        <v>2793</v>
      </c>
      <c r="E926" s="22" t="s">
        <v>1016</v>
      </c>
      <c r="F926" s="22">
        <v>1805040000</v>
      </c>
      <c r="G926" s="22">
        <v>5</v>
      </c>
      <c r="H926" s="22" t="s">
        <v>2794</v>
      </c>
    </row>
    <row r="927" spans="1:8" x14ac:dyDescent="0.35">
      <c r="A927" s="22" t="s">
        <v>851</v>
      </c>
      <c r="B927" s="22" t="str">
        <f>"01126"</f>
        <v>01126</v>
      </c>
      <c r="C927" s="22" t="str">
        <f t="shared" si="14"/>
        <v>'1126.HK'</v>
      </c>
      <c r="D927" s="22" t="s">
        <v>2795</v>
      </c>
      <c r="E927" s="22" t="s">
        <v>1446</v>
      </c>
      <c r="F927" s="22">
        <v>1800460900</v>
      </c>
      <c r="G927" s="22">
        <v>15</v>
      </c>
      <c r="H927" s="22" t="s">
        <v>2796</v>
      </c>
    </row>
    <row r="928" spans="1:8" x14ac:dyDescent="0.35">
      <c r="A928" s="22" t="s">
        <v>851</v>
      </c>
      <c r="B928" s="22" t="str">
        <f>"00321"</f>
        <v>00321</v>
      </c>
      <c r="C928" s="22" t="str">
        <f t="shared" si="14"/>
        <v>'0321.HK'</v>
      </c>
      <c r="D928" s="22" t="s">
        <v>2797</v>
      </c>
      <c r="E928" s="22" t="s">
        <v>1914</v>
      </c>
      <c r="F928" s="22">
        <v>1796204935.2</v>
      </c>
      <c r="G928" s="22">
        <v>38</v>
      </c>
      <c r="H928" s="22" t="s">
        <v>2798</v>
      </c>
    </row>
    <row r="929" spans="1:8" x14ac:dyDescent="0.35">
      <c r="A929" s="22" t="s">
        <v>851</v>
      </c>
      <c r="B929" s="22" t="str">
        <f>"02181"</f>
        <v>02181</v>
      </c>
      <c r="C929" s="22" t="str">
        <f t="shared" si="14"/>
        <v>'2181.HK'</v>
      </c>
      <c r="D929" s="22" t="s">
        <v>2799</v>
      </c>
      <c r="E929" s="22" t="s">
        <v>941</v>
      </c>
      <c r="F929" s="22">
        <v>1793974800</v>
      </c>
      <c r="G929" s="22">
        <v>7</v>
      </c>
      <c r="H929" s="22" t="s">
        <v>2800</v>
      </c>
    </row>
    <row r="930" spans="1:8" x14ac:dyDescent="0.35">
      <c r="A930" s="22" t="s">
        <v>851</v>
      </c>
      <c r="B930" s="22" t="str">
        <f>"00052"</f>
        <v>00052</v>
      </c>
      <c r="C930" s="22" t="str">
        <f t="shared" si="14"/>
        <v>'0052.HK'</v>
      </c>
      <c r="D930" s="22" t="s">
        <v>2801</v>
      </c>
      <c r="E930" s="22" t="s">
        <v>981</v>
      </c>
      <c r="F930" s="22">
        <v>1785237308.4000001</v>
      </c>
      <c r="G930" s="22">
        <v>27</v>
      </c>
      <c r="H930" s="22" t="s">
        <v>2802</v>
      </c>
    </row>
    <row r="931" spans="1:8" x14ac:dyDescent="0.35">
      <c r="A931" s="22" t="s">
        <v>851</v>
      </c>
      <c r="B931" s="22" t="str">
        <f>"03639"</f>
        <v>03639</v>
      </c>
      <c r="C931" s="22" t="str">
        <f t="shared" si="14"/>
        <v>'3639.HK'</v>
      </c>
      <c r="D931" s="22" t="s">
        <v>2803</v>
      </c>
      <c r="E931" s="22" t="s">
        <v>924</v>
      </c>
      <c r="F931" s="22">
        <v>1782939300</v>
      </c>
      <c r="G931" s="22">
        <v>15</v>
      </c>
      <c r="H931" s="22" t="s">
        <v>2804</v>
      </c>
    </row>
    <row r="932" spans="1:8" x14ac:dyDescent="0.35">
      <c r="A932" s="22" t="s">
        <v>851</v>
      </c>
      <c r="B932" s="22" t="str">
        <f>"02250"</f>
        <v>02250</v>
      </c>
      <c r="C932" s="22" t="str">
        <f t="shared" si="14"/>
        <v>'2250.HK'</v>
      </c>
      <c r="D932" s="22" t="s">
        <v>2805</v>
      </c>
      <c r="E932" s="22" t="s">
        <v>853</v>
      </c>
      <c r="F932" s="22">
        <v>1780000000</v>
      </c>
      <c r="G932" s="22">
        <v>1</v>
      </c>
      <c r="H932" s="22" t="s">
        <v>2806</v>
      </c>
    </row>
    <row r="933" spans="1:8" x14ac:dyDescent="0.35">
      <c r="A933" s="22" t="s">
        <v>851</v>
      </c>
      <c r="B933" s="22" t="str">
        <f>"02768"</f>
        <v>02768</v>
      </c>
      <c r="C933" s="22" t="str">
        <f t="shared" si="14"/>
        <v>'2768.HK'</v>
      </c>
      <c r="D933" s="22" t="s">
        <v>2807</v>
      </c>
      <c r="E933" s="22" t="s">
        <v>924</v>
      </c>
      <c r="F933" s="22">
        <v>1779970650.3800001</v>
      </c>
      <c r="G933" s="22">
        <v>45</v>
      </c>
      <c r="H933" s="22" t="s">
        <v>2808</v>
      </c>
    </row>
    <row r="934" spans="1:8" x14ac:dyDescent="0.35">
      <c r="A934" s="22" t="s">
        <v>851</v>
      </c>
      <c r="B934" s="22" t="str">
        <f>"01935"</f>
        <v>01935</v>
      </c>
      <c r="C934" s="22" t="str">
        <f t="shared" si="14"/>
        <v>'1935.HK'</v>
      </c>
      <c r="D934" s="22" t="s">
        <v>2809</v>
      </c>
      <c r="E934" s="22" t="s">
        <v>1270</v>
      </c>
      <c r="F934" s="22">
        <v>1776921300</v>
      </c>
      <c r="G934" s="22">
        <v>11</v>
      </c>
      <c r="H934" s="22" t="s">
        <v>2810</v>
      </c>
    </row>
    <row r="935" spans="1:8" x14ac:dyDescent="0.35">
      <c r="A935" s="22" t="s">
        <v>851</v>
      </c>
      <c r="B935" s="22" t="str">
        <f>"00139"</f>
        <v>00139</v>
      </c>
      <c r="C935" s="22" t="str">
        <f t="shared" si="14"/>
        <v>'0139.HK'</v>
      </c>
      <c r="D935" s="22" t="s">
        <v>2811</v>
      </c>
      <c r="E935" s="22" t="s">
        <v>1130</v>
      </c>
      <c r="F935" s="22">
        <v>1773186201.171</v>
      </c>
      <c r="G935" s="22">
        <v>3</v>
      </c>
      <c r="H935" s="22" t="s">
        <v>2812</v>
      </c>
    </row>
    <row r="936" spans="1:8" x14ac:dyDescent="0.35">
      <c r="A936" s="22" t="s">
        <v>851</v>
      </c>
      <c r="B936" s="22" t="str">
        <f>"03798"</f>
        <v>03798</v>
      </c>
      <c r="C936" s="22" t="str">
        <f t="shared" si="14"/>
        <v>'3798.HK'</v>
      </c>
      <c r="D936" s="22" t="s">
        <v>2813</v>
      </c>
      <c r="E936" s="22" t="s">
        <v>910</v>
      </c>
      <c r="F936" s="22">
        <v>1771096830</v>
      </c>
      <c r="G936" s="22">
        <v>16</v>
      </c>
      <c r="H936" s="22" t="s">
        <v>2814</v>
      </c>
    </row>
    <row r="937" spans="1:8" x14ac:dyDescent="0.35">
      <c r="A937" s="22" t="s">
        <v>851</v>
      </c>
      <c r="B937" s="22" t="str">
        <f>"02779"</f>
        <v>02779</v>
      </c>
      <c r="C937" s="22" t="str">
        <f t="shared" si="14"/>
        <v>'2779.HK'</v>
      </c>
      <c r="D937" s="22" t="s">
        <v>2815</v>
      </c>
      <c r="E937" s="22" t="s">
        <v>1270</v>
      </c>
      <c r="F937" s="22">
        <v>1769441300</v>
      </c>
      <c r="G937" s="22">
        <v>26</v>
      </c>
      <c r="H937" s="22" t="s">
        <v>2816</v>
      </c>
    </row>
    <row r="938" spans="1:8" x14ac:dyDescent="0.35">
      <c r="A938" s="22" t="s">
        <v>851</v>
      </c>
      <c r="B938" s="22" t="str">
        <f>"01469"</f>
        <v>01469</v>
      </c>
      <c r="C938" s="22" t="str">
        <f t="shared" si="14"/>
        <v>'1469.HK'</v>
      </c>
      <c r="D938" s="22" t="s">
        <v>2817</v>
      </c>
      <c r="E938" s="22" t="s">
        <v>1130</v>
      </c>
      <c r="F938" s="22">
        <v>1750000000</v>
      </c>
      <c r="G938" s="22">
        <v>3</v>
      </c>
      <c r="H938" s="22" t="s">
        <v>2818</v>
      </c>
    </row>
    <row r="939" spans="1:8" x14ac:dyDescent="0.35">
      <c r="A939" s="22" t="s">
        <v>851</v>
      </c>
      <c r="B939" s="22" t="str">
        <f>"00222"</f>
        <v>00222</v>
      </c>
      <c r="C939" s="22" t="str">
        <f t="shared" si="14"/>
        <v>'0222.HK'</v>
      </c>
      <c r="D939" s="22" t="s">
        <v>2819</v>
      </c>
      <c r="E939" s="22" t="s">
        <v>870</v>
      </c>
      <c r="F939" s="22">
        <v>1749963748.3599999</v>
      </c>
      <c r="G939" s="22">
        <v>17</v>
      </c>
      <c r="H939" s="22" t="s">
        <v>2820</v>
      </c>
    </row>
    <row r="940" spans="1:8" x14ac:dyDescent="0.35">
      <c r="A940" s="22" t="s">
        <v>851</v>
      </c>
      <c r="B940" s="22" t="str">
        <f>"02008"</f>
        <v>02008</v>
      </c>
      <c r="C940" s="22" t="str">
        <f t="shared" si="14"/>
        <v>'2008.HK'</v>
      </c>
      <c r="D940" s="22" t="s">
        <v>2821</v>
      </c>
      <c r="E940" s="22" t="s">
        <v>2645</v>
      </c>
      <c r="F940" s="22">
        <v>1747780825</v>
      </c>
      <c r="G940" s="22">
        <v>19</v>
      </c>
      <c r="H940" s="22" t="s">
        <v>2822</v>
      </c>
    </row>
    <row r="941" spans="1:8" x14ac:dyDescent="0.35">
      <c r="A941" s="22" t="s">
        <v>851</v>
      </c>
      <c r="B941" s="22" t="str">
        <f>"00438"</f>
        <v>00438</v>
      </c>
      <c r="C941" s="22" t="str">
        <f t="shared" si="14"/>
        <v>'0438.HK'</v>
      </c>
      <c r="D941" s="22" t="s">
        <v>2823</v>
      </c>
      <c r="E941" s="22" t="s">
        <v>1145</v>
      </c>
      <c r="F941" s="22">
        <v>1743825272.3</v>
      </c>
      <c r="G941" s="22">
        <v>18</v>
      </c>
      <c r="H941" s="22" t="s">
        <v>2824</v>
      </c>
    </row>
    <row r="942" spans="1:8" x14ac:dyDescent="0.35">
      <c r="A942" s="22" t="s">
        <v>851</v>
      </c>
      <c r="B942" s="22" t="str">
        <f>"02660"</f>
        <v>02660</v>
      </c>
      <c r="C942" s="22" t="str">
        <f t="shared" si="14"/>
        <v>'2660.HK'</v>
      </c>
      <c r="D942" s="22" t="s">
        <v>2825</v>
      </c>
      <c r="E942" s="22" t="s">
        <v>910</v>
      </c>
      <c r="F942" s="22">
        <v>1737660851.03</v>
      </c>
      <c r="G942" s="22">
        <v>15</v>
      </c>
      <c r="H942" s="22" t="s">
        <v>2826</v>
      </c>
    </row>
    <row r="943" spans="1:8" x14ac:dyDescent="0.35">
      <c r="A943" s="22" t="s">
        <v>851</v>
      </c>
      <c r="B943" s="22" t="str">
        <f>"06638"</f>
        <v>06638</v>
      </c>
      <c r="C943" s="22" t="str">
        <f t="shared" si="14"/>
        <v>'6638.HK'</v>
      </c>
      <c r="D943" s="22" t="s">
        <v>2827</v>
      </c>
      <c r="E943" s="22" t="s">
        <v>910</v>
      </c>
      <c r="F943" s="22">
        <v>1719871559.9100001</v>
      </c>
      <c r="G943" s="22">
        <v>2</v>
      </c>
      <c r="H943" s="22" t="s">
        <v>2828</v>
      </c>
    </row>
    <row r="944" spans="1:8" x14ac:dyDescent="0.35">
      <c r="A944" s="22" t="s">
        <v>851</v>
      </c>
      <c r="B944" s="22" t="str">
        <f>"00716"</f>
        <v>00716</v>
      </c>
      <c r="C944" s="22" t="str">
        <f t="shared" si="14"/>
        <v>'0716.HK'</v>
      </c>
      <c r="D944" s="22" t="s">
        <v>2829</v>
      </c>
      <c r="E944" s="22" t="s">
        <v>1109</v>
      </c>
      <c r="F944" s="22">
        <v>1715188260.96</v>
      </c>
      <c r="G944" s="22">
        <v>40</v>
      </c>
      <c r="H944" s="22" t="s">
        <v>2830</v>
      </c>
    </row>
    <row r="945" spans="1:8" x14ac:dyDescent="0.35">
      <c r="A945" s="22" t="s">
        <v>851</v>
      </c>
      <c r="B945" s="22" t="str">
        <f>"00187"</f>
        <v>00187</v>
      </c>
      <c r="C945" s="22" t="str">
        <f t="shared" si="14"/>
        <v>'0187.HK'</v>
      </c>
      <c r="D945" s="22" t="s">
        <v>2831</v>
      </c>
      <c r="E945" s="22" t="s">
        <v>1224</v>
      </c>
      <c r="F945" s="22">
        <v>1708137862.2</v>
      </c>
      <c r="G945" s="22">
        <v>17</v>
      </c>
      <c r="H945" s="22" t="s">
        <v>2832</v>
      </c>
    </row>
    <row r="946" spans="1:8" x14ac:dyDescent="0.35">
      <c r="A946" s="22" t="s">
        <v>851</v>
      </c>
      <c r="B946" s="22" t="str">
        <f>"00230"</f>
        <v>00230</v>
      </c>
      <c r="C946" s="22" t="str">
        <f t="shared" si="14"/>
        <v>'0230.HK'</v>
      </c>
      <c r="D946" s="22" t="s">
        <v>2833</v>
      </c>
      <c r="E946" s="22" t="s">
        <v>924</v>
      </c>
      <c r="F946" s="22">
        <v>1706923098.8699999</v>
      </c>
      <c r="G946" s="22">
        <v>40</v>
      </c>
      <c r="H946" s="22" t="s">
        <v>2834</v>
      </c>
    </row>
    <row r="947" spans="1:8" x14ac:dyDescent="0.35">
      <c r="A947" s="22" t="s">
        <v>851</v>
      </c>
      <c r="B947" s="22" t="str">
        <f>"00838"</f>
        <v>00838</v>
      </c>
      <c r="C947" s="22" t="str">
        <f t="shared" si="14"/>
        <v>'0838.HK'</v>
      </c>
      <c r="D947" s="22" t="s">
        <v>2835</v>
      </c>
      <c r="E947" s="22" t="s">
        <v>1224</v>
      </c>
      <c r="F947" s="22">
        <v>1706101404</v>
      </c>
      <c r="G947" s="22">
        <v>10</v>
      </c>
      <c r="H947" s="22" t="s">
        <v>2836</v>
      </c>
    </row>
    <row r="948" spans="1:8" x14ac:dyDescent="0.35">
      <c r="A948" s="22" t="s">
        <v>851</v>
      </c>
      <c r="B948" s="22" t="str">
        <f>"00255"</f>
        <v>00255</v>
      </c>
      <c r="C948" s="22" t="str">
        <f t="shared" si="14"/>
        <v>'0255.HK'</v>
      </c>
      <c r="D948" s="22" t="s">
        <v>2837</v>
      </c>
      <c r="E948" s="22" t="s">
        <v>1224</v>
      </c>
      <c r="F948" s="22">
        <v>1705528718.0999999</v>
      </c>
      <c r="G948" s="22">
        <v>37</v>
      </c>
      <c r="H948" s="22" t="s">
        <v>2838</v>
      </c>
    </row>
    <row r="949" spans="1:8" x14ac:dyDescent="0.35">
      <c r="A949" s="22" t="s">
        <v>851</v>
      </c>
      <c r="B949" s="22" t="str">
        <f>"01996"</f>
        <v>01996</v>
      </c>
      <c r="C949" s="22" t="str">
        <f t="shared" si="14"/>
        <v>'1996.HK'</v>
      </c>
      <c r="D949" s="22" t="s">
        <v>2839</v>
      </c>
      <c r="E949" s="22" t="s">
        <v>924</v>
      </c>
      <c r="F949" s="22">
        <v>1702837980</v>
      </c>
      <c r="G949" s="22">
        <v>24</v>
      </c>
      <c r="H949" s="22" t="s">
        <v>2840</v>
      </c>
    </row>
    <row r="950" spans="1:8" x14ac:dyDescent="0.35">
      <c r="A950" s="22" t="s">
        <v>851</v>
      </c>
      <c r="B950" s="22" t="str">
        <f>"00610"</f>
        <v>00610</v>
      </c>
      <c r="C950" s="22" t="str">
        <f t="shared" si="14"/>
        <v>'0610.HK'</v>
      </c>
      <c r="D950" s="22" t="s">
        <v>2841</v>
      </c>
      <c r="E950" s="22" t="s">
        <v>1078</v>
      </c>
      <c r="F950" s="22">
        <v>1697285432.76</v>
      </c>
      <c r="G950" s="22">
        <v>35</v>
      </c>
      <c r="H950" s="22" t="s">
        <v>2842</v>
      </c>
    </row>
    <row r="951" spans="1:8" x14ac:dyDescent="0.35">
      <c r="A951" s="22" t="s">
        <v>851</v>
      </c>
      <c r="B951" s="22" t="str">
        <f>"06908"</f>
        <v>06908</v>
      </c>
      <c r="C951" s="22" t="str">
        <f t="shared" si="14"/>
        <v>'6908.HK'</v>
      </c>
      <c r="D951" s="22" t="s">
        <v>2843</v>
      </c>
      <c r="E951" s="22" t="s">
        <v>1040</v>
      </c>
      <c r="F951" s="22">
        <v>1686642900</v>
      </c>
      <c r="G951" s="22">
        <v>1</v>
      </c>
      <c r="H951" s="22" t="s">
        <v>2844</v>
      </c>
    </row>
    <row r="952" spans="1:8" x14ac:dyDescent="0.35">
      <c r="A952" s="22" t="s">
        <v>851</v>
      </c>
      <c r="B952" s="22" t="str">
        <f>"00542"</f>
        <v>00542</v>
      </c>
      <c r="C952" s="22" t="str">
        <f t="shared" si="14"/>
        <v>'0542.HK'</v>
      </c>
      <c r="D952" s="22" t="s">
        <v>2845</v>
      </c>
      <c r="E952" s="22" t="s">
        <v>1070</v>
      </c>
      <c r="F952" s="22">
        <v>1681016709.6800001</v>
      </c>
      <c r="G952" s="22">
        <v>1</v>
      </c>
      <c r="H952" s="22" t="s">
        <v>2846</v>
      </c>
    </row>
    <row r="953" spans="1:8" x14ac:dyDescent="0.35">
      <c r="A953" s="22" t="s">
        <v>851</v>
      </c>
      <c r="B953" s="22" t="str">
        <f>"00622"</f>
        <v>00622</v>
      </c>
      <c r="C953" s="22" t="str">
        <f t="shared" si="14"/>
        <v>'0622.HK'</v>
      </c>
      <c r="D953" s="22" t="s">
        <v>2847</v>
      </c>
      <c r="E953" s="22" t="s">
        <v>1130</v>
      </c>
      <c r="F953" s="22">
        <v>1680046263.2249999</v>
      </c>
      <c r="G953" s="22">
        <v>5</v>
      </c>
      <c r="H953" s="22" t="s">
        <v>2848</v>
      </c>
    </row>
    <row r="954" spans="1:8" x14ac:dyDescent="0.35">
      <c r="A954" s="22" t="s">
        <v>851</v>
      </c>
      <c r="B954" s="22" t="str">
        <f>"01719"</f>
        <v>01719</v>
      </c>
      <c r="C954" s="22" t="str">
        <f t="shared" si="14"/>
        <v>'1719.HK'</v>
      </c>
      <c r="D954" s="22" t="s">
        <v>2849</v>
      </c>
      <c r="E954" s="22" t="s">
        <v>1047</v>
      </c>
      <c r="F954" s="22">
        <v>1673314688.3299999</v>
      </c>
      <c r="G954" s="22">
        <v>3</v>
      </c>
      <c r="H954" s="22" t="s">
        <v>2850</v>
      </c>
    </row>
    <row r="955" spans="1:8" x14ac:dyDescent="0.35">
      <c r="A955" s="22" t="s">
        <v>851</v>
      </c>
      <c r="B955" s="22" t="str">
        <f>"00266"</f>
        <v>00266</v>
      </c>
      <c r="C955" s="22" t="str">
        <f t="shared" si="14"/>
        <v>'0266.HK'</v>
      </c>
      <c r="D955" s="22" t="s">
        <v>2851</v>
      </c>
      <c r="E955" s="22" t="s">
        <v>1028</v>
      </c>
      <c r="F955" s="22">
        <v>1666308702.24</v>
      </c>
      <c r="G955" s="22">
        <v>14</v>
      </c>
      <c r="H955" s="22" t="s">
        <v>2852</v>
      </c>
    </row>
    <row r="956" spans="1:8" x14ac:dyDescent="0.35">
      <c r="A956" s="22" t="s">
        <v>851</v>
      </c>
      <c r="B956" s="22" t="str">
        <f>"02198"</f>
        <v>02198</v>
      </c>
      <c r="C956" s="22" t="str">
        <f t="shared" si="14"/>
        <v>'2198.HK'</v>
      </c>
      <c r="D956" s="22" t="s">
        <v>2853</v>
      </c>
      <c r="E956" s="22" t="s">
        <v>1600</v>
      </c>
      <c r="F956" s="22">
        <v>1666000000</v>
      </c>
      <c r="G956" s="22">
        <v>49</v>
      </c>
      <c r="H956" s="22" t="s">
        <v>2854</v>
      </c>
    </row>
    <row r="957" spans="1:8" x14ac:dyDescent="0.35">
      <c r="A957" s="22" t="s">
        <v>851</v>
      </c>
      <c r="B957" s="22" t="str">
        <f>"03903"</f>
        <v>03903</v>
      </c>
      <c r="C957" s="22" t="str">
        <f t="shared" si="14"/>
        <v>'3903.HK'</v>
      </c>
      <c r="D957" s="22" t="s">
        <v>2855</v>
      </c>
      <c r="E957" s="22" t="s">
        <v>1498</v>
      </c>
      <c r="F957" s="22">
        <v>1656000000</v>
      </c>
      <c r="G957" s="22">
        <v>14</v>
      </c>
      <c r="H957" s="22" t="s">
        <v>2856</v>
      </c>
    </row>
    <row r="958" spans="1:8" x14ac:dyDescent="0.35">
      <c r="A958" s="22" t="s">
        <v>851</v>
      </c>
      <c r="B958" s="22" t="str">
        <f>"01875"</f>
        <v>01875</v>
      </c>
      <c r="C958" s="22" t="str">
        <f t="shared" si="14"/>
        <v>'1875.HK'</v>
      </c>
      <c r="D958" s="22" t="s">
        <v>2857</v>
      </c>
      <c r="E958" s="22" t="s">
        <v>941</v>
      </c>
      <c r="F958" s="22">
        <v>1637591123.5799999</v>
      </c>
      <c r="G958" s="22">
        <v>11</v>
      </c>
      <c r="H958" s="22" t="s">
        <v>2858</v>
      </c>
    </row>
    <row r="959" spans="1:8" x14ac:dyDescent="0.35">
      <c r="A959" s="22" t="s">
        <v>851</v>
      </c>
      <c r="B959" s="22" t="str">
        <f>"00511"</f>
        <v>00511</v>
      </c>
      <c r="C959" s="22" t="str">
        <f t="shared" si="14"/>
        <v>'0511.HK'</v>
      </c>
      <c r="D959" s="22" t="s">
        <v>2859</v>
      </c>
      <c r="E959" s="22" t="s">
        <v>2645</v>
      </c>
      <c r="F959" s="22">
        <v>1633740000</v>
      </c>
      <c r="G959" s="22">
        <v>18</v>
      </c>
      <c r="H959" s="22" t="s">
        <v>2860</v>
      </c>
    </row>
    <row r="960" spans="1:8" x14ac:dyDescent="0.35">
      <c r="A960" s="22" t="s">
        <v>851</v>
      </c>
      <c r="B960" s="22" t="str">
        <f>"01713"</f>
        <v>01713</v>
      </c>
      <c r="C960" s="22" t="str">
        <f t="shared" si="14"/>
        <v>'1713.HK'</v>
      </c>
      <c r="D960" s="22" t="s">
        <v>2861</v>
      </c>
      <c r="E960" s="22" t="s">
        <v>1022</v>
      </c>
      <c r="F960" s="22">
        <v>1633023704</v>
      </c>
      <c r="G960" s="22">
        <v>11</v>
      </c>
      <c r="H960" s="22" t="s">
        <v>2862</v>
      </c>
    </row>
    <row r="961" spans="1:8" x14ac:dyDescent="0.35">
      <c r="A961" s="22" t="s">
        <v>851</v>
      </c>
      <c r="B961" s="22" t="str">
        <f>"01588"</f>
        <v>01588</v>
      </c>
      <c r="C961" s="22" t="str">
        <f t="shared" si="14"/>
        <v>'1588.HK'</v>
      </c>
      <c r="D961" s="22" t="s">
        <v>2863</v>
      </c>
      <c r="E961" s="22" t="s">
        <v>910</v>
      </c>
      <c r="F961" s="22">
        <v>1632120219.99</v>
      </c>
      <c r="G961" s="22">
        <v>15</v>
      </c>
      <c r="H961" s="22" t="s">
        <v>2864</v>
      </c>
    </row>
    <row r="962" spans="1:8" x14ac:dyDescent="0.35">
      <c r="A962" s="22" t="s">
        <v>851</v>
      </c>
      <c r="B962" s="22" t="str">
        <f>"01795"</f>
        <v>01795</v>
      </c>
      <c r="C962" s="22" t="str">
        <f t="shared" si="14"/>
        <v>'1795.HK'</v>
      </c>
      <c r="D962" s="22" t="s">
        <v>2865</v>
      </c>
      <c r="E962" s="22" t="s">
        <v>1914</v>
      </c>
      <c r="F962" s="22">
        <v>1632000000</v>
      </c>
      <c r="G962" s="22">
        <v>2</v>
      </c>
      <c r="H962" s="22" t="s">
        <v>2866</v>
      </c>
    </row>
    <row r="963" spans="1:8" x14ac:dyDescent="0.35">
      <c r="A963" s="22" t="s">
        <v>851</v>
      </c>
      <c r="B963" s="22" t="str">
        <f>"06622"</f>
        <v>06622</v>
      </c>
      <c r="C963" s="22" t="str">
        <f t="shared" ref="C963:C1026" si="15">CONCATENATE("'",RIGHT(B963,4),".HK'")</f>
        <v>'6622.HK'</v>
      </c>
      <c r="D963" s="22" t="s">
        <v>2867</v>
      </c>
      <c r="E963" s="22" t="s">
        <v>969</v>
      </c>
      <c r="F963" s="22">
        <v>1631531976</v>
      </c>
      <c r="G963" s="22">
        <v>14</v>
      </c>
      <c r="H963" s="22" t="s">
        <v>2868</v>
      </c>
    </row>
    <row r="964" spans="1:8" x14ac:dyDescent="0.35">
      <c r="A964" s="22" t="s">
        <v>851</v>
      </c>
      <c r="B964" s="22" t="str">
        <f>"00882"</f>
        <v>00882</v>
      </c>
      <c r="C964" s="22" t="str">
        <f t="shared" si="15"/>
        <v>'0882.HK'</v>
      </c>
      <c r="D964" s="22" t="s">
        <v>2869</v>
      </c>
      <c r="E964" s="22" t="s">
        <v>958</v>
      </c>
      <c r="F964" s="22">
        <v>1630610590</v>
      </c>
      <c r="G964" s="22">
        <v>30</v>
      </c>
      <c r="H964" s="22" t="s">
        <v>2870</v>
      </c>
    </row>
    <row r="965" spans="1:8" x14ac:dyDescent="0.35">
      <c r="A965" s="22" t="s">
        <v>851</v>
      </c>
      <c r="B965" s="22" t="str">
        <f>"00875"</f>
        <v>00875</v>
      </c>
      <c r="C965" s="22" t="str">
        <f t="shared" si="15"/>
        <v>'0875.HK'</v>
      </c>
      <c r="D965" s="22" t="s">
        <v>2871</v>
      </c>
      <c r="E965" s="22" t="s">
        <v>1329</v>
      </c>
      <c r="F965" s="22">
        <v>1627012693.02</v>
      </c>
      <c r="G965" s="22">
        <v>1</v>
      </c>
      <c r="H965" s="22" t="s">
        <v>2872</v>
      </c>
    </row>
    <row r="966" spans="1:8" x14ac:dyDescent="0.35">
      <c r="A966" s="22" t="s">
        <v>851</v>
      </c>
      <c r="B966" s="22" t="str">
        <f>"01702"</f>
        <v>01702</v>
      </c>
      <c r="C966" s="22" t="str">
        <f t="shared" si="15"/>
        <v>'1702.HK'</v>
      </c>
      <c r="D966" s="22" t="s">
        <v>2873</v>
      </c>
      <c r="E966" s="22" t="s">
        <v>1903</v>
      </c>
      <c r="F966" s="22">
        <v>1626873280</v>
      </c>
      <c r="G966" s="22">
        <v>9</v>
      </c>
      <c r="H966" s="22" t="s">
        <v>2874</v>
      </c>
    </row>
    <row r="967" spans="1:8" x14ac:dyDescent="0.35">
      <c r="A967" s="22" t="s">
        <v>851</v>
      </c>
      <c r="B967" s="22" t="str">
        <f>"01977"</f>
        <v>01977</v>
      </c>
      <c r="C967" s="22" t="str">
        <f t="shared" si="15"/>
        <v>'1977.HK'</v>
      </c>
      <c r="D967" s="22" t="s">
        <v>2875</v>
      </c>
      <c r="E967" s="22" t="s">
        <v>1634</v>
      </c>
      <c r="F967" s="22">
        <v>1624000000</v>
      </c>
      <c r="G967" s="22">
        <v>4</v>
      </c>
      <c r="H967" s="22" t="s">
        <v>2876</v>
      </c>
    </row>
    <row r="968" spans="1:8" x14ac:dyDescent="0.35">
      <c r="A968" s="22" t="s">
        <v>851</v>
      </c>
      <c r="B968" s="22" t="str">
        <f>"03939"</f>
        <v>03939</v>
      </c>
      <c r="C968" s="22" t="str">
        <f t="shared" si="15"/>
        <v>'3939.HK'</v>
      </c>
      <c r="D968" s="22" t="s">
        <v>2877</v>
      </c>
      <c r="E968" s="22" t="s">
        <v>1316</v>
      </c>
      <c r="F968" s="22">
        <v>1622880000</v>
      </c>
      <c r="G968" s="22">
        <v>2</v>
      </c>
      <c r="H968" s="22" t="s">
        <v>2878</v>
      </c>
    </row>
    <row r="969" spans="1:8" x14ac:dyDescent="0.35">
      <c r="A969" s="22" t="s">
        <v>851</v>
      </c>
      <c r="B969" s="22" t="str">
        <f>"01525"</f>
        <v>01525</v>
      </c>
      <c r="C969" s="22" t="str">
        <f t="shared" si="15"/>
        <v>'1525.HK'</v>
      </c>
      <c r="D969" s="22" t="s">
        <v>2879</v>
      </c>
      <c r="E969" s="22" t="s">
        <v>1270</v>
      </c>
      <c r="F969" s="22">
        <v>1610200000</v>
      </c>
      <c r="G969" s="22">
        <v>21</v>
      </c>
      <c r="H969" s="22" t="s">
        <v>2880</v>
      </c>
    </row>
    <row r="970" spans="1:8" x14ac:dyDescent="0.35">
      <c r="A970" s="22" t="s">
        <v>851</v>
      </c>
      <c r="B970" s="22" t="str">
        <f>"00982"</f>
        <v>00982</v>
      </c>
      <c r="C970" s="22" t="str">
        <f t="shared" si="15"/>
        <v>'0982.HK'</v>
      </c>
      <c r="D970" s="22" t="s">
        <v>2881</v>
      </c>
      <c r="E970" s="22" t="s">
        <v>1104</v>
      </c>
      <c r="F970" s="22">
        <v>1609747200</v>
      </c>
      <c r="G970" s="22">
        <v>17</v>
      </c>
      <c r="H970" s="22" t="s">
        <v>2882</v>
      </c>
    </row>
    <row r="971" spans="1:8" x14ac:dyDescent="0.35">
      <c r="A971" s="22" t="s">
        <v>851</v>
      </c>
      <c r="B971" s="22" t="str">
        <f>"00335"</f>
        <v>00335</v>
      </c>
      <c r="C971" s="22" t="str">
        <f t="shared" si="15"/>
        <v>'0335.HK'</v>
      </c>
      <c r="D971" s="22" t="s">
        <v>2883</v>
      </c>
      <c r="E971" s="22" t="s">
        <v>1498</v>
      </c>
      <c r="F971" s="22">
        <v>1609390054.8</v>
      </c>
      <c r="G971" s="22">
        <v>3</v>
      </c>
      <c r="H971" s="22" t="s">
        <v>2884</v>
      </c>
    </row>
    <row r="972" spans="1:8" x14ac:dyDescent="0.35">
      <c r="A972" s="22" t="s">
        <v>851</v>
      </c>
      <c r="B972" s="22" t="str">
        <f>"00603"</f>
        <v>00603</v>
      </c>
      <c r="C972" s="22" t="str">
        <f t="shared" si="15"/>
        <v>'0603.HK'</v>
      </c>
      <c r="D972" s="22" t="s">
        <v>2885</v>
      </c>
      <c r="E972" s="22" t="s">
        <v>1031</v>
      </c>
      <c r="F972" s="22">
        <v>1606489092.6900001</v>
      </c>
      <c r="G972" s="22">
        <v>13</v>
      </c>
      <c r="H972" s="22" t="s">
        <v>2886</v>
      </c>
    </row>
    <row r="973" spans="1:8" x14ac:dyDescent="0.35">
      <c r="A973" s="22" t="s">
        <v>851</v>
      </c>
      <c r="B973" s="22" t="str">
        <f>"00113"</f>
        <v>00113</v>
      </c>
      <c r="C973" s="22" t="str">
        <f t="shared" si="15"/>
        <v>'0113.HK'</v>
      </c>
      <c r="D973" s="22" t="s">
        <v>2887</v>
      </c>
      <c r="E973" s="22" t="s">
        <v>1065</v>
      </c>
      <c r="F973" s="22">
        <v>1596521372.4000001</v>
      </c>
      <c r="G973" s="22">
        <v>20</v>
      </c>
      <c r="H973" s="22" t="s">
        <v>2888</v>
      </c>
    </row>
    <row r="974" spans="1:8" x14ac:dyDescent="0.35">
      <c r="A974" s="22" t="s">
        <v>851</v>
      </c>
      <c r="B974" s="22" t="str">
        <f>"03336"</f>
        <v>03336</v>
      </c>
      <c r="C974" s="22" t="str">
        <f t="shared" si="15"/>
        <v>'3336.HK'</v>
      </c>
      <c r="D974" s="22" t="s">
        <v>2889</v>
      </c>
      <c r="E974" s="22" t="s">
        <v>1152</v>
      </c>
      <c r="F974" s="22">
        <v>1596011231.8499999</v>
      </c>
      <c r="G974" s="22">
        <v>24</v>
      </c>
      <c r="H974" s="22" t="s">
        <v>2890</v>
      </c>
    </row>
    <row r="975" spans="1:8" x14ac:dyDescent="0.35">
      <c r="A975" s="22" t="s">
        <v>851</v>
      </c>
      <c r="B975" s="22" t="str">
        <f>"06885"</f>
        <v>06885</v>
      </c>
      <c r="C975" s="22" t="str">
        <f t="shared" si="15"/>
        <v>'6885.HK'</v>
      </c>
      <c r="D975" s="22" t="s">
        <v>2891</v>
      </c>
      <c r="E975" s="22" t="s">
        <v>904</v>
      </c>
      <c r="F975" s="22">
        <v>1595554580</v>
      </c>
      <c r="G975" s="22">
        <v>27</v>
      </c>
      <c r="H975" s="22" t="s">
        <v>2892</v>
      </c>
    </row>
    <row r="976" spans="1:8" x14ac:dyDescent="0.35">
      <c r="A976" s="22" t="s">
        <v>851</v>
      </c>
      <c r="B976" s="22" t="str">
        <f>"00752"</f>
        <v>00752</v>
      </c>
      <c r="C976" s="22" t="str">
        <f t="shared" si="15"/>
        <v>'0752.HK'</v>
      </c>
      <c r="D976" s="22" t="s">
        <v>2893</v>
      </c>
      <c r="E976" s="22" t="s">
        <v>1627</v>
      </c>
      <c r="F976" s="22">
        <v>1584970373.1199999</v>
      </c>
      <c r="G976" s="22">
        <v>21</v>
      </c>
      <c r="H976" s="22" t="s">
        <v>2894</v>
      </c>
    </row>
    <row r="977" spans="1:8" x14ac:dyDescent="0.35">
      <c r="A977" s="22" t="s">
        <v>851</v>
      </c>
      <c r="B977" s="22" t="str">
        <f>"00488"</f>
        <v>00488</v>
      </c>
      <c r="C977" s="22" t="str">
        <f t="shared" si="15"/>
        <v>'0488.HK'</v>
      </c>
      <c r="D977" s="22" t="s">
        <v>2895</v>
      </c>
      <c r="E977" s="22" t="s">
        <v>958</v>
      </c>
      <c r="F977" s="22">
        <v>1579283995.8099999</v>
      </c>
      <c r="G977" s="22">
        <v>18</v>
      </c>
      <c r="H977" s="22" t="s">
        <v>2896</v>
      </c>
    </row>
    <row r="978" spans="1:8" x14ac:dyDescent="0.35">
      <c r="A978" s="22" t="s">
        <v>851</v>
      </c>
      <c r="B978" s="22" t="str">
        <f>"00451"</f>
        <v>00451</v>
      </c>
      <c r="C978" s="22" t="str">
        <f t="shared" si="15"/>
        <v>'0451.HK'</v>
      </c>
      <c r="D978" s="22" t="s">
        <v>2897</v>
      </c>
      <c r="E978" s="22" t="s">
        <v>1127</v>
      </c>
      <c r="F978" s="22">
        <v>1564363934.48</v>
      </c>
      <c r="G978" s="22">
        <v>38</v>
      </c>
      <c r="H978" s="22" t="s">
        <v>2898</v>
      </c>
    </row>
    <row r="979" spans="1:8" x14ac:dyDescent="0.35">
      <c r="A979" s="22" t="s">
        <v>851</v>
      </c>
      <c r="B979" s="22" t="str">
        <f>"06090"</f>
        <v>06090</v>
      </c>
      <c r="C979" s="22" t="str">
        <f t="shared" si="15"/>
        <v>'6090.HK'</v>
      </c>
      <c r="D979" s="22" t="s">
        <v>2899</v>
      </c>
      <c r="E979" s="22" t="s">
        <v>1028</v>
      </c>
      <c r="F979" s="22">
        <v>1563848240.6400001</v>
      </c>
      <c r="G979" s="22">
        <v>5</v>
      </c>
      <c r="H979" s="22" t="s">
        <v>2900</v>
      </c>
    </row>
    <row r="980" spans="1:8" x14ac:dyDescent="0.35">
      <c r="A980" s="22" t="s">
        <v>851</v>
      </c>
      <c r="B980" s="22" t="str">
        <f>"02878"</f>
        <v>02878</v>
      </c>
      <c r="C980" s="22" t="str">
        <f t="shared" si="15"/>
        <v>'2878.HK'</v>
      </c>
      <c r="D980" s="22" t="s">
        <v>2901</v>
      </c>
      <c r="E980" s="22" t="s">
        <v>1040</v>
      </c>
      <c r="F980" s="22">
        <v>1546498457.6199999</v>
      </c>
      <c r="G980" s="22">
        <v>12</v>
      </c>
      <c r="H980" s="22" t="s">
        <v>2902</v>
      </c>
    </row>
    <row r="981" spans="1:8" x14ac:dyDescent="0.35">
      <c r="A981" s="22" t="s">
        <v>851</v>
      </c>
      <c r="B981" s="22" t="str">
        <f>"06878"</f>
        <v>06878</v>
      </c>
      <c r="C981" s="22" t="str">
        <f t="shared" si="15"/>
        <v>'6878.HK'</v>
      </c>
      <c r="D981" s="22" t="s">
        <v>2903</v>
      </c>
      <c r="E981" s="22" t="s">
        <v>924</v>
      </c>
      <c r="F981" s="22">
        <v>1542595006.3199999</v>
      </c>
      <c r="G981" s="22">
        <v>10</v>
      </c>
      <c r="H981" s="22" t="s">
        <v>2904</v>
      </c>
    </row>
    <row r="982" spans="1:8" x14ac:dyDescent="0.35">
      <c r="A982" s="22" t="s">
        <v>851</v>
      </c>
      <c r="B982" s="22" t="str">
        <f>"01727"</f>
        <v>01727</v>
      </c>
      <c r="C982" s="22" t="str">
        <f t="shared" si="15"/>
        <v>'1727.HK'</v>
      </c>
      <c r="D982" s="22" t="s">
        <v>2905</v>
      </c>
      <c r="E982" s="22" t="s">
        <v>1634</v>
      </c>
      <c r="F982" s="22">
        <v>1532403645</v>
      </c>
      <c r="G982" s="22">
        <v>9</v>
      </c>
      <c r="H982" s="22" t="s">
        <v>2906</v>
      </c>
    </row>
    <row r="983" spans="1:8" x14ac:dyDescent="0.35">
      <c r="A983" s="22" t="s">
        <v>851</v>
      </c>
      <c r="B983" s="22" t="str">
        <f>"03788"</f>
        <v>03788</v>
      </c>
      <c r="C983" s="22" t="str">
        <f t="shared" si="15"/>
        <v>'3788.HK'</v>
      </c>
      <c r="D983" s="22" t="s">
        <v>2907</v>
      </c>
      <c r="E983" s="22" t="s">
        <v>1579</v>
      </c>
      <c r="F983" s="22">
        <v>1528800000</v>
      </c>
      <c r="G983" s="22">
        <v>15</v>
      </c>
      <c r="H983" s="22" t="s">
        <v>2908</v>
      </c>
    </row>
    <row r="984" spans="1:8" x14ac:dyDescent="0.35">
      <c r="A984" s="22" t="s">
        <v>851</v>
      </c>
      <c r="B984" s="22" t="str">
        <f>"03300"</f>
        <v>03300</v>
      </c>
      <c r="C984" s="22" t="str">
        <f t="shared" si="15"/>
        <v>'3300.HK'</v>
      </c>
      <c r="D984" s="22" t="s">
        <v>2909</v>
      </c>
      <c r="E984" s="22" t="s">
        <v>1224</v>
      </c>
      <c r="F984" s="22">
        <v>1524061154.1400001</v>
      </c>
      <c r="G984" s="22">
        <v>14</v>
      </c>
      <c r="H984" s="22" t="s">
        <v>2910</v>
      </c>
    </row>
    <row r="985" spans="1:8" x14ac:dyDescent="0.35">
      <c r="A985" s="22" t="s">
        <v>851</v>
      </c>
      <c r="B985" s="22" t="str">
        <f>"01104"</f>
        <v>01104</v>
      </c>
      <c r="C985" s="22" t="str">
        <f t="shared" si="15"/>
        <v>'1104.HK'</v>
      </c>
      <c r="D985" s="22" t="s">
        <v>2911</v>
      </c>
      <c r="E985" s="22" t="s">
        <v>1579</v>
      </c>
      <c r="F985" s="22">
        <v>1523908059.5699999</v>
      </c>
      <c r="G985" s="22">
        <v>6</v>
      </c>
      <c r="H985" s="22" t="s">
        <v>2912</v>
      </c>
    </row>
    <row r="986" spans="1:8" x14ac:dyDescent="0.35">
      <c r="A986" s="22" t="s">
        <v>851</v>
      </c>
      <c r="B986" s="22" t="str">
        <f>"02237"</f>
        <v>02237</v>
      </c>
      <c r="C986" s="22" t="str">
        <f t="shared" si="15"/>
        <v>'2237.HK'</v>
      </c>
      <c r="D986" s="22" t="s">
        <v>2913</v>
      </c>
      <c r="E986" s="22" t="s">
        <v>1060</v>
      </c>
      <c r="F986" s="22">
        <v>1504000000</v>
      </c>
      <c r="G986" s="22">
        <v>3</v>
      </c>
      <c r="H986" s="22" t="s">
        <v>2914</v>
      </c>
    </row>
    <row r="987" spans="1:8" x14ac:dyDescent="0.35">
      <c r="A987" s="22" t="s">
        <v>851</v>
      </c>
      <c r="B987" s="22" t="str">
        <f>"03329"</f>
        <v>03329</v>
      </c>
      <c r="C987" s="22" t="str">
        <f t="shared" si="15"/>
        <v>'3329.HK'</v>
      </c>
      <c r="D987" s="22" t="s">
        <v>2915</v>
      </c>
      <c r="E987" s="22" t="s">
        <v>1498</v>
      </c>
      <c r="F987" s="22">
        <v>1503915600</v>
      </c>
      <c r="G987" s="22">
        <v>31</v>
      </c>
      <c r="H987" s="22" t="s">
        <v>2916</v>
      </c>
    </row>
    <row r="988" spans="1:8" x14ac:dyDescent="0.35">
      <c r="A988" s="22" t="s">
        <v>851</v>
      </c>
      <c r="B988" s="22" t="str">
        <f>"00169"</f>
        <v>00169</v>
      </c>
      <c r="C988" s="22" t="str">
        <f t="shared" si="15"/>
        <v>'0169.HK'</v>
      </c>
      <c r="D988" s="22" t="s">
        <v>2917</v>
      </c>
      <c r="E988" s="22" t="s">
        <v>1070</v>
      </c>
      <c r="F988" s="22">
        <v>1503150876.1600001</v>
      </c>
      <c r="G988" s="22">
        <v>17</v>
      </c>
      <c r="H988" s="22" t="s">
        <v>2918</v>
      </c>
    </row>
    <row r="989" spans="1:8" x14ac:dyDescent="0.35">
      <c r="A989" s="22" t="s">
        <v>851</v>
      </c>
      <c r="B989" s="22" t="str">
        <f>"06609"</f>
        <v>06609</v>
      </c>
      <c r="C989" s="22" t="str">
        <f t="shared" si="15"/>
        <v>'6609.HK'</v>
      </c>
      <c r="D989" s="22" t="s">
        <v>2919</v>
      </c>
      <c r="E989" s="22" t="s">
        <v>1232</v>
      </c>
      <c r="F989" s="22">
        <v>1493182987.5999999</v>
      </c>
      <c r="G989" s="22">
        <v>11</v>
      </c>
      <c r="H989" s="22" t="s">
        <v>2920</v>
      </c>
    </row>
    <row r="990" spans="1:8" x14ac:dyDescent="0.35">
      <c r="A990" s="22" t="s">
        <v>851</v>
      </c>
      <c r="B990" s="22" t="str">
        <f>"00064"</f>
        <v>00064</v>
      </c>
      <c r="C990" s="22" t="str">
        <f t="shared" si="15"/>
        <v>'0064.HK'</v>
      </c>
      <c r="D990" s="22" t="s">
        <v>2921</v>
      </c>
      <c r="E990" s="22" t="s">
        <v>1130</v>
      </c>
      <c r="F990" s="22">
        <v>1478394008.5139999</v>
      </c>
      <c r="G990" s="22">
        <v>10</v>
      </c>
      <c r="H990" s="22" t="s">
        <v>2922</v>
      </c>
    </row>
    <row r="991" spans="1:8" x14ac:dyDescent="0.35">
      <c r="A991" s="22" t="s">
        <v>851</v>
      </c>
      <c r="B991" s="22" t="str">
        <f>"00326"</f>
        <v>00326</v>
      </c>
      <c r="C991" s="22" t="str">
        <f t="shared" si="15"/>
        <v>'0326.HK'</v>
      </c>
      <c r="D991" s="22" t="s">
        <v>2923</v>
      </c>
      <c r="E991" s="22" t="s">
        <v>1185</v>
      </c>
      <c r="F991" s="22">
        <v>1476510287.4000001</v>
      </c>
      <c r="G991" s="22">
        <v>4</v>
      </c>
      <c r="H991" s="22" t="s">
        <v>2924</v>
      </c>
    </row>
    <row r="992" spans="1:8" x14ac:dyDescent="0.35">
      <c r="A992" s="22" t="s">
        <v>851</v>
      </c>
      <c r="B992" s="22" t="str">
        <f>"00159"</f>
        <v>00159</v>
      </c>
      <c r="C992" s="22" t="str">
        <f t="shared" si="15"/>
        <v>'0159.HK'</v>
      </c>
      <c r="D992" s="22" t="s">
        <v>2925</v>
      </c>
      <c r="E992" s="22" t="s">
        <v>1579</v>
      </c>
      <c r="F992" s="22">
        <v>1475556908.829</v>
      </c>
      <c r="G992" s="22">
        <v>4</v>
      </c>
      <c r="H992" s="22" t="s">
        <v>2926</v>
      </c>
    </row>
    <row r="993" spans="1:8" x14ac:dyDescent="0.35">
      <c r="A993" s="22" t="s">
        <v>851</v>
      </c>
      <c r="B993" s="22" t="str">
        <f>"02251"</f>
        <v>02251</v>
      </c>
      <c r="C993" s="22" t="str">
        <f t="shared" si="15"/>
        <v>'2251.HK'</v>
      </c>
      <c r="D993" s="22" t="s">
        <v>2927</v>
      </c>
      <c r="E993" s="22" t="s">
        <v>1232</v>
      </c>
      <c r="F993" s="22">
        <v>1472737144.8599999</v>
      </c>
      <c r="G993" s="22">
        <v>5</v>
      </c>
      <c r="H993" s="22" t="s">
        <v>2928</v>
      </c>
    </row>
    <row r="994" spans="1:8" x14ac:dyDescent="0.35">
      <c r="A994" s="22" t="s">
        <v>851</v>
      </c>
      <c r="B994" s="22" t="str">
        <f>"09936"</f>
        <v>09936</v>
      </c>
      <c r="C994" s="22" t="str">
        <f t="shared" si="15"/>
        <v>'9936.HK'</v>
      </c>
      <c r="D994" s="22" t="s">
        <v>2929</v>
      </c>
      <c r="E994" s="22" t="s">
        <v>1600</v>
      </c>
      <c r="F994" s="22">
        <v>1465200000</v>
      </c>
      <c r="G994" s="22">
        <v>5</v>
      </c>
      <c r="H994" s="22" t="s">
        <v>2930</v>
      </c>
    </row>
    <row r="995" spans="1:8" x14ac:dyDescent="0.35">
      <c r="A995" s="22" t="s">
        <v>851</v>
      </c>
      <c r="B995" s="22" t="str">
        <f>"09906"</f>
        <v>09906</v>
      </c>
      <c r="C995" s="22" t="str">
        <f t="shared" si="15"/>
        <v>'9906.HK'</v>
      </c>
      <c r="D995" s="22" t="s">
        <v>2931</v>
      </c>
      <c r="E995" s="22" t="s">
        <v>1362</v>
      </c>
      <c r="F995" s="22">
        <v>1464000000</v>
      </c>
      <c r="G995" s="22">
        <v>4</v>
      </c>
      <c r="H995" s="22" t="s">
        <v>2932</v>
      </c>
    </row>
    <row r="996" spans="1:8" x14ac:dyDescent="0.35">
      <c r="A996" s="22" t="s">
        <v>851</v>
      </c>
      <c r="B996" s="22" t="str">
        <f>"00147"</f>
        <v>00147</v>
      </c>
      <c r="C996" s="22" t="str">
        <f t="shared" si="15"/>
        <v>'0147.HK'</v>
      </c>
      <c r="D996" s="22" t="s">
        <v>2933</v>
      </c>
      <c r="E996" s="22" t="s">
        <v>924</v>
      </c>
      <c r="F996" s="22">
        <v>1462973207.04</v>
      </c>
      <c r="G996" s="22">
        <v>5</v>
      </c>
      <c r="H996" s="22" t="s">
        <v>2934</v>
      </c>
    </row>
    <row r="997" spans="1:8" x14ac:dyDescent="0.35">
      <c r="A997" s="22" t="s">
        <v>851</v>
      </c>
      <c r="B997" s="22" t="str">
        <f>"00547"</f>
        <v>00547</v>
      </c>
      <c r="C997" s="22" t="str">
        <f t="shared" si="15"/>
        <v>'0547.HK'</v>
      </c>
      <c r="D997" s="22" t="s">
        <v>2935</v>
      </c>
      <c r="E997" s="22" t="s">
        <v>1185</v>
      </c>
      <c r="F997" s="22">
        <v>1450224254.375</v>
      </c>
      <c r="G997" s="22">
        <v>12</v>
      </c>
      <c r="H997" s="22" t="s">
        <v>2936</v>
      </c>
    </row>
    <row r="998" spans="1:8" x14ac:dyDescent="0.35">
      <c r="A998" s="22" t="s">
        <v>851</v>
      </c>
      <c r="B998" s="22" t="str">
        <f>"02153"</f>
        <v>02153</v>
      </c>
      <c r="C998" s="22" t="str">
        <f t="shared" si="15"/>
        <v>'2153.HK'</v>
      </c>
      <c r="D998" s="22" t="s">
        <v>2937</v>
      </c>
      <c r="E998" s="22" t="s">
        <v>1395</v>
      </c>
      <c r="F998" s="22">
        <v>1446920350</v>
      </c>
      <c r="G998" s="22">
        <v>2</v>
      </c>
      <c r="H998" s="22" t="s">
        <v>2938</v>
      </c>
    </row>
    <row r="999" spans="1:8" x14ac:dyDescent="0.35">
      <c r="A999" s="22" t="s">
        <v>851</v>
      </c>
      <c r="B999" s="22" t="str">
        <f>"03768"</f>
        <v>03768</v>
      </c>
      <c r="C999" s="22" t="str">
        <f t="shared" si="15"/>
        <v>'3768.HK'</v>
      </c>
      <c r="D999" s="22" t="s">
        <v>2939</v>
      </c>
      <c r="E999" s="22" t="s">
        <v>1255</v>
      </c>
      <c r="F999" s="22">
        <v>1440755400</v>
      </c>
      <c r="G999" s="22">
        <v>31</v>
      </c>
      <c r="H999" s="22" t="s">
        <v>2940</v>
      </c>
    </row>
    <row r="1000" spans="1:8" x14ac:dyDescent="0.35">
      <c r="A1000" s="22" t="s">
        <v>851</v>
      </c>
      <c r="B1000" s="22" t="str">
        <f>"02185"</f>
        <v>02185</v>
      </c>
      <c r="C1000" s="22" t="str">
        <f t="shared" si="15"/>
        <v>'2185.HK'</v>
      </c>
      <c r="D1000" s="22" t="s">
        <v>2941</v>
      </c>
      <c r="E1000" s="22" t="s">
        <v>1232</v>
      </c>
      <c r="F1000" s="22">
        <v>1434349560</v>
      </c>
      <c r="G1000" s="22">
        <v>4</v>
      </c>
      <c r="H1000" s="22" t="s">
        <v>2942</v>
      </c>
    </row>
    <row r="1001" spans="1:8" x14ac:dyDescent="0.35">
      <c r="A1001" s="22" t="s">
        <v>851</v>
      </c>
      <c r="B1001" s="22" t="str">
        <f>"00825"</f>
        <v>00825</v>
      </c>
      <c r="C1001" s="22" t="str">
        <f t="shared" si="15"/>
        <v>'0825.HK'</v>
      </c>
      <c r="D1001" s="22" t="s">
        <v>2943</v>
      </c>
      <c r="E1001" s="22" t="s">
        <v>1485</v>
      </c>
      <c r="F1001" s="22">
        <v>1433223250</v>
      </c>
      <c r="G1001" s="22">
        <v>15</v>
      </c>
      <c r="H1001" s="22" t="s">
        <v>2944</v>
      </c>
    </row>
    <row r="1002" spans="1:8" x14ac:dyDescent="0.35">
      <c r="A1002" s="22" t="s">
        <v>851</v>
      </c>
      <c r="B1002" s="22" t="str">
        <f>"09600"</f>
        <v>09600</v>
      </c>
      <c r="C1002" s="22" t="str">
        <f t="shared" si="15"/>
        <v>'9600.HK'</v>
      </c>
      <c r="D1002" s="22" t="s">
        <v>2945</v>
      </c>
      <c r="E1002" s="22" t="s">
        <v>910</v>
      </c>
      <c r="F1002" s="22">
        <v>1431456208</v>
      </c>
      <c r="G1002" s="22">
        <v>6</v>
      </c>
      <c r="H1002" s="22" t="s">
        <v>2946</v>
      </c>
    </row>
    <row r="1003" spans="1:8" x14ac:dyDescent="0.35">
      <c r="A1003" s="22" t="s">
        <v>851</v>
      </c>
      <c r="B1003" s="22" t="str">
        <f>"09986"</f>
        <v>09986</v>
      </c>
      <c r="C1003" s="22" t="str">
        <f t="shared" si="15"/>
        <v>'9986.HK'</v>
      </c>
      <c r="D1003" s="22" t="s">
        <v>2947</v>
      </c>
      <c r="E1003" s="22" t="s">
        <v>1270</v>
      </c>
      <c r="F1003" s="22">
        <v>1424000000</v>
      </c>
      <c r="G1003" s="22">
        <v>5</v>
      </c>
      <c r="H1003" s="22" t="s">
        <v>2948</v>
      </c>
    </row>
    <row r="1004" spans="1:8" x14ac:dyDescent="0.35">
      <c r="A1004" s="22" t="s">
        <v>851</v>
      </c>
      <c r="B1004" s="22" t="str">
        <f>"01979"</f>
        <v>01979</v>
      </c>
      <c r="C1004" s="22" t="str">
        <f t="shared" si="15"/>
        <v>'1979.HK'</v>
      </c>
      <c r="D1004" s="22" t="s">
        <v>2949</v>
      </c>
      <c r="E1004" s="22" t="s">
        <v>1075</v>
      </c>
      <c r="F1004" s="22">
        <v>1421936771.7</v>
      </c>
      <c r="G1004" s="22">
        <v>11</v>
      </c>
      <c r="H1004" s="22" t="s">
        <v>2950</v>
      </c>
    </row>
    <row r="1005" spans="1:8" x14ac:dyDescent="0.35">
      <c r="A1005" s="22" t="s">
        <v>851</v>
      </c>
      <c r="B1005" s="22" t="str">
        <f>"06896"</f>
        <v>06896</v>
      </c>
      <c r="C1005" s="22" t="str">
        <f t="shared" si="15"/>
        <v>'6896.HK'</v>
      </c>
      <c r="D1005" s="22" t="s">
        <v>2951</v>
      </c>
      <c r="E1005" s="22" t="s">
        <v>969</v>
      </c>
      <c r="F1005" s="22">
        <v>1412066820</v>
      </c>
      <c r="G1005" s="22">
        <v>17</v>
      </c>
      <c r="H1005" s="22" t="s">
        <v>2952</v>
      </c>
    </row>
    <row r="1006" spans="1:8" x14ac:dyDescent="0.35">
      <c r="A1006" s="22" t="s">
        <v>851</v>
      </c>
      <c r="B1006" s="22" t="str">
        <f>"02180"</f>
        <v>02180</v>
      </c>
      <c r="C1006" s="22" t="str">
        <f t="shared" si="15"/>
        <v>'2180.HK'</v>
      </c>
      <c r="D1006" s="22" t="s">
        <v>2953</v>
      </c>
      <c r="E1006" s="22" t="s">
        <v>1671</v>
      </c>
      <c r="F1006" s="22">
        <v>1406883900</v>
      </c>
      <c r="G1006" s="22">
        <v>13</v>
      </c>
      <c r="H1006" s="22" t="s">
        <v>2954</v>
      </c>
    </row>
    <row r="1007" spans="1:8" x14ac:dyDescent="0.35">
      <c r="A1007" s="22" t="s">
        <v>851</v>
      </c>
      <c r="B1007" s="22" t="str">
        <f>"08053"</f>
        <v>08053</v>
      </c>
      <c r="C1007" s="22" t="str">
        <f t="shared" si="15"/>
        <v>'8053.HK'</v>
      </c>
      <c r="D1007" s="22" t="s">
        <v>2955</v>
      </c>
      <c r="E1007" s="22" t="s">
        <v>1634</v>
      </c>
      <c r="F1007" s="22">
        <v>1405696316.54</v>
      </c>
      <c r="G1007" s="22">
        <v>6</v>
      </c>
      <c r="H1007" s="22" t="s">
        <v>2956</v>
      </c>
    </row>
    <row r="1008" spans="1:8" x14ac:dyDescent="0.35">
      <c r="A1008" s="22" t="s">
        <v>851</v>
      </c>
      <c r="B1008" s="22" t="str">
        <f>"00160"</f>
        <v>00160</v>
      </c>
      <c r="C1008" s="22" t="str">
        <f t="shared" si="15"/>
        <v>'0160.HK'</v>
      </c>
      <c r="D1008" s="22" t="s">
        <v>2957</v>
      </c>
      <c r="E1008" s="22" t="s">
        <v>1028</v>
      </c>
      <c r="F1008" s="22">
        <v>1404837136.95</v>
      </c>
      <c r="G1008" s="22">
        <v>14</v>
      </c>
      <c r="H1008" s="22" t="s">
        <v>2958</v>
      </c>
    </row>
    <row r="1009" spans="1:8" x14ac:dyDescent="0.35">
      <c r="A1009" s="22" t="s">
        <v>851</v>
      </c>
      <c r="B1009" s="22" t="str">
        <f>"00672"</f>
        <v>00672</v>
      </c>
      <c r="C1009" s="22" t="str">
        <f t="shared" si="15"/>
        <v>'0672.HK'</v>
      </c>
      <c r="D1009" s="22" t="s">
        <v>2959</v>
      </c>
      <c r="E1009" s="22" t="s">
        <v>924</v>
      </c>
      <c r="F1009" s="22">
        <v>1403316640.2</v>
      </c>
      <c r="G1009" s="22">
        <v>16</v>
      </c>
      <c r="H1009" s="22" t="s">
        <v>2960</v>
      </c>
    </row>
    <row r="1010" spans="1:8" x14ac:dyDescent="0.35">
      <c r="A1010" s="22" t="s">
        <v>851</v>
      </c>
      <c r="B1010" s="22" t="str">
        <f>"03678"</f>
        <v>03678</v>
      </c>
      <c r="C1010" s="22" t="str">
        <f t="shared" si="15"/>
        <v>'3678.HK'</v>
      </c>
      <c r="D1010" s="22" t="s">
        <v>2961</v>
      </c>
      <c r="E1010" s="22" t="s">
        <v>1130</v>
      </c>
      <c r="F1010" s="22">
        <v>1400811111.4200001</v>
      </c>
      <c r="G1010" s="22">
        <v>22</v>
      </c>
      <c r="H1010" s="22" t="s">
        <v>2962</v>
      </c>
    </row>
    <row r="1011" spans="1:8" x14ac:dyDescent="0.35">
      <c r="A1011" s="22" t="s">
        <v>851</v>
      </c>
      <c r="B1011" s="22" t="str">
        <f>"00809"</f>
        <v>00809</v>
      </c>
      <c r="C1011" s="22" t="str">
        <f t="shared" si="15"/>
        <v>'0809.HK'</v>
      </c>
      <c r="D1011" s="22" t="s">
        <v>2963</v>
      </c>
      <c r="E1011" s="22" t="s">
        <v>1903</v>
      </c>
      <c r="F1011" s="22">
        <v>1389555291.852</v>
      </c>
      <c r="G1011" s="22">
        <v>6</v>
      </c>
      <c r="H1011" s="22" t="s">
        <v>2964</v>
      </c>
    </row>
    <row r="1012" spans="1:8" x14ac:dyDescent="0.35">
      <c r="A1012" s="22" t="s">
        <v>851</v>
      </c>
      <c r="B1012" s="22" t="str">
        <f>"01656"</f>
        <v>01656</v>
      </c>
      <c r="C1012" s="22" t="str">
        <f t="shared" si="15"/>
        <v>'1656.HK'</v>
      </c>
      <c r="D1012" s="22" t="s">
        <v>2965</v>
      </c>
      <c r="E1012" s="22" t="s">
        <v>1224</v>
      </c>
      <c r="F1012" s="22">
        <v>1386097764.28</v>
      </c>
      <c r="G1012" s="22">
        <v>5</v>
      </c>
      <c r="H1012" s="22" t="s">
        <v>2966</v>
      </c>
    </row>
    <row r="1013" spans="1:8" x14ac:dyDescent="0.35">
      <c r="A1013" s="22" t="s">
        <v>851</v>
      </c>
      <c r="B1013" s="22" t="str">
        <f>"00131"</f>
        <v>00131</v>
      </c>
      <c r="C1013" s="22" t="str">
        <f t="shared" si="15"/>
        <v>'0131.HK'</v>
      </c>
      <c r="D1013" s="22" t="s">
        <v>2967</v>
      </c>
      <c r="E1013" s="22" t="s">
        <v>924</v>
      </c>
      <c r="F1013" s="22">
        <v>1383674775.72</v>
      </c>
      <c r="G1013" s="22">
        <v>9</v>
      </c>
      <c r="H1013" s="22" t="s">
        <v>2968</v>
      </c>
    </row>
    <row r="1014" spans="1:8" x14ac:dyDescent="0.35">
      <c r="A1014" s="22" t="s">
        <v>851</v>
      </c>
      <c r="B1014" s="22" t="str">
        <f>"06998"</f>
        <v>06998</v>
      </c>
      <c r="C1014" s="22" t="str">
        <f t="shared" si="15"/>
        <v>'6998.HK'</v>
      </c>
      <c r="D1014" s="22" t="s">
        <v>2969</v>
      </c>
      <c r="E1014" s="22" t="s">
        <v>941</v>
      </c>
      <c r="F1014" s="22">
        <v>1379291817.54</v>
      </c>
      <c r="G1014" s="22">
        <v>16</v>
      </c>
      <c r="H1014" s="22" t="s">
        <v>2970</v>
      </c>
    </row>
    <row r="1015" spans="1:8" x14ac:dyDescent="0.35">
      <c r="A1015" s="22" t="s">
        <v>851</v>
      </c>
      <c r="B1015" s="22" t="str">
        <f>"00202"</f>
        <v>00202</v>
      </c>
      <c r="C1015" s="22" t="str">
        <f t="shared" si="15"/>
        <v>'0202.HK'</v>
      </c>
      <c r="D1015" s="22" t="s">
        <v>2971</v>
      </c>
      <c r="E1015" s="22" t="s">
        <v>958</v>
      </c>
      <c r="F1015" s="22">
        <v>1371341440.244</v>
      </c>
      <c r="G1015" s="22">
        <v>3</v>
      </c>
      <c r="H1015" s="22" t="s">
        <v>2972</v>
      </c>
    </row>
    <row r="1016" spans="1:8" x14ac:dyDescent="0.35">
      <c r="A1016" s="22" t="s">
        <v>851</v>
      </c>
      <c r="B1016" s="22" t="str">
        <f>"00533"</f>
        <v>00533</v>
      </c>
      <c r="C1016" s="22" t="str">
        <f t="shared" si="15"/>
        <v>'0533.HK'</v>
      </c>
      <c r="D1016" s="22" t="s">
        <v>2973</v>
      </c>
      <c r="E1016" s="22" t="s">
        <v>889</v>
      </c>
      <c r="F1016" s="22">
        <v>1369810449</v>
      </c>
      <c r="G1016" s="22">
        <v>17</v>
      </c>
      <c r="H1016" s="22" t="s">
        <v>2974</v>
      </c>
    </row>
    <row r="1017" spans="1:8" x14ac:dyDescent="0.35">
      <c r="A1017" s="22" t="s">
        <v>851</v>
      </c>
      <c r="B1017" s="22" t="str">
        <f>"00018"</f>
        <v>00018</v>
      </c>
      <c r="C1017" s="22" t="str">
        <f t="shared" si="15"/>
        <v>'0018.HK'</v>
      </c>
      <c r="D1017" s="22" t="s">
        <v>2975</v>
      </c>
      <c r="E1017" s="22" t="s">
        <v>1400</v>
      </c>
      <c r="F1017" s="22">
        <v>1366813201.8599999</v>
      </c>
      <c r="G1017" s="22">
        <v>7</v>
      </c>
      <c r="H1017" s="22" t="s">
        <v>2976</v>
      </c>
    </row>
    <row r="1018" spans="1:8" x14ac:dyDescent="0.35">
      <c r="A1018" s="22" t="s">
        <v>851</v>
      </c>
      <c r="B1018" s="22" t="str">
        <f>"02427"</f>
        <v>02427</v>
      </c>
      <c r="C1018" s="22" t="str">
        <f t="shared" si="15"/>
        <v>'2427.HK'</v>
      </c>
      <c r="D1018" s="22" t="s">
        <v>2977</v>
      </c>
      <c r="F1018" s="22">
        <v>1358500000</v>
      </c>
      <c r="H1018" s="22" t="s">
        <v>2978</v>
      </c>
    </row>
    <row r="1019" spans="1:8" x14ac:dyDescent="0.35">
      <c r="A1019" s="22" t="s">
        <v>851</v>
      </c>
      <c r="B1019" s="22" t="str">
        <f>"06628"</f>
        <v>06628</v>
      </c>
      <c r="C1019" s="22" t="str">
        <f t="shared" si="15"/>
        <v>'6628.HK'</v>
      </c>
      <c r="D1019" s="22" t="s">
        <v>2979</v>
      </c>
      <c r="E1019" s="22" t="s">
        <v>941</v>
      </c>
      <c r="F1019" s="22">
        <v>1353987512.5999999</v>
      </c>
      <c r="G1019" s="22">
        <v>5</v>
      </c>
      <c r="H1019" s="22" t="s">
        <v>2980</v>
      </c>
    </row>
    <row r="1020" spans="1:8" x14ac:dyDescent="0.35">
      <c r="A1020" s="22" t="s">
        <v>851</v>
      </c>
      <c r="B1020" s="22" t="str">
        <f>"00226"</f>
        <v>00226</v>
      </c>
      <c r="C1020" s="22" t="str">
        <f t="shared" si="15"/>
        <v>'0226.HK'</v>
      </c>
      <c r="D1020" s="22" t="s">
        <v>2981</v>
      </c>
      <c r="E1020" s="22" t="s">
        <v>981</v>
      </c>
      <c r="F1020" s="22">
        <v>1351242047.6800001</v>
      </c>
      <c r="G1020" s="22">
        <v>14</v>
      </c>
      <c r="H1020" s="22" t="s">
        <v>2982</v>
      </c>
    </row>
    <row r="1021" spans="1:8" x14ac:dyDescent="0.35">
      <c r="A1021" s="22" t="s">
        <v>851</v>
      </c>
      <c r="B1021" s="22" t="str">
        <f>"03838"</f>
        <v>03838</v>
      </c>
      <c r="C1021" s="22" t="str">
        <f t="shared" si="15"/>
        <v>'3838.HK'</v>
      </c>
      <c r="D1021" s="22" t="s">
        <v>2983</v>
      </c>
      <c r="E1021" s="22" t="s">
        <v>1329</v>
      </c>
      <c r="F1021" s="22">
        <v>1348679709.675</v>
      </c>
      <c r="G1021" s="22">
        <v>16</v>
      </c>
      <c r="H1021" s="22" t="s">
        <v>2984</v>
      </c>
    </row>
    <row r="1022" spans="1:8" x14ac:dyDescent="0.35">
      <c r="A1022" s="22" t="s">
        <v>851</v>
      </c>
      <c r="B1022" s="22" t="str">
        <f>"00863"</f>
        <v>00863</v>
      </c>
      <c r="C1022" s="22" t="str">
        <f t="shared" si="15"/>
        <v>'0863.HK'</v>
      </c>
      <c r="D1022" s="22" t="s">
        <v>2985</v>
      </c>
      <c r="E1022" s="22" t="s">
        <v>1202</v>
      </c>
      <c r="F1022" s="22">
        <v>1346051274.8800001</v>
      </c>
      <c r="G1022" s="22">
        <v>3</v>
      </c>
      <c r="H1022" s="22" t="s">
        <v>2986</v>
      </c>
    </row>
    <row r="1023" spans="1:8" x14ac:dyDescent="0.35">
      <c r="A1023" s="22" t="s">
        <v>851</v>
      </c>
      <c r="B1023" s="22" t="str">
        <f>"03882"</f>
        <v>03882</v>
      </c>
      <c r="C1023" s="22" t="str">
        <f t="shared" si="15"/>
        <v>'3882.HK'</v>
      </c>
      <c r="D1023" s="22" t="s">
        <v>2987</v>
      </c>
      <c r="E1023" s="22" t="s">
        <v>1167</v>
      </c>
      <c r="F1023" s="22">
        <v>1344558311.55</v>
      </c>
      <c r="G1023" s="22">
        <v>9</v>
      </c>
      <c r="H1023" s="22" t="s">
        <v>2988</v>
      </c>
    </row>
    <row r="1024" spans="1:8" x14ac:dyDescent="0.35">
      <c r="A1024" s="22" t="s">
        <v>851</v>
      </c>
      <c r="B1024" s="22" t="str">
        <f>"00093"</f>
        <v>00093</v>
      </c>
      <c r="C1024" s="22" t="str">
        <f t="shared" si="15"/>
        <v>'0093.HK'</v>
      </c>
      <c r="D1024" s="22" t="s">
        <v>2989</v>
      </c>
      <c r="E1024" s="22" t="s">
        <v>1498</v>
      </c>
      <c r="F1024" s="22">
        <v>1333821525</v>
      </c>
      <c r="G1024" s="22">
        <v>5</v>
      </c>
      <c r="H1024" s="22" t="s">
        <v>2990</v>
      </c>
    </row>
    <row r="1025" spans="1:8" x14ac:dyDescent="0.35">
      <c r="A1025" s="22" t="s">
        <v>851</v>
      </c>
      <c r="B1025" s="22" t="str">
        <f>"00273"</f>
        <v>00273</v>
      </c>
      <c r="C1025" s="22" t="str">
        <f t="shared" si="15"/>
        <v>'0273.HK'</v>
      </c>
      <c r="D1025" s="22" t="s">
        <v>2991</v>
      </c>
      <c r="E1025" s="22" t="s">
        <v>964</v>
      </c>
      <c r="F1025" s="22">
        <v>1330946566.71</v>
      </c>
      <c r="G1025" s="22">
        <v>1</v>
      </c>
      <c r="H1025" s="22" t="s">
        <v>2992</v>
      </c>
    </row>
    <row r="1026" spans="1:8" x14ac:dyDescent="0.35">
      <c r="A1026" s="22" t="s">
        <v>851</v>
      </c>
      <c r="B1026" s="22" t="str">
        <f>"02003"</f>
        <v>02003</v>
      </c>
      <c r="C1026" s="22" t="str">
        <f t="shared" si="15"/>
        <v>'2003.HK'</v>
      </c>
      <c r="D1026" s="22" t="s">
        <v>2993</v>
      </c>
      <c r="E1026" s="22" t="s">
        <v>1498</v>
      </c>
      <c r="F1026" s="22">
        <v>1326436028.1900001</v>
      </c>
      <c r="G1026" s="22">
        <v>9</v>
      </c>
      <c r="H1026" s="22" t="s">
        <v>2994</v>
      </c>
    </row>
    <row r="1027" spans="1:8" x14ac:dyDescent="0.35">
      <c r="A1027" s="22" t="s">
        <v>851</v>
      </c>
      <c r="B1027" s="22" t="str">
        <f>"06828"</f>
        <v>06828</v>
      </c>
      <c r="C1027" s="22" t="str">
        <f t="shared" ref="C1027:C1090" si="16">CONCATENATE("'",RIGHT(B1027,4),".HK'")</f>
        <v>'6828.HK'</v>
      </c>
      <c r="D1027" s="22" t="s">
        <v>2995</v>
      </c>
      <c r="E1027" s="22" t="s">
        <v>1031</v>
      </c>
      <c r="F1027" s="22">
        <v>1324583700.9300001</v>
      </c>
      <c r="G1027" s="22">
        <v>11</v>
      </c>
      <c r="H1027" s="22" t="s">
        <v>2996</v>
      </c>
    </row>
    <row r="1028" spans="1:8" x14ac:dyDescent="0.35">
      <c r="A1028" s="22" t="s">
        <v>851</v>
      </c>
      <c r="B1028" s="22" t="str">
        <f>"02136"</f>
        <v>02136</v>
      </c>
      <c r="C1028" s="22" t="str">
        <f t="shared" si="16"/>
        <v>'2136.HK'</v>
      </c>
      <c r="D1028" s="22" t="s">
        <v>2997</v>
      </c>
      <c r="E1028" s="22" t="s">
        <v>1485</v>
      </c>
      <c r="F1028" s="22">
        <v>1318003650</v>
      </c>
      <c r="G1028" s="22">
        <v>16</v>
      </c>
      <c r="H1028" s="22" t="s">
        <v>2998</v>
      </c>
    </row>
    <row r="1029" spans="1:8" x14ac:dyDescent="0.35">
      <c r="A1029" s="22" t="s">
        <v>851</v>
      </c>
      <c r="B1029" s="22" t="str">
        <f>"00124"</f>
        <v>00124</v>
      </c>
      <c r="C1029" s="22" t="str">
        <f t="shared" si="16"/>
        <v>'0124.HK'</v>
      </c>
      <c r="D1029" s="22" t="s">
        <v>2999</v>
      </c>
      <c r="E1029" s="22" t="s">
        <v>924</v>
      </c>
      <c r="F1029" s="22">
        <v>1317883374.5</v>
      </c>
      <c r="G1029" s="22">
        <v>12</v>
      </c>
      <c r="H1029" s="22" t="s">
        <v>3000</v>
      </c>
    </row>
    <row r="1030" spans="1:8" x14ac:dyDescent="0.35">
      <c r="A1030" s="22" t="s">
        <v>851</v>
      </c>
      <c r="B1030" s="22" t="str">
        <f>"02283"</f>
        <v>02283</v>
      </c>
      <c r="C1030" s="22" t="str">
        <f t="shared" si="16"/>
        <v>'2283.HK'</v>
      </c>
      <c r="D1030" s="22" t="s">
        <v>3001</v>
      </c>
      <c r="E1030" s="22" t="s">
        <v>1224</v>
      </c>
      <c r="F1030" s="22">
        <v>1316550800</v>
      </c>
      <c r="G1030" s="22">
        <v>21</v>
      </c>
      <c r="H1030" s="22" t="s">
        <v>3002</v>
      </c>
    </row>
    <row r="1031" spans="1:8" x14ac:dyDescent="0.35">
      <c r="A1031" s="22" t="s">
        <v>851</v>
      </c>
      <c r="B1031" s="22" t="str">
        <f>"01986"</f>
        <v>01986</v>
      </c>
      <c r="C1031" s="22" t="str">
        <f t="shared" si="16"/>
        <v>'1986.HK'</v>
      </c>
      <c r="D1031" s="22" t="s">
        <v>3003</v>
      </c>
      <c r="E1031" s="22" t="s">
        <v>1600</v>
      </c>
      <c r="F1031" s="22">
        <v>1314680925</v>
      </c>
      <c r="G1031" s="22">
        <v>16</v>
      </c>
      <c r="H1031" s="22" t="s">
        <v>3004</v>
      </c>
    </row>
    <row r="1032" spans="1:8" x14ac:dyDescent="0.35">
      <c r="A1032" s="22" t="s">
        <v>851</v>
      </c>
      <c r="B1032" s="22" t="str">
        <f>"01370"</f>
        <v>01370</v>
      </c>
      <c r="C1032" s="22" t="str">
        <f t="shared" si="16"/>
        <v>'1370.HK'</v>
      </c>
      <c r="D1032" s="22" t="s">
        <v>3005</v>
      </c>
      <c r="E1032" s="22" t="s">
        <v>1579</v>
      </c>
      <c r="F1032" s="22">
        <v>1308263913.5999999</v>
      </c>
      <c r="G1032" s="22">
        <v>2</v>
      </c>
      <c r="H1032" s="22" t="s">
        <v>3006</v>
      </c>
    </row>
    <row r="1033" spans="1:8" x14ac:dyDescent="0.35">
      <c r="A1033" s="22" t="s">
        <v>851</v>
      </c>
      <c r="B1033" s="22" t="str">
        <f>"00661"</f>
        <v>00661</v>
      </c>
      <c r="C1033" s="22" t="str">
        <f t="shared" si="16"/>
        <v>'0661.HK'</v>
      </c>
      <c r="D1033" s="22" t="s">
        <v>3007</v>
      </c>
      <c r="E1033" s="22" t="s">
        <v>1316</v>
      </c>
      <c r="F1033" s="22">
        <v>1306377318.5380001</v>
      </c>
      <c r="G1033" s="22">
        <v>12</v>
      </c>
      <c r="H1033" s="22" t="s">
        <v>3008</v>
      </c>
    </row>
    <row r="1034" spans="1:8" x14ac:dyDescent="0.35">
      <c r="A1034" s="22" t="s">
        <v>851</v>
      </c>
      <c r="B1034" s="22" t="str">
        <f>"00896"</f>
        <v>00896</v>
      </c>
      <c r="C1034" s="22" t="str">
        <f t="shared" si="16"/>
        <v>'0896.HK'</v>
      </c>
      <c r="D1034" s="22" t="s">
        <v>3009</v>
      </c>
      <c r="E1034" s="22" t="s">
        <v>1634</v>
      </c>
      <c r="F1034" s="22">
        <v>1285677504.1600001</v>
      </c>
      <c r="G1034" s="22">
        <v>16</v>
      </c>
      <c r="H1034" s="22" t="s">
        <v>3010</v>
      </c>
    </row>
    <row r="1035" spans="1:8" x14ac:dyDescent="0.35">
      <c r="A1035" s="22" t="s">
        <v>851</v>
      </c>
      <c r="B1035" s="22" t="str">
        <f>"00592"</f>
        <v>00592</v>
      </c>
      <c r="C1035" s="22" t="str">
        <f t="shared" si="16"/>
        <v>'0592.HK'</v>
      </c>
      <c r="D1035" s="22" t="s">
        <v>3011</v>
      </c>
      <c r="E1035" s="22" t="s">
        <v>889</v>
      </c>
      <c r="F1035" s="22">
        <v>1283754207.3199999</v>
      </c>
      <c r="G1035" s="22">
        <v>9</v>
      </c>
      <c r="H1035" s="22" t="s">
        <v>3012</v>
      </c>
    </row>
    <row r="1036" spans="1:8" x14ac:dyDescent="0.35">
      <c r="A1036" s="22" t="s">
        <v>851</v>
      </c>
      <c r="B1036" s="22" t="str">
        <f>"08395"</f>
        <v>08395</v>
      </c>
      <c r="C1036" s="22" t="str">
        <f t="shared" si="16"/>
        <v>'8395.HK'</v>
      </c>
      <c r="D1036" s="22" t="s">
        <v>3013</v>
      </c>
      <c r="E1036" s="22" t="s">
        <v>1429</v>
      </c>
      <c r="F1036" s="22">
        <v>1283040000</v>
      </c>
      <c r="G1036" s="22">
        <v>4</v>
      </c>
      <c r="H1036" s="22" t="s">
        <v>3014</v>
      </c>
    </row>
    <row r="1037" spans="1:8" x14ac:dyDescent="0.35">
      <c r="A1037" s="22" t="s">
        <v>851</v>
      </c>
      <c r="B1037" s="22" t="str">
        <f>"00196"</f>
        <v>00196</v>
      </c>
      <c r="C1037" s="22" t="str">
        <f t="shared" si="16"/>
        <v>'0196.HK'</v>
      </c>
      <c r="D1037" s="22" t="s">
        <v>3015</v>
      </c>
      <c r="E1037" s="22" t="s">
        <v>1294</v>
      </c>
      <c r="F1037" s="22">
        <v>1280082781.0999999</v>
      </c>
      <c r="G1037" s="22">
        <v>17</v>
      </c>
      <c r="H1037" s="22" t="s">
        <v>3016</v>
      </c>
    </row>
    <row r="1038" spans="1:8" x14ac:dyDescent="0.35">
      <c r="A1038" s="22" t="s">
        <v>851</v>
      </c>
      <c r="B1038" s="22" t="str">
        <f>"01057"</f>
        <v>01057</v>
      </c>
      <c r="C1038" s="22" t="str">
        <f t="shared" si="16"/>
        <v>'1057.HK'</v>
      </c>
      <c r="D1038" s="22" t="s">
        <v>3017</v>
      </c>
      <c r="E1038" s="22" t="s">
        <v>1122</v>
      </c>
      <c r="F1038" s="22">
        <v>1279224311.9400001</v>
      </c>
      <c r="G1038" s="22">
        <v>28</v>
      </c>
      <c r="H1038" s="22" t="s">
        <v>3018</v>
      </c>
    </row>
    <row r="1039" spans="1:8" x14ac:dyDescent="0.35">
      <c r="A1039" s="22" t="s">
        <v>851</v>
      </c>
      <c r="B1039" s="22" t="str">
        <f>"03315"</f>
        <v>03315</v>
      </c>
      <c r="C1039" s="22" t="str">
        <f t="shared" si="16"/>
        <v>'3315.HK'</v>
      </c>
      <c r="D1039" s="22" t="s">
        <v>3019</v>
      </c>
      <c r="E1039" s="22" t="s">
        <v>910</v>
      </c>
      <c r="F1039" s="22">
        <v>1278540120</v>
      </c>
      <c r="G1039" s="22">
        <v>24</v>
      </c>
      <c r="H1039" s="22" t="s">
        <v>3020</v>
      </c>
    </row>
    <row r="1040" spans="1:8" x14ac:dyDescent="0.35">
      <c r="A1040" s="22" t="s">
        <v>851</v>
      </c>
      <c r="B1040" s="22" t="str">
        <f>"01366"</f>
        <v>01366</v>
      </c>
      <c r="C1040" s="22" t="str">
        <f t="shared" si="16"/>
        <v>'1366.HK'</v>
      </c>
      <c r="D1040" s="22" t="s">
        <v>3021</v>
      </c>
      <c r="E1040" s="22" t="s">
        <v>1224</v>
      </c>
      <c r="F1040" s="22">
        <v>1272606192</v>
      </c>
      <c r="G1040" s="22">
        <v>62</v>
      </c>
      <c r="H1040" s="22" t="s">
        <v>3022</v>
      </c>
    </row>
    <row r="1041" spans="1:8" x14ac:dyDescent="0.35">
      <c r="A1041" s="22" t="s">
        <v>851</v>
      </c>
      <c r="B1041" s="22" t="str">
        <f>"00832"</f>
        <v>00832</v>
      </c>
      <c r="C1041" s="22" t="str">
        <f t="shared" si="16"/>
        <v>'0832.HK'</v>
      </c>
      <c r="D1041" s="22" t="s">
        <v>3023</v>
      </c>
      <c r="E1041" s="22" t="s">
        <v>924</v>
      </c>
      <c r="F1041" s="22">
        <v>1265950897.3499999</v>
      </c>
      <c r="G1041" s="22">
        <v>78</v>
      </c>
      <c r="H1041" s="22" t="s">
        <v>3024</v>
      </c>
    </row>
    <row r="1042" spans="1:8" x14ac:dyDescent="0.35">
      <c r="A1042" s="22" t="s">
        <v>851</v>
      </c>
      <c r="B1042" s="22" t="str">
        <f>"00031"</f>
        <v>00031</v>
      </c>
      <c r="C1042" s="22" t="str">
        <f t="shared" si="16"/>
        <v>'0031.HK'</v>
      </c>
      <c r="D1042" s="22" t="s">
        <v>3025</v>
      </c>
      <c r="E1042" s="22" t="s">
        <v>1474</v>
      </c>
      <c r="F1042" s="22">
        <v>1264858971.6199999</v>
      </c>
      <c r="G1042" s="22">
        <v>25</v>
      </c>
      <c r="H1042" s="22" t="s">
        <v>3026</v>
      </c>
    </row>
    <row r="1043" spans="1:8" x14ac:dyDescent="0.35">
      <c r="A1043" s="22" t="s">
        <v>851</v>
      </c>
      <c r="B1043" s="22" t="str">
        <f>"01293"</f>
        <v>01293</v>
      </c>
      <c r="C1043" s="22" t="str">
        <f t="shared" si="16"/>
        <v>'1293.HK'</v>
      </c>
      <c r="D1043" s="22" t="s">
        <v>3027</v>
      </c>
      <c r="E1043" s="22" t="s">
        <v>1089</v>
      </c>
      <c r="F1043" s="22">
        <v>1262692585.905</v>
      </c>
      <c r="G1043" s="22">
        <v>35</v>
      </c>
      <c r="H1043" s="22" t="s">
        <v>3028</v>
      </c>
    </row>
    <row r="1044" spans="1:8" x14ac:dyDescent="0.35">
      <c r="A1044" s="22" t="s">
        <v>851</v>
      </c>
      <c r="B1044" s="22" t="str">
        <f>"01029"</f>
        <v>01029</v>
      </c>
      <c r="C1044" s="22" t="str">
        <f t="shared" si="16"/>
        <v>'1029.HK'</v>
      </c>
      <c r="D1044" s="22" t="s">
        <v>3029</v>
      </c>
      <c r="E1044" s="22" t="s">
        <v>1579</v>
      </c>
      <c r="F1044" s="22">
        <v>1260909274.036</v>
      </c>
      <c r="G1044" s="22">
        <v>10</v>
      </c>
      <c r="H1044" s="22" t="s">
        <v>3030</v>
      </c>
    </row>
    <row r="1045" spans="1:8" x14ac:dyDescent="0.35">
      <c r="A1045" s="22" t="s">
        <v>851</v>
      </c>
      <c r="B1045" s="22" t="str">
        <f>"00360"</f>
        <v>00360</v>
      </c>
      <c r="C1045" s="22" t="str">
        <f t="shared" si="16"/>
        <v>'0360.HK'</v>
      </c>
      <c r="D1045" s="22" t="s">
        <v>3031</v>
      </c>
      <c r="E1045" s="22" t="s">
        <v>1122</v>
      </c>
      <c r="F1045" s="22">
        <v>1256837229.477</v>
      </c>
      <c r="G1045" s="22">
        <v>5</v>
      </c>
      <c r="H1045" s="22" t="s">
        <v>3032</v>
      </c>
    </row>
    <row r="1046" spans="1:8" x14ac:dyDescent="0.35">
      <c r="A1046" s="22" t="s">
        <v>851</v>
      </c>
      <c r="B1046" s="22" t="str">
        <f>"01915"</f>
        <v>01915</v>
      </c>
      <c r="C1046" s="22" t="str">
        <f t="shared" si="16"/>
        <v>'1915.HK'</v>
      </c>
      <c r="D1046" s="22" t="s">
        <v>3033</v>
      </c>
      <c r="E1046" s="22" t="s">
        <v>1498</v>
      </c>
      <c r="F1046" s="22">
        <v>1248000000</v>
      </c>
      <c r="G1046" s="22">
        <v>4</v>
      </c>
      <c r="H1046" s="22" t="s">
        <v>3034</v>
      </c>
    </row>
    <row r="1047" spans="1:8" x14ac:dyDescent="0.35">
      <c r="A1047" s="22" t="s">
        <v>851</v>
      </c>
      <c r="B1047" s="22" t="str">
        <f>"00133"</f>
        <v>00133</v>
      </c>
      <c r="C1047" s="22" t="str">
        <f t="shared" si="16"/>
        <v>'0133.HK'</v>
      </c>
      <c r="D1047" s="22" t="s">
        <v>3035</v>
      </c>
      <c r="E1047" s="22" t="s">
        <v>964</v>
      </c>
      <c r="F1047" s="22">
        <v>1244560716.21</v>
      </c>
      <c r="G1047" s="22">
        <v>37</v>
      </c>
      <c r="H1047" s="22" t="s">
        <v>3036</v>
      </c>
    </row>
    <row r="1048" spans="1:8" x14ac:dyDescent="0.35">
      <c r="A1048" s="22" t="s">
        <v>851</v>
      </c>
      <c r="B1048" s="22" t="str">
        <f>"06661"</f>
        <v>06661</v>
      </c>
      <c r="C1048" s="22" t="str">
        <f t="shared" si="16"/>
        <v>'6661.HK'</v>
      </c>
      <c r="D1048" s="22" t="s">
        <v>3037</v>
      </c>
      <c r="E1048" s="22" t="s">
        <v>1031</v>
      </c>
      <c r="F1048" s="22">
        <v>1240612740</v>
      </c>
      <c r="G1048" s="22">
        <v>1</v>
      </c>
      <c r="H1048" s="22" t="s">
        <v>3038</v>
      </c>
    </row>
    <row r="1049" spans="1:8" x14ac:dyDescent="0.35">
      <c r="A1049" s="22" t="s">
        <v>851</v>
      </c>
      <c r="B1049" s="22" t="str">
        <f>"01561"</f>
        <v>01561</v>
      </c>
      <c r="C1049" s="22" t="str">
        <f t="shared" si="16"/>
        <v>'1561.HK'</v>
      </c>
      <c r="D1049" s="22" t="s">
        <v>3039</v>
      </c>
      <c r="E1049" s="22" t="s">
        <v>1600</v>
      </c>
      <c r="F1049" s="22">
        <v>1238759622.45</v>
      </c>
      <c r="G1049" s="22">
        <v>3</v>
      </c>
      <c r="H1049" s="22" t="s">
        <v>3040</v>
      </c>
    </row>
    <row r="1050" spans="1:8" x14ac:dyDescent="0.35">
      <c r="A1050" s="22" t="s">
        <v>851</v>
      </c>
      <c r="B1050" s="22" t="str">
        <f>"00340"</f>
        <v>00340</v>
      </c>
      <c r="C1050" s="22" t="str">
        <f t="shared" si="16"/>
        <v>'0340.HK'</v>
      </c>
      <c r="D1050" s="22" t="s">
        <v>3041</v>
      </c>
      <c r="E1050" s="22" t="s">
        <v>929</v>
      </c>
      <c r="F1050" s="22">
        <v>1238179360.665</v>
      </c>
      <c r="G1050" s="22">
        <v>7</v>
      </c>
      <c r="H1050" s="22" t="s">
        <v>3042</v>
      </c>
    </row>
    <row r="1051" spans="1:8" x14ac:dyDescent="0.35">
      <c r="A1051" s="22" t="s">
        <v>851</v>
      </c>
      <c r="B1051" s="22" t="str">
        <f>"03389"</f>
        <v>03389</v>
      </c>
      <c r="C1051" s="22" t="str">
        <f t="shared" si="16"/>
        <v>'3389.HK'</v>
      </c>
      <c r="D1051" s="22" t="s">
        <v>3043</v>
      </c>
      <c r="E1051" s="22" t="s">
        <v>1002</v>
      </c>
      <c r="F1051" s="22">
        <v>1233125308.52</v>
      </c>
      <c r="G1051" s="22">
        <v>21</v>
      </c>
      <c r="H1051" s="22" t="s">
        <v>3044</v>
      </c>
    </row>
    <row r="1052" spans="1:8" x14ac:dyDescent="0.35">
      <c r="A1052" s="22" t="s">
        <v>851</v>
      </c>
      <c r="B1052" s="22" t="str">
        <f>"02599"</f>
        <v>02599</v>
      </c>
      <c r="C1052" s="22" t="str">
        <f t="shared" si="16"/>
        <v>'2599.HK'</v>
      </c>
      <c r="D1052" s="22" t="s">
        <v>3045</v>
      </c>
      <c r="E1052" s="22" t="s">
        <v>924</v>
      </c>
      <c r="F1052" s="22">
        <v>1232578215</v>
      </c>
      <c r="G1052" s="22">
        <v>6</v>
      </c>
      <c r="H1052" s="22" t="s">
        <v>3046</v>
      </c>
    </row>
    <row r="1053" spans="1:8" x14ac:dyDescent="0.35">
      <c r="A1053" s="22" t="s">
        <v>851</v>
      </c>
      <c r="B1053" s="22" t="str">
        <f>"01745"</f>
        <v>01745</v>
      </c>
      <c r="C1053" s="22" t="str">
        <f t="shared" si="16"/>
        <v>'1745.HK'</v>
      </c>
      <c r="D1053" s="22" t="s">
        <v>3047</v>
      </c>
      <c r="E1053" s="22" t="s">
        <v>910</v>
      </c>
      <c r="F1053" s="22">
        <v>1228880540</v>
      </c>
      <c r="G1053" s="22">
        <v>4</v>
      </c>
      <c r="H1053" s="22" t="s">
        <v>3048</v>
      </c>
    </row>
    <row r="1054" spans="1:8" x14ac:dyDescent="0.35">
      <c r="A1054" s="22" t="s">
        <v>851</v>
      </c>
      <c r="B1054" s="22" t="str">
        <f>"06811"</f>
        <v>06811</v>
      </c>
      <c r="C1054" s="22" t="str">
        <f t="shared" si="16"/>
        <v>'6811.HK'</v>
      </c>
      <c r="D1054" s="22" t="s">
        <v>3049</v>
      </c>
      <c r="E1054" s="22" t="s">
        <v>981</v>
      </c>
      <c r="F1054" s="22">
        <v>1226586780</v>
      </c>
      <c r="G1054" s="22">
        <v>7</v>
      </c>
      <c r="H1054" s="22" t="s">
        <v>3050</v>
      </c>
    </row>
    <row r="1055" spans="1:8" x14ac:dyDescent="0.35">
      <c r="A1055" s="22" t="s">
        <v>851</v>
      </c>
      <c r="B1055" s="22" t="str">
        <f>"01583"</f>
        <v>01583</v>
      </c>
      <c r="C1055" s="22" t="str">
        <f t="shared" si="16"/>
        <v>'1583.HK'</v>
      </c>
      <c r="D1055" s="22" t="s">
        <v>3051</v>
      </c>
      <c r="E1055" s="22" t="s">
        <v>1205</v>
      </c>
      <c r="F1055" s="22">
        <v>1223256422.3399999</v>
      </c>
      <c r="G1055" s="22">
        <v>12</v>
      </c>
      <c r="H1055" s="22" t="s">
        <v>3052</v>
      </c>
    </row>
    <row r="1056" spans="1:8" x14ac:dyDescent="0.35">
      <c r="A1056" s="22" t="s">
        <v>851</v>
      </c>
      <c r="B1056" s="22" t="str">
        <f>"00497"</f>
        <v>00497</v>
      </c>
      <c r="C1056" s="22" t="str">
        <f t="shared" si="16"/>
        <v>'0497.HK'</v>
      </c>
      <c r="D1056" s="22" t="s">
        <v>3053</v>
      </c>
      <c r="E1056" s="22" t="s">
        <v>924</v>
      </c>
      <c r="F1056" s="22">
        <v>1217962157.8800001</v>
      </c>
      <c r="G1056" s="22">
        <v>10</v>
      </c>
      <c r="H1056" s="22" t="s">
        <v>3054</v>
      </c>
    </row>
    <row r="1057" spans="1:8" x14ac:dyDescent="0.35">
      <c r="A1057" s="22" t="s">
        <v>851</v>
      </c>
      <c r="B1057" s="22" t="str">
        <f>"06968"</f>
        <v>06968</v>
      </c>
      <c r="C1057" s="22" t="str">
        <f t="shared" si="16"/>
        <v>'6968.HK'</v>
      </c>
      <c r="D1057" s="22" t="s">
        <v>3055</v>
      </c>
      <c r="E1057" s="22" t="s">
        <v>924</v>
      </c>
      <c r="F1057" s="22">
        <v>1216349250</v>
      </c>
      <c r="G1057" s="22">
        <v>4</v>
      </c>
      <c r="H1057" s="22" t="s">
        <v>3056</v>
      </c>
    </row>
    <row r="1058" spans="1:8" x14ac:dyDescent="0.35">
      <c r="A1058" s="22" t="s">
        <v>851</v>
      </c>
      <c r="B1058" s="22" t="str">
        <f>"01608"</f>
        <v>01608</v>
      </c>
      <c r="C1058" s="22" t="str">
        <f t="shared" si="16"/>
        <v>'1608.HK'</v>
      </c>
      <c r="D1058" s="22" t="s">
        <v>3057</v>
      </c>
      <c r="E1058" s="22" t="s">
        <v>1022</v>
      </c>
      <c r="F1058" s="22">
        <v>1215761855.8499999</v>
      </c>
      <c r="G1058" s="22">
        <v>14</v>
      </c>
      <c r="H1058" s="22" t="s">
        <v>3058</v>
      </c>
    </row>
    <row r="1059" spans="1:8" x14ac:dyDescent="0.35">
      <c r="A1059" s="22" t="s">
        <v>851</v>
      </c>
      <c r="B1059" s="22" t="str">
        <f>"02100"</f>
        <v>02100</v>
      </c>
      <c r="C1059" s="22" t="str">
        <f t="shared" si="16"/>
        <v>'2100.HK'</v>
      </c>
      <c r="D1059" s="22" t="s">
        <v>3059</v>
      </c>
      <c r="E1059" s="22" t="s">
        <v>910</v>
      </c>
      <c r="F1059" s="22">
        <v>1213822920</v>
      </c>
      <c r="G1059" s="22">
        <v>16</v>
      </c>
      <c r="H1059" s="22" t="s">
        <v>3060</v>
      </c>
    </row>
    <row r="1060" spans="1:8" x14ac:dyDescent="0.35">
      <c r="A1060" s="22" t="s">
        <v>851</v>
      </c>
      <c r="B1060" s="22" t="str">
        <f>"00887"</f>
        <v>00887</v>
      </c>
      <c r="C1060" s="22" t="str">
        <f t="shared" si="16"/>
        <v>'0887.HK'</v>
      </c>
      <c r="D1060" s="22" t="s">
        <v>3061</v>
      </c>
      <c r="E1060" s="22" t="s">
        <v>1002</v>
      </c>
      <c r="F1060" s="22">
        <v>1213523005.0910001</v>
      </c>
      <c r="G1060" s="22">
        <v>9</v>
      </c>
      <c r="H1060" s="22" t="s">
        <v>3062</v>
      </c>
    </row>
    <row r="1061" spans="1:8" x14ac:dyDescent="0.35">
      <c r="A1061" s="22" t="s">
        <v>851</v>
      </c>
      <c r="B1061" s="22" t="str">
        <f>"02216"</f>
        <v>02216</v>
      </c>
      <c r="C1061" s="22" t="str">
        <f t="shared" si="16"/>
        <v>'2216.HK'</v>
      </c>
      <c r="D1061" s="22" t="s">
        <v>3063</v>
      </c>
      <c r="E1061" s="22" t="s">
        <v>1232</v>
      </c>
      <c r="F1061" s="22">
        <v>1211578074.8</v>
      </c>
      <c r="G1061" s="22">
        <v>10</v>
      </c>
      <c r="H1061" s="22" t="s">
        <v>3064</v>
      </c>
    </row>
    <row r="1062" spans="1:8" x14ac:dyDescent="0.35">
      <c r="A1062" s="22" t="s">
        <v>851</v>
      </c>
      <c r="B1062" s="22" t="str">
        <f>"00560"</f>
        <v>00560</v>
      </c>
      <c r="C1062" s="22" t="str">
        <f t="shared" si="16"/>
        <v>'0560.HK'</v>
      </c>
      <c r="D1062" s="22" t="s">
        <v>3065</v>
      </c>
      <c r="E1062" s="22" t="s">
        <v>1047</v>
      </c>
      <c r="F1062" s="22">
        <v>1210860235.8</v>
      </c>
      <c r="G1062" s="22">
        <v>18</v>
      </c>
      <c r="H1062" s="22" t="s">
        <v>3066</v>
      </c>
    </row>
    <row r="1063" spans="1:8" x14ac:dyDescent="0.35">
      <c r="A1063" s="22" t="s">
        <v>851</v>
      </c>
      <c r="B1063" s="22" t="str">
        <f>"00726"</f>
        <v>00726</v>
      </c>
      <c r="C1063" s="22" t="str">
        <f t="shared" si="16"/>
        <v>'0726.HK'</v>
      </c>
      <c r="D1063" s="22" t="s">
        <v>3067</v>
      </c>
      <c r="E1063" s="22" t="s">
        <v>924</v>
      </c>
      <c r="F1063" s="22">
        <v>1209936284.7</v>
      </c>
      <c r="G1063" s="22">
        <v>13</v>
      </c>
      <c r="H1063" s="22" t="s">
        <v>3068</v>
      </c>
    </row>
    <row r="1064" spans="1:8" x14ac:dyDescent="0.35">
      <c r="A1064" s="22" t="s">
        <v>851</v>
      </c>
      <c r="B1064" s="22" t="str">
        <f>"02327"</f>
        <v>02327</v>
      </c>
      <c r="C1064" s="22" t="str">
        <f t="shared" si="16"/>
        <v>'2327.HK'</v>
      </c>
      <c r="D1064" s="22" t="s">
        <v>3069</v>
      </c>
      <c r="E1064" s="22" t="s">
        <v>958</v>
      </c>
      <c r="F1064" s="22">
        <v>1207891847.6199999</v>
      </c>
      <c r="G1064" s="22">
        <v>3</v>
      </c>
      <c r="H1064" s="22" t="s">
        <v>3070</v>
      </c>
    </row>
    <row r="1065" spans="1:8" x14ac:dyDescent="0.35">
      <c r="A1065" s="22" t="s">
        <v>851</v>
      </c>
      <c r="B1065" s="22" t="str">
        <f>"01332"</f>
        <v>01332</v>
      </c>
      <c r="C1065" s="22" t="str">
        <f t="shared" si="16"/>
        <v>'1332.HK'</v>
      </c>
      <c r="D1065" s="22" t="s">
        <v>3071</v>
      </c>
      <c r="E1065" s="22" t="s">
        <v>2259</v>
      </c>
      <c r="F1065" s="22">
        <v>1206559424.0699999</v>
      </c>
      <c r="G1065" s="22">
        <v>2</v>
      </c>
      <c r="H1065" s="22" t="s">
        <v>3072</v>
      </c>
    </row>
    <row r="1066" spans="1:8" x14ac:dyDescent="0.35">
      <c r="A1066" s="22" t="s">
        <v>851</v>
      </c>
      <c r="B1066" s="22" t="str">
        <f>"02111"</f>
        <v>02111</v>
      </c>
      <c r="C1066" s="22" t="str">
        <f t="shared" si="16"/>
        <v>'2111.HK'</v>
      </c>
      <c r="D1066" s="22" t="s">
        <v>3073</v>
      </c>
      <c r="E1066" s="22" t="s">
        <v>1914</v>
      </c>
      <c r="F1066" s="22">
        <v>1206177280</v>
      </c>
      <c r="G1066" s="22">
        <v>23</v>
      </c>
      <c r="H1066" s="22" t="s">
        <v>3074</v>
      </c>
    </row>
    <row r="1067" spans="1:8" x14ac:dyDescent="0.35">
      <c r="A1067" s="22" t="s">
        <v>851</v>
      </c>
      <c r="B1067" s="22" t="str">
        <f>"00698"</f>
        <v>00698</v>
      </c>
      <c r="C1067" s="22" t="str">
        <f t="shared" si="16"/>
        <v>'0698.HK'</v>
      </c>
      <c r="D1067" s="22" t="s">
        <v>3075</v>
      </c>
      <c r="E1067" s="22" t="s">
        <v>1075</v>
      </c>
      <c r="F1067" s="22">
        <v>1205187947.98</v>
      </c>
      <c r="G1067" s="22">
        <v>39</v>
      </c>
      <c r="H1067" s="22" t="s">
        <v>3076</v>
      </c>
    </row>
    <row r="1068" spans="1:8" x14ac:dyDescent="0.35">
      <c r="A1068" s="22" t="s">
        <v>851</v>
      </c>
      <c r="B1068" s="22" t="str">
        <f>"02236"</f>
        <v>02236</v>
      </c>
      <c r="C1068" s="22" t="str">
        <f t="shared" si="16"/>
        <v>'2236.HK'</v>
      </c>
      <c r="D1068" s="22" t="s">
        <v>3077</v>
      </c>
      <c r="E1068" s="22" t="s">
        <v>1294</v>
      </c>
      <c r="F1068" s="22">
        <v>1201761501</v>
      </c>
      <c r="G1068" s="22">
        <v>6</v>
      </c>
      <c r="H1068" s="22" t="s">
        <v>3078</v>
      </c>
    </row>
    <row r="1069" spans="1:8" x14ac:dyDescent="0.35">
      <c r="A1069" s="22" t="s">
        <v>851</v>
      </c>
      <c r="B1069" s="22" t="str">
        <f>"09908"</f>
        <v>09908</v>
      </c>
      <c r="C1069" s="22" t="str">
        <f t="shared" si="16"/>
        <v>'9908.HK'</v>
      </c>
      <c r="D1069" s="22" t="s">
        <v>3079</v>
      </c>
      <c r="E1069" s="22" t="s">
        <v>1031</v>
      </c>
      <c r="F1069" s="22">
        <v>1199247150</v>
      </c>
      <c r="G1069" s="22">
        <v>6</v>
      </c>
      <c r="H1069" s="22" t="s">
        <v>3080</v>
      </c>
    </row>
    <row r="1070" spans="1:8" x14ac:dyDescent="0.35">
      <c r="A1070" s="22" t="s">
        <v>851</v>
      </c>
      <c r="B1070" s="22" t="str">
        <f>"06136"</f>
        <v>06136</v>
      </c>
      <c r="C1070" s="22" t="str">
        <f t="shared" si="16"/>
        <v>'6136.HK'</v>
      </c>
      <c r="D1070" s="22" t="s">
        <v>3081</v>
      </c>
      <c r="E1070" s="22" t="s">
        <v>1255</v>
      </c>
      <c r="F1070" s="22">
        <v>1198251600</v>
      </c>
      <c r="G1070" s="22">
        <v>20</v>
      </c>
      <c r="H1070" s="22" t="s">
        <v>3082</v>
      </c>
    </row>
    <row r="1071" spans="1:8" x14ac:dyDescent="0.35">
      <c r="A1071" s="22" t="s">
        <v>851</v>
      </c>
      <c r="B1071" s="22" t="str">
        <f>"02399"</f>
        <v>02399</v>
      </c>
      <c r="C1071" s="22" t="str">
        <f t="shared" si="16"/>
        <v>'2399.HK'</v>
      </c>
      <c r="D1071" s="22" t="s">
        <v>3083</v>
      </c>
      <c r="E1071" s="22" t="s">
        <v>889</v>
      </c>
      <c r="F1071" s="22">
        <v>1194489720</v>
      </c>
      <c r="G1071" s="22">
        <v>5</v>
      </c>
      <c r="H1071" s="22" t="s">
        <v>3084</v>
      </c>
    </row>
    <row r="1072" spans="1:8" x14ac:dyDescent="0.35">
      <c r="A1072" s="22" t="s">
        <v>851</v>
      </c>
      <c r="B1072" s="22" t="str">
        <f>"02166"</f>
        <v>02166</v>
      </c>
      <c r="C1072" s="22" t="str">
        <f t="shared" si="16"/>
        <v>'2166.HK'</v>
      </c>
      <c r="D1072" s="22" t="s">
        <v>3085</v>
      </c>
      <c r="E1072" s="22" t="s">
        <v>1040</v>
      </c>
      <c r="F1072" s="22">
        <v>1192381713.2</v>
      </c>
      <c r="G1072" s="22">
        <v>7</v>
      </c>
      <c r="H1072" s="22" t="s">
        <v>3086</v>
      </c>
    </row>
    <row r="1073" spans="1:8" x14ac:dyDescent="0.35">
      <c r="A1073" s="22" t="s">
        <v>851</v>
      </c>
      <c r="B1073" s="22" t="str">
        <f>"00733"</f>
        <v>00733</v>
      </c>
      <c r="C1073" s="22" t="str">
        <f t="shared" si="16"/>
        <v>'0733.HK'</v>
      </c>
      <c r="D1073" s="22" t="s">
        <v>3087</v>
      </c>
      <c r="E1073" s="22" t="s">
        <v>1025</v>
      </c>
      <c r="F1073" s="22">
        <v>1186503980.6400001</v>
      </c>
      <c r="G1073" s="22">
        <v>26</v>
      </c>
      <c r="H1073" s="22" t="s">
        <v>3088</v>
      </c>
    </row>
    <row r="1074" spans="1:8" x14ac:dyDescent="0.35">
      <c r="A1074" s="22" t="s">
        <v>851</v>
      </c>
      <c r="B1074" s="22" t="str">
        <f>"02488"</f>
        <v>02488</v>
      </c>
      <c r="C1074" s="22" t="str">
        <f t="shared" si="16"/>
        <v>'2488.HK'</v>
      </c>
      <c r="D1074" s="22" t="s">
        <v>3089</v>
      </c>
      <c r="E1074" s="22" t="s">
        <v>1122</v>
      </c>
      <c r="F1074" s="22">
        <v>1184273484</v>
      </c>
      <c r="G1074" s="22">
        <v>8</v>
      </c>
      <c r="H1074" s="22" t="s">
        <v>3090</v>
      </c>
    </row>
    <row r="1075" spans="1:8" x14ac:dyDescent="0.35">
      <c r="A1075" s="22" t="s">
        <v>851</v>
      </c>
      <c r="B1075" s="22" t="str">
        <f>"00582"</f>
        <v>00582</v>
      </c>
      <c r="C1075" s="22" t="str">
        <f t="shared" si="16"/>
        <v>'0582.HK'</v>
      </c>
      <c r="D1075" s="22" t="s">
        <v>3091</v>
      </c>
      <c r="E1075" s="22" t="s">
        <v>1070</v>
      </c>
      <c r="F1075" s="22">
        <v>1183350646.8</v>
      </c>
      <c r="G1075" s="22">
        <v>6</v>
      </c>
      <c r="H1075" s="22" t="s">
        <v>3092</v>
      </c>
    </row>
    <row r="1076" spans="1:8" x14ac:dyDescent="0.35">
      <c r="A1076" s="22" t="s">
        <v>851</v>
      </c>
      <c r="B1076" s="22" t="str">
        <f>"01748"</f>
        <v>01748</v>
      </c>
      <c r="C1076" s="22" t="str">
        <f t="shared" si="16"/>
        <v>'1748.HK'</v>
      </c>
      <c r="D1076" s="22" t="s">
        <v>3093</v>
      </c>
      <c r="E1076" s="22" t="s">
        <v>1047</v>
      </c>
      <c r="F1076" s="22">
        <v>1179200000</v>
      </c>
      <c r="G1076" s="22">
        <v>4</v>
      </c>
      <c r="H1076" s="22" t="s">
        <v>3094</v>
      </c>
    </row>
    <row r="1077" spans="1:8" x14ac:dyDescent="0.35">
      <c r="A1077" s="22" t="s">
        <v>851</v>
      </c>
      <c r="B1077" s="22" t="str">
        <f>"01168"</f>
        <v>01168</v>
      </c>
      <c r="C1077" s="22" t="str">
        <f t="shared" si="16"/>
        <v>'1168.HK'</v>
      </c>
      <c r="D1077" s="22" t="s">
        <v>3095</v>
      </c>
      <c r="E1077" s="22" t="s">
        <v>1028</v>
      </c>
      <c r="F1077" s="22">
        <v>1179190572.76</v>
      </c>
      <c r="G1077" s="22">
        <v>10</v>
      </c>
      <c r="H1077" s="22" t="s">
        <v>3096</v>
      </c>
    </row>
    <row r="1078" spans="1:8" x14ac:dyDescent="0.35">
      <c r="A1078" s="22" t="s">
        <v>851</v>
      </c>
      <c r="B1078" s="22" t="str">
        <f>"08391"</f>
        <v>08391</v>
      </c>
      <c r="C1078" s="22" t="str">
        <f t="shared" si="16"/>
        <v>'8391.HK'</v>
      </c>
      <c r="D1078" s="22" t="s">
        <v>3097</v>
      </c>
      <c r="E1078" s="22" t="s">
        <v>2259</v>
      </c>
      <c r="F1078" s="22">
        <v>1179186238.4000001</v>
      </c>
      <c r="G1078" s="22">
        <v>2</v>
      </c>
      <c r="H1078" s="22" t="s">
        <v>3098</v>
      </c>
    </row>
    <row r="1079" spans="1:8" x14ac:dyDescent="0.35">
      <c r="A1079" s="22" t="s">
        <v>851</v>
      </c>
      <c r="B1079" s="22" t="str">
        <f>"01738"</f>
        <v>01738</v>
      </c>
      <c r="C1079" s="22" t="str">
        <f t="shared" si="16"/>
        <v>'1738.HK'</v>
      </c>
      <c r="D1079" s="22" t="s">
        <v>3099</v>
      </c>
      <c r="E1079" s="22" t="s">
        <v>904</v>
      </c>
      <c r="F1079" s="22">
        <v>1173463930</v>
      </c>
      <c r="G1079" s="22">
        <v>2</v>
      </c>
      <c r="H1079" s="22" t="s">
        <v>3100</v>
      </c>
    </row>
    <row r="1080" spans="1:8" x14ac:dyDescent="0.35">
      <c r="A1080" s="22" t="s">
        <v>851</v>
      </c>
      <c r="B1080" s="22" t="str">
        <f>"00367"</f>
        <v>00367</v>
      </c>
      <c r="C1080" s="22" t="str">
        <f t="shared" si="16"/>
        <v>'0367.HK'</v>
      </c>
      <c r="D1080" s="22" t="s">
        <v>3101</v>
      </c>
      <c r="E1080" s="22" t="s">
        <v>924</v>
      </c>
      <c r="F1080" s="22">
        <v>1170787172.8</v>
      </c>
      <c r="G1080" s="22">
        <v>13</v>
      </c>
      <c r="H1080" s="22" t="s">
        <v>3102</v>
      </c>
    </row>
    <row r="1081" spans="1:8" x14ac:dyDescent="0.35">
      <c r="A1081" s="22" t="s">
        <v>851</v>
      </c>
      <c r="B1081" s="22" t="str">
        <f>"00938"</f>
        <v>00938</v>
      </c>
      <c r="C1081" s="22" t="str">
        <f t="shared" si="16"/>
        <v>'0938.HK'</v>
      </c>
      <c r="D1081" s="22" t="s">
        <v>3103</v>
      </c>
      <c r="E1081" s="22" t="s">
        <v>924</v>
      </c>
      <c r="F1081" s="22">
        <v>1164957471</v>
      </c>
      <c r="G1081" s="22">
        <v>8</v>
      </c>
      <c r="H1081" s="22" t="s">
        <v>3104</v>
      </c>
    </row>
    <row r="1082" spans="1:8" x14ac:dyDescent="0.35">
      <c r="A1082" s="22" t="s">
        <v>851</v>
      </c>
      <c r="B1082" s="22" t="str">
        <f>"01115"</f>
        <v>01115</v>
      </c>
      <c r="C1082" s="22" t="str">
        <f t="shared" si="16"/>
        <v>'1115.HK'</v>
      </c>
      <c r="D1082" s="22" t="s">
        <v>3105</v>
      </c>
      <c r="E1082" s="22" t="s">
        <v>892</v>
      </c>
      <c r="F1082" s="22">
        <v>1162568580</v>
      </c>
      <c r="G1082" s="22">
        <v>11</v>
      </c>
      <c r="H1082" s="22" t="s">
        <v>3106</v>
      </c>
    </row>
    <row r="1083" spans="1:8" x14ac:dyDescent="0.35">
      <c r="A1083" s="22" t="s">
        <v>851</v>
      </c>
      <c r="B1083" s="22" t="str">
        <f>"00635"</f>
        <v>00635</v>
      </c>
      <c r="C1083" s="22" t="str">
        <f t="shared" si="16"/>
        <v>'0635.HK'</v>
      </c>
      <c r="D1083" s="22" t="s">
        <v>3107</v>
      </c>
      <c r="E1083" s="22" t="s">
        <v>1446</v>
      </c>
      <c r="F1083" s="22">
        <v>1162000000</v>
      </c>
      <c r="G1083" s="22">
        <v>17</v>
      </c>
      <c r="H1083" s="22" t="s">
        <v>3108</v>
      </c>
    </row>
    <row r="1084" spans="1:8" x14ac:dyDescent="0.35">
      <c r="A1084" s="22" t="s">
        <v>851</v>
      </c>
      <c r="B1084" s="22" t="str">
        <f>"00057"</f>
        <v>00057</v>
      </c>
      <c r="C1084" s="22" t="str">
        <f t="shared" si="16"/>
        <v>'0057.HK'</v>
      </c>
      <c r="D1084" s="22" t="s">
        <v>3109</v>
      </c>
      <c r="E1084" s="22" t="s">
        <v>1224</v>
      </c>
      <c r="F1084" s="22">
        <v>1160178144</v>
      </c>
      <c r="G1084" s="22">
        <v>21</v>
      </c>
      <c r="H1084" s="22" t="s">
        <v>3110</v>
      </c>
    </row>
    <row r="1085" spans="1:8" x14ac:dyDescent="0.35">
      <c r="A1085" s="22" t="s">
        <v>851</v>
      </c>
      <c r="B1085" s="22" t="str">
        <f>"00952"</f>
        <v>00952</v>
      </c>
      <c r="C1085" s="22" t="str">
        <f t="shared" si="16"/>
        <v>'0952.HK'</v>
      </c>
      <c r="D1085" s="22" t="s">
        <v>3111</v>
      </c>
      <c r="E1085" s="22" t="s">
        <v>1130</v>
      </c>
      <c r="F1085" s="22">
        <v>1158848204.1400001</v>
      </c>
      <c r="G1085" s="22">
        <v>7</v>
      </c>
      <c r="H1085" s="22" t="s">
        <v>3112</v>
      </c>
    </row>
    <row r="1086" spans="1:8" x14ac:dyDescent="0.35">
      <c r="A1086" s="22" t="s">
        <v>851</v>
      </c>
      <c r="B1086" s="22" t="str">
        <f>"00306"</f>
        <v>00306</v>
      </c>
      <c r="C1086" s="22" t="str">
        <f t="shared" si="16"/>
        <v>'0306.HK'</v>
      </c>
      <c r="D1086" s="22" t="s">
        <v>3113</v>
      </c>
      <c r="E1086" s="22" t="s">
        <v>948</v>
      </c>
      <c r="F1086" s="22">
        <v>1158567726.0599999</v>
      </c>
      <c r="G1086" s="22">
        <v>7</v>
      </c>
      <c r="H1086" s="22" t="s">
        <v>3114</v>
      </c>
    </row>
    <row r="1087" spans="1:8" x14ac:dyDescent="0.35">
      <c r="A1087" s="22" t="s">
        <v>851</v>
      </c>
      <c r="B1087" s="22" t="str">
        <f>"01499"</f>
        <v>01499</v>
      </c>
      <c r="C1087" s="22" t="str">
        <f t="shared" si="16"/>
        <v>'1499.HK'</v>
      </c>
      <c r="D1087" s="22" t="s">
        <v>3115</v>
      </c>
      <c r="E1087" s="22" t="s">
        <v>1634</v>
      </c>
      <c r="F1087" s="22">
        <v>1154659650</v>
      </c>
      <c r="G1087" s="22">
        <v>5</v>
      </c>
      <c r="H1087" s="22" t="s">
        <v>3116</v>
      </c>
    </row>
    <row r="1088" spans="1:8" x14ac:dyDescent="0.35">
      <c r="A1088" s="22" t="s">
        <v>851</v>
      </c>
      <c r="B1088" s="22" t="str">
        <f>"00848"</f>
        <v>00848</v>
      </c>
      <c r="C1088" s="22" t="str">
        <f t="shared" si="16"/>
        <v>'0848.HK'</v>
      </c>
      <c r="D1088" s="22" t="s">
        <v>3117</v>
      </c>
      <c r="E1088" s="22" t="s">
        <v>1485</v>
      </c>
      <c r="F1088" s="22">
        <v>1151433024</v>
      </c>
      <c r="G1088" s="22">
        <v>41</v>
      </c>
      <c r="H1088" s="22" t="s">
        <v>3118</v>
      </c>
    </row>
    <row r="1089" spans="1:8" x14ac:dyDescent="0.35">
      <c r="A1089" s="22" t="s">
        <v>851</v>
      </c>
      <c r="B1089" s="22" t="str">
        <f>"00089"</f>
        <v>00089</v>
      </c>
      <c r="C1089" s="22" t="str">
        <f t="shared" si="16"/>
        <v>'0089.HK'</v>
      </c>
      <c r="D1089" s="22" t="s">
        <v>3119</v>
      </c>
      <c r="E1089" s="22" t="s">
        <v>1028</v>
      </c>
      <c r="F1089" s="22">
        <v>1147802007.24</v>
      </c>
      <c r="G1089" s="22">
        <v>24</v>
      </c>
      <c r="H1089" s="22" t="s">
        <v>3120</v>
      </c>
    </row>
    <row r="1090" spans="1:8" x14ac:dyDescent="0.35">
      <c r="A1090" s="22" t="s">
        <v>851</v>
      </c>
      <c r="B1090" s="22" t="str">
        <f>"00769"</f>
        <v>00769</v>
      </c>
      <c r="C1090" s="22" t="str">
        <f t="shared" si="16"/>
        <v>'0769.HK'</v>
      </c>
      <c r="D1090" s="22" t="s">
        <v>3121</v>
      </c>
      <c r="E1090" s="22" t="s">
        <v>1060</v>
      </c>
      <c r="F1090" s="22">
        <v>1147433137.6900001</v>
      </c>
      <c r="G1090" s="22">
        <v>27</v>
      </c>
      <c r="H1090" s="22" t="s">
        <v>3122</v>
      </c>
    </row>
    <row r="1091" spans="1:8" x14ac:dyDescent="0.35">
      <c r="A1091" s="22" t="s">
        <v>851</v>
      </c>
      <c r="B1091" s="22" t="str">
        <f>"00393"</f>
        <v>00393</v>
      </c>
      <c r="C1091" s="22" t="str">
        <f t="shared" ref="C1091:C1146" si="17">CONCATENATE("'",RIGHT(B1091,4),".HK'")</f>
        <v>'0393.HK'</v>
      </c>
      <c r="D1091" s="22" t="s">
        <v>3123</v>
      </c>
      <c r="E1091" s="22" t="s">
        <v>889</v>
      </c>
      <c r="F1091" s="22">
        <v>1145988000</v>
      </c>
      <c r="G1091" s="22">
        <v>7</v>
      </c>
      <c r="H1091" s="22" t="s">
        <v>3124</v>
      </c>
    </row>
    <row r="1092" spans="1:8" x14ac:dyDescent="0.35">
      <c r="A1092" s="22" t="s">
        <v>851</v>
      </c>
      <c r="B1092" s="22" t="str">
        <f>"01782"</f>
        <v>01782</v>
      </c>
      <c r="C1092" s="22" t="str">
        <f t="shared" si="17"/>
        <v>'1782.HK'</v>
      </c>
      <c r="D1092" s="22" t="s">
        <v>3125</v>
      </c>
      <c r="E1092" s="22" t="s">
        <v>1202</v>
      </c>
      <c r="F1092" s="22">
        <v>1143000000</v>
      </c>
      <c r="G1092" s="22">
        <v>1</v>
      </c>
      <c r="H1092" s="22" t="s">
        <v>3126</v>
      </c>
    </row>
    <row r="1093" spans="1:8" x14ac:dyDescent="0.35">
      <c r="A1093" s="22" t="s">
        <v>851</v>
      </c>
      <c r="B1093" s="22" t="str">
        <f>"03337"</f>
        <v>03337</v>
      </c>
      <c r="C1093" s="22" t="str">
        <f t="shared" si="17"/>
        <v>'3337.HK'</v>
      </c>
      <c r="D1093" s="22" t="s">
        <v>3127</v>
      </c>
      <c r="E1093" s="22" t="s">
        <v>1294</v>
      </c>
      <c r="F1093" s="22">
        <v>1142496544.9000001</v>
      </c>
      <c r="G1093" s="22">
        <v>21</v>
      </c>
      <c r="H1093" s="22" t="s">
        <v>3128</v>
      </c>
    </row>
    <row r="1094" spans="1:8" x14ac:dyDescent="0.35">
      <c r="A1094" s="22" t="s">
        <v>851</v>
      </c>
      <c r="B1094" s="22" t="str">
        <f>"01349"</f>
        <v>01349</v>
      </c>
      <c r="C1094" s="22" t="str">
        <f t="shared" si="17"/>
        <v>'1349.HK'</v>
      </c>
      <c r="D1094" s="22" t="s">
        <v>3129</v>
      </c>
      <c r="E1094" s="22" t="s">
        <v>941</v>
      </c>
      <c r="F1094" s="22">
        <v>1141000000</v>
      </c>
      <c r="G1094" s="22">
        <v>58</v>
      </c>
      <c r="H1094" s="22" t="s">
        <v>3130</v>
      </c>
    </row>
    <row r="1095" spans="1:8" x14ac:dyDescent="0.35">
      <c r="A1095" s="22" t="s">
        <v>851</v>
      </c>
      <c r="B1095" s="22" t="str">
        <f>"00228"</f>
        <v>00228</v>
      </c>
      <c r="C1095" s="22" t="str">
        <f t="shared" si="17"/>
        <v>'0228.HK'</v>
      </c>
      <c r="D1095" s="22" t="s">
        <v>3131</v>
      </c>
      <c r="E1095" s="22" t="s">
        <v>883</v>
      </c>
      <c r="F1095" s="22">
        <v>1140641280</v>
      </c>
      <c r="G1095" s="22">
        <v>3</v>
      </c>
      <c r="H1095" s="22" t="s">
        <v>3132</v>
      </c>
    </row>
    <row r="1096" spans="1:8" x14ac:dyDescent="0.35">
      <c r="A1096" s="22" t="s">
        <v>851</v>
      </c>
      <c r="B1096" s="22" t="str">
        <f>"01982"</f>
        <v>01982</v>
      </c>
      <c r="C1096" s="22" t="str">
        <f t="shared" si="17"/>
        <v>'1982.HK'</v>
      </c>
      <c r="D1096" s="22" t="s">
        <v>3133</v>
      </c>
      <c r="E1096" s="22" t="s">
        <v>889</v>
      </c>
      <c r="F1096" s="22">
        <v>1139696000</v>
      </c>
      <c r="G1096" s="22">
        <v>8</v>
      </c>
      <c r="H1096" s="22" t="s">
        <v>3134</v>
      </c>
    </row>
    <row r="1097" spans="1:8" x14ac:dyDescent="0.35">
      <c r="A1097" s="22" t="s">
        <v>851</v>
      </c>
      <c r="B1097" s="22" t="str">
        <f>"01488"</f>
        <v>01488</v>
      </c>
      <c r="C1097" s="22" t="str">
        <f t="shared" si="17"/>
        <v>'1488.HK'</v>
      </c>
      <c r="D1097" s="22" t="s">
        <v>3135</v>
      </c>
      <c r="E1097" s="22" t="s">
        <v>981</v>
      </c>
      <c r="F1097" s="22">
        <v>1136638080</v>
      </c>
      <c r="G1097" s="22">
        <v>6</v>
      </c>
      <c r="H1097" s="22" t="s">
        <v>3136</v>
      </c>
    </row>
    <row r="1098" spans="1:8" x14ac:dyDescent="0.35">
      <c r="A1098" s="22" t="s">
        <v>851</v>
      </c>
      <c r="B1098" s="22" t="str">
        <f>"01741"</f>
        <v>01741</v>
      </c>
      <c r="C1098" s="22" t="str">
        <f t="shared" si="17"/>
        <v>'1741.HK'</v>
      </c>
      <c r="D1098" s="22" t="s">
        <v>3137</v>
      </c>
      <c r="E1098" s="22" t="s">
        <v>1634</v>
      </c>
      <c r="F1098" s="22">
        <v>1128000000</v>
      </c>
      <c r="G1098" s="22">
        <v>2</v>
      </c>
      <c r="H1098" s="22" t="s">
        <v>3138</v>
      </c>
    </row>
    <row r="1099" spans="1:8" x14ac:dyDescent="0.35">
      <c r="A1099" s="22" t="s">
        <v>851</v>
      </c>
      <c r="B1099" s="22" t="str">
        <f>"07836"</f>
        <v>07836</v>
      </c>
      <c r="C1099" s="22" t="str">
        <f t="shared" si="17"/>
        <v>'7836.HK'</v>
      </c>
      <c r="D1099" s="22" t="s">
        <v>3139</v>
      </c>
      <c r="F1099" s="22">
        <v>1125731250</v>
      </c>
      <c r="G1099" s="22">
        <v>0</v>
      </c>
      <c r="H1099" s="22" t="s">
        <v>3140</v>
      </c>
    </row>
    <row r="1100" spans="1:8" x14ac:dyDescent="0.35">
      <c r="A1100" s="22" t="s">
        <v>851</v>
      </c>
      <c r="B1100" s="22" t="str">
        <f>"02798"</f>
        <v>02798</v>
      </c>
      <c r="C1100" s="22" t="str">
        <f t="shared" si="17"/>
        <v>'2798.HK'</v>
      </c>
      <c r="D1100" s="22" t="s">
        <v>3141</v>
      </c>
      <c r="E1100" s="22" t="s">
        <v>904</v>
      </c>
      <c r="F1100" s="22">
        <v>1120000000</v>
      </c>
      <c r="G1100" s="22">
        <v>9</v>
      </c>
      <c r="H1100" s="22" t="s">
        <v>3142</v>
      </c>
    </row>
    <row r="1101" spans="1:8" x14ac:dyDescent="0.35">
      <c r="A1101" s="22" t="s">
        <v>851</v>
      </c>
      <c r="B1101" s="22" t="str">
        <f>"03688"</f>
        <v>03688</v>
      </c>
      <c r="C1101" s="22" t="str">
        <f t="shared" si="17"/>
        <v>'3688.HK'</v>
      </c>
      <c r="D1101" s="22" t="s">
        <v>3143</v>
      </c>
      <c r="E1101" s="22" t="s">
        <v>1028</v>
      </c>
      <c r="F1101" s="22">
        <v>1116058628.3900001</v>
      </c>
      <c r="G1101" s="22">
        <v>28</v>
      </c>
      <c r="H1101" s="22" t="s">
        <v>3144</v>
      </c>
    </row>
    <row r="1102" spans="1:8" x14ac:dyDescent="0.35">
      <c r="A1102" s="22" t="s">
        <v>851</v>
      </c>
      <c r="B1102" s="22" t="str">
        <f>"00420"</f>
        <v>00420</v>
      </c>
      <c r="C1102" s="22" t="str">
        <f t="shared" si="17"/>
        <v>'0420.HK'</v>
      </c>
      <c r="D1102" s="22" t="s">
        <v>3145</v>
      </c>
      <c r="E1102" s="22" t="s">
        <v>1914</v>
      </c>
      <c r="F1102" s="22">
        <v>1114774533.5999999</v>
      </c>
      <c r="G1102" s="22">
        <v>15</v>
      </c>
      <c r="H1102" s="22" t="s">
        <v>3146</v>
      </c>
    </row>
    <row r="1103" spans="1:8" x14ac:dyDescent="0.35">
      <c r="A1103" s="22" t="s">
        <v>851</v>
      </c>
      <c r="B1103" s="22" t="str">
        <f>"00201"</f>
        <v>00201</v>
      </c>
      <c r="C1103" s="22" t="str">
        <f t="shared" si="17"/>
        <v>'0201.HK'</v>
      </c>
      <c r="D1103" s="22" t="s">
        <v>3147</v>
      </c>
      <c r="E1103" s="22" t="s">
        <v>1070</v>
      </c>
      <c r="F1103" s="22">
        <v>1109434364.1760001</v>
      </c>
      <c r="G1103" s="22">
        <v>8</v>
      </c>
      <c r="H1103" s="22" t="s">
        <v>3148</v>
      </c>
    </row>
    <row r="1104" spans="1:8" x14ac:dyDescent="0.35">
      <c r="A1104" s="22" t="s">
        <v>851</v>
      </c>
      <c r="B1104" s="22" t="str">
        <f>"00157"</f>
        <v>00157</v>
      </c>
      <c r="C1104" s="22" t="str">
        <f t="shared" si="17"/>
        <v>'0157.HK'</v>
      </c>
      <c r="D1104" s="22" t="s">
        <v>3149</v>
      </c>
      <c r="E1104" s="22" t="s">
        <v>1002</v>
      </c>
      <c r="F1104" s="22">
        <v>1101155512.5999999</v>
      </c>
      <c r="G1104" s="22">
        <v>12</v>
      </c>
      <c r="H1104" s="22" t="s">
        <v>3150</v>
      </c>
    </row>
    <row r="1105" spans="1:8" x14ac:dyDescent="0.35">
      <c r="A1105" s="22" t="s">
        <v>851</v>
      </c>
      <c r="B1105" s="22" t="str">
        <f>"03658"</f>
        <v>03658</v>
      </c>
      <c r="C1105" s="22" t="str">
        <f t="shared" si="17"/>
        <v>'3658.HK'</v>
      </c>
      <c r="D1105" s="22" t="s">
        <v>3151</v>
      </c>
      <c r="E1105" s="22" t="s">
        <v>1104</v>
      </c>
      <c r="F1105" s="22">
        <v>1099070100</v>
      </c>
      <c r="G1105" s="22">
        <v>13</v>
      </c>
      <c r="H1105" s="22" t="s">
        <v>3152</v>
      </c>
    </row>
    <row r="1106" spans="1:8" x14ac:dyDescent="0.35">
      <c r="A1106" s="22" t="s">
        <v>851</v>
      </c>
      <c r="B1106" s="22" t="str">
        <f>"08037"</f>
        <v>08037</v>
      </c>
      <c r="C1106" s="22" t="str">
        <f t="shared" si="17"/>
        <v>'8037.HK'</v>
      </c>
      <c r="D1106" s="22" t="s">
        <v>3153</v>
      </c>
      <c r="E1106" s="22" t="s">
        <v>1362</v>
      </c>
      <c r="F1106" s="22">
        <v>1098083511</v>
      </c>
      <c r="G1106" s="22">
        <v>5</v>
      </c>
      <c r="H1106" s="22" t="s">
        <v>3154</v>
      </c>
    </row>
    <row r="1107" spans="1:8" x14ac:dyDescent="0.35">
      <c r="A1107" s="22" t="s">
        <v>851</v>
      </c>
      <c r="B1107" s="22" t="str">
        <f>"03680"</f>
        <v>03680</v>
      </c>
      <c r="C1107" s="22" t="str">
        <f t="shared" si="17"/>
        <v>'3680.HK'</v>
      </c>
      <c r="D1107" s="22" t="s">
        <v>3155</v>
      </c>
      <c r="E1107" s="22" t="s">
        <v>1202</v>
      </c>
      <c r="F1107" s="22">
        <v>1088268523.8800001</v>
      </c>
      <c r="G1107" s="22">
        <v>5</v>
      </c>
      <c r="H1107" s="22" t="s">
        <v>3156</v>
      </c>
    </row>
    <row r="1108" spans="1:8" x14ac:dyDescent="0.35">
      <c r="A1108" s="22" t="s">
        <v>851</v>
      </c>
      <c r="B1108" s="22" t="str">
        <f>"02738"</f>
        <v>02738</v>
      </c>
      <c r="C1108" s="22" t="str">
        <f t="shared" si="17"/>
        <v>'2738.HK'</v>
      </c>
      <c r="D1108" s="22" t="s">
        <v>3157</v>
      </c>
      <c r="E1108" s="22" t="s">
        <v>1579</v>
      </c>
      <c r="F1108" s="22">
        <v>1086000000</v>
      </c>
      <c r="G1108" s="22">
        <v>3</v>
      </c>
      <c r="H1108" s="22" t="s">
        <v>3158</v>
      </c>
    </row>
    <row r="1109" spans="1:8" x14ac:dyDescent="0.35">
      <c r="A1109" s="22" t="s">
        <v>851</v>
      </c>
      <c r="B1109" s="22" t="str">
        <f>"01965"</f>
        <v>01965</v>
      </c>
      <c r="C1109" s="22" t="str">
        <f t="shared" si="17"/>
        <v>'1965.HK'</v>
      </c>
      <c r="D1109" s="22" t="s">
        <v>3159</v>
      </c>
      <c r="E1109" s="22" t="s">
        <v>1104</v>
      </c>
      <c r="F1109" s="22">
        <v>1080311950</v>
      </c>
      <c r="G1109" s="22">
        <v>10</v>
      </c>
      <c r="H1109" s="22" t="s">
        <v>3160</v>
      </c>
    </row>
    <row r="1110" spans="1:8" x14ac:dyDescent="0.35">
      <c r="A1110" s="22" t="s">
        <v>851</v>
      </c>
      <c r="B1110" s="22" t="str">
        <f>"02302"</f>
        <v>02302</v>
      </c>
      <c r="C1110" s="22" t="str">
        <f t="shared" si="17"/>
        <v>'2302.HK'</v>
      </c>
      <c r="D1110" s="22" t="s">
        <v>3161</v>
      </c>
      <c r="E1110" s="22" t="s">
        <v>1060</v>
      </c>
      <c r="F1110" s="22">
        <v>1076170277.5999999</v>
      </c>
      <c r="G1110" s="22">
        <v>15</v>
      </c>
      <c r="H1110" s="22" t="s">
        <v>3162</v>
      </c>
    </row>
    <row r="1111" spans="1:8" x14ac:dyDescent="0.35">
      <c r="A1111" s="22" t="s">
        <v>851</v>
      </c>
      <c r="B1111" s="22" t="str">
        <f>"03303"</f>
        <v>03303</v>
      </c>
      <c r="C1111" s="22" t="str">
        <f t="shared" si="17"/>
        <v>'3303.HK'</v>
      </c>
      <c r="D1111" s="22" t="s">
        <v>3163</v>
      </c>
      <c r="E1111" s="22" t="s">
        <v>1294</v>
      </c>
      <c r="F1111" s="22">
        <v>1070063130.0599999</v>
      </c>
      <c r="G1111" s="22">
        <v>4</v>
      </c>
      <c r="H1111" s="22" t="s">
        <v>3164</v>
      </c>
    </row>
    <row r="1112" spans="1:8" x14ac:dyDescent="0.35">
      <c r="A1112" s="22" t="s">
        <v>851</v>
      </c>
      <c r="B1112" s="22" t="str">
        <f>"00082"</f>
        <v>00082</v>
      </c>
      <c r="C1112" s="22" t="str">
        <f t="shared" si="17"/>
        <v>'0082.HK'</v>
      </c>
      <c r="D1112" s="22" t="s">
        <v>3165</v>
      </c>
      <c r="E1112" s="22" t="s">
        <v>910</v>
      </c>
      <c r="F1112" s="22">
        <v>1068167964.312</v>
      </c>
      <c r="G1112" s="22">
        <v>2</v>
      </c>
      <c r="H1112" s="22" t="s">
        <v>3166</v>
      </c>
    </row>
    <row r="1113" spans="1:8" x14ac:dyDescent="0.35">
      <c r="A1113" s="22" t="s">
        <v>851</v>
      </c>
      <c r="B1113" s="22" t="str">
        <f>"02329"</f>
        <v>02329</v>
      </c>
      <c r="C1113" s="22" t="str">
        <f t="shared" si="17"/>
        <v>'2329.HK'</v>
      </c>
      <c r="D1113" s="22" t="s">
        <v>3167</v>
      </c>
      <c r="E1113" s="22" t="s">
        <v>924</v>
      </c>
      <c r="F1113" s="22">
        <v>1066660316.64</v>
      </c>
      <c r="G1113" s="22">
        <v>35</v>
      </c>
      <c r="H1113" s="22" t="s">
        <v>3168</v>
      </c>
    </row>
    <row r="1114" spans="1:8" x14ac:dyDescent="0.35">
      <c r="A1114" s="22" t="s">
        <v>851</v>
      </c>
      <c r="B1114" s="22" t="str">
        <f>"00346"</f>
        <v>00346</v>
      </c>
      <c r="C1114" s="22" t="str">
        <f t="shared" si="17"/>
        <v>'0346.HK'</v>
      </c>
      <c r="D1114" s="22" t="s">
        <v>3169</v>
      </c>
      <c r="E1114" s="22" t="s">
        <v>883</v>
      </c>
      <c r="F1114" s="22">
        <v>1063432710.5140001</v>
      </c>
      <c r="G1114" s="22">
        <v>5</v>
      </c>
      <c r="H1114" s="22" t="s">
        <v>3170</v>
      </c>
    </row>
    <row r="1115" spans="1:8" x14ac:dyDescent="0.35">
      <c r="A1115" s="22" t="s">
        <v>851</v>
      </c>
      <c r="B1115" s="22" t="str">
        <f>"01082"</f>
        <v>01082</v>
      </c>
      <c r="C1115" s="22" t="str">
        <f t="shared" si="17"/>
        <v>'1082.HK'</v>
      </c>
      <c r="D1115" s="22" t="s">
        <v>3171</v>
      </c>
      <c r="E1115" s="22" t="s">
        <v>1270</v>
      </c>
      <c r="F1115" s="22">
        <v>1061646966.4</v>
      </c>
      <c r="G1115" s="22">
        <v>2</v>
      </c>
      <c r="H1115" s="22" t="s">
        <v>3172</v>
      </c>
    </row>
    <row r="1116" spans="1:8" x14ac:dyDescent="0.35">
      <c r="A1116" s="22" t="s">
        <v>851</v>
      </c>
      <c r="B1116" s="22" t="str">
        <f>"01689"</f>
        <v>01689</v>
      </c>
      <c r="C1116" s="22" t="str">
        <f t="shared" si="17"/>
        <v>'1689.HK'</v>
      </c>
      <c r="D1116" s="22" t="s">
        <v>3173</v>
      </c>
      <c r="E1116" s="22" t="s">
        <v>2259</v>
      </c>
      <c r="F1116" s="22">
        <v>1059159300</v>
      </c>
      <c r="G1116" s="22">
        <v>4</v>
      </c>
      <c r="H1116" s="22" t="s">
        <v>3174</v>
      </c>
    </row>
    <row r="1117" spans="1:8" x14ac:dyDescent="0.35">
      <c r="A1117" s="22" t="s">
        <v>851</v>
      </c>
      <c r="B1117" s="22" t="str">
        <f>"01290"</f>
        <v>01290</v>
      </c>
      <c r="C1117" s="22" t="str">
        <f t="shared" si="17"/>
        <v>'1290.HK'</v>
      </c>
      <c r="D1117" s="22" t="s">
        <v>3175</v>
      </c>
      <c r="E1117" s="22" t="s">
        <v>1498</v>
      </c>
      <c r="F1117" s="22">
        <v>1057624950</v>
      </c>
      <c r="G1117" s="22">
        <v>3</v>
      </c>
      <c r="H1117" s="22" t="s">
        <v>3176</v>
      </c>
    </row>
    <row r="1118" spans="1:8" x14ac:dyDescent="0.35">
      <c r="A1118" s="22" t="s">
        <v>851</v>
      </c>
      <c r="B1118" s="22" t="str">
        <f>"00240"</f>
        <v>00240</v>
      </c>
      <c r="C1118" s="22" t="str">
        <f t="shared" si="17"/>
        <v>'0240.HK'</v>
      </c>
      <c r="D1118" s="22" t="s">
        <v>3177</v>
      </c>
      <c r="E1118" s="22" t="s">
        <v>1078</v>
      </c>
      <c r="F1118" s="22">
        <v>1055596293.2</v>
      </c>
      <c r="G1118" s="22">
        <v>19</v>
      </c>
      <c r="H1118" s="22" t="s">
        <v>3178</v>
      </c>
    </row>
    <row r="1119" spans="1:8" x14ac:dyDescent="0.35">
      <c r="A1119" s="22" t="s">
        <v>851</v>
      </c>
      <c r="B1119" s="22" t="str">
        <f>"01431"</f>
        <v>01431</v>
      </c>
      <c r="C1119" s="22" t="str">
        <f t="shared" si="17"/>
        <v>'1431.HK'</v>
      </c>
      <c r="D1119" s="22" t="s">
        <v>3179</v>
      </c>
      <c r="E1119" s="22" t="s">
        <v>1019</v>
      </c>
      <c r="F1119" s="22">
        <v>1055361690</v>
      </c>
      <c r="G1119" s="22">
        <v>9</v>
      </c>
      <c r="H1119" s="22" t="s">
        <v>3180</v>
      </c>
    </row>
    <row r="1120" spans="1:8" x14ac:dyDescent="0.35">
      <c r="A1120" s="22" t="s">
        <v>851</v>
      </c>
      <c r="B1120" s="22" t="str">
        <f>"01837"</f>
        <v>01837</v>
      </c>
      <c r="C1120" s="22" t="str">
        <f t="shared" si="17"/>
        <v>'1837.HK'</v>
      </c>
      <c r="D1120" s="22" t="s">
        <v>3181</v>
      </c>
      <c r="E1120" s="22" t="s">
        <v>1205</v>
      </c>
      <c r="F1120" s="22">
        <v>1050486720</v>
      </c>
      <c r="G1120" s="22">
        <v>19</v>
      </c>
      <c r="H1120" s="22" t="s">
        <v>3182</v>
      </c>
    </row>
    <row r="1121" spans="1:8" x14ac:dyDescent="0.35">
      <c r="A1121" s="22" t="s">
        <v>851</v>
      </c>
      <c r="B1121" s="22" t="str">
        <f>"02112"</f>
        <v>02112</v>
      </c>
      <c r="C1121" s="22" t="str">
        <f t="shared" si="17"/>
        <v>'2112.HK'</v>
      </c>
      <c r="D1121" s="22" t="s">
        <v>3183</v>
      </c>
      <c r="E1121" s="22" t="s">
        <v>1579</v>
      </c>
      <c r="F1121" s="22">
        <v>1050000000</v>
      </c>
      <c r="G1121" s="22">
        <v>2</v>
      </c>
      <c r="H1121" s="22" t="s">
        <v>3184</v>
      </c>
    </row>
    <row r="1122" spans="1:8" x14ac:dyDescent="0.35">
      <c r="A1122" s="22" t="s">
        <v>851</v>
      </c>
      <c r="B1122" s="22" t="str">
        <f>"02048"</f>
        <v>02048</v>
      </c>
      <c r="C1122" s="22" t="str">
        <f t="shared" si="17"/>
        <v>'2048.HK'</v>
      </c>
      <c r="D1122" s="22" t="s">
        <v>3185</v>
      </c>
      <c r="E1122" s="22" t="s">
        <v>1025</v>
      </c>
      <c r="F1122" s="22">
        <v>1049435718</v>
      </c>
      <c r="G1122" s="22">
        <v>18</v>
      </c>
      <c r="H1122" s="22" t="s">
        <v>3186</v>
      </c>
    </row>
    <row r="1123" spans="1:8" x14ac:dyDescent="0.35">
      <c r="A1123" s="22" t="s">
        <v>851</v>
      </c>
      <c r="B1123" s="22" t="str">
        <f>"06805"</f>
        <v>06805</v>
      </c>
      <c r="C1123" s="22" t="str">
        <f t="shared" si="17"/>
        <v>'6805.HK'</v>
      </c>
      <c r="D1123" s="22" t="s">
        <v>3187</v>
      </c>
      <c r="E1123" s="22" t="s">
        <v>1301</v>
      </c>
      <c r="F1123" s="22">
        <v>1046233160</v>
      </c>
      <c r="G1123" s="22">
        <v>2</v>
      </c>
      <c r="H1123" s="22" t="s">
        <v>3188</v>
      </c>
    </row>
    <row r="1124" spans="1:8" x14ac:dyDescent="0.35">
      <c r="A1124" s="22" t="s">
        <v>851</v>
      </c>
      <c r="B1124" s="22" t="str">
        <f>"00993"</f>
        <v>00993</v>
      </c>
      <c r="C1124" s="22" t="str">
        <f t="shared" si="17"/>
        <v>'0993.HK'</v>
      </c>
      <c r="D1124" s="22" t="s">
        <v>3189</v>
      </c>
      <c r="E1124" s="22" t="s">
        <v>964</v>
      </c>
      <c r="F1124" s="22">
        <v>1045150321.3200001</v>
      </c>
      <c r="G1124" s="22">
        <v>6</v>
      </c>
      <c r="H1124" s="22" t="s">
        <v>3190</v>
      </c>
    </row>
    <row r="1125" spans="1:8" x14ac:dyDescent="0.35">
      <c r="A1125" s="22" t="s">
        <v>851</v>
      </c>
      <c r="B1125" s="22" t="str">
        <f>"01502"</f>
        <v>01502</v>
      </c>
      <c r="C1125" s="22" t="str">
        <f t="shared" si="17"/>
        <v>'1502.HK'</v>
      </c>
      <c r="D1125" s="22" t="s">
        <v>3191</v>
      </c>
      <c r="E1125" s="22" t="s">
        <v>1104</v>
      </c>
      <c r="F1125" s="22">
        <v>1042065000</v>
      </c>
      <c r="G1125" s="22">
        <v>26</v>
      </c>
      <c r="H1125" s="22" t="s">
        <v>3192</v>
      </c>
    </row>
    <row r="1126" spans="1:8" x14ac:dyDescent="0.35">
      <c r="A1126" s="22" t="s">
        <v>851</v>
      </c>
      <c r="B1126" s="22" t="str">
        <f>"01228"</f>
        <v>01228</v>
      </c>
      <c r="C1126" s="22" t="str">
        <f t="shared" si="17"/>
        <v>'1228.HK'</v>
      </c>
      <c r="D1126" s="22" t="s">
        <v>3193</v>
      </c>
      <c r="E1126" s="22" t="s">
        <v>941</v>
      </c>
      <c r="F1126" s="22">
        <v>1039392704</v>
      </c>
      <c r="G1126" s="22">
        <v>4</v>
      </c>
      <c r="H1126" s="22" t="s">
        <v>3194</v>
      </c>
    </row>
    <row r="1127" spans="1:8" x14ac:dyDescent="0.35">
      <c r="A1127" s="22" t="s">
        <v>851</v>
      </c>
      <c r="B1127" s="22" t="str">
        <f>"00498"</f>
        <v>00498</v>
      </c>
      <c r="C1127" s="22" t="str">
        <f t="shared" si="17"/>
        <v>'0498.HK'</v>
      </c>
      <c r="D1127" s="22" t="s">
        <v>3195</v>
      </c>
      <c r="E1127" s="22" t="s">
        <v>1634</v>
      </c>
      <c r="F1127" s="22">
        <v>1037681147.16</v>
      </c>
      <c r="G1127" s="22">
        <v>3</v>
      </c>
      <c r="H1127" s="22" t="s">
        <v>3196</v>
      </c>
    </row>
    <row r="1128" spans="1:8" x14ac:dyDescent="0.35">
      <c r="A1128" s="22" t="s">
        <v>851</v>
      </c>
      <c r="B1128" s="22" t="str">
        <f>"00374"</f>
        <v>00374</v>
      </c>
      <c r="C1128" s="22" t="str">
        <f t="shared" si="17"/>
        <v>'0374.HK'</v>
      </c>
      <c r="D1128" s="22" t="s">
        <v>3197</v>
      </c>
      <c r="E1128" s="22" t="s">
        <v>1205</v>
      </c>
      <c r="F1128" s="22">
        <v>1037495628</v>
      </c>
      <c r="G1128" s="22">
        <v>9</v>
      </c>
      <c r="H1128" s="22" t="s">
        <v>3198</v>
      </c>
    </row>
    <row r="1129" spans="1:8" x14ac:dyDescent="0.35">
      <c r="A1129" s="22" t="s">
        <v>851</v>
      </c>
      <c r="B1129" s="22" t="str">
        <f>"01086"</f>
        <v>01086</v>
      </c>
      <c r="C1129" s="22" t="str">
        <f t="shared" si="17"/>
        <v>'1086.HK'</v>
      </c>
      <c r="D1129" s="22" t="s">
        <v>3199</v>
      </c>
      <c r="E1129" s="22" t="s">
        <v>1429</v>
      </c>
      <c r="F1129" s="22">
        <v>1034179322.92</v>
      </c>
      <c r="G1129" s="22">
        <v>22</v>
      </c>
      <c r="H1129" s="22" t="s">
        <v>3200</v>
      </c>
    </row>
    <row r="1130" spans="1:8" x14ac:dyDescent="0.35">
      <c r="A1130" s="22" t="s">
        <v>851</v>
      </c>
      <c r="B1130" s="22" t="str">
        <f>"01786"</f>
        <v>01786</v>
      </c>
      <c r="C1130" s="22" t="str">
        <f t="shared" si="17"/>
        <v>'1786.HK'</v>
      </c>
      <c r="D1130" s="22" t="s">
        <v>3201</v>
      </c>
      <c r="E1130" s="22" t="s">
        <v>1395</v>
      </c>
      <c r="F1130" s="22">
        <v>1033521120</v>
      </c>
      <c r="G1130" s="22">
        <v>24</v>
      </c>
      <c r="H1130" s="22" t="s">
        <v>3202</v>
      </c>
    </row>
    <row r="1131" spans="1:8" x14ac:dyDescent="0.35">
      <c r="A1131" s="22" t="s">
        <v>851</v>
      </c>
      <c r="B1131" s="22" t="str">
        <f>"00471"</f>
        <v>00471</v>
      </c>
      <c r="C1131" s="22" t="str">
        <f t="shared" si="17"/>
        <v>'0471.HK'</v>
      </c>
      <c r="D1131" s="22" t="s">
        <v>3203</v>
      </c>
      <c r="E1131" s="22" t="s">
        <v>1013</v>
      </c>
      <c r="F1131" s="22">
        <v>1033047083.0599999</v>
      </c>
      <c r="G1131" s="22">
        <v>1</v>
      </c>
      <c r="H1131" s="22" t="s">
        <v>3204</v>
      </c>
    </row>
    <row r="1132" spans="1:8" x14ac:dyDescent="0.35">
      <c r="A1132" s="22" t="s">
        <v>851</v>
      </c>
      <c r="B1132" s="22" t="str">
        <f>"01125"</f>
        <v>01125</v>
      </c>
      <c r="C1132" s="22" t="str">
        <f t="shared" si="17"/>
        <v>'1125.HK'</v>
      </c>
      <c r="D1132" s="22" t="s">
        <v>3205</v>
      </c>
      <c r="E1132" s="22" t="s">
        <v>1028</v>
      </c>
      <c r="F1132" s="22">
        <v>1026203673.3</v>
      </c>
      <c r="G1132" s="22">
        <v>9</v>
      </c>
      <c r="H1132" s="22" t="s">
        <v>3206</v>
      </c>
    </row>
    <row r="1133" spans="1:8" x14ac:dyDescent="0.35">
      <c r="A1133" s="22" t="s">
        <v>851</v>
      </c>
      <c r="B1133" s="22" t="str">
        <f>"02170"</f>
        <v>02170</v>
      </c>
      <c r="C1133" s="22" t="str">
        <f t="shared" si="17"/>
        <v>'2170.HK'</v>
      </c>
      <c r="D1133" s="22" t="s">
        <v>3207</v>
      </c>
      <c r="E1133" s="22" t="s">
        <v>941</v>
      </c>
      <c r="F1133" s="22">
        <v>1025722500</v>
      </c>
      <c r="G1133" s="22">
        <v>14</v>
      </c>
      <c r="H1133" s="22" t="s">
        <v>3208</v>
      </c>
    </row>
    <row r="1134" spans="1:8" x14ac:dyDescent="0.35">
      <c r="A1134" s="22" t="s">
        <v>851</v>
      </c>
      <c r="B1134" s="22" t="str">
        <f>"00334"</f>
        <v>00334</v>
      </c>
      <c r="C1134" s="22" t="str">
        <f t="shared" si="17"/>
        <v>'0334.HK'</v>
      </c>
      <c r="D1134" s="22" t="s">
        <v>3209</v>
      </c>
      <c r="E1134" s="22" t="s">
        <v>1152</v>
      </c>
      <c r="F1134" s="22">
        <v>1025439345.5650001</v>
      </c>
      <c r="G1134" s="22">
        <v>10</v>
      </c>
      <c r="H1134" s="22" t="s">
        <v>3210</v>
      </c>
    </row>
    <row r="1135" spans="1:8" x14ac:dyDescent="0.35">
      <c r="A1135" s="22" t="s">
        <v>851</v>
      </c>
      <c r="B1135" s="22" t="str">
        <f>"00827"</f>
        <v>00827</v>
      </c>
      <c r="C1135" s="22" t="str">
        <f t="shared" si="17"/>
        <v>'0827.HK'</v>
      </c>
      <c r="D1135" s="22" t="s">
        <v>3211</v>
      </c>
      <c r="E1135" s="22" t="s">
        <v>1903</v>
      </c>
      <c r="F1135" s="22">
        <v>1024767241.83</v>
      </c>
      <c r="G1135" s="22">
        <v>2</v>
      </c>
      <c r="H1135" s="22" t="s">
        <v>3212</v>
      </c>
    </row>
    <row r="1136" spans="1:8" x14ac:dyDescent="0.35">
      <c r="A1136" s="22" t="s">
        <v>851</v>
      </c>
      <c r="B1136" s="22" t="str">
        <f>"00225"</f>
        <v>00225</v>
      </c>
      <c r="C1136" s="22" t="str">
        <f t="shared" si="17"/>
        <v>'0225.HK'</v>
      </c>
      <c r="D1136" s="22" t="s">
        <v>3213</v>
      </c>
      <c r="E1136" s="22" t="s">
        <v>1028</v>
      </c>
      <c r="F1136" s="22">
        <v>1024668280.5</v>
      </c>
      <c r="G1136" s="22">
        <v>10</v>
      </c>
      <c r="H1136" s="22" t="s">
        <v>3214</v>
      </c>
    </row>
    <row r="1137" spans="1:8" x14ac:dyDescent="0.35">
      <c r="A1137" s="22" t="s">
        <v>851</v>
      </c>
      <c r="B1137" s="22" t="str">
        <f>"00910"</f>
        <v>00910</v>
      </c>
      <c r="C1137" s="22" t="str">
        <f t="shared" si="17"/>
        <v>'0910.HK'</v>
      </c>
      <c r="D1137" s="22" t="s">
        <v>3215</v>
      </c>
      <c r="E1137" s="22" t="s">
        <v>924</v>
      </c>
      <c r="F1137" s="22">
        <v>1022729716.7460001</v>
      </c>
      <c r="G1137" s="22">
        <v>5</v>
      </c>
      <c r="H1137" s="22" t="s">
        <v>3216</v>
      </c>
    </row>
    <row r="1138" spans="1:8" x14ac:dyDescent="0.35">
      <c r="A1138" s="22" t="s">
        <v>851</v>
      </c>
      <c r="B1138" s="22" t="str">
        <f>"02309"</f>
        <v>02309</v>
      </c>
      <c r="C1138" s="22" t="str">
        <f t="shared" si="17"/>
        <v>'2309.HK'</v>
      </c>
      <c r="D1138" s="22" t="s">
        <v>3217</v>
      </c>
      <c r="E1138" s="22" t="s">
        <v>1744</v>
      </c>
      <c r="F1138" s="22">
        <v>1022316920.924</v>
      </c>
      <c r="G1138" s="22">
        <v>3</v>
      </c>
      <c r="H1138" s="22" t="s">
        <v>3218</v>
      </c>
    </row>
    <row r="1139" spans="1:8" x14ac:dyDescent="0.35">
      <c r="A1139" s="22" t="s">
        <v>851</v>
      </c>
      <c r="B1139" s="22" t="str">
        <f>"01756"</f>
        <v>01756</v>
      </c>
      <c r="C1139" s="22" t="str">
        <f t="shared" si="17"/>
        <v>'1756.HK'</v>
      </c>
      <c r="D1139" s="22" t="s">
        <v>3219</v>
      </c>
      <c r="E1139" s="22" t="s">
        <v>1270</v>
      </c>
      <c r="F1139" s="22">
        <v>1020000000</v>
      </c>
      <c r="G1139" s="22">
        <v>22</v>
      </c>
      <c r="H1139" s="22" t="s">
        <v>3220</v>
      </c>
    </row>
    <row r="1140" spans="1:8" x14ac:dyDescent="0.35">
      <c r="A1140" s="22" t="s">
        <v>851</v>
      </c>
      <c r="B1140" s="22" t="str">
        <f>"01652"</f>
        <v>01652</v>
      </c>
      <c r="C1140" s="22" t="str">
        <f t="shared" si="17"/>
        <v>'1652.HK'</v>
      </c>
      <c r="D1140" s="22" t="s">
        <v>3221</v>
      </c>
      <c r="E1140" s="22" t="s">
        <v>969</v>
      </c>
      <c r="F1140" s="22">
        <v>1016308260</v>
      </c>
      <c r="G1140" s="22">
        <v>5</v>
      </c>
      <c r="H1140" s="22" t="s">
        <v>3222</v>
      </c>
    </row>
    <row r="1141" spans="1:8" x14ac:dyDescent="0.35">
      <c r="A1141" s="22" t="s">
        <v>851</v>
      </c>
      <c r="B1141" s="22" t="str">
        <f>"00976"</f>
        <v>00976</v>
      </c>
      <c r="C1141" s="22" t="str">
        <f t="shared" si="17"/>
        <v>'0976.HK'</v>
      </c>
      <c r="D1141" s="22" t="s">
        <v>3223</v>
      </c>
      <c r="E1141" s="22" t="s">
        <v>1316</v>
      </c>
      <c r="F1141" s="22">
        <v>1011245943.33</v>
      </c>
      <c r="G1141" s="22">
        <v>19</v>
      </c>
      <c r="H1141" s="22" t="s">
        <v>3224</v>
      </c>
    </row>
    <row r="1142" spans="1:8" x14ac:dyDescent="0.35">
      <c r="A1142" s="22" t="s">
        <v>851</v>
      </c>
      <c r="B1142" s="22" t="str">
        <f>"00156"</f>
        <v>00156</v>
      </c>
      <c r="C1142" s="22" t="str">
        <f t="shared" si="17"/>
        <v>'0156.HK'</v>
      </c>
      <c r="D1142" s="22" t="s">
        <v>3225</v>
      </c>
      <c r="E1142" s="22" t="s">
        <v>981</v>
      </c>
      <c r="F1142" s="22">
        <v>1010560398.76</v>
      </c>
      <c r="G1142" s="22">
        <v>8</v>
      </c>
      <c r="H1142" s="22" t="s">
        <v>3226</v>
      </c>
    </row>
    <row r="1143" spans="1:8" x14ac:dyDescent="0.35">
      <c r="A1143" s="22" t="s">
        <v>851</v>
      </c>
      <c r="B1143" s="22" t="str">
        <f>"00528"</f>
        <v>00528</v>
      </c>
      <c r="C1143" s="22" t="str">
        <f t="shared" si="17"/>
        <v>'0528.HK'</v>
      </c>
      <c r="D1143" s="22" t="s">
        <v>3227</v>
      </c>
      <c r="E1143" s="22" t="s">
        <v>1914</v>
      </c>
      <c r="F1143" s="22">
        <v>1007484800</v>
      </c>
      <c r="G1143" s="22">
        <v>12</v>
      </c>
      <c r="H1143" s="22" t="s">
        <v>3228</v>
      </c>
    </row>
    <row r="1144" spans="1:8" x14ac:dyDescent="0.35">
      <c r="A1144" s="22" t="s">
        <v>851</v>
      </c>
      <c r="B1144" s="22" t="str">
        <f>"09928"</f>
        <v>09928</v>
      </c>
      <c r="C1144" s="22" t="str">
        <f t="shared" si="17"/>
        <v>'9928.HK'</v>
      </c>
      <c r="D1144" s="22" t="s">
        <v>3229</v>
      </c>
      <c r="E1144" s="22" t="s">
        <v>1104</v>
      </c>
      <c r="F1144" s="22">
        <v>1005386201.9400001</v>
      </c>
      <c r="G1144" s="22">
        <v>59</v>
      </c>
      <c r="H1144" s="22" t="s">
        <v>3230</v>
      </c>
    </row>
    <row r="1145" spans="1:8" x14ac:dyDescent="0.35">
      <c r="A1145" s="22" t="s">
        <v>851</v>
      </c>
      <c r="B1145" s="22" t="str">
        <f>"06118"</f>
        <v>06118</v>
      </c>
      <c r="C1145" s="22" t="str">
        <f t="shared" si="17"/>
        <v>'6118.HK'</v>
      </c>
      <c r="D1145" s="22" t="s">
        <v>3231</v>
      </c>
      <c r="E1145" s="22" t="s">
        <v>941</v>
      </c>
      <c r="F1145" s="22">
        <v>1004660720</v>
      </c>
      <c r="G1145" s="22">
        <v>5</v>
      </c>
      <c r="H1145" s="22" t="s">
        <v>3232</v>
      </c>
    </row>
    <row r="1146" spans="1:8" x14ac:dyDescent="0.35">
      <c r="A1146" s="22" t="s">
        <v>851</v>
      </c>
      <c r="B1146" s="22" t="str">
        <f>"02369"</f>
        <v>02369</v>
      </c>
      <c r="C1146" s="22" t="str">
        <f t="shared" si="17"/>
        <v>'2369.HK'</v>
      </c>
      <c r="D1146" s="22" t="s">
        <v>3233</v>
      </c>
      <c r="E1146" s="22" t="s">
        <v>938</v>
      </c>
      <c r="F1146" s="22">
        <v>1001042572.715</v>
      </c>
      <c r="G1146" s="22">
        <v>13</v>
      </c>
      <c r="H1146" s="22" t="s">
        <v>3234</v>
      </c>
    </row>
    <row r="1148" spans="1:8" x14ac:dyDescent="0.35">
      <c r="A1148" s="22" t="s">
        <v>3235</v>
      </c>
    </row>
    <row r="1150" spans="1:8" x14ac:dyDescent="0.35">
      <c r="C1150" s="22" t="str">
        <f>ConcatDelim(C2:C1146,",")</f>
        <v>'0700.HK','9988.HK','1398.HK','0939.HK','3968.HK','0941.HK','3690.HK','1299.HK','0005.HK','2318.HK','1288.HK','3988.HK','9618.HK','0857.HK','1211.HK','6288.HK','9633.HK','0883.HK','1880.HK','0386.HK','1658.HK','1088.HK','0388.HK','9999.HK','2628.HK','3328.HK','1876.HK','9888.HK','1024.HK','0016.HK','2378.HK','2899.HK','0728.HK','2388.HK','2020.HK','1810.HK','2269.HK','0945.HK','1109.HK','0066.HK','2359.HK','6690.HK','0011.HK','0267.HK','0027.HK','6030.HK','0688.HK','6618.HK','1928.HK','2057.HK','6160.HK','2331.HK','9987.HK','0001.HK','2202.HK','0291.HK','2015.HK','1113.HK','9961.HK','0998.HK','2888.HK','2601.HK','1929.HK','2328.HK','0669.HK','0762.HK','0960.HK','0788.HK','0914.HK','2319.HK','0002.HK','2423.HK','1997.HK','0003.HK','9866.HK','0012.HK','2313.HK','0981.HK','6818.HK','2688.HK','1919.HK','6862.HK','0823.HK','1972.HK','1988.HK','0175.HK','1772.HK','1171.HK','1913.HK','1339.HK','1179.HK','0168.HK','2382.HK','0390.HK','0753.HK','1038.HK','2618.HK','0881.HK','1093.HK','9626.HK','0019.HK','1055.HK','1816.HK','9696.HK','1209.HK','2333.HK','2338.HK','0316.HK','0006.HK','1766.HK','0241.HK','3692.HK','3606.HK','1177.HK','0916.HK','1776.HK','1898.HK','0763.HK','0083.HK','3993.HK','3347.HK','0836.HK','0968.HK','0322.HK','6886.HK','0992.HK','2611.HK','0087.HK','2007.HK','1821.HK','6823.HK','0020.HK','6969.HK','3908.HK','9868.HK','1378.HK','0101.HK','0004.HK','1193.HK','2196.HK','1698.HK','1787.HK','6099.HK','3759.HK','1186.HK','6098.HK','0902.HK','1099.HK','0268.HK','0151.HK','6837.HK','0384.HK','1800.HK','6963.HK','6186.HK','1336.HK','2602.HK','0670.HK','0868.HK','0486.HK','0288.HK','1066.HK','2016.HK','2600.HK','0285.HK','0017.HK','1548.HK','2238.HK','3323.HK','3898.HK','0293.HK','0656.HK','0270.HK','1801.HK','3800.HK','6066.HK','2066.HK','0696.HK','2607.HK','1797.HK','9889.HK','0135.HK','3799.HK','1128.HK','9901.HK','1044.HK','1308.HK','2588.HK','2638.HK','0144.HK','2883.HK','2380.HK','0247.HK','1072.HK','1585.HK','0780.HK','3311.HK','6821.HK','1359.HK','3320.HK','0358.HK','3668.HK','6865.HK','3998.HK','0853.HK','9926.HK','6689.HK','6110.HK','6881.HK','0489.HK','3888.HK','1877.HK','3996.HK','6199.HK','1908.HK','0874.HK','2282.HK','9898.HK','6806.HK','0973.HK','1618.HK','6078.HK','1347.HK','0177.HK','3931.HK','0966.HK','0412.HK','2367.HK','2689.HK','3698.HK','1882.HK','0220.HK','0880.HK','9863.HK','2799.HK','3948.HK','1157.HK','1071.HK','0772.HK','0392.HK','9995.HK','2039.HK','6060.HK','3958.HK','2208.HK','3918.HK','1691.HK','9698.HK','9922.HK','3808.HK','2518.HK','0586.HK','6993.HK','1999.HK','3618.HK','0867.HK','0123.HK','1551.HK','1138.HK','1818.HK','9992.HK','1910.HK','1579.HK','2252.HK','1313.HK','2096.HK','2669.HK','3900.HK','9668.HK','3331.HK','6660.HK','0148.HK','2727.HK','2357.HK','0008.HK','3969.HK','6049.HK','1888.HK','9896.HK','0014.HK','0576.HK','0659.HK','0694.HK','1385.HK','3360.HK','3660.HK','6808.HK','2128.HK','0683.HK','0023.HK','9969.HK','0636.HK','0631.HK','6198.HK','9985.HK','0425.HK','1114.HK','2245.HK','0991.HK','1833.HK','9688.HK','1513.HK','6178.HK','0839.HK','9877.HK','0069.HK','1216.HK','6190.HK','0817.HK','0522.HK','1368.HK','0754.HK','6127.HK','1268.HK','0053.HK','0354.HK','1508.HK','0257.HK','0013.HK','1199.HK','2018.HK','0552.HK','9878.HK','0347.HK','1030.HK','1799.HK','9869.HK','3396.HK','0371.HK','0467.HK','1530.HK','6699.HK','0136.HK','0189.HK','2285.HK','3868.HK','0010.HK','0416.HK','6680.HK','1951.HK','6698.HK','0598.HK','2778.HK','6655.HK','0570.HK','3866.HK','2013.HK','0152.HK','1252.HK','1735.HK','1208.HK','0551.HK','0345.HK','2869.HK','1798.HK','1958.HK','9899.HK','3633.HK','2880.HK','6185.HK','3990.HK','1563.HK','0512.HK','1060.HK','0579.HK','9993.HK','3899.HK','1448.HK','2386.HK','9886.HK','2162.HK','2139.HK','6088.HK','2314.HK','0548.HK','0338.HK','1258.HK','1121.HK','2005.HK','0323.HK','0909.HK','1992.HK','1963.HK','0314.HK','2866.HK','0590.HK','3319.HK','0697.HK','0045.HK','2343.HK','0956.HK','0921.HK','1907.HK','0200.HK','2150.HK','1458.HK','2172.HK','1516.HK','1316.HK','2186.HK','0667.HK','1606.HK','0336.HK','2255.HK','0041.HK','1196.HK','0303.HK','2121.HK','0639.HK','1083.HK','1675.HK','0564.HK','0778.HK','2157.HK','0081.HK','2179.HK','9979.HK','0546.HK','0604.HK','1302.HK','2145.HK','1811.HK','1578.HK','2273.HK','0710.HK','1456.HK','0357.HK','3669.HK','6122.HK','2009.HK','1528.HK','8032.HK','0855.HK','0884.HK','1789.HK','9997.HK','2400.HK','0363.HK','0317.HK','0995.HK','0990.HK','0535.HK','1112.HK','1896.HK','6869.HK','9966.HK','1244.HK','1381.HK','2315.HK','0525.HK','6955.HK','1033.HK','1883.HK','1686.HK','2325.HK','0165.HK','2291.HK','3383.HK','0142.HK','0308.HK','0520.HK','2138.HK','3613.HK','1839.HK','0819.HK','2155.HK','9923.HK','6196.HK','2099.HK','3933.HK','9666.HK','9959.HK','0405.HK','2171.HK','0179.HK','1415.HK','0777.HK','0460.HK','2666.HK','0034.HK','1610.HK','0751.HK','3983.HK','1967.HK','0173.HK','0341.HK','0558.HK','2299.HK','0071.HK','3377.HK','1983.HK','0826.HK','9858.HK','6606.HK','3738.HK','1476.HK','0272.HK','0120.HK','2356.HK','1271.HK','9989.HK','2391.HK','1995.HK','6055.HK','1070.HK','1117.HK','0506.HK','1755.HK','0650.HK','6686.HK','2407.HK','0775.HK','1053.HK','1224.HK','1812.HK','1717.HK','1212.HK','3308.HK','1515.HK','1666.HK','9955.HK','0327.HK','1052.HK','6610.HK','0410.HK','3877.HK','2362.HK','2777.HK','0934.HK','0116.HK','6929.HK','2232.HK','0873.HK','9857.HK','2696.HK','6855.HK','1788.HK','3709.HK','1475.HK','0691.HK','1250.HK','9699.HK','1361.HK','3380.HK','0119.HK','9638.HK','2038.HK','2390.HK','0797.HK','0297.HK','1238.HK','0856.HK','9996.HK','1477.HK','8446.HK','2160.HK','2858.HK','1310.HK','0811.HK','1860.HK','1668.HK','1357.HK','0373.HK','2877.HK','0861.HK','0095.HK','7001.HK','2158.HK','0182.HK','1905.HK','2500.HK','6826.HK','1813.HK','1890.HK','0737.HK','6069.HK','3309.HK','3369.HK','1164.HK','2279.HK','1133.HK','2558.HK','2192.HK','0440.HK','2678.HK','0587.HK','9658.HK','1521.HK','1858.HK','3339.HK','1468.HK','0743.HK','6600.HK','0215.HK','2001.HK','0665.HK','2686.HK','1176.HK','0086.HK','1558.HK','0658.HK','1836.HK','1916.HK','0028.HK','2156.HK','0178.HK','2616.HK','1952.HK','6626.HK','1765.HK','2148.HK','0435.HK','1773.HK','0107.HK','0719.HK','6868.HK','0806.HK','0746.HK','6639.HK','3316.HK','0737.HK','2137.HK','9956.HK','1119.HK','1108.HK','0581.HK','6669.HK','1942.HK','6608.HK','1230.HK','1375.HK','0315.HK','0062.HK','2068.HK','1622.HK','0051.HK','1576.HK','1830.HK','0242.HK','0256.HK','1478.HK','1183.HK','1672.HK','1198.HK','0686.HK','1065.HK','2257.HK','0035.HK','1137.HK','2098.HK','0302.HK','1277.HK','2233.HK','1866.HK','0612.HK','0127.HK','3306.HK','6100.HK','0906.HK','6616.HK','1501.HK','0369.HK','0207.HK','1763.HK','1911.HK','1596.HK','6989.HK','0596.HK','9939.HK','1234.HK','1881.HK','1760.HK','1696.HK','1966.HK','2199.HK','0038.HK','2190.HK','6830.HK','1709.HK','9909.HK','1733.HK','1286.HK','0376.HK','1257.HK','1969.HK','6889.HK','1003.HK','2235.HK','2425.HK','0289.HK','0032.HK','9983.HK','2436.HK','3813.HK','8328.HK','0493.HK','1167.HK','1857.HK','2169.HK','6922.HK','0382.HK','0732.HK','1600.HK','0830.HK','8083.HK','2552.HK','0606.HK','1031.HK','1809.HK','2342.HK','2163.HK','6988.HK','1817.HK','1382.HK','1708.HK','1140.HK','0816.HK','0517.HK','1270.HK','0098.HK','0480.HK','0693.HK','1426.HK','6633.HK','6138.HK','3913.HK','1330.HK','2217.HK','1921.HK','3382.HK','8137.HK','6996.HK','0799.HK','1635.HK','1873.HK','1463.HK','1428.HK','2197.HK','0662.HK','1681.HK','0553.HK','1205.HK','0105.HK','0026.HK','9990.HK','1785.HK','2322.HK','1848.HK','0258.HK','1855.HK','2219.HK','0810.HK','0563.HK','0108.HK','1233.HK','0989.HK','2337.HK','0808.HK','0588.HK','3318.HK','1628.HK','1084.HK','0798.HK','1050.HK','2448.HK','1098.HK','6667.HK','0259.HK','1034.HK','1272.HK','0607.HK','2215.HK','0305.HK','0050.HK','1345.HK','2420.HK','8279.HK','0078.HK','0580.HK','6677.HK','3833.HK','2772.HK','2225.HK','0194.HK','2385.HK','1651.HK','0807.HK','0158.HK','1729.HK','0709.HK','1450.HK','0978.HK','1970.HK','1432.HK','9960.HK','0085.HK','0185.HK','1599.HK','1899.HK','3393.HK','0088.HK','1223.HK','1680.HK','0626.HK','1660.HK','1931.HK','1231.HK','1122.HK','3611.HK','0411.HK','2383.HK','3886.HK','0400.HK','0163.HK','9991.HK','0331.HK','0846.HK','1442.HK','2722.HK','1543.HK','6978.HK','0330.HK','1184.HK','6601.HK','2191.HK','0818.HK','2361.HK','2130.HK','2142.HK','1061.HK','9616.HK','0750.HK','2019.HK','0975.HK','3718.HK','0860.HK','3989.HK','3600.HK','1523.HK','1503.HK','9911.HK','1005.HK','6819.HK','0029.HK','1571.HK','1090.HK','6928.HK','2418.HK','2218.HK','0568.HK','3700.HK','2167.HK','9982.HK','1593.HK','0279.HK','0895.HK','1981.HK','2002.HK','2368.HK','1091.HK','2246.HK','6913.HK','0025.HK','6668.HK','1373.HK','2207.HK','2256.HK','1321.HK','6909.HK','2886.HK','6820.HK','2360.HK','1569.HK','2355.HK','9913.HK','9977.HK','1948.HK','0337.HK','2101.HK','1221.HK','0398.HK','1341.HK','0900.HK','0617.HK','0251.HK','2231.HK','0776.HK','0468.HK','2276.HK','6093.HK','2422.HK','0878.HK','0931.HK','3818.HK','0419.HK','1045.HK','6858.HK','1725.HK','2698.HK','2392.HK','0842.HK','3390.HK','1085.HK','2187.HK','6158.HK','0408.HK','0329.HK','2348.HK','0951.HK','1665.HK','1728.HK','3301.HK','1263.HK','0609.HK','1141.HK','3681.HK','1820.HK','3836.HK','2126.HK','2633.HK','1846.HK','0286.HK','1697.HK','2297.HK','0695.HK','1126.HK','0321.HK','2181.HK','0052.HK','3639.HK','2250.HK','2768.HK','1935.HK','0139.HK','3798.HK','2779.HK','1469.HK','0222.HK','2008.HK','0438.HK','2660.HK','6638.HK','0716.HK','0187.HK','0230.HK','0838.HK','0255.HK','1996.HK','0610.HK','6908.HK','0542.HK','0622.HK','1719.HK','0266.HK','2198.HK','3903.HK','1875.HK','0511.HK','1713.HK','1588.HK','1795.HK','6622.HK','0882.HK','0875.HK','1702.HK','1977.HK','3939.HK','1525.HK','0982.HK','0335.HK','0603.HK','0113.HK','3336.HK','6885.HK','0752.HK','0488.HK','0451.HK','6090.HK','2878.HK','6878.HK','1727.HK','3788.HK','3300.HK','1104.HK','2237.HK','3329.HK','0169.HK','6609.HK','0064.HK','0326.HK','0159.HK','2251.HK','9936.HK','9906.HK','0147.HK','0547.HK','2153.HK','3768.HK','2185.HK','0825.HK','9600.HK','9986.HK','1979.HK','6896.HK','2180.HK','8053.HK','0160.HK','0672.HK','3678.HK','0809.HK','1656.HK','0131.HK','6998.HK','0202.HK','0533.HK','0018.HK','2427.HK','6628.HK','0226.HK','3838.HK','0863.HK','3882.HK','0093.HK','0273.HK','2003.HK','6828.HK','2136.HK','0124.HK','2283.HK','1986.HK','1370.HK','0661.HK','0896.HK','0592.HK','8395.HK','0196.HK','1057.HK','3315.HK','1366.HK','0832.HK','0031.HK','1293.HK','1029.HK','0360.HK','1915.HK','0133.HK','6661.HK','1561.HK','0340.HK','3389.HK','2599.HK','1745.HK','6811.HK','1583.HK','0497.HK','6968.HK','1608.HK','2100.HK','0887.HK','2216.HK','0560.HK','0726.HK','2327.HK','1332.HK','2111.HK','0698.HK','2236.HK','9908.HK','6136.HK','2399.HK','2166.HK','0733.HK','2488.HK','0582.HK','1748.HK','1168.HK','8391.HK','1738.HK','0367.HK','0938.HK','1115.HK','0635.HK','0057.HK','0952.HK','0306.HK','1499.HK','0848.HK','0089.HK','0769.HK','0393.HK','1782.HK','3337.HK','1349.HK','0228.HK','1982.HK','1488.HK','1741.HK','7836.HK','2798.HK','3688.HK','0420.HK','0201.HK','0157.HK','3658.HK','8037.HK','3680.HK','2738.HK','1965.HK','2302.HK','3303.HK','0082.HK','2329.HK','0346.HK','1082.HK','1689.HK','1290.HK','0240.HK','1431.HK','1837.HK','2112.HK','2048.HK','6805.HK','0993.HK','1502.HK','1228.HK','0498.HK','0374.HK','1086.HK','1786.HK','0471.HK','1125.HK','2170.HK','0334.HK','0827.HK','0225.HK','0910.HK','2309.HK','1756.HK','1652.HK','0976.HK','0156.HK','0528.HK','9928.HK','6118.HK','2369.HK'</v>
      </c>
    </row>
    <row r="1152" spans="1:8" x14ac:dyDescent="0.35">
      <c r="C1152" s="23" t="s">
        <v>3236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592A5-6C1F-4C14-A243-66BEA4D46520}">
  <dimension ref="A1:L860"/>
  <sheetViews>
    <sheetView topLeftCell="A814" workbookViewId="0">
      <selection activeCell="E851" sqref="E851"/>
    </sheetView>
  </sheetViews>
  <sheetFormatPr defaultRowHeight="14.5" x14ac:dyDescent="0.35"/>
  <cols>
    <col min="1" max="2" width="8.7265625" style="24"/>
    <col min="3" max="3" width="10.08984375" style="24" bestFit="1" customWidth="1"/>
    <col min="4" max="4" width="8.7265625" style="24"/>
    <col min="5" max="5" width="28.08984375" style="24" bestFit="1" customWidth="1"/>
    <col min="6" max="16384" width="8.7265625" style="24"/>
  </cols>
  <sheetData>
    <row r="1" spans="1:12" x14ac:dyDescent="0.35">
      <c r="A1" s="24" t="s">
        <v>844</v>
      </c>
      <c r="B1" s="24" t="s">
        <v>845</v>
      </c>
      <c r="D1" s="24" t="s">
        <v>846</v>
      </c>
      <c r="E1" s="24" t="s">
        <v>847</v>
      </c>
      <c r="F1" s="24" t="s">
        <v>3237</v>
      </c>
      <c r="G1" s="24" t="s">
        <v>3238</v>
      </c>
      <c r="H1" s="24" t="s">
        <v>3239</v>
      </c>
      <c r="I1" s="24" t="s">
        <v>3240</v>
      </c>
      <c r="J1" s="24" t="s">
        <v>3241</v>
      </c>
      <c r="K1" s="24" t="s">
        <v>849</v>
      </c>
      <c r="L1" s="24" t="s">
        <v>850</v>
      </c>
    </row>
    <row r="2" spans="1:12" x14ac:dyDescent="0.35">
      <c r="A2" s="24" t="s">
        <v>3242</v>
      </c>
      <c r="B2" s="24" t="str">
        <f>"301338"</f>
        <v>301338</v>
      </c>
      <c r="C2" s="24" t="str">
        <f>CONCATENATE("'",B2,IF(A2="sh",".SS'",".SZ'"))</f>
        <v>'301338.SZ'</v>
      </c>
      <c r="D2" s="24" t="s">
        <v>3243</v>
      </c>
      <c r="E2" s="24" t="s">
        <v>3244</v>
      </c>
      <c r="F2" s="24">
        <v>2.9998999999999998</v>
      </c>
      <c r="G2" s="24">
        <v>4105520000</v>
      </c>
      <c r="H2" s="24">
        <v>3.7332000000000001</v>
      </c>
      <c r="I2" s="24">
        <v>3.0354000000000001</v>
      </c>
      <c r="J2" s="24">
        <v>1.9457</v>
      </c>
      <c r="K2" s="24">
        <v>11</v>
      </c>
      <c r="L2" s="24" t="s">
        <v>3245</v>
      </c>
    </row>
    <row r="3" spans="1:12" x14ac:dyDescent="0.35">
      <c r="A3" s="24" t="s">
        <v>3246</v>
      </c>
      <c r="B3" s="24" t="str">
        <f>"688322"</f>
        <v>688322</v>
      </c>
      <c r="C3" s="24" t="str">
        <f t="shared" ref="C3:C66" si="0">CONCATENATE("'",B3,IF(A3="sh",".SS'",".SZ'"))</f>
        <v>'688322.SS'</v>
      </c>
      <c r="D3" s="24" t="s">
        <v>3247</v>
      </c>
      <c r="E3" s="24" t="s">
        <v>3248</v>
      </c>
      <c r="F3" s="24">
        <v>2.9982000000000002</v>
      </c>
      <c r="G3" s="24">
        <v>9900024750</v>
      </c>
      <c r="H3" s="24">
        <v>23.375</v>
      </c>
      <c r="I3" s="24">
        <v>21.8903</v>
      </c>
      <c r="J3" s="24">
        <v>10.3957</v>
      </c>
      <c r="K3" s="24">
        <v>11</v>
      </c>
      <c r="L3" s="24" t="s">
        <v>3249</v>
      </c>
    </row>
    <row r="4" spans="1:12" x14ac:dyDescent="0.35">
      <c r="A4" s="24" t="s">
        <v>3242</v>
      </c>
      <c r="B4" s="24" t="str">
        <f>"001316"</f>
        <v>001316</v>
      </c>
      <c r="C4" s="24" t="str">
        <f t="shared" si="0"/>
        <v>'001316.SZ'</v>
      </c>
      <c r="D4" s="24" t="s">
        <v>3250</v>
      </c>
      <c r="E4" s="24" t="s">
        <v>3251</v>
      </c>
      <c r="F4" s="24">
        <v>2.9931999999999999</v>
      </c>
      <c r="G4" s="24">
        <v>3092000000</v>
      </c>
      <c r="H4" s="24">
        <v>11.944699999999999</v>
      </c>
      <c r="I4" s="24">
        <v>10.0831</v>
      </c>
      <c r="J4" s="24">
        <v>4.6463999999999999</v>
      </c>
      <c r="K4" s="24">
        <v>18</v>
      </c>
      <c r="L4" s="24" t="s">
        <v>3252</v>
      </c>
    </row>
    <row r="5" spans="1:12" x14ac:dyDescent="0.35">
      <c r="A5" s="24" t="s">
        <v>3242</v>
      </c>
      <c r="B5" s="24" t="str">
        <f>"002617"</f>
        <v>002617</v>
      </c>
      <c r="C5" s="24" t="str">
        <f t="shared" si="0"/>
        <v>'002617.SZ'</v>
      </c>
      <c r="D5" s="24" t="s">
        <v>3253</v>
      </c>
      <c r="E5" s="24" t="s">
        <v>3254</v>
      </c>
      <c r="F5" s="24">
        <v>2.9904999999999999</v>
      </c>
      <c r="G5" s="24">
        <v>18326246255.59</v>
      </c>
      <c r="H5" s="24">
        <v>3.1233</v>
      </c>
      <c r="I5" s="24">
        <v>2.8721999999999999</v>
      </c>
      <c r="J5" s="24">
        <v>1.046</v>
      </c>
      <c r="K5" s="24">
        <v>342</v>
      </c>
      <c r="L5" s="24" t="s">
        <v>3255</v>
      </c>
    </row>
    <row r="6" spans="1:12" x14ac:dyDescent="0.35">
      <c r="A6" s="24" t="s">
        <v>3242</v>
      </c>
      <c r="B6" s="24" t="str">
        <f>"001339"</f>
        <v>001339</v>
      </c>
      <c r="C6" s="24" t="str">
        <f t="shared" si="0"/>
        <v>'001339.SZ'</v>
      </c>
      <c r="D6" s="24" t="s">
        <v>3256</v>
      </c>
      <c r="E6" s="24" t="s">
        <v>3257</v>
      </c>
      <c r="F6" s="24">
        <v>2.9904000000000002</v>
      </c>
      <c r="G6" s="24">
        <v>5475214050</v>
      </c>
      <c r="H6" s="24">
        <v>2.1259999999999999</v>
      </c>
      <c r="I6" s="24">
        <v>1.3173999999999999</v>
      </c>
      <c r="J6" s="24">
        <v>0.80300000000000005</v>
      </c>
      <c r="K6" s="24">
        <v>12</v>
      </c>
      <c r="L6" s="24" t="s">
        <v>3258</v>
      </c>
    </row>
    <row r="7" spans="1:12" x14ac:dyDescent="0.35">
      <c r="A7" s="24" t="s">
        <v>3242</v>
      </c>
      <c r="B7" s="24" t="str">
        <f>"002247"</f>
        <v>002247</v>
      </c>
      <c r="C7" s="24" t="str">
        <f t="shared" si="0"/>
        <v>'002247.SZ'</v>
      </c>
      <c r="D7" s="24" t="s">
        <v>3259</v>
      </c>
      <c r="E7" s="24" t="s">
        <v>3260</v>
      </c>
      <c r="F7" s="24">
        <v>2.9876</v>
      </c>
      <c r="G7" s="24">
        <v>2186736025.9299998</v>
      </c>
      <c r="H7" s="24">
        <v>1.9532</v>
      </c>
      <c r="I7" s="24">
        <v>1.6540999999999999</v>
      </c>
      <c r="J7" s="24">
        <v>0.91520000000000001</v>
      </c>
      <c r="K7" s="24">
        <v>97</v>
      </c>
      <c r="L7" s="24" t="s">
        <v>3261</v>
      </c>
    </row>
    <row r="8" spans="1:12" x14ac:dyDescent="0.35">
      <c r="A8" s="24" t="s">
        <v>3246</v>
      </c>
      <c r="B8" s="24" t="str">
        <f>"605068"</f>
        <v>605068</v>
      </c>
      <c r="C8" s="24" t="str">
        <f t="shared" si="0"/>
        <v>'605068.SS'</v>
      </c>
      <c r="D8" s="24" t="s">
        <v>3262</v>
      </c>
      <c r="E8" s="24" t="s">
        <v>3263</v>
      </c>
      <c r="F8" s="24">
        <v>2.9870000000000001</v>
      </c>
      <c r="G8" s="24">
        <v>5199635436.6400003</v>
      </c>
      <c r="H8" s="24">
        <v>4.0884999999999998</v>
      </c>
      <c r="I8" s="24">
        <v>3.0083000000000002</v>
      </c>
      <c r="J8" s="24">
        <v>2.1692</v>
      </c>
      <c r="K8" s="24">
        <v>102</v>
      </c>
      <c r="L8" s="24" t="s">
        <v>3264</v>
      </c>
    </row>
    <row r="9" spans="1:12" x14ac:dyDescent="0.35">
      <c r="A9" s="24" t="s">
        <v>3242</v>
      </c>
      <c r="B9" s="24" t="str">
        <f>"300701"</f>
        <v>300701</v>
      </c>
      <c r="C9" s="24" t="str">
        <f t="shared" si="0"/>
        <v>'300701.SZ'</v>
      </c>
      <c r="D9" s="24" t="s">
        <v>3265</v>
      </c>
      <c r="E9" s="24" t="s">
        <v>3248</v>
      </c>
      <c r="F9" s="24">
        <v>2.9756999999999998</v>
      </c>
      <c r="G9" s="24">
        <v>2216700000</v>
      </c>
      <c r="H9" s="24">
        <v>10.0571</v>
      </c>
      <c r="I9" s="24">
        <v>9.0273000000000003</v>
      </c>
      <c r="J9" s="24">
        <v>2.5042</v>
      </c>
      <c r="K9" s="24">
        <v>755</v>
      </c>
      <c r="L9" s="24" t="s">
        <v>3266</v>
      </c>
    </row>
    <row r="10" spans="1:12" x14ac:dyDescent="0.35">
      <c r="A10" s="24" t="s">
        <v>3242</v>
      </c>
      <c r="B10" s="24" t="str">
        <f>"002975"</f>
        <v>002975</v>
      </c>
      <c r="C10" s="24" t="str">
        <f t="shared" si="0"/>
        <v>'002975.SZ'</v>
      </c>
      <c r="D10" s="24" t="s">
        <v>3267</v>
      </c>
      <c r="E10" s="24" t="s">
        <v>3268</v>
      </c>
      <c r="F10" s="24">
        <v>2.9723000000000002</v>
      </c>
      <c r="G10" s="24">
        <v>4645539066.3000002</v>
      </c>
      <c r="H10" s="24">
        <v>5.2968999999999999</v>
      </c>
      <c r="I10" s="24">
        <v>4.3013000000000003</v>
      </c>
      <c r="J10" s="24">
        <v>1.8763000000000001</v>
      </c>
      <c r="K10" s="24">
        <v>306</v>
      </c>
      <c r="L10" s="24" t="s">
        <v>3269</v>
      </c>
    </row>
    <row r="11" spans="1:12" x14ac:dyDescent="0.35">
      <c r="A11" s="24" t="s">
        <v>3242</v>
      </c>
      <c r="B11" s="24" t="str">
        <f>"301212"</f>
        <v>301212</v>
      </c>
      <c r="C11" s="24" t="str">
        <f t="shared" si="0"/>
        <v>'301212.SZ'</v>
      </c>
      <c r="D11" s="24" t="s">
        <v>3270</v>
      </c>
      <c r="E11" s="24" t="s">
        <v>3271</v>
      </c>
      <c r="F11" s="24">
        <v>2.9698000000000002</v>
      </c>
      <c r="G11" s="24">
        <v>3780000000</v>
      </c>
      <c r="H11" s="24">
        <v>3.4142999999999999</v>
      </c>
      <c r="I11" s="24">
        <v>3.1596000000000002</v>
      </c>
      <c r="J11" s="24">
        <v>2.1577000000000002</v>
      </c>
      <c r="K11" s="24">
        <v>12</v>
      </c>
      <c r="L11" s="24" t="s">
        <v>3272</v>
      </c>
    </row>
    <row r="12" spans="1:12" x14ac:dyDescent="0.35">
      <c r="A12" s="24" t="s">
        <v>3246</v>
      </c>
      <c r="B12" s="24" t="str">
        <f>"603023"</f>
        <v>603023</v>
      </c>
      <c r="C12" s="24" t="str">
        <f t="shared" si="0"/>
        <v>'603023.SS'</v>
      </c>
      <c r="D12" s="24" t="s">
        <v>3273</v>
      </c>
      <c r="E12" s="24" t="s">
        <v>3274</v>
      </c>
      <c r="F12" s="24">
        <v>2.9685999999999999</v>
      </c>
      <c r="G12" s="24">
        <v>2270802420.2800002</v>
      </c>
      <c r="H12" s="24">
        <v>30.945799999999998</v>
      </c>
      <c r="I12" s="24">
        <v>25.529299999999999</v>
      </c>
      <c r="J12" s="24">
        <v>22.116499999999998</v>
      </c>
      <c r="K12" s="24">
        <v>156</v>
      </c>
      <c r="L12" s="24" t="s">
        <v>3275</v>
      </c>
    </row>
    <row r="13" spans="1:12" x14ac:dyDescent="0.35">
      <c r="A13" s="24" t="s">
        <v>3246</v>
      </c>
      <c r="B13" s="24" t="str">
        <f>"688110"</f>
        <v>688110</v>
      </c>
      <c r="C13" s="24" t="str">
        <f t="shared" si="0"/>
        <v>'688110.SS'</v>
      </c>
      <c r="D13" s="24" t="s">
        <v>3276</v>
      </c>
      <c r="E13" s="24" t="s">
        <v>3277</v>
      </c>
      <c r="F13" s="24">
        <v>2.9615</v>
      </c>
      <c r="G13" s="24">
        <v>11896518490.200001</v>
      </c>
      <c r="H13" s="24">
        <v>16.971</v>
      </c>
      <c r="I13" s="24">
        <v>13.9343</v>
      </c>
      <c r="J13" s="24">
        <v>11.413399999999999</v>
      </c>
      <c r="K13" s="24">
        <v>47</v>
      </c>
      <c r="L13" s="24" t="s">
        <v>3278</v>
      </c>
    </row>
    <row r="14" spans="1:12" x14ac:dyDescent="0.35">
      <c r="A14" s="24" t="s">
        <v>3242</v>
      </c>
      <c r="B14" s="24" t="str">
        <f>"301149"</f>
        <v>301149</v>
      </c>
      <c r="C14" s="24" t="str">
        <f t="shared" si="0"/>
        <v>'301149.SZ'</v>
      </c>
      <c r="D14" s="24" t="s">
        <v>3279</v>
      </c>
      <c r="E14" s="24" t="s">
        <v>3271</v>
      </c>
      <c r="F14" s="24">
        <v>2.9590000000000001</v>
      </c>
      <c r="G14" s="24">
        <v>4751500198.8999996</v>
      </c>
      <c r="H14" s="24">
        <v>4.4390000000000001</v>
      </c>
      <c r="I14" s="24">
        <v>3.4318</v>
      </c>
      <c r="J14" s="24">
        <v>1.823</v>
      </c>
      <c r="K14" s="24">
        <v>20</v>
      </c>
      <c r="L14" s="24" t="s">
        <v>3280</v>
      </c>
    </row>
    <row r="15" spans="1:12" x14ac:dyDescent="0.35">
      <c r="A15" s="24" t="s">
        <v>3242</v>
      </c>
      <c r="B15" s="24" t="str">
        <f>"300239"</f>
        <v>300239</v>
      </c>
      <c r="C15" s="24" t="str">
        <f t="shared" si="0"/>
        <v>'300239.SZ'</v>
      </c>
      <c r="D15" s="24" t="s">
        <v>3281</v>
      </c>
      <c r="E15" s="24" t="s">
        <v>3282</v>
      </c>
      <c r="F15" s="24">
        <v>2.9584000000000001</v>
      </c>
      <c r="G15" s="24">
        <v>4457958402.3299999</v>
      </c>
      <c r="H15" s="24">
        <v>3.3191000000000002</v>
      </c>
      <c r="I15" s="24">
        <v>2.1636000000000002</v>
      </c>
      <c r="J15" s="24">
        <v>1.0238</v>
      </c>
      <c r="K15" s="24">
        <v>111</v>
      </c>
      <c r="L15" s="24" t="s">
        <v>3283</v>
      </c>
    </row>
    <row r="16" spans="1:12" x14ac:dyDescent="0.35">
      <c r="A16" s="24" t="s">
        <v>3242</v>
      </c>
      <c r="B16" s="24" t="str">
        <f>"301270"</f>
        <v>301270</v>
      </c>
      <c r="C16" s="24" t="str">
        <f t="shared" si="0"/>
        <v>'301270.SZ'</v>
      </c>
      <c r="D16" s="24" t="s">
        <v>3284</v>
      </c>
      <c r="E16" s="24" t="s">
        <v>3285</v>
      </c>
      <c r="F16" s="24">
        <v>2.9584000000000001</v>
      </c>
      <c r="G16" s="24">
        <v>3193000000</v>
      </c>
      <c r="H16" s="24">
        <v>26.4589</v>
      </c>
      <c r="I16" s="24">
        <v>26.322399999999998</v>
      </c>
      <c r="J16" s="24">
        <v>11.242000000000001</v>
      </c>
      <c r="K16" s="24">
        <v>9</v>
      </c>
      <c r="L16" s="24" t="s">
        <v>3286</v>
      </c>
    </row>
    <row r="17" spans="1:12" x14ac:dyDescent="0.35">
      <c r="A17" s="24" t="s">
        <v>3242</v>
      </c>
      <c r="B17" s="24" t="str">
        <f>"002892"</f>
        <v>002892</v>
      </c>
      <c r="C17" s="24" t="str">
        <f t="shared" si="0"/>
        <v>'002892.SZ'</v>
      </c>
      <c r="D17" s="24" t="s">
        <v>3287</v>
      </c>
      <c r="E17" s="24" t="s">
        <v>3288</v>
      </c>
      <c r="F17" s="24">
        <v>2.9571000000000001</v>
      </c>
      <c r="G17" s="24">
        <v>3690026873.5100002</v>
      </c>
      <c r="H17" s="24">
        <v>4.5761000000000003</v>
      </c>
      <c r="I17" s="24">
        <v>3.5402999999999998</v>
      </c>
      <c r="J17" s="24">
        <v>2.0949</v>
      </c>
      <c r="K17" s="24">
        <v>151</v>
      </c>
      <c r="L17" s="24" t="s">
        <v>3289</v>
      </c>
    </row>
    <row r="18" spans="1:12" x14ac:dyDescent="0.35">
      <c r="A18" s="24" t="s">
        <v>3246</v>
      </c>
      <c r="B18" s="24" t="str">
        <f>"605296"</f>
        <v>605296</v>
      </c>
      <c r="C18" s="24" t="str">
        <f t="shared" si="0"/>
        <v>'605296.SS'</v>
      </c>
      <c r="D18" s="24" t="s">
        <v>3290</v>
      </c>
      <c r="E18" s="24" t="s">
        <v>3291</v>
      </c>
      <c r="F18" s="24">
        <v>2.9495</v>
      </c>
      <c r="G18" s="24">
        <v>13107612900</v>
      </c>
      <c r="H18" s="24">
        <v>5.3120000000000003</v>
      </c>
      <c r="I18" s="24">
        <v>3.0678999999999998</v>
      </c>
      <c r="J18" s="24">
        <v>1.577</v>
      </c>
      <c r="K18" s="24">
        <v>77</v>
      </c>
      <c r="L18" s="24" t="s">
        <v>3292</v>
      </c>
    </row>
    <row r="19" spans="1:12" x14ac:dyDescent="0.35">
      <c r="A19" s="24" t="s">
        <v>3242</v>
      </c>
      <c r="B19" s="24" t="str">
        <f>"301200"</f>
        <v>301200</v>
      </c>
      <c r="C19" s="24" t="str">
        <f t="shared" si="0"/>
        <v>'301200.SZ'</v>
      </c>
      <c r="D19" s="24" t="s">
        <v>3293</v>
      </c>
      <c r="E19" s="24" t="s">
        <v>3244</v>
      </c>
      <c r="F19" s="24">
        <v>2.9483999999999999</v>
      </c>
      <c r="G19" s="24">
        <v>16833600000</v>
      </c>
      <c r="H19" s="24">
        <v>5.2135999999999996</v>
      </c>
      <c r="I19" s="24">
        <v>4.3052999999999999</v>
      </c>
      <c r="J19" s="24">
        <v>2.1558999999999999</v>
      </c>
      <c r="K19" s="24">
        <v>34</v>
      </c>
      <c r="L19" s="24" t="s">
        <v>3294</v>
      </c>
    </row>
    <row r="20" spans="1:12" x14ac:dyDescent="0.35">
      <c r="A20" s="24" t="s">
        <v>3242</v>
      </c>
      <c r="B20" s="24" t="str">
        <f>"001238"</f>
        <v>001238</v>
      </c>
      <c r="C20" s="24" t="str">
        <f t="shared" si="0"/>
        <v>'001238.SZ'</v>
      </c>
      <c r="D20" s="24" t="s">
        <v>3295</v>
      </c>
      <c r="E20" s="24" t="s">
        <v>3296</v>
      </c>
      <c r="F20" s="24">
        <v>2.9413</v>
      </c>
      <c r="G20" s="24">
        <v>3209800000</v>
      </c>
      <c r="H20" s="24">
        <v>2.3201000000000001</v>
      </c>
      <c r="I20" s="24">
        <v>1.5262</v>
      </c>
      <c r="J20" s="24">
        <v>1.1846000000000001</v>
      </c>
      <c r="K20" s="24">
        <v>7</v>
      </c>
      <c r="L20" s="24" t="s">
        <v>3297</v>
      </c>
    </row>
    <row r="21" spans="1:12" x14ac:dyDescent="0.35">
      <c r="A21" s="24" t="s">
        <v>3246</v>
      </c>
      <c r="B21" s="24" t="str">
        <f>"600523"</f>
        <v>600523</v>
      </c>
      <c r="C21" s="24" t="str">
        <f t="shared" si="0"/>
        <v>'600523.SS'</v>
      </c>
      <c r="D21" s="24" t="s">
        <v>3298</v>
      </c>
      <c r="E21" s="24" t="s">
        <v>3299</v>
      </c>
      <c r="F21" s="24">
        <v>2.9388999999999998</v>
      </c>
      <c r="G21" s="24">
        <v>8150916211.1999998</v>
      </c>
      <c r="H21" s="24">
        <v>3.7111000000000001</v>
      </c>
      <c r="I21" s="24">
        <v>2.8508</v>
      </c>
      <c r="J21" s="24">
        <v>1.0551999999999999</v>
      </c>
      <c r="K21" s="24">
        <v>113</v>
      </c>
      <c r="L21" s="24" t="s">
        <v>3300</v>
      </c>
    </row>
    <row r="22" spans="1:12" x14ac:dyDescent="0.35">
      <c r="A22" s="24" t="s">
        <v>3246</v>
      </c>
      <c r="B22" s="24" t="str">
        <f>"601958"</f>
        <v>601958</v>
      </c>
      <c r="C22" s="24" t="str">
        <f t="shared" si="0"/>
        <v>'601958.SS'</v>
      </c>
      <c r="D22" s="24" t="s">
        <v>3301</v>
      </c>
      <c r="E22" s="24" t="s">
        <v>3302</v>
      </c>
      <c r="F22" s="24">
        <v>2.9297</v>
      </c>
      <c r="G22" s="24">
        <v>37428611040</v>
      </c>
      <c r="H22" s="24">
        <v>3.9447000000000001</v>
      </c>
      <c r="I22" s="24">
        <v>3.3184999999999998</v>
      </c>
      <c r="J22" s="24">
        <v>1.6993</v>
      </c>
      <c r="K22" s="24">
        <v>274</v>
      </c>
      <c r="L22" s="24" t="s">
        <v>3303</v>
      </c>
    </row>
    <row r="23" spans="1:12" x14ac:dyDescent="0.35">
      <c r="A23" s="24" t="s">
        <v>3242</v>
      </c>
      <c r="B23" s="24" t="str">
        <f>"300251"</f>
        <v>300251</v>
      </c>
      <c r="C23" s="24" t="str">
        <f t="shared" si="0"/>
        <v>'300251.SZ'</v>
      </c>
      <c r="D23" s="24" t="s">
        <v>3304</v>
      </c>
      <c r="E23" s="24" t="s">
        <v>3305</v>
      </c>
      <c r="F23" s="24">
        <v>2.9285000000000001</v>
      </c>
      <c r="G23" s="24">
        <v>26197123297.759998</v>
      </c>
      <c r="H23" s="24">
        <v>5.6706000000000003</v>
      </c>
      <c r="I23" s="24">
        <v>3.5613999999999999</v>
      </c>
      <c r="J23" s="24">
        <v>1.8164</v>
      </c>
      <c r="K23" s="24">
        <v>814</v>
      </c>
      <c r="L23" s="24" t="s">
        <v>3306</v>
      </c>
    </row>
    <row r="24" spans="1:12" x14ac:dyDescent="0.35">
      <c r="A24" s="24" t="s">
        <v>3242</v>
      </c>
      <c r="B24" s="24" t="str">
        <f>"000975"</f>
        <v>000975</v>
      </c>
      <c r="C24" s="24" t="str">
        <f t="shared" si="0"/>
        <v>'000975.SZ'</v>
      </c>
      <c r="D24" s="24" t="s">
        <v>3307</v>
      </c>
      <c r="E24" s="24" t="s">
        <v>3308</v>
      </c>
      <c r="F24" s="24">
        <v>2.9213</v>
      </c>
      <c r="G24" s="24">
        <v>31376961594.5</v>
      </c>
      <c r="H24" s="24">
        <v>1.7110000000000001</v>
      </c>
      <c r="I24" s="24">
        <v>1.417</v>
      </c>
      <c r="J24" s="24">
        <v>0.83030000000000004</v>
      </c>
      <c r="K24" s="24">
        <v>426</v>
      </c>
      <c r="L24" s="24" t="s">
        <v>3309</v>
      </c>
    </row>
    <row r="25" spans="1:12" x14ac:dyDescent="0.35">
      <c r="A25" s="24" t="s">
        <v>3246</v>
      </c>
      <c r="B25" s="24" t="str">
        <f>"600211"</f>
        <v>600211</v>
      </c>
      <c r="C25" s="24" t="str">
        <f t="shared" si="0"/>
        <v>'600211.SS'</v>
      </c>
      <c r="D25" s="24" t="s">
        <v>3310</v>
      </c>
      <c r="E25" s="24" t="s">
        <v>3311</v>
      </c>
      <c r="F25" s="24">
        <v>2.92</v>
      </c>
      <c r="G25" s="24">
        <v>9069566296.9400005</v>
      </c>
      <c r="H25" s="24">
        <v>2.3380000000000001</v>
      </c>
      <c r="I25" s="24">
        <v>2.2368999999999999</v>
      </c>
      <c r="J25" s="24">
        <v>1.1266</v>
      </c>
      <c r="K25" s="24">
        <v>538</v>
      </c>
      <c r="L25" s="24" t="s">
        <v>3312</v>
      </c>
    </row>
    <row r="26" spans="1:12" x14ac:dyDescent="0.35">
      <c r="A26" s="24" t="s">
        <v>3242</v>
      </c>
      <c r="B26" s="24" t="str">
        <f>"300548"</f>
        <v>300548</v>
      </c>
      <c r="C26" s="24" t="str">
        <f t="shared" si="0"/>
        <v>'300548.SZ'</v>
      </c>
      <c r="D26" s="24" t="s">
        <v>3313</v>
      </c>
      <c r="E26" s="24" t="s">
        <v>3314</v>
      </c>
      <c r="F26" s="24">
        <v>2.9194</v>
      </c>
      <c r="G26" s="24">
        <v>4692176547.1999998</v>
      </c>
      <c r="H26" s="24">
        <v>3.8407</v>
      </c>
      <c r="I26" s="24">
        <v>3.0001000000000002</v>
      </c>
      <c r="J26" s="24">
        <v>1.5119</v>
      </c>
      <c r="K26" s="24">
        <v>294</v>
      </c>
      <c r="L26" s="24" t="s">
        <v>3315</v>
      </c>
    </row>
    <row r="27" spans="1:12" x14ac:dyDescent="0.35">
      <c r="A27" s="24" t="s">
        <v>3242</v>
      </c>
      <c r="B27" s="24" t="str">
        <f>"002275"</f>
        <v>002275</v>
      </c>
      <c r="C27" s="24" t="str">
        <f t="shared" si="0"/>
        <v>'002275.SZ'</v>
      </c>
      <c r="D27" s="24" t="s">
        <v>3316</v>
      </c>
      <c r="E27" s="24" t="s">
        <v>3311</v>
      </c>
      <c r="F27" s="24">
        <v>2.9144999999999999</v>
      </c>
      <c r="G27" s="24">
        <v>7855792182</v>
      </c>
      <c r="H27" s="24">
        <v>2.8601999999999999</v>
      </c>
      <c r="I27" s="24">
        <v>2.4426000000000001</v>
      </c>
      <c r="J27" s="24">
        <v>1.7776000000000001</v>
      </c>
      <c r="K27" s="24">
        <v>11980</v>
      </c>
      <c r="L27" s="24" t="s">
        <v>3317</v>
      </c>
    </row>
    <row r="28" spans="1:12" x14ac:dyDescent="0.35">
      <c r="A28" s="24" t="s">
        <v>3246</v>
      </c>
      <c r="B28" s="24" t="str">
        <f>"688108"</f>
        <v>688108</v>
      </c>
      <c r="C28" s="24" t="str">
        <f t="shared" si="0"/>
        <v>'688108.SS'</v>
      </c>
      <c r="D28" s="24" t="s">
        <v>3318</v>
      </c>
      <c r="E28" s="24" t="s">
        <v>3319</v>
      </c>
      <c r="F28" s="24">
        <v>2.9075000000000002</v>
      </c>
      <c r="G28" s="24">
        <v>2390300000</v>
      </c>
      <c r="H28" s="24">
        <v>2.4805999999999999</v>
      </c>
      <c r="I28" s="24">
        <v>1.6856</v>
      </c>
      <c r="J28" s="24">
        <v>1.3131999999999999</v>
      </c>
      <c r="K28" s="24">
        <v>113</v>
      </c>
      <c r="L28" s="24" t="s">
        <v>3320</v>
      </c>
    </row>
    <row r="29" spans="1:12" x14ac:dyDescent="0.35">
      <c r="A29" s="24" t="s">
        <v>3242</v>
      </c>
      <c r="B29" s="24" t="str">
        <f>"300821"</f>
        <v>300821</v>
      </c>
      <c r="C29" s="24" t="str">
        <f t="shared" si="0"/>
        <v>'300821.SZ'</v>
      </c>
      <c r="D29" s="24" t="s">
        <v>3321</v>
      </c>
      <c r="E29" s="24" t="s">
        <v>3322</v>
      </c>
      <c r="F29" s="24">
        <v>2.9055</v>
      </c>
      <c r="G29" s="24">
        <v>15252000000</v>
      </c>
      <c r="H29" s="24">
        <v>2.2551999999999999</v>
      </c>
      <c r="I29" s="24">
        <v>1.8177000000000001</v>
      </c>
      <c r="J29" s="24">
        <v>1.3875</v>
      </c>
      <c r="K29" s="24">
        <v>172</v>
      </c>
      <c r="L29" s="24" t="s">
        <v>3323</v>
      </c>
    </row>
    <row r="30" spans="1:12" x14ac:dyDescent="0.35">
      <c r="A30" s="24" t="s">
        <v>3242</v>
      </c>
      <c r="B30" s="24" t="str">
        <f>"301234"</f>
        <v>301234</v>
      </c>
      <c r="C30" s="24" t="str">
        <f t="shared" si="0"/>
        <v>'301234.SZ'</v>
      </c>
      <c r="D30" s="24" t="s">
        <v>3324</v>
      </c>
      <c r="E30" s="24" t="s">
        <v>3319</v>
      </c>
      <c r="F30" s="24">
        <v>2.9053</v>
      </c>
      <c r="G30" s="24">
        <v>2037960000</v>
      </c>
      <c r="H30" s="24">
        <v>4.6140999999999996</v>
      </c>
      <c r="I30" s="24">
        <v>4.1413000000000002</v>
      </c>
      <c r="J30" s="24">
        <v>3.3751000000000002</v>
      </c>
      <c r="K30" s="24">
        <v>14</v>
      </c>
      <c r="L30" s="24" t="s">
        <v>3325</v>
      </c>
    </row>
    <row r="31" spans="1:12" x14ac:dyDescent="0.35">
      <c r="A31" s="24" t="s">
        <v>3242</v>
      </c>
      <c r="B31" s="24" t="str">
        <f>"300951"</f>
        <v>300951</v>
      </c>
      <c r="C31" s="24" t="str">
        <f t="shared" si="0"/>
        <v>'300951.SZ'</v>
      </c>
      <c r="D31" s="24" t="s">
        <v>3326</v>
      </c>
      <c r="E31" s="24" t="s">
        <v>3327</v>
      </c>
      <c r="F31" s="24">
        <v>2.9045999999999998</v>
      </c>
      <c r="G31" s="24">
        <v>5926201920</v>
      </c>
      <c r="H31" s="24">
        <v>4.9194000000000004</v>
      </c>
      <c r="I31" s="24">
        <v>4.7567000000000004</v>
      </c>
      <c r="J31" s="24">
        <v>1.4962</v>
      </c>
      <c r="K31" s="24">
        <v>86</v>
      </c>
      <c r="L31" s="24" t="s">
        <v>3328</v>
      </c>
    </row>
    <row r="32" spans="1:12" x14ac:dyDescent="0.35">
      <c r="A32" s="24" t="s">
        <v>3242</v>
      </c>
      <c r="B32" s="24" t="str">
        <f>"002577"</f>
        <v>002577</v>
      </c>
      <c r="C32" s="24" t="str">
        <f t="shared" si="0"/>
        <v>'002577.SZ'</v>
      </c>
      <c r="D32" s="24" t="s">
        <v>3329</v>
      </c>
      <c r="E32" s="24" t="s">
        <v>3257</v>
      </c>
      <c r="F32" s="24">
        <v>2.9018999999999999</v>
      </c>
      <c r="G32" s="24">
        <v>3304038400</v>
      </c>
      <c r="H32" s="24">
        <v>14.6113</v>
      </c>
      <c r="I32" s="24">
        <v>13.3179</v>
      </c>
      <c r="J32" s="24">
        <v>4.7084999999999999</v>
      </c>
      <c r="K32" s="24">
        <v>92</v>
      </c>
      <c r="L32" s="24" t="s">
        <v>3330</v>
      </c>
    </row>
    <row r="33" spans="1:12" x14ac:dyDescent="0.35">
      <c r="A33" s="24" t="s">
        <v>3246</v>
      </c>
      <c r="B33" s="24" t="str">
        <f>"605580"</f>
        <v>605580</v>
      </c>
      <c r="C33" s="24" t="str">
        <f t="shared" si="0"/>
        <v>'605580.SS'</v>
      </c>
      <c r="D33" s="24" t="s">
        <v>3331</v>
      </c>
      <c r="E33" s="24" t="s">
        <v>3332</v>
      </c>
      <c r="F33" s="24">
        <v>2.8978000000000002</v>
      </c>
      <c r="G33" s="24">
        <v>2442000000</v>
      </c>
      <c r="H33" s="24">
        <v>4.6528999999999998</v>
      </c>
      <c r="I33" s="24">
        <v>4.3644999999999996</v>
      </c>
      <c r="J33" s="24">
        <v>1.9652000000000001</v>
      </c>
      <c r="K33" s="24">
        <v>35</v>
      </c>
      <c r="L33" s="24" t="s">
        <v>3333</v>
      </c>
    </row>
    <row r="34" spans="1:12" x14ac:dyDescent="0.35">
      <c r="A34" s="24" t="s">
        <v>3242</v>
      </c>
      <c r="B34" s="24" t="str">
        <f>"001266"</f>
        <v>001266</v>
      </c>
      <c r="C34" s="24" t="str">
        <f t="shared" si="0"/>
        <v>'001266.SZ'</v>
      </c>
      <c r="D34" s="24" t="s">
        <v>3334</v>
      </c>
      <c r="E34" s="24" t="s">
        <v>3268</v>
      </c>
      <c r="F34" s="24">
        <v>2.8969999999999998</v>
      </c>
      <c r="G34" s="24">
        <v>2926143360</v>
      </c>
      <c r="H34" s="24">
        <v>10.039</v>
      </c>
      <c r="I34" s="24">
        <v>8.8691999999999993</v>
      </c>
      <c r="J34" s="24">
        <v>2.6341000000000001</v>
      </c>
      <c r="K34" s="24">
        <v>26</v>
      </c>
      <c r="L34" s="24" t="s">
        <v>3335</v>
      </c>
    </row>
    <row r="35" spans="1:12" x14ac:dyDescent="0.35">
      <c r="A35" s="24" t="s">
        <v>3242</v>
      </c>
      <c r="B35" s="24" t="str">
        <f>"301128"</f>
        <v>301128</v>
      </c>
      <c r="C35" s="24" t="str">
        <f t="shared" si="0"/>
        <v>'301128.SZ'</v>
      </c>
      <c r="D35" s="24" t="s">
        <v>3336</v>
      </c>
      <c r="E35" s="24" t="s">
        <v>3244</v>
      </c>
      <c r="F35" s="24">
        <v>2.8965999999999998</v>
      </c>
      <c r="G35" s="24">
        <v>2382104693.2800002</v>
      </c>
      <c r="H35" s="24">
        <v>7.1535000000000002</v>
      </c>
      <c r="I35" s="24">
        <v>6.3464999999999998</v>
      </c>
      <c r="J35" s="24">
        <v>2.2829000000000002</v>
      </c>
      <c r="K35" s="24">
        <v>19</v>
      </c>
      <c r="L35" s="24" t="s">
        <v>3337</v>
      </c>
    </row>
    <row r="36" spans="1:12" x14ac:dyDescent="0.35">
      <c r="A36" s="24" t="s">
        <v>3242</v>
      </c>
      <c r="B36" s="24" t="str">
        <f>"300921"</f>
        <v>300921</v>
      </c>
      <c r="C36" s="24" t="str">
        <f t="shared" si="0"/>
        <v>'300921.SZ'</v>
      </c>
      <c r="D36" s="24" t="s">
        <v>3338</v>
      </c>
      <c r="E36" s="24" t="s">
        <v>3339</v>
      </c>
      <c r="F36" s="24">
        <v>2.8961999999999999</v>
      </c>
      <c r="G36" s="24">
        <v>2402244880.1999998</v>
      </c>
      <c r="H36" s="24">
        <v>8.4137000000000004</v>
      </c>
      <c r="I36" s="24">
        <v>8.0249000000000006</v>
      </c>
      <c r="J36" s="24">
        <v>1.9943</v>
      </c>
      <c r="K36" s="24">
        <v>46</v>
      </c>
      <c r="L36" s="24" t="s">
        <v>3340</v>
      </c>
    </row>
    <row r="37" spans="1:12" x14ac:dyDescent="0.35">
      <c r="A37" s="24" t="s">
        <v>3242</v>
      </c>
      <c r="B37" s="24" t="str">
        <f>"300887"</f>
        <v>300887</v>
      </c>
      <c r="C37" s="24" t="str">
        <f t="shared" si="0"/>
        <v>'300887.SZ'</v>
      </c>
      <c r="D37" s="24" t="s">
        <v>3341</v>
      </c>
      <c r="E37" s="24" t="s">
        <v>3342</v>
      </c>
      <c r="F37" s="24">
        <v>2.8936999999999999</v>
      </c>
      <c r="G37" s="24">
        <v>9810119926.0799999</v>
      </c>
      <c r="H37" s="24">
        <v>2.7610999999999999</v>
      </c>
      <c r="I37" s="24">
        <v>2.6412</v>
      </c>
      <c r="J37" s="24">
        <v>1.0032000000000001</v>
      </c>
      <c r="K37" s="24">
        <v>130</v>
      </c>
      <c r="L37" s="24" t="s">
        <v>3343</v>
      </c>
    </row>
    <row r="38" spans="1:12" x14ac:dyDescent="0.35">
      <c r="A38" s="24" t="s">
        <v>3242</v>
      </c>
      <c r="B38" s="24" t="str">
        <f>"000962"</f>
        <v>000962</v>
      </c>
      <c r="C38" s="24" t="str">
        <f t="shared" si="0"/>
        <v>'000962.SZ'</v>
      </c>
      <c r="D38" s="24" t="s">
        <v>3344</v>
      </c>
      <c r="E38" s="24" t="s">
        <v>3345</v>
      </c>
      <c r="F38" s="24">
        <v>2.8923000000000001</v>
      </c>
      <c r="G38" s="24">
        <v>4170276812.2399998</v>
      </c>
      <c r="H38" s="24">
        <v>3.7069000000000001</v>
      </c>
      <c r="I38" s="24">
        <v>1.6819</v>
      </c>
      <c r="J38" s="24">
        <v>0.97199999999999998</v>
      </c>
      <c r="K38" s="24">
        <v>145</v>
      </c>
      <c r="L38" s="24" t="s">
        <v>3346</v>
      </c>
    </row>
    <row r="39" spans="1:12" x14ac:dyDescent="0.35">
      <c r="A39" s="24" t="s">
        <v>3246</v>
      </c>
      <c r="B39" s="24" t="str">
        <f>"603888"</f>
        <v>603888</v>
      </c>
      <c r="C39" s="24" t="str">
        <f t="shared" si="0"/>
        <v>'603888.SS'</v>
      </c>
      <c r="D39" s="24" t="s">
        <v>3347</v>
      </c>
      <c r="E39" s="24" t="s">
        <v>3348</v>
      </c>
      <c r="F39" s="24">
        <v>2.8921999999999999</v>
      </c>
      <c r="G39" s="24">
        <v>9186819672</v>
      </c>
      <c r="H39" s="24">
        <v>3.7315</v>
      </c>
      <c r="I39" s="24">
        <v>3.6642999999999999</v>
      </c>
      <c r="J39" s="24">
        <v>1.8542000000000001</v>
      </c>
      <c r="K39" s="24">
        <v>228</v>
      </c>
      <c r="L39" s="24" t="s">
        <v>3349</v>
      </c>
    </row>
    <row r="40" spans="1:12" x14ac:dyDescent="0.35">
      <c r="A40" s="24" t="s">
        <v>3242</v>
      </c>
      <c r="B40" s="24" t="str">
        <f>"300943"</f>
        <v>300943</v>
      </c>
      <c r="C40" s="24" t="str">
        <f t="shared" si="0"/>
        <v>'300943.SZ'</v>
      </c>
      <c r="D40" s="24" t="s">
        <v>3350</v>
      </c>
      <c r="E40" s="24" t="s">
        <v>3351</v>
      </c>
      <c r="F40" s="24">
        <v>2.8877000000000002</v>
      </c>
      <c r="G40" s="24">
        <v>2539597200</v>
      </c>
      <c r="H40" s="24">
        <v>3.4142000000000001</v>
      </c>
      <c r="I40" s="24">
        <v>2.9115000000000002</v>
      </c>
      <c r="J40" s="24">
        <v>1.964</v>
      </c>
      <c r="K40" s="24">
        <v>37</v>
      </c>
      <c r="L40" s="24" t="s">
        <v>3352</v>
      </c>
    </row>
    <row r="41" spans="1:12" x14ac:dyDescent="0.35">
      <c r="A41" s="24" t="s">
        <v>3242</v>
      </c>
      <c r="B41" s="24" t="str">
        <f>"300853"</f>
        <v>300853</v>
      </c>
      <c r="C41" s="24" t="str">
        <f t="shared" si="0"/>
        <v>'300853.SZ'</v>
      </c>
      <c r="D41" s="24" t="s">
        <v>3353</v>
      </c>
      <c r="E41" s="24" t="s">
        <v>3354</v>
      </c>
      <c r="F41" s="24">
        <v>2.8820999999999999</v>
      </c>
      <c r="G41" s="24">
        <v>3498656233.6300001</v>
      </c>
      <c r="H41" s="24">
        <v>4.5651999999999999</v>
      </c>
      <c r="I41" s="24">
        <v>4</v>
      </c>
      <c r="J41" s="24">
        <v>1.2358</v>
      </c>
      <c r="K41" s="24">
        <v>153</v>
      </c>
      <c r="L41" s="24" t="s">
        <v>3355</v>
      </c>
    </row>
    <row r="42" spans="1:12" x14ac:dyDescent="0.35">
      <c r="A42" s="24" t="s">
        <v>3242</v>
      </c>
      <c r="B42" s="24" t="str">
        <f>"001234"</f>
        <v>001234</v>
      </c>
      <c r="C42" s="24" t="str">
        <f t="shared" si="0"/>
        <v>'001234.SZ'</v>
      </c>
      <c r="D42" s="24" t="s">
        <v>3356</v>
      </c>
      <c r="E42" s="24" t="s">
        <v>3357</v>
      </c>
      <c r="F42" s="24">
        <v>2.8755999999999999</v>
      </c>
      <c r="G42" s="24">
        <v>2525867456</v>
      </c>
      <c r="H42" s="24">
        <v>5.3441000000000001</v>
      </c>
      <c r="I42" s="24">
        <v>4.6032999999999999</v>
      </c>
      <c r="J42" s="24">
        <v>1.4947999999999999</v>
      </c>
      <c r="K42" s="24">
        <v>33</v>
      </c>
      <c r="L42" s="24" t="s">
        <v>3358</v>
      </c>
    </row>
    <row r="43" spans="1:12" x14ac:dyDescent="0.35">
      <c r="A43" s="24" t="s">
        <v>3246</v>
      </c>
      <c r="B43" s="24" t="str">
        <f>"600993"</f>
        <v>600993</v>
      </c>
      <c r="C43" s="24" t="str">
        <f t="shared" si="0"/>
        <v>'600993.SS'</v>
      </c>
      <c r="D43" s="24" t="s">
        <v>3359</v>
      </c>
      <c r="E43" s="24" t="s">
        <v>3311</v>
      </c>
      <c r="F43" s="24">
        <v>2.8736000000000002</v>
      </c>
      <c r="G43" s="24">
        <v>9871134103.8999996</v>
      </c>
      <c r="H43" s="24">
        <v>5.3506999999999998</v>
      </c>
      <c r="I43" s="24">
        <v>4.7614999999999998</v>
      </c>
      <c r="J43" s="24">
        <v>2.7242999999999999</v>
      </c>
      <c r="K43" s="24">
        <v>1007</v>
      </c>
      <c r="L43" s="24" t="s">
        <v>3360</v>
      </c>
    </row>
    <row r="44" spans="1:12" x14ac:dyDescent="0.35">
      <c r="A44" s="24" t="s">
        <v>3242</v>
      </c>
      <c r="B44" s="24" t="str">
        <f>"000860"</f>
        <v>000860</v>
      </c>
      <c r="C44" s="24" t="str">
        <f t="shared" si="0"/>
        <v>'000860.SZ'</v>
      </c>
      <c r="D44" s="24" t="s">
        <v>3361</v>
      </c>
      <c r="E44" s="24" t="s">
        <v>3362</v>
      </c>
      <c r="F44" s="24">
        <v>2.8713000000000002</v>
      </c>
      <c r="G44" s="24">
        <v>22334604038.790001</v>
      </c>
      <c r="H44" s="24">
        <v>1.9038999999999999</v>
      </c>
      <c r="I44" s="24">
        <v>1.1217999999999999</v>
      </c>
      <c r="J44" s="24">
        <v>0.99329999999999996</v>
      </c>
      <c r="K44" s="24">
        <v>1535</v>
      </c>
      <c r="L44" s="24" t="s">
        <v>3363</v>
      </c>
    </row>
    <row r="45" spans="1:12" x14ac:dyDescent="0.35">
      <c r="A45" s="24" t="s">
        <v>3246</v>
      </c>
      <c r="B45" s="24" t="str">
        <f>"605339"</f>
        <v>605339</v>
      </c>
      <c r="C45" s="24" t="str">
        <f t="shared" si="0"/>
        <v>'605339.SS'</v>
      </c>
      <c r="D45" s="24" t="s">
        <v>3364</v>
      </c>
      <c r="E45" s="24" t="s">
        <v>3365</v>
      </c>
      <c r="F45" s="24">
        <v>2.8708999999999998</v>
      </c>
      <c r="G45" s="24">
        <v>9226081078.6000004</v>
      </c>
      <c r="H45" s="24">
        <v>3.7284999999999999</v>
      </c>
      <c r="I45" s="24">
        <v>2.8426999999999998</v>
      </c>
      <c r="J45" s="24">
        <v>2.6208999999999998</v>
      </c>
      <c r="K45" s="24">
        <v>82</v>
      </c>
      <c r="L45" s="24" t="s">
        <v>3366</v>
      </c>
    </row>
    <row r="46" spans="1:12" x14ac:dyDescent="0.35">
      <c r="A46" s="24" t="s">
        <v>3246</v>
      </c>
      <c r="B46" s="24" t="str">
        <f>"688291"</f>
        <v>688291</v>
      </c>
      <c r="C46" s="24" t="str">
        <f t="shared" si="0"/>
        <v>'688291.SS'</v>
      </c>
      <c r="D46" s="24" t="s">
        <v>3367</v>
      </c>
      <c r="E46" s="24" t="s">
        <v>3368</v>
      </c>
      <c r="F46" s="24">
        <v>2.8704999999999998</v>
      </c>
      <c r="G46" s="24">
        <v>2798694242</v>
      </c>
      <c r="H46" s="24">
        <v>7.0354000000000001</v>
      </c>
      <c r="I46" s="24">
        <v>5.0507</v>
      </c>
      <c r="J46" s="24">
        <v>3.6025999999999998</v>
      </c>
      <c r="K46" s="24">
        <v>6</v>
      </c>
      <c r="L46" s="24" t="s">
        <v>3369</v>
      </c>
    </row>
    <row r="47" spans="1:12" x14ac:dyDescent="0.35">
      <c r="A47" s="24" t="s">
        <v>3246</v>
      </c>
      <c r="B47" s="24" t="str">
        <f>"601975"</f>
        <v>601975</v>
      </c>
      <c r="C47" s="24" t="str">
        <f t="shared" si="0"/>
        <v>'601975.SS'</v>
      </c>
      <c r="D47" s="24" t="s">
        <v>3370</v>
      </c>
      <c r="E47" s="24" t="s">
        <v>3371</v>
      </c>
      <c r="F47" s="24">
        <v>2.8687</v>
      </c>
      <c r="G47" s="24">
        <v>19944941615.279999</v>
      </c>
      <c r="H47" s="24">
        <v>2.5278</v>
      </c>
      <c r="I47" s="24">
        <v>1.7194</v>
      </c>
      <c r="J47" s="24">
        <v>1.3721000000000001</v>
      </c>
      <c r="K47" s="24">
        <v>311</v>
      </c>
      <c r="L47" s="24" t="s">
        <v>3372</v>
      </c>
    </row>
    <row r="48" spans="1:12" x14ac:dyDescent="0.35">
      <c r="A48" s="24" t="s">
        <v>3246</v>
      </c>
      <c r="B48" s="24" t="str">
        <f>"688080"</f>
        <v>688080</v>
      </c>
      <c r="C48" s="24" t="str">
        <f t="shared" si="0"/>
        <v>'688080.SS'</v>
      </c>
      <c r="D48" s="24" t="s">
        <v>3373</v>
      </c>
      <c r="E48" s="24" t="s">
        <v>3374</v>
      </c>
      <c r="F48" s="24">
        <v>2.8685999999999998</v>
      </c>
      <c r="G48" s="24">
        <v>2313716429.1599998</v>
      </c>
      <c r="H48" s="24">
        <v>8.8491999999999997</v>
      </c>
      <c r="I48" s="24">
        <v>7.5342000000000002</v>
      </c>
      <c r="J48" s="24">
        <v>3.5326</v>
      </c>
      <c r="K48" s="24">
        <v>92</v>
      </c>
      <c r="L48" s="24" t="s">
        <v>3375</v>
      </c>
    </row>
    <row r="49" spans="1:12" x14ac:dyDescent="0.35">
      <c r="A49" s="24" t="s">
        <v>3242</v>
      </c>
      <c r="B49" s="24" t="str">
        <f>"301349"</f>
        <v>301349</v>
      </c>
      <c r="C49" s="24" t="str">
        <f t="shared" si="0"/>
        <v>'301349.SZ'</v>
      </c>
      <c r="D49" s="24" t="s">
        <v>3376</v>
      </c>
      <c r="E49" s="24" t="s">
        <v>3377</v>
      </c>
      <c r="F49" s="24">
        <v>2.8673999999999999</v>
      </c>
      <c r="G49" s="24">
        <v>7954640000</v>
      </c>
      <c r="H49" s="24">
        <v>19.9147</v>
      </c>
      <c r="I49" s="24">
        <v>19.103400000000001</v>
      </c>
      <c r="J49" s="24">
        <v>17.357299999999999</v>
      </c>
      <c r="K49" s="24">
        <v>6</v>
      </c>
      <c r="L49" s="24" t="s">
        <v>3378</v>
      </c>
    </row>
    <row r="50" spans="1:12" x14ac:dyDescent="0.35">
      <c r="A50" s="24" t="s">
        <v>3242</v>
      </c>
      <c r="B50" s="24" t="str">
        <f>"002515"</f>
        <v>002515</v>
      </c>
      <c r="C50" s="24" t="str">
        <f t="shared" si="0"/>
        <v>'002515.SZ'</v>
      </c>
      <c r="D50" s="24" t="s">
        <v>3379</v>
      </c>
      <c r="E50" s="24" t="s">
        <v>3380</v>
      </c>
      <c r="F50" s="24">
        <v>2.8671000000000002</v>
      </c>
      <c r="G50" s="24">
        <v>4373060361.6000004</v>
      </c>
      <c r="H50" s="24">
        <v>5.9778000000000002</v>
      </c>
      <c r="I50" s="24">
        <v>3.8555000000000001</v>
      </c>
      <c r="J50" s="24">
        <v>3.2585999999999999</v>
      </c>
      <c r="K50" s="24">
        <v>310</v>
      </c>
      <c r="L50" s="24" t="s">
        <v>3381</v>
      </c>
    </row>
    <row r="51" spans="1:12" x14ac:dyDescent="0.35">
      <c r="A51" s="24" t="s">
        <v>3246</v>
      </c>
      <c r="B51" s="24" t="str">
        <f>"688511"</f>
        <v>688511</v>
      </c>
      <c r="C51" s="24" t="str">
        <f t="shared" si="0"/>
        <v>'688511.SS'</v>
      </c>
      <c r="D51" s="24" t="s">
        <v>3382</v>
      </c>
      <c r="E51" s="24" t="s">
        <v>3383</v>
      </c>
      <c r="F51" s="24">
        <v>2.867</v>
      </c>
      <c r="G51" s="24">
        <v>2358400000</v>
      </c>
      <c r="H51" s="24">
        <v>14.5562</v>
      </c>
      <c r="I51" s="24">
        <v>13.157999999999999</v>
      </c>
      <c r="J51" s="24">
        <v>2.7768000000000002</v>
      </c>
      <c r="K51" s="24">
        <v>38</v>
      </c>
      <c r="L51" s="24" t="s">
        <v>3384</v>
      </c>
    </row>
    <row r="52" spans="1:12" x14ac:dyDescent="0.35">
      <c r="A52" s="24" t="s">
        <v>3242</v>
      </c>
      <c r="B52" s="24" t="str">
        <f>"001259"</f>
        <v>001259</v>
      </c>
      <c r="C52" s="24" t="str">
        <f t="shared" si="0"/>
        <v>'001259.SZ'</v>
      </c>
      <c r="D52" s="24" t="s">
        <v>3385</v>
      </c>
      <c r="E52" s="24" t="s">
        <v>3386</v>
      </c>
      <c r="F52" s="24">
        <v>2.8666</v>
      </c>
      <c r="G52" s="24">
        <v>2090660308.0799999</v>
      </c>
      <c r="H52" s="24">
        <v>5.7013999999999996</v>
      </c>
      <c r="I52" s="24">
        <v>4.6285999999999996</v>
      </c>
      <c r="J52" s="24">
        <v>3.7456999999999998</v>
      </c>
      <c r="K52" s="24">
        <v>9</v>
      </c>
      <c r="L52" s="24" t="s">
        <v>3387</v>
      </c>
    </row>
    <row r="53" spans="1:12" x14ac:dyDescent="0.35">
      <c r="A53" s="24" t="s">
        <v>3246</v>
      </c>
      <c r="B53" s="24" t="str">
        <f>"688045"</f>
        <v>688045</v>
      </c>
      <c r="C53" s="24" t="str">
        <f t="shared" si="0"/>
        <v>'688045.SS'</v>
      </c>
      <c r="D53" s="24" t="s">
        <v>3388</v>
      </c>
      <c r="E53" s="24" t="s">
        <v>3389</v>
      </c>
      <c r="F53" s="24">
        <v>2.8632</v>
      </c>
      <c r="G53" s="24">
        <v>3894360159.5999999</v>
      </c>
      <c r="H53" s="24">
        <v>19.456499999999998</v>
      </c>
      <c r="I53" s="24">
        <v>16.4282</v>
      </c>
      <c r="J53" s="24">
        <v>6.4870000000000001</v>
      </c>
      <c r="K53" s="24">
        <v>21</v>
      </c>
      <c r="L53" s="24" t="s">
        <v>3390</v>
      </c>
    </row>
    <row r="54" spans="1:12" x14ac:dyDescent="0.35">
      <c r="A54" s="24" t="s">
        <v>3246</v>
      </c>
      <c r="B54" s="24" t="str">
        <f>"688292"</f>
        <v>688292</v>
      </c>
      <c r="C54" s="24" t="str">
        <f t="shared" si="0"/>
        <v>'688292.SS'</v>
      </c>
      <c r="D54" s="24" t="s">
        <v>3391</v>
      </c>
      <c r="E54" s="24" t="s">
        <v>3374</v>
      </c>
      <c r="F54" s="24">
        <v>2.8626999999999998</v>
      </c>
      <c r="G54" s="24">
        <v>2750066672.5</v>
      </c>
      <c r="H54" s="24">
        <v>5.2397</v>
      </c>
      <c r="I54" s="24">
        <v>3.5954999999999999</v>
      </c>
      <c r="J54" s="24">
        <v>2.5851999999999999</v>
      </c>
      <c r="K54" s="24">
        <v>6</v>
      </c>
      <c r="L54" s="24" t="s">
        <v>3392</v>
      </c>
    </row>
    <row r="55" spans="1:12" x14ac:dyDescent="0.35">
      <c r="A55" s="24" t="s">
        <v>3246</v>
      </c>
      <c r="B55" s="24" t="str">
        <f>"605198"</f>
        <v>605198</v>
      </c>
      <c r="C55" s="24" t="str">
        <f t="shared" si="0"/>
        <v>'605198.SS'</v>
      </c>
      <c r="D55" s="24" t="s">
        <v>3393</v>
      </c>
      <c r="E55" s="24" t="s">
        <v>3394</v>
      </c>
      <c r="F55" s="24">
        <v>2.8567999999999998</v>
      </c>
      <c r="G55" s="24">
        <v>6731914000</v>
      </c>
      <c r="H55" s="24">
        <v>7.9993999999999996</v>
      </c>
      <c r="I55" s="24">
        <v>6.2996999999999996</v>
      </c>
      <c r="J55" s="24">
        <v>1.4816</v>
      </c>
      <c r="K55" s="24">
        <v>70</v>
      </c>
      <c r="L55" s="24" t="s">
        <v>3395</v>
      </c>
    </row>
    <row r="56" spans="1:12" x14ac:dyDescent="0.35">
      <c r="A56" s="24" t="s">
        <v>3246</v>
      </c>
      <c r="B56" s="24" t="str">
        <f>"603099"</f>
        <v>603099</v>
      </c>
      <c r="C56" s="24" t="str">
        <f t="shared" si="0"/>
        <v>'603099.SS'</v>
      </c>
      <c r="D56" s="24" t="s">
        <v>3396</v>
      </c>
      <c r="E56" s="24" t="s">
        <v>3397</v>
      </c>
      <c r="F56" s="24">
        <v>2.8525</v>
      </c>
      <c r="G56" s="24">
        <v>2685366900</v>
      </c>
      <c r="H56" s="24">
        <v>2.8130999999999999</v>
      </c>
      <c r="I56" s="24">
        <v>2.4664000000000001</v>
      </c>
      <c r="J56" s="24">
        <v>1.3717999999999999</v>
      </c>
      <c r="K56" s="24">
        <v>108</v>
      </c>
      <c r="L56" s="24" t="s">
        <v>3398</v>
      </c>
    </row>
    <row r="57" spans="1:12" x14ac:dyDescent="0.35">
      <c r="A57" s="24" t="s">
        <v>3242</v>
      </c>
      <c r="B57" s="24" t="str">
        <f>"300768"</f>
        <v>300768</v>
      </c>
      <c r="C57" s="24" t="str">
        <f t="shared" si="0"/>
        <v>'300768.SZ'</v>
      </c>
      <c r="D57" s="24" t="s">
        <v>3399</v>
      </c>
      <c r="E57" s="24" t="s">
        <v>3285</v>
      </c>
      <c r="F57" s="24">
        <v>2.8445999999999998</v>
      </c>
      <c r="G57" s="24">
        <v>8891279028.5900002</v>
      </c>
      <c r="H57" s="24">
        <v>9.4156999999999993</v>
      </c>
      <c r="I57" s="24">
        <v>8.5701999999999998</v>
      </c>
      <c r="J57" s="24">
        <v>8.1049000000000007</v>
      </c>
      <c r="K57" s="24">
        <v>234</v>
      </c>
      <c r="L57" s="24" t="s">
        <v>3400</v>
      </c>
    </row>
    <row r="58" spans="1:12" x14ac:dyDescent="0.35">
      <c r="A58" s="24" t="s">
        <v>3242</v>
      </c>
      <c r="B58" s="24" t="str">
        <f>"000810"</f>
        <v>000810</v>
      </c>
      <c r="C58" s="24" t="str">
        <f t="shared" si="0"/>
        <v>'000810.SZ'</v>
      </c>
      <c r="D58" s="24" t="s">
        <v>3401</v>
      </c>
      <c r="E58" s="24" t="s">
        <v>3402</v>
      </c>
      <c r="F58" s="24">
        <v>2.8426999999999998</v>
      </c>
      <c r="G58" s="24">
        <v>16919678419.120001</v>
      </c>
      <c r="H58" s="24">
        <v>1.9123000000000001</v>
      </c>
      <c r="I58" s="24">
        <v>1.5581</v>
      </c>
      <c r="J58" s="24">
        <v>0.82850000000000001</v>
      </c>
      <c r="K58" s="24">
        <v>417</v>
      </c>
      <c r="L58" s="24" t="s">
        <v>3403</v>
      </c>
    </row>
    <row r="59" spans="1:12" x14ac:dyDescent="0.35">
      <c r="A59" s="24" t="s">
        <v>3246</v>
      </c>
      <c r="B59" s="24" t="str">
        <f>"688280"</f>
        <v>688280</v>
      </c>
      <c r="C59" s="24" t="str">
        <f t="shared" si="0"/>
        <v>'688280.SS'</v>
      </c>
      <c r="D59" s="24" t="s">
        <v>3404</v>
      </c>
      <c r="E59" s="24" t="s">
        <v>3405</v>
      </c>
      <c r="F59" s="24">
        <v>2.8420999999999998</v>
      </c>
      <c r="G59" s="24">
        <v>4845719886.0699997</v>
      </c>
      <c r="H59" s="24">
        <v>1.9408000000000001</v>
      </c>
      <c r="I59" s="24">
        <v>1.4488000000000001</v>
      </c>
      <c r="J59" s="24">
        <v>1.034</v>
      </c>
      <c r="K59" s="24">
        <v>31</v>
      </c>
      <c r="L59" s="24" t="s">
        <v>3406</v>
      </c>
    </row>
    <row r="60" spans="1:12" x14ac:dyDescent="0.35">
      <c r="A60" s="24" t="s">
        <v>3242</v>
      </c>
      <c r="B60" s="24" t="str">
        <f>"301171"</f>
        <v>301171</v>
      </c>
      <c r="C60" s="24" t="str">
        <f t="shared" si="0"/>
        <v>'301171.SZ'</v>
      </c>
      <c r="D60" s="24" t="s">
        <v>3407</v>
      </c>
      <c r="E60" s="24" t="s">
        <v>3408</v>
      </c>
      <c r="F60" s="24">
        <v>2.8409</v>
      </c>
      <c r="G60" s="24">
        <v>9083803671.25</v>
      </c>
      <c r="H60" s="24">
        <v>2.6078999999999999</v>
      </c>
      <c r="I60" s="24">
        <v>2.5868000000000002</v>
      </c>
      <c r="J60" s="24">
        <v>1.0727</v>
      </c>
      <c r="K60" s="24">
        <v>6</v>
      </c>
      <c r="L60" s="24" t="s">
        <v>3409</v>
      </c>
    </row>
    <row r="61" spans="1:12" x14ac:dyDescent="0.35">
      <c r="A61" s="24" t="s">
        <v>3242</v>
      </c>
      <c r="B61" s="24" t="str">
        <f>"000913"</f>
        <v>000913</v>
      </c>
      <c r="C61" s="24" t="str">
        <f t="shared" si="0"/>
        <v>'000913.SZ'</v>
      </c>
      <c r="D61" s="24" t="s">
        <v>3410</v>
      </c>
      <c r="E61" s="24" t="s">
        <v>3411</v>
      </c>
      <c r="F61" s="24">
        <v>2.84</v>
      </c>
      <c r="G61" s="24">
        <v>9725628940</v>
      </c>
      <c r="H61" s="24">
        <v>1.5106999999999999</v>
      </c>
      <c r="I61" s="24">
        <v>1.1867000000000001</v>
      </c>
      <c r="J61" s="24">
        <v>1.0392999999999999</v>
      </c>
      <c r="K61" s="24">
        <v>190</v>
      </c>
      <c r="L61" s="24" t="s">
        <v>3412</v>
      </c>
    </row>
    <row r="62" spans="1:12" x14ac:dyDescent="0.35">
      <c r="A62" s="24" t="s">
        <v>3242</v>
      </c>
      <c r="B62" s="24" t="str">
        <f>"002820"</f>
        <v>002820</v>
      </c>
      <c r="C62" s="24" t="str">
        <f t="shared" si="0"/>
        <v>'002820.SZ'</v>
      </c>
      <c r="D62" s="24" t="s">
        <v>3413</v>
      </c>
      <c r="E62" s="24" t="s">
        <v>3365</v>
      </c>
      <c r="F62" s="24">
        <v>2.8393000000000002</v>
      </c>
      <c r="G62" s="24">
        <v>2773991153.9499998</v>
      </c>
      <c r="H62" s="24">
        <v>12.050599999999999</v>
      </c>
      <c r="I62" s="24">
        <v>11.3096</v>
      </c>
      <c r="J62" s="24">
        <v>3.8182</v>
      </c>
      <c r="K62" s="24">
        <v>155</v>
      </c>
      <c r="L62" s="24" t="s">
        <v>3414</v>
      </c>
    </row>
    <row r="63" spans="1:12" x14ac:dyDescent="0.35">
      <c r="A63" s="24" t="s">
        <v>3242</v>
      </c>
      <c r="B63" s="24" t="str">
        <f>"001226"</f>
        <v>001226</v>
      </c>
      <c r="C63" s="24" t="str">
        <f t="shared" si="0"/>
        <v>'001226.SZ'</v>
      </c>
      <c r="D63" s="24" t="s">
        <v>3415</v>
      </c>
      <c r="E63" s="24" t="s">
        <v>3416</v>
      </c>
      <c r="F63" s="24">
        <v>2.8391000000000002</v>
      </c>
      <c r="G63" s="24">
        <v>2125760949</v>
      </c>
      <c r="H63" s="24">
        <v>3.04</v>
      </c>
      <c r="I63" s="24">
        <v>2.6760000000000002</v>
      </c>
      <c r="J63" s="24">
        <v>1.3802000000000001</v>
      </c>
      <c r="K63" s="24">
        <v>8</v>
      </c>
      <c r="L63" s="24" t="s">
        <v>3417</v>
      </c>
    </row>
    <row r="64" spans="1:12" x14ac:dyDescent="0.35">
      <c r="A64" s="24" t="s">
        <v>3242</v>
      </c>
      <c r="B64" s="24" t="str">
        <f>"002597"</f>
        <v>002597</v>
      </c>
      <c r="C64" s="24" t="str">
        <f t="shared" si="0"/>
        <v>'002597.SZ'</v>
      </c>
      <c r="D64" s="24" t="s">
        <v>3418</v>
      </c>
      <c r="E64" s="24" t="s">
        <v>3419</v>
      </c>
      <c r="F64" s="24">
        <v>2.8386</v>
      </c>
      <c r="G64" s="24">
        <v>18437381168.259998</v>
      </c>
      <c r="H64" s="24">
        <v>3.1537999999999999</v>
      </c>
      <c r="I64" s="24">
        <v>2.7551999999999999</v>
      </c>
      <c r="J64" s="24">
        <v>1.2261</v>
      </c>
      <c r="K64" s="24">
        <v>1969</v>
      </c>
      <c r="L64" s="24" t="s">
        <v>3420</v>
      </c>
    </row>
    <row r="65" spans="1:12" x14ac:dyDescent="0.35">
      <c r="A65" s="24" t="s">
        <v>3242</v>
      </c>
      <c r="B65" s="24" t="str">
        <f>"301175"</f>
        <v>301175</v>
      </c>
      <c r="C65" s="24" t="str">
        <f t="shared" si="0"/>
        <v>'301175.SZ'</v>
      </c>
      <c r="D65" s="24" t="s">
        <v>3421</v>
      </c>
      <c r="E65" s="24" t="s">
        <v>3422</v>
      </c>
      <c r="F65" s="24">
        <v>2.8384</v>
      </c>
      <c r="G65" s="24">
        <v>9007905600</v>
      </c>
      <c r="H65" s="24">
        <v>2.5935000000000001</v>
      </c>
      <c r="I65" s="24">
        <v>2.5034000000000001</v>
      </c>
      <c r="J65" s="24">
        <v>0.8669</v>
      </c>
      <c r="K65" s="24">
        <v>6</v>
      </c>
      <c r="L65" s="24" t="s">
        <v>3423</v>
      </c>
    </row>
    <row r="66" spans="1:12" x14ac:dyDescent="0.35">
      <c r="A66" s="24" t="s">
        <v>3242</v>
      </c>
      <c r="B66" s="24" t="str">
        <f>"301097"</f>
        <v>301097</v>
      </c>
      <c r="C66" s="24" t="str">
        <f t="shared" si="0"/>
        <v>'301097.SZ'</v>
      </c>
      <c r="D66" s="24" t="s">
        <v>3424</v>
      </c>
      <c r="E66" s="24" t="s">
        <v>3319</v>
      </c>
      <c r="F66" s="24">
        <v>2.8359999999999999</v>
      </c>
      <c r="G66" s="24">
        <v>3506778922.3200002</v>
      </c>
      <c r="H66" s="24">
        <v>3.4106000000000001</v>
      </c>
      <c r="I66" s="24">
        <v>3.1897000000000002</v>
      </c>
      <c r="J66" s="24">
        <v>1.3597999999999999</v>
      </c>
      <c r="K66" s="24">
        <v>20</v>
      </c>
      <c r="L66" s="24" t="s">
        <v>3425</v>
      </c>
    </row>
    <row r="67" spans="1:12" x14ac:dyDescent="0.35">
      <c r="A67" s="24" t="s">
        <v>3242</v>
      </c>
      <c r="B67" s="24" t="str">
        <f>"301056"</f>
        <v>301056</v>
      </c>
      <c r="C67" s="24" t="str">
        <f t="shared" ref="C67:C130" si="1">CONCATENATE("'",B67,IF(A67="sh",".SS'",".SZ'"))</f>
        <v>'301056.SZ'</v>
      </c>
      <c r="D67" s="24" t="s">
        <v>3426</v>
      </c>
      <c r="E67" s="24" t="s">
        <v>3427</v>
      </c>
      <c r="F67" s="24">
        <v>2.8348</v>
      </c>
      <c r="G67" s="24">
        <v>2080936002.5999999</v>
      </c>
      <c r="H67" s="24">
        <v>2.0257999999999998</v>
      </c>
      <c r="I67" s="24">
        <v>1.6245000000000001</v>
      </c>
      <c r="J67" s="24">
        <v>1.2501</v>
      </c>
      <c r="K67" s="24">
        <v>21</v>
      </c>
      <c r="L67" s="24" t="s">
        <v>3428</v>
      </c>
    </row>
    <row r="68" spans="1:12" x14ac:dyDescent="0.35">
      <c r="A68" s="24" t="s">
        <v>3246</v>
      </c>
      <c r="B68" s="24" t="str">
        <f>"603516"</f>
        <v>603516</v>
      </c>
      <c r="C68" s="24" t="str">
        <f t="shared" si="1"/>
        <v>'603516.SS'</v>
      </c>
      <c r="D68" s="24" t="s">
        <v>3429</v>
      </c>
      <c r="E68" s="24" t="s">
        <v>3257</v>
      </c>
      <c r="F68" s="24">
        <v>2.8342000000000001</v>
      </c>
      <c r="G68" s="24">
        <v>2690775275.8600001</v>
      </c>
      <c r="H68" s="24">
        <v>10.15</v>
      </c>
      <c r="I68" s="24">
        <v>9.0504999999999995</v>
      </c>
      <c r="J68" s="24">
        <v>1.6777</v>
      </c>
      <c r="K68" s="24">
        <v>218</v>
      </c>
      <c r="L68" s="24" t="s">
        <v>3430</v>
      </c>
    </row>
    <row r="69" spans="1:12" x14ac:dyDescent="0.35">
      <c r="A69" s="24" t="s">
        <v>3246</v>
      </c>
      <c r="B69" s="24" t="str">
        <f>"688656"</f>
        <v>688656</v>
      </c>
      <c r="C69" s="24" t="str">
        <f t="shared" si="1"/>
        <v>'688656.SS'</v>
      </c>
      <c r="D69" s="24" t="s">
        <v>3431</v>
      </c>
      <c r="E69" s="24" t="s">
        <v>3432</v>
      </c>
      <c r="F69" s="24">
        <v>2.8307000000000002</v>
      </c>
      <c r="G69" s="24">
        <v>2220283728.8800001</v>
      </c>
      <c r="H69" s="24">
        <v>4.4382000000000001</v>
      </c>
      <c r="I69" s="24">
        <v>3.5238</v>
      </c>
      <c r="J69" s="24">
        <v>0.92149999999999999</v>
      </c>
      <c r="K69" s="24">
        <v>64</v>
      </c>
      <c r="L69" s="24" t="s">
        <v>3433</v>
      </c>
    </row>
    <row r="70" spans="1:12" x14ac:dyDescent="0.35">
      <c r="A70" s="24" t="s">
        <v>3242</v>
      </c>
      <c r="B70" s="24" t="str">
        <f>"300845"</f>
        <v>300845</v>
      </c>
      <c r="C70" s="24" t="str">
        <f t="shared" si="1"/>
        <v>'300845.SZ'</v>
      </c>
      <c r="D70" s="24" t="s">
        <v>3434</v>
      </c>
      <c r="E70" s="24" t="s">
        <v>3257</v>
      </c>
      <c r="F70" s="24">
        <v>2.8281999999999998</v>
      </c>
      <c r="G70" s="24">
        <v>2078010000</v>
      </c>
      <c r="H70" s="24">
        <v>5.3000999999999996</v>
      </c>
      <c r="I70" s="24">
        <v>3.9266999999999999</v>
      </c>
      <c r="J70" s="24">
        <v>2.3050999999999999</v>
      </c>
      <c r="K70" s="24">
        <v>87</v>
      </c>
      <c r="L70" s="24" t="s">
        <v>3435</v>
      </c>
    </row>
    <row r="71" spans="1:12" x14ac:dyDescent="0.35">
      <c r="A71" s="24" t="s">
        <v>3246</v>
      </c>
      <c r="B71" s="24" t="str">
        <f>"603992"</f>
        <v>603992</v>
      </c>
      <c r="C71" s="24" t="str">
        <f t="shared" si="1"/>
        <v>'603992.SS'</v>
      </c>
      <c r="D71" s="24" t="s">
        <v>3436</v>
      </c>
      <c r="E71" s="24" t="s">
        <v>3437</v>
      </c>
      <c r="F71" s="24">
        <v>2.8250000000000002</v>
      </c>
      <c r="G71" s="24">
        <v>6849248374.6400003</v>
      </c>
      <c r="H71" s="24">
        <v>2.6924999999999999</v>
      </c>
      <c r="I71" s="24">
        <v>2.2766000000000002</v>
      </c>
      <c r="J71" s="24">
        <v>1.0295000000000001</v>
      </c>
      <c r="K71" s="24">
        <v>136</v>
      </c>
      <c r="L71" s="24" t="s">
        <v>3438</v>
      </c>
    </row>
    <row r="72" spans="1:12" x14ac:dyDescent="0.35">
      <c r="A72" s="24" t="s">
        <v>3242</v>
      </c>
      <c r="B72" s="24" t="str">
        <f>"002145"</f>
        <v>002145</v>
      </c>
      <c r="C72" s="24" t="str">
        <f t="shared" si="1"/>
        <v>'002145.SZ'</v>
      </c>
      <c r="D72" s="24" t="s">
        <v>3439</v>
      </c>
      <c r="E72" s="24" t="s">
        <v>3440</v>
      </c>
      <c r="F72" s="24">
        <v>2.8227000000000002</v>
      </c>
      <c r="G72" s="24">
        <v>19504762363.25</v>
      </c>
      <c r="H72" s="24">
        <v>1.6677999999999999</v>
      </c>
      <c r="I72" s="24">
        <v>1.3940999999999999</v>
      </c>
      <c r="J72" s="24">
        <v>0.93059999999999998</v>
      </c>
      <c r="K72" s="24">
        <v>298</v>
      </c>
      <c r="L72" s="24" t="s">
        <v>3441</v>
      </c>
    </row>
    <row r="73" spans="1:12" x14ac:dyDescent="0.35">
      <c r="A73" s="24" t="s">
        <v>3246</v>
      </c>
      <c r="B73" s="24" t="str">
        <f>"688626"</f>
        <v>688626</v>
      </c>
      <c r="C73" s="24" t="str">
        <f t="shared" si="1"/>
        <v>'688626.SS'</v>
      </c>
      <c r="D73" s="24" t="s">
        <v>3442</v>
      </c>
      <c r="E73" s="24" t="s">
        <v>3443</v>
      </c>
      <c r="F73" s="24">
        <v>2.82</v>
      </c>
      <c r="G73" s="24">
        <v>5344000000</v>
      </c>
      <c r="H73" s="24">
        <v>7.1387</v>
      </c>
      <c r="I73" s="24">
        <v>6.0822000000000003</v>
      </c>
      <c r="J73" s="24">
        <v>3.2073999999999998</v>
      </c>
      <c r="K73" s="24">
        <v>89</v>
      </c>
      <c r="L73" s="24" t="s">
        <v>3444</v>
      </c>
    </row>
    <row r="74" spans="1:12" x14ac:dyDescent="0.35">
      <c r="A74" s="24" t="s">
        <v>3242</v>
      </c>
      <c r="B74" s="24" t="str">
        <f>"000519"</f>
        <v>000519</v>
      </c>
      <c r="C74" s="24" t="str">
        <f t="shared" si="1"/>
        <v>'000519.SZ'</v>
      </c>
      <c r="D74" s="24" t="s">
        <v>3445</v>
      </c>
      <c r="E74" s="24" t="s">
        <v>3446</v>
      </c>
      <c r="F74" s="24">
        <v>2.8199000000000001</v>
      </c>
      <c r="G74" s="24">
        <v>27767626101.080002</v>
      </c>
      <c r="H74" s="24">
        <v>2.5327999999999999</v>
      </c>
      <c r="I74" s="24">
        <v>2.0863</v>
      </c>
      <c r="J74" s="24">
        <v>1.3177000000000001</v>
      </c>
      <c r="K74" s="24">
        <v>412</v>
      </c>
      <c r="L74" s="24" t="s">
        <v>3447</v>
      </c>
    </row>
    <row r="75" spans="1:12" x14ac:dyDescent="0.35">
      <c r="A75" s="24" t="s">
        <v>3242</v>
      </c>
      <c r="B75" s="24" t="str">
        <f>"300817"</f>
        <v>300817</v>
      </c>
      <c r="C75" s="24" t="str">
        <f t="shared" si="1"/>
        <v>'300817.SZ'</v>
      </c>
      <c r="D75" s="24" t="s">
        <v>3448</v>
      </c>
      <c r="E75" s="24" t="s">
        <v>3351</v>
      </c>
      <c r="F75" s="24">
        <v>2.8157999999999999</v>
      </c>
      <c r="G75" s="24">
        <v>2746191859.1999998</v>
      </c>
      <c r="H75" s="24">
        <v>2.7831000000000001</v>
      </c>
      <c r="I75" s="24">
        <v>2.1097000000000001</v>
      </c>
      <c r="J75" s="24">
        <v>0.8427</v>
      </c>
      <c r="K75" s="24">
        <v>68</v>
      </c>
      <c r="L75" s="24" t="s">
        <v>3449</v>
      </c>
    </row>
    <row r="76" spans="1:12" x14ac:dyDescent="0.35">
      <c r="A76" s="24" t="s">
        <v>3246</v>
      </c>
      <c r="B76" s="24" t="str">
        <f>"603303"</f>
        <v>603303</v>
      </c>
      <c r="C76" s="24" t="str">
        <f t="shared" si="1"/>
        <v>'603303.SS'</v>
      </c>
      <c r="D76" s="24" t="s">
        <v>3450</v>
      </c>
      <c r="E76" s="24" t="s">
        <v>3451</v>
      </c>
      <c r="F76" s="24">
        <v>2.8147000000000002</v>
      </c>
      <c r="G76" s="24">
        <v>8871169095</v>
      </c>
      <c r="H76" s="24">
        <v>2.0533999999999999</v>
      </c>
      <c r="I76" s="24">
        <v>1.6620999999999999</v>
      </c>
      <c r="J76" s="24">
        <v>0.93300000000000005</v>
      </c>
      <c r="K76" s="24">
        <v>186</v>
      </c>
      <c r="L76" s="24" t="s">
        <v>3452</v>
      </c>
    </row>
    <row r="77" spans="1:12" x14ac:dyDescent="0.35">
      <c r="A77" s="24" t="s">
        <v>3246</v>
      </c>
      <c r="B77" s="24" t="str">
        <f>"688282"</f>
        <v>688282</v>
      </c>
      <c r="C77" s="24" t="str">
        <f t="shared" si="1"/>
        <v>'688282.SS'</v>
      </c>
      <c r="D77" s="24" t="s">
        <v>3453</v>
      </c>
      <c r="E77" s="24" t="s">
        <v>3454</v>
      </c>
      <c r="F77" s="24">
        <v>2.8068</v>
      </c>
      <c r="G77" s="24">
        <v>4245120000</v>
      </c>
      <c r="H77" s="24">
        <v>6.1397000000000004</v>
      </c>
      <c r="I77" s="24">
        <v>5.9340000000000002</v>
      </c>
      <c r="J77" s="24">
        <v>1.6851</v>
      </c>
      <c r="K77" s="24">
        <v>16</v>
      </c>
      <c r="L77" s="24" t="s">
        <v>3455</v>
      </c>
    </row>
    <row r="78" spans="1:12" x14ac:dyDescent="0.35">
      <c r="A78" s="24" t="s">
        <v>3246</v>
      </c>
      <c r="B78" s="24" t="str">
        <f>"600770"</f>
        <v>600770</v>
      </c>
      <c r="C78" s="24" t="str">
        <f t="shared" si="1"/>
        <v>'600770.SS'</v>
      </c>
      <c r="D78" s="24" t="s">
        <v>3456</v>
      </c>
      <c r="E78" s="24" t="s">
        <v>3457</v>
      </c>
      <c r="F78" s="24">
        <v>2.8027000000000002</v>
      </c>
      <c r="G78" s="24">
        <v>9386000000</v>
      </c>
      <c r="H78" s="24">
        <v>3.3921000000000001</v>
      </c>
      <c r="I78" s="24">
        <v>3.2219000000000002</v>
      </c>
      <c r="J78" s="24">
        <v>1.5587</v>
      </c>
      <c r="K78" s="24">
        <v>3058</v>
      </c>
      <c r="L78" s="24" t="s">
        <v>3458</v>
      </c>
    </row>
    <row r="79" spans="1:12" x14ac:dyDescent="0.35">
      <c r="A79" s="24" t="s">
        <v>3246</v>
      </c>
      <c r="B79" s="24" t="str">
        <f>"603528"</f>
        <v>603528</v>
      </c>
      <c r="C79" s="24" t="str">
        <f t="shared" si="1"/>
        <v>'603528.SS'</v>
      </c>
      <c r="D79" s="24" t="s">
        <v>3459</v>
      </c>
      <c r="E79" s="24" t="s">
        <v>3368</v>
      </c>
      <c r="F79" s="24">
        <v>2.7976000000000001</v>
      </c>
      <c r="G79" s="24">
        <v>4206558332.7800002</v>
      </c>
      <c r="H79" s="24">
        <v>3.5276999999999998</v>
      </c>
      <c r="I79" s="24">
        <v>2.9994000000000001</v>
      </c>
      <c r="J79" s="24">
        <v>0.80659999999999998</v>
      </c>
      <c r="K79" s="24">
        <v>200</v>
      </c>
      <c r="L79" s="24" t="s">
        <v>3460</v>
      </c>
    </row>
    <row r="80" spans="1:12" x14ac:dyDescent="0.35">
      <c r="A80" s="24" t="s">
        <v>3242</v>
      </c>
      <c r="B80" s="24" t="str">
        <f>"300843"</f>
        <v>300843</v>
      </c>
      <c r="C80" s="24" t="str">
        <f t="shared" si="1"/>
        <v>'300843.SZ'</v>
      </c>
      <c r="D80" s="24" t="s">
        <v>3461</v>
      </c>
      <c r="E80" s="24" t="s">
        <v>3327</v>
      </c>
      <c r="F80" s="24">
        <v>2.7957999999999998</v>
      </c>
      <c r="G80" s="24">
        <v>2797322509.3000002</v>
      </c>
      <c r="H80" s="24">
        <v>2.7004999999999999</v>
      </c>
      <c r="I80" s="24">
        <v>2.4011</v>
      </c>
      <c r="J80" s="24">
        <v>0.98550000000000004</v>
      </c>
      <c r="K80" s="24">
        <v>96</v>
      </c>
      <c r="L80" s="24" t="s">
        <v>3462</v>
      </c>
    </row>
    <row r="81" spans="1:12" x14ac:dyDescent="0.35">
      <c r="A81" s="24" t="s">
        <v>3246</v>
      </c>
      <c r="B81" s="24" t="str">
        <f>"603160"</f>
        <v>603160</v>
      </c>
      <c r="C81" s="24" t="str">
        <f t="shared" si="1"/>
        <v>'603160.SS'</v>
      </c>
      <c r="D81" s="24" t="s">
        <v>3463</v>
      </c>
      <c r="E81" s="24" t="s">
        <v>3389</v>
      </c>
      <c r="F81" s="24">
        <v>2.7930000000000001</v>
      </c>
      <c r="G81" s="24">
        <v>23668701199.470001</v>
      </c>
      <c r="H81" s="24">
        <v>3.915</v>
      </c>
      <c r="I81" s="24">
        <v>2.5842000000000001</v>
      </c>
      <c r="J81" s="24">
        <v>1.8331</v>
      </c>
      <c r="K81" s="24">
        <v>2246</v>
      </c>
      <c r="L81" s="24" t="s">
        <v>3464</v>
      </c>
    </row>
    <row r="82" spans="1:12" x14ac:dyDescent="0.35">
      <c r="A82" s="24" t="s">
        <v>3246</v>
      </c>
      <c r="B82" s="24" t="str">
        <f>"688020"</f>
        <v>688020</v>
      </c>
      <c r="C82" s="24" t="str">
        <f t="shared" si="1"/>
        <v>'688020.SS'</v>
      </c>
      <c r="D82" s="24" t="s">
        <v>3465</v>
      </c>
      <c r="E82" s="24" t="s">
        <v>3466</v>
      </c>
      <c r="F82" s="24">
        <v>2.7860999999999998</v>
      </c>
      <c r="G82" s="24">
        <v>4361846990</v>
      </c>
      <c r="H82" s="24">
        <v>3.2707000000000002</v>
      </c>
      <c r="I82" s="24">
        <v>3.1263000000000001</v>
      </c>
      <c r="J82" s="24">
        <v>1.3391</v>
      </c>
      <c r="K82" s="24">
        <v>259</v>
      </c>
      <c r="L82" s="24" t="s">
        <v>3467</v>
      </c>
    </row>
    <row r="83" spans="1:12" x14ac:dyDescent="0.35">
      <c r="A83" s="24" t="s">
        <v>3246</v>
      </c>
      <c r="B83" s="24" t="str">
        <f>"688058"</f>
        <v>688058</v>
      </c>
      <c r="C83" s="24" t="str">
        <f t="shared" si="1"/>
        <v>'688058.SS'</v>
      </c>
      <c r="D83" s="24" t="s">
        <v>3468</v>
      </c>
      <c r="E83" s="24" t="s">
        <v>3285</v>
      </c>
      <c r="F83" s="24">
        <v>2.7852000000000001</v>
      </c>
      <c r="G83" s="24">
        <v>2401280000</v>
      </c>
      <c r="H83" s="24">
        <v>25.284600000000001</v>
      </c>
      <c r="I83" s="24">
        <v>24.5488</v>
      </c>
      <c r="J83" s="24">
        <v>14.0776</v>
      </c>
      <c r="K83" s="24">
        <v>97</v>
      </c>
      <c r="L83" s="24" t="s">
        <v>3469</v>
      </c>
    </row>
    <row r="84" spans="1:12" x14ac:dyDescent="0.35">
      <c r="A84" s="24" t="s">
        <v>3242</v>
      </c>
      <c r="B84" s="24" t="str">
        <f>"301023"</f>
        <v>301023</v>
      </c>
      <c r="C84" s="24" t="str">
        <f t="shared" si="1"/>
        <v>'301023.SZ'</v>
      </c>
      <c r="D84" s="24" t="s">
        <v>3470</v>
      </c>
      <c r="E84" s="24" t="s">
        <v>3288</v>
      </c>
      <c r="F84" s="24">
        <v>2.7839999999999998</v>
      </c>
      <c r="G84" s="24">
        <v>2329610400</v>
      </c>
      <c r="H84" s="24">
        <v>10.3627</v>
      </c>
      <c r="I84" s="24">
        <v>10.1273</v>
      </c>
      <c r="J84" s="24">
        <v>3.2877999999999998</v>
      </c>
      <c r="K84" s="24">
        <v>25</v>
      </c>
      <c r="L84" s="24" t="s">
        <v>3471</v>
      </c>
    </row>
    <row r="85" spans="1:12" x14ac:dyDescent="0.35">
      <c r="A85" s="24" t="s">
        <v>3242</v>
      </c>
      <c r="B85" s="24" t="str">
        <f>"002884"</f>
        <v>002884</v>
      </c>
      <c r="C85" s="24" t="str">
        <f t="shared" si="1"/>
        <v>'002884.SZ'</v>
      </c>
      <c r="D85" s="24" t="s">
        <v>3472</v>
      </c>
      <c r="E85" s="24" t="s">
        <v>3473</v>
      </c>
      <c r="F85" s="24">
        <v>2.7837000000000001</v>
      </c>
      <c r="G85" s="24">
        <v>5908915048.6800003</v>
      </c>
      <c r="H85" s="24">
        <v>21.051200000000001</v>
      </c>
      <c r="I85" s="24">
        <v>17.3489</v>
      </c>
      <c r="J85" s="24">
        <v>11.6449</v>
      </c>
      <c r="K85" s="24">
        <v>1174</v>
      </c>
      <c r="L85" s="24" t="s">
        <v>3474</v>
      </c>
    </row>
    <row r="86" spans="1:12" x14ac:dyDescent="0.35">
      <c r="A86" s="24" t="s">
        <v>3242</v>
      </c>
      <c r="B86" s="24" t="str">
        <f>"300445"</f>
        <v>300445</v>
      </c>
      <c r="C86" s="24" t="str">
        <f t="shared" si="1"/>
        <v>'300445.SZ'</v>
      </c>
      <c r="D86" s="24" t="s">
        <v>3475</v>
      </c>
      <c r="E86" s="24" t="s">
        <v>3476</v>
      </c>
      <c r="F86" s="24">
        <v>2.7816000000000001</v>
      </c>
      <c r="G86" s="24">
        <v>2733974267.3099999</v>
      </c>
      <c r="H86" s="24">
        <v>5.6734</v>
      </c>
      <c r="I86" s="24">
        <v>4.1534000000000004</v>
      </c>
      <c r="J86" s="24">
        <v>1.9252</v>
      </c>
      <c r="K86" s="24">
        <v>170</v>
      </c>
      <c r="L86" s="24" t="s">
        <v>3477</v>
      </c>
    </row>
    <row r="87" spans="1:12" x14ac:dyDescent="0.35">
      <c r="A87" s="24" t="s">
        <v>3242</v>
      </c>
      <c r="B87" s="24" t="str">
        <f>"300570"</f>
        <v>300570</v>
      </c>
      <c r="C87" s="24" t="str">
        <f t="shared" si="1"/>
        <v>'300570.SZ'</v>
      </c>
      <c r="D87" s="24" t="s">
        <v>3478</v>
      </c>
      <c r="E87" s="24" t="s">
        <v>3314</v>
      </c>
      <c r="F87" s="24">
        <v>2.7795000000000001</v>
      </c>
      <c r="G87" s="24">
        <v>3541950720</v>
      </c>
      <c r="H87" s="24">
        <v>5.1878000000000002</v>
      </c>
      <c r="I87" s="24">
        <v>4.2106000000000003</v>
      </c>
      <c r="J87" s="24">
        <v>1.9611000000000001</v>
      </c>
      <c r="K87" s="24">
        <v>241</v>
      </c>
      <c r="L87" s="24" t="s">
        <v>3479</v>
      </c>
    </row>
    <row r="88" spans="1:12" x14ac:dyDescent="0.35">
      <c r="A88" s="24" t="s">
        <v>3242</v>
      </c>
      <c r="B88" s="24" t="str">
        <f>"300494"</f>
        <v>300494</v>
      </c>
      <c r="C88" s="24" t="str">
        <f t="shared" si="1"/>
        <v>'300494.SZ'</v>
      </c>
      <c r="D88" s="24" t="s">
        <v>3480</v>
      </c>
      <c r="E88" s="24" t="s">
        <v>3481</v>
      </c>
      <c r="F88" s="24">
        <v>2.7759</v>
      </c>
      <c r="G88" s="24">
        <v>4172783585.2800002</v>
      </c>
      <c r="H88" s="24">
        <v>3.5398000000000001</v>
      </c>
      <c r="I88" s="24">
        <v>3.37</v>
      </c>
      <c r="J88" s="24">
        <v>1.9793000000000001</v>
      </c>
      <c r="K88" s="24">
        <v>145</v>
      </c>
      <c r="L88" s="24" t="s">
        <v>3482</v>
      </c>
    </row>
    <row r="89" spans="1:12" x14ac:dyDescent="0.35">
      <c r="A89" s="24" t="s">
        <v>3246</v>
      </c>
      <c r="B89" s="24" t="str">
        <f>"605077"</f>
        <v>605077</v>
      </c>
      <c r="C89" s="24" t="str">
        <f t="shared" si="1"/>
        <v>'605077.SS'</v>
      </c>
      <c r="D89" s="24" t="s">
        <v>3483</v>
      </c>
      <c r="E89" s="24" t="s">
        <v>3419</v>
      </c>
      <c r="F89" s="24">
        <v>2.7631999999999999</v>
      </c>
      <c r="G89" s="24">
        <v>7159861184</v>
      </c>
      <c r="H89" s="24">
        <v>2.6814</v>
      </c>
      <c r="I89" s="24">
        <v>2.2124999999999999</v>
      </c>
      <c r="J89" s="24">
        <v>1.5304</v>
      </c>
      <c r="K89" s="24">
        <v>106</v>
      </c>
      <c r="L89" s="24" t="s">
        <v>3484</v>
      </c>
    </row>
    <row r="90" spans="1:12" x14ac:dyDescent="0.35">
      <c r="A90" s="24" t="s">
        <v>3246</v>
      </c>
      <c r="B90" s="24" t="str">
        <f>"688169"</f>
        <v>688169</v>
      </c>
      <c r="C90" s="24" t="str">
        <f t="shared" si="1"/>
        <v>'688169.SS'</v>
      </c>
      <c r="D90" s="24" t="s">
        <v>3485</v>
      </c>
      <c r="E90" s="24" t="s">
        <v>3486</v>
      </c>
      <c r="F90" s="24">
        <v>2.7612999999999999</v>
      </c>
      <c r="G90" s="24">
        <v>25386680271.360001</v>
      </c>
      <c r="H90" s="24">
        <v>4.8338000000000001</v>
      </c>
      <c r="I90" s="24">
        <v>4.0307000000000004</v>
      </c>
      <c r="J90" s="24">
        <v>1.1180000000000001</v>
      </c>
      <c r="K90" s="24">
        <v>816</v>
      </c>
      <c r="L90" s="24" t="s">
        <v>3487</v>
      </c>
    </row>
    <row r="91" spans="1:12" x14ac:dyDescent="0.35">
      <c r="A91" s="24" t="s">
        <v>3242</v>
      </c>
      <c r="B91" s="24" t="str">
        <f>"002497"</f>
        <v>002497</v>
      </c>
      <c r="C91" s="24" t="str">
        <f t="shared" si="1"/>
        <v>'002497.SZ'</v>
      </c>
      <c r="D91" s="24" t="s">
        <v>3488</v>
      </c>
      <c r="E91" s="24" t="s">
        <v>3489</v>
      </c>
      <c r="F91" s="24">
        <v>2.7583000000000002</v>
      </c>
      <c r="G91" s="24">
        <v>28180153614</v>
      </c>
      <c r="H91" s="24">
        <v>3.1377999999999999</v>
      </c>
      <c r="I91" s="24">
        <v>2.2075</v>
      </c>
      <c r="J91" s="24">
        <v>0.94569999999999999</v>
      </c>
      <c r="K91" s="24">
        <v>537</v>
      </c>
      <c r="L91" s="24" t="s">
        <v>3490</v>
      </c>
    </row>
    <row r="92" spans="1:12" x14ac:dyDescent="0.35">
      <c r="A92" s="24" t="s">
        <v>3242</v>
      </c>
      <c r="B92" s="24" t="str">
        <f>"002749"</f>
        <v>002749</v>
      </c>
      <c r="C92" s="24" t="str">
        <f t="shared" si="1"/>
        <v>'002749.SZ'</v>
      </c>
      <c r="D92" s="24" t="s">
        <v>3491</v>
      </c>
      <c r="E92" s="24" t="s">
        <v>3492</v>
      </c>
      <c r="F92" s="24">
        <v>2.7578999999999998</v>
      </c>
      <c r="G92" s="24">
        <v>3936581750.3200002</v>
      </c>
      <c r="H92" s="24">
        <v>4.9284999999999997</v>
      </c>
      <c r="I92" s="24">
        <v>3.4860000000000002</v>
      </c>
      <c r="J92" s="24">
        <v>2.9571999999999998</v>
      </c>
      <c r="K92" s="24">
        <v>9767</v>
      </c>
      <c r="L92" s="24" t="s">
        <v>3493</v>
      </c>
    </row>
    <row r="93" spans="1:12" x14ac:dyDescent="0.35">
      <c r="A93" s="24" t="s">
        <v>3246</v>
      </c>
      <c r="B93" s="24" t="str">
        <f>"688061"</f>
        <v>688061</v>
      </c>
      <c r="C93" s="24" t="str">
        <f t="shared" si="1"/>
        <v>'688061.SS'</v>
      </c>
      <c r="D93" s="24" t="s">
        <v>3494</v>
      </c>
      <c r="E93" s="24" t="s">
        <v>3389</v>
      </c>
      <c r="F93" s="24">
        <v>2.7532000000000001</v>
      </c>
      <c r="G93" s="24">
        <v>7587326241.6000004</v>
      </c>
      <c r="H93" s="24">
        <v>4.6455000000000002</v>
      </c>
      <c r="I93" s="24">
        <v>3.4603999999999999</v>
      </c>
      <c r="J93" s="24">
        <v>0.84199999999999997</v>
      </c>
      <c r="K93" s="24">
        <v>11</v>
      </c>
      <c r="L93" s="24" t="s">
        <v>3495</v>
      </c>
    </row>
    <row r="94" spans="1:12" x14ac:dyDescent="0.35">
      <c r="A94" s="24" t="s">
        <v>3242</v>
      </c>
      <c r="B94" s="24" t="str">
        <f>"002651"</f>
        <v>002651</v>
      </c>
      <c r="C94" s="24" t="str">
        <f t="shared" si="1"/>
        <v>'002651.SZ'</v>
      </c>
      <c r="D94" s="24" t="s">
        <v>3496</v>
      </c>
      <c r="E94" s="24" t="s">
        <v>3497</v>
      </c>
      <c r="F94" s="24">
        <v>2.7473000000000001</v>
      </c>
      <c r="G94" s="24">
        <v>6903512800</v>
      </c>
      <c r="H94" s="24">
        <v>3.0051999999999999</v>
      </c>
      <c r="I94" s="24">
        <v>1.948</v>
      </c>
      <c r="J94" s="24">
        <v>1.5245</v>
      </c>
      <c r="K94" s="24">
        <v>132</v>
      </c>
      <c r="L94" s="24" t="s">
        <v>3498</v>
      </c>
    </row>
    <row r="95" spans="1:12" x14ac:dyDescent="0.35">
      <c r="A95" s="24" t="s">
        <v>3246</v>
      </c>
      <c r="B95" s="24" t="str">
        <f>"688076"</f>
        <v>688076</v>
      </c>
      <c r="C95" s="24" t="str">
        <f t="shared" si="1"/>
        <v>'688076.SS'</v>
      </c>
      <c r="D95" s="24" t="s">
        <v>3499</v>
      </c>
      <c r="E95" s="24" t="s">
        <v>3500</v>
      </c>
      <c r="F95" s="24">
        <v>2.7465999999999999</v>
      </c>
      <c r="G95" s="24">
        <v>5037533194</v>
      </c>
      <c r="H95" s="24">
        <v>2.1088</v>
      </c>
      <c r="I95" s="24">
        <v>1.4068000000000001</v>
      </c>
      <c r="J95" s="24">
        <v>0.88729999999999998</v>
      </c>
      <c r="K95" s="24">
        <v>55</v>
      </c>
      <c r="L95" s="24" t="s">
        <v>3501</v>
      </c>
    </row>
    <row r="96" spans="1:12" x14ac:dyDescent="0.35">
      <c r="A96" s="24" t="s">
        <v>3242</v>
      </c>
      <c r="B96" s="24" t="str">
        <f>"002486"</f>
        <v>002486</v>
      </c>
      <c r="C96" s="24" t="str">
        <f t="shared" si="1"/>
        <v>'002486.SZ'</v>
      </c>
      <c r="D96" s="24" t="s">
        <v>3502</v>
      </c>
      <c r="E96" s="24" t="s">
        <v>3357</v>
      </c>
      <c r="F96" s="24">
        <v>2.7462</v>
      </c>
      <c r="G96" s="24">
        <v>2803840000</v>
      </c>
      <c r="H96" s="24">
        <v>2.9276</v>
      </c>
      <c r="I96" s="24">
        <v>1.6313</v>
      </c>
      <c r="J96" s="24">
        <v>0.84450000000000003</v>
      </c>
      <c r="K96" s="24">
        <v>92</v>
      </c>
      <c r="L96" s="24" t="s">
        <v>3503</v>
      </c>
    </row>
    <row r="97" spans="1:12" x14ac:dyDescent="0.35">
      <c r="A97" s="24" t="s">
        <v>3242</v>
      </c>
      <c r="B97" s="24" t="str">
        <f>"300654"</f>
        <v>300654</v>
      </c>
      <c r="C97" s="24" t="str">
        <f t="shared" si="1"/>
        <v>'300654.SZ'</v>
      </c>
      <c r="D97" s="24" t="s">
        <v>3504</v>
      </c>
      <c r="E97" s="24" t="s">
        <v>3505</v>
      </c>
      <c r="F97" s="24">
        <v>2.7448000000000001</v>
      </c>
      <c r="G97" s="24">
        <v>2099686997.8</v>
      </c>
      <c r="H97" s="24">
        <v>2.9098999999999999</v>
      </c>
      <c r="I97" s="24">
        <v>2.7433000000000001</v>
      </c>
      <c r="J97" s="24">
        <v>0.95140000000000002</v>
      </c>
      <c r="K97" s="24">
        <v>77</v>
      </c>
      <c r="L97" s="24" t="s">
        <v>3506</v>
      </c>
    </row>
    <row r="98" spans="1:12" x14ac:dyDescent="0.35">
      <c r="A98" s="24" t="s">
        <v>3246</v>
      </c>
      <c r="B98" s="24" t="str">
        <f>"688689"</f>
        <v>688689</v>
      </c>
      <c r="C98" s="24" t="str">
        <f t="shared" si="1"/>
        <v>'688689.SS'</v>
      </c>
      <c r="D98" s="24" t="s">
        <v>3507</v>
      </c>
      <c r="E98" s="24" t="s">
        <v>3508</v>
      </c>
      <c r="F98" s="24">
        <v>2.7437</v>
      </c>
      <c r="G98" s="24">
        <v>3043210950</v>
      </c>
      <c r="H98" s="24">
        <v>6.1264000000000003</v>
      </c>
      <c r="I98" s="24">
        <v>5.4341999999999997</v>
      </c>
      <c r="J98" s="24">
        <v>1.3980999999999999</v>
      </c>
      <c r="K98" s="24">
        <v>65</v>
      </c>
      <c r="L98" s="24" t="s">
        <v>3509</v>
      </c>
    </row>
    <row r="99" spans="1:12" x14ac:dyDescent="0.35">
      <c r="A99" s="24" t="s">
        <v>3246</v>
      </c>
      <c r="B99" s="24" t="str">
        <f>"600749"</f>
        <v>600749</v>
      </c>
      <c r="C99" s="24" t="str">
        <f t="shared" si="1"/>
        <v>'600749.SS'</v>
      </c>
      <c r="D99" s="24" t="s">
        <v>3510</v>
      </c>
      <c r="E99" s="24" t="s">
        <v>3397</v>
      </c>
      <c r="F99" s="24">
        <v>2.7427999999999999</v>
      </c>
      <c r="G99" s="24">
        <v>2766709652.23</v>
      </c>
      <c r="H99" s="24">
        <v>3.3174000000000001</v>
      </c>
      <c r="I99" s="24">
        <v>3.2509999999999999</v>
      </c>
      <c r="J99" s="24">
        <v>2.3412999999999999</v>
      </c>
      <c r="K99" s="24">
        <v>115</v>
      </c>
      <c r="L99" s="24" t="s">
        <v>3511</v>
      </c>
    </row>
    <row r="100" spans="1:12" x14ac:dyDescent="0.35">
      <c r="A100" s="24" t="s">
        <v>3242</v>
      </c>
      <c r="B100" s="24" t="str">
        <f>"300502"</f>
        <v>300502</v>
      </c>
      <c r="C100" s="24" t="str">
        <f t="shared" si="1"/>
        <v>'300502.SZ'</v>
      </c>
      <c r="D100" s="24" t="s">
        <v>3512</v>
      </c>
      <c r="E100" s="24" t="s">
        <v>3314</v>
      </c>
      <c r="F100" s="24">
        <v>2.7410999999999999</v>
      </c>
      <c r="G100" s="24">
        <v>12788714443.18</v>
      </c>
      <c r="H100" s="24">
        <v>4.5095999999999998</v>
      </c>
      <c r="I100" s="24">
        <v>2.7484000000000002</v>
      </c>
      <c r="J100" s="24">
        <v>1.8241000000000001</v>
      </c>
      <c r="K100" s="24">
        <v>664</v>
      </c>
      <c r="L100" s="24" t="s">
        <v>3513</v>
      </c>
    </row>
    <row r="101" spans="1:12" x14ac:dyDescent="0.35">
      <c r="A101" s="24" t="s">
        <v>3242</v>
      </c>
      <c r="B101" s="24" t="str">
        <f>"002136"</f>
        <v>002136</v>
      </c>
      <c r="C101" s="24" t="str">
        <f t="shared" si="1"/>
        <v>'002136.SZ'</v>
      </c>
      <c r="D101" s="24" t="s">
        <v>3514</v>
      </c>
      <c r="E101" s="24" t="s">
        <v>3440</v>
      </c>
      <c r="F101" s="24">
        <v>2.7410999999999999</v>
      </c>
      <c r="G101" s="24">
        <v>2988778000</v>
      </c>
      <c r="H101" s="24">
        <v>2.0247999999999999</v>
      </c>
      <c r="I101" s="24">
        <v>1.6564000000000001</v>
      </c>
      <c r="J101" s="24">
        <v>0.84160000000000001</v>
      </c>
      <c r="K101" s="24">
        <v>142</v>
      </c>
      <c r="L101" s="24" t="s">
        <v>3515</v>
      </c>
    </row>
    <row r="102" spans="1:12" x14ac:dyDescent="0.35">
      <c r="A102" s="24" t="s">
        <v>3242</v>
      </c>
      <c r="B102" s="24" t="str">
        <f>"301298"</f>
        <v>301298</v>
      </c>
      <c r="C102" s="24" t="str">
        <f t="shared" si="1"/>
        <v>'301298.SZ'</v>
      </c>
      <c r="D102" s="24" t="s">
        <v>3516</v>
      </c>
      <c r="E102" s="24" t="s">
        <v>3299</v>
      </c>
      <c r="F102" s="24">
        <v>2.7406999999999999</v>
      </c>
      <c r="G102" s="24">
        <v>2290080000</v>
      </c>
      <c r="H102" s="24">
        <v>3.6419999999999999</v>
      </c>
      <c r="I102" s="24">
        <v>2.8666999999999998</v>
      </c>
      <c r="J102" s="24">
        <v>0.83660000000000001</v>
      </c>
      <c r="K102" s="24">
        <v>6</v>
      </c>
      <c r="L102" s="24" t="s">
        <v>3517</v>
      </c>
    </row>
    <row r="103" spans="1:12" x14ac:dyDescent="0.35">
      <c r="A103" s="24" t="s">
        <v>3242</v>
      </c>
      <c r="B103" s="24" t="str">
        <f>"301102"</f>
        <v>301102</v>
      </c>
      <c r="C103" s="24" t="str">
        <f t="shared" si="1"/>
        <v>'301102.SZ'</v>
      </c>
      <c r="D103" s="24" t="s">
        <v>3518</v>
      </c>
      <c r="E103" s="24" t="s">
        <v>3519</v>
      </c>
      <c r="F103" s="24">
        <v>2.7404999999999999</v>
      </c>
      <c r="G103" s="24">
        <v>7806000000</v>
      </c>
      <c r="H103" s="24">
        <v>12.0063</v>
      </c>
      <c r="I103" s="24">
        <v>11.991</v>
      </c>
      <c r="J103" s="24">
        <v>10.5169</v>
      </c>
      <c r="K103" s="24">
        <v>19</v>
      </c>
      <c r="L103" s="24" t="s">
        <v>3520</v>
      </c>
    </row>
    <row r="104" spans="1:12" x14ac:dyDescent="0.35">
      <c r="A104" s="24" t="s">
        <v>3242</v>
      </c>
      <c r="B104" s="24" t="str">
        <f>"300351"</f>
        <v>300351</v>
      </c>
      <c r="C104" s="24" t="str">
        <f t="shared" si="1"/>
        <v>'300351.SZ'</v>
      </c>
      <c r="D104" s="24" t="s">
        <v>3521</v>
      </c>
      <c r="E104" s="24" t="s">
        <v>3522</v>
      </c>
      <c r="F104" s="24">
        <v>2.7403</v>
      </c>
      <c r="G104" s="24">
        <v>6116370289.1599998</v>
      </c>
      <c r="H104" s="24">
        <v>3.7406000000000001</v>
      </c>
      <c r="I104" s="24">
        <v>2.8714</v>
      </c>
      <c r="J104" s="24">
        <v>1.2262</v>
      </c>
      <c r="K104" s="24">
        <v>246</v>
      </c>
      <c r="L104" s="24" t="s">
        <v>3523</v>
      </c>
    </row>
    <row r="105" spans="1:12" x14ac:dyDescent="0.35">
      <c r="A105" s="24" t="s">
        <v>3242</v>
      </c>
      <c r="B105" s="24" t="str">
        <f>"300451"</f>
        <v>300451</v>
      </c>
      <c r="C105" s="24" t="str">
        <f t="shared" si="1"/>
        <v>'300451.SZ'</v>
      </c>
      <c r="D105" s="24" t="s">
        <v>3524</v>
      </c>
      <c r="E105" s="24" t="s">
        <v>3368</v>
      </c>
      <c r="F105" s="24">
        <v>2.7244999999999999</v>
      </c>
      <c r="G105" s="24">
        <v>12797509511.92</v>
      </c>
      <c r="H105" s="24">
        <v>3.0026999999999999</v>
      </c>
      <c r="I105" s="24">
        <v>2.5749</v>
      </c>
      <c r="J105" s="24">
        <v>1.1279999999999999</v>
      </c>
      <c r="K105" s="24">
        <v>367</v>
      </c>
      <c r="L105" s="24" t="s">
        <v>3525</v>
      </c>
    </row>
    <row r="106" spans="1:12" x14ac:dyDescent="0.35">
      <c r="A106" s="24" t="s">
        <v>3242</v>
      </c>
      <c r="B106" s="24" t="str">
        <f>"002695"</f>
        <v>002695</v>
      </c>
      <c r="C106" s="24" t="str">
        <f t="shared" si="1"/>
        <v>'002695.SZ'</v>
      </c>
      <c r="D106" s="24" t="s">
        <v>3526</v>
      </c>
      <c r="E106" s="24" t="s">
        <v>3527</v>
      </c>
      <c r="F106" s="24">
        <v>2.7227999999999999</v>
      </c>
      <c r="G106" s="24">
        <v>6475525391.3599997</v>
      </c>
      <c r="H106" s="24">
        <v>4.3136000000000001</v>
      </c>
      <c r="I106" s="24">
        <v>3.0893999999999999</v>
      </c>
      <c r="J106" s="24">
        <v>2.2290999999999999</v>
      </c>
      <c r="K106" s="24">
        <v>637</v>
      </c>
      <c r="L106" s="24" t="s">
        <v>3528</v>
      </c>
    </row>
    <row r="107" spans="1:12" x14ac:dyDescent="0.35">
      <c r="A107" s="24" t="s">
        <v>3246</v>
      </c>
      <c r="B107" s="24" t="str">
        <f>"600602"</f>
        <v>600602</v>
      </c>
      <c r="C107" s="24" t="str">
        <f t="shared" si="1"/>
        <v>'600602.SS'</v>
      </c>
      <c r="D107" s="24" t="s">
        <v>3529</v>
      </c>
      <c r="E107" s="24" t="s">
        <v>3368</v>
      </c>
      <c r="F107" s="24">
        <v>2.7210000000000001</v>
      </c>
      <c r="G107" s="24">
        <v>12295384360.450001</v>
      </c>
      <c r="H107" s="24">
        <v>3.3016000000000001</v>
      </c>
      <c r="I107" s="24">
        <v>2.6478999999999999</v>
      </c>
      <c r="J107" s="24">
        <v>2.004</v>
      </c>
      <c r="K107" s="24">
        <v>156</v>
      </c>
      <c r="L107" s="24" t="s">
        <v>3530</v>
      </c>
    </row>
    <row r="108" spans="1:12" x14ac:dyDescent="0.35">
      <c r="A108" s="24" t="s">
        <v>3242</v>
      </c>
      <c r="B108" s="24" t="str">
        <f>"301138"</f>
        <v>301138</v>
      </c>
      <c r="C108" s="24" t="str">
        <f t="shared" si="1"/>
        <v>'301138.SZ'</v>
      </c>
      <c r="D108" s="24" t="s">
        <v>3531</v>
      </c>
      <c r="E108" s="24" t="s">
        <v>3532</v>
      </c>
      <c r="F108" s="24">
        <v>2.72</v>
      </c>
      <c r="G108" s="24">
        <v>2955600000</v>
      </c>
      <c r="H108" s="24">
        <v>4.0952999999999999</v>
      </c>
      <c r="I108" s="24">
        <v>2.8513000000000002</v>
      </c>
      <c r="J108" s="24">
        <v>2.496</v>
      </c>
      <c r="K108" s="24">
        <v>22</v>
      </c>
      <c r="L108" s="24" t="s">
        <v>3533</v>
      </c>
    </row>
    <row r="109" spans="1:12" x14ac:dyDescent="0.35">
      <c r="A109" s="24" t="s">
        <v>3242</v>
      </c>
      <c r="B109" s="24" t="str">
        <f>"002362"</f>
        <v>002362</v>
      </c>
      <c r="C109" s="24" t="str">
        <f t="shared" si="1"/>
        <v>'002362.SZ'</v>
      </c>
      <c r="D109" s="24" t="s">
        <v>3534</v>
      </c>
      <c r="E109" s="24" t="s">
        <v>3368</v>
      </c>
      <c r="F109" s="24">
        <v>2.7174</v>
      </c>
      <c r="G109" s="24">
        <v>4033501659</v>
      </c>
      <c r="H109" s="24">
        <v>4.6612</v>
      </c>
      <c r="I109" s="24">
        <v>2.9977999999999998</v>
      </c>
      <c r="J109" s="24">
        <v>0.96240000000000003</v>
      </c>
      <c r="K109" s="24">
        <v>207</v>
      </c>
      <c r="L109" s="24" t="s">
        <v>3535</v>
      </c>
    </row>
    <row r="110" spans="1:12" x14ac:dyDescent="0.35">
      <c r="A110" s="24" t="s">
        <v>3246</v>
      </c>
      <c r="B110" s="24" t="str">
        <f>"688410"</f>
        <v>688410</v>
      </c>
      <c r="C110" s="24" t="str">
        <f t="shared" si="1"/>
        <v>'688410.SS'</v>
      </c>
      <c r="D110" s="24" t="s">
        <v>3536</v>
      </c>
      <c r="E110" s="24" t="s">
        <v>3443</v>
      </c>
      <c r="F110" s="24">
        <v>2.7162999999999999</v>
      </c>
      <c r="G110" s="24">
        <v>4321645533.7399998</v>
      </c>
      <c r="H110" s="24">
        <v>4.0570000000000004</v>
      </c>
      <c r="I110" s="24">
        <v>3.1465000000000001</v>
      </c>
      <c r="J110" s="24">
        <v>1.1698</v>
      </c>
      <c r="L110" s="24" t="s">
        <v>3537</v>
      </c>
    </row>
    <row r="111" spans="1:12" x14ac:dyDescent="0.35">
      <c r="A111" s="24" t="s">
        <v>3246</v>
      </c>
      <c r="B111" s="24" t="str">
        <f>"600241"</f>
        <v>600241</v>
      </c>
      <c r="C111" s="24" t="str">
        <f t="shared" si="1"/>
        <v>'600241.SS'</v>
      </c>
      <c r="D111" s="24" t="s">
        <v>3538</v>
      </c>
      <c r="E111" s="24" t="s">
        <v>3539</v>
      </c>
      <c r="F111" s="24">
        <v>2.7149999999999999</v>
      </c>
      <c r="G111" s="24">
        <v>2869445621.25</v>
      </c>
      <c r="H111" s="24">
        <v>1.9578</v>
      </c>
      <c r="I111" s="24">
        <v>1.4508000000000001</v>
      </c>
      <c r="J111" s="24">
        <v>1.0556000000000001</v>
      </c>
      <c r="K111" s="24">
        <v>53</v>
      </c>
      <c r="L111" s="24" t="s">
        <v>3540</v>
      </c>
    </row>
    <row r="112" spans="1:12" x14ac:dyDescent="0.35">
      <c r="A112" s="24" t="s">
        <v>3246</v>
      </c>
      <c r="B112" s="24" t="str">
        <f>"605305"</f>
        <v>605305</v>
      </c>
      <c r="C112" s="24" t="str">
        <f t="shared" si="1"/>
        <v>'605305.SS'</v>
      </c>
      <c r="D112" s="24" t="s">
        <v>3541</v>
      </c>
      <c r="E112" s="24" t="s">
        <v>3542</v>
      </c>
      <c r="F112" s="24">
        <v>2.7027999999999999</v>
      </c>
      <c r="G112" s="24">
        <v>5792688000</v>
      </c>
      <c r="H112" s="24">
        <v>7.5509000000000004</v>
      </c>
      <c r="I112" s="24">
        <v>6.8556999999999997</v>
      </c>
      <c r="J112" s="24">
        <v>2.8551000000000002</v>
      </c>
      <c r="K112" s="24">
        <v>91</v>
      </c>
      <c r="L112" s="24" t="s">
        <v>3543</v>
      </c>
    </row>
    <row r="113" spans="1:12" x14ac:dyDescent="0.35">
      <c r="A113" s="24" t="s">
        <v>3242</v>
      </c>
      <c r="B113" s="24" t="str">
        <f>"301285"</f>
        <v>301285</v>
      </c>
      <c r="C113" s="24" t="str">
        <f t="shared" si="1"/>
        <v>'301285.SZ'</v>
      </c>
      <c r="D113" s="24" t="s">
        <v>3544</v>
      </c>
      <c r="F113" s="24">
        <v>2.7016</v>
      </c>
      <c r="G113" s="24">
        <v>2812778700</v>
      </c>
      <c r="H113" s="24">
        <v>2.1753999999999998</v>
      </c>
      <c r="I113" s="24">
        <v>1.7925</v>
      </c>
      <c r="J113" s="24">
        <v>1.3233999999999999</v>
      </c>
      <c r="K113" s="24">
        <v>2</v>
      </c>
      <c r="L113" s="24" t="s">
        <v>3545</v>
      </c>
    </row>
    <row r="114" spans="1:12" x14ac:dyDescent="0.35">
      <c r="A114" s="24" t="s">
        <v>3246</v>
      </c>
      <c r="B114" s="24" t="str">
        <f>"688033"</f>
        <v>688033</v>
      </c>
      <c r="C114" s="24" t="str">
        <f t="shared" si="1"/>
        <v>'688033.SS'</v>
      </c>
      <c r="D114" s="24" t="s">
        <v>3546</v>
      </c>
      <c r="E114" s="24" t="s">
        <v>3522</v>
      </c>
      <c r="F114" s="24">
        <v>2.6998000000000002</v>
      </c>
      <c r="G114" s="24">
        <v>13557049178.4</v>
      </c>
      <c r="H114" s="24">
        <v>4.2610999999999999</v>
      </c>
      <c r="I114" s="24">
        <v>3.8877999999999999</v>
      </c>
      <c r="J114" s="24">
        <v>2.7081</v>
      </c>
      <c r="K114" s="24">
        <v>103</v>
      </c>
      <c r="L114" s="24" t="s">
        <v>3547</v>
      </c>
    </row>
    <row r="115" spans="1:12" x14ac:dyDescent="0.35">
      <c r="A115" s="24" t="s">
        <v>3242</v>
      </c>
      <c r="B115" s="24" t="str">
        <f>"000935"</f>
        <v>000935</v>
      </c>
      <c r="C115" s="24" t="str">
        <f t="shared" si="1"/>
        <v>'000935.SZ'</v>
      </c>
      <c r="D115" s="24" t="s">
        <v>3548</v>
      </c>
      <c r="E115" s="24" t="s">
        <v>3549</v>
      </c>
      <c r="F115" s="24">
        <v>2.6985000000000001</v>
      </c>
      <c r="G115" s="24">
        <v>17368267575.75</v>
      </c>
      <c r="H115" s="24">
        <v>2.3632</v>
      </c>
      <c r="I115" s="24">
        <v>2.1482999999999999</v>
      </c>
      <c r="J115" s="24">
        <v>1.6008</v>
      </c>
      <c r="K115" s="24">
        <v>258</v>
      </c>
      <c r="L115" s="24" t="s">
        <v>3550</v>
      </c>
    </row>
    <row r="116" spans="1:12" x14ac:dyDescent="0.35">
      <c r="A116" s="24" t="s">
        <v>3246</v>
      </c>
      <c r="B116" s="24" t="str">
        <f>"688310"</f>
        <v>688310</v>
      </c>
      <c r="C116" s="24" t="str">
        <f t="shared" si="1"/>
        <v>'688310.SS'</v>
      </c>
      <c r="D116" s="24" t="s">
        <v>3551</v>
      </c>
      <c r="E116" s="24" t="s">
        <v>3552</v>
      </c>
      <c r="F116" s="24">
        <v>2.6983000000000001</v>
      </c>
      <c r="G116" s="24">
        <v>2064808974.98</v>
      </c>
      <c r="H116" s="24">
        <v>3.2115</v>
      </c>
      <c r="I116" s="24">
        <v>2.3698000000000001</v>
      </c>
      <c r="J116" s="24">
        <v>1.4297</v>
      </c>
      <c r="K116" s="24">
        <v>96</v>
      </c>
      <c r="L116" s="24" t="s">
        <v>3553</v>
      </c>
    </row>
    <row r="117" spans="1:12" x14ac:dyDescent="0.35">
      <c r="A117" s="24" t="s">
        <v>3242</v>
      </c>
      <c r="B117" s="24" t="str">
        <f>"002148"</f>
        <v>002148</v>
      </c>
      <c r="C117" s="24" t="str">
        <f t="shared" si="1"/>
        <v>'002148.SZ'</v>
      </c>
      <c r="D117" s="24" t="s">
        <v>3554</v>
      </c>
      <c r="E117" s="24" t="s">
        <v>3339</v>
      </c>
      <c r="F117" s="24">
        <v>2.6977000000000002</v>
      </c>
      <c r="G117" s="24">
        <v>3180299768.0999999</v>
      </c>
      <c r="H117" s="24">
        <v>6.5789</v>
      </c>
      <c r="I117" s="24">
        <v>6.4546999999999999</v>
      </c>
      <c r="J117" s="24">
        <v>2.9386000000000001</v>
      </c>
      <c r="K117" s="24">
        <v>114</v>
      </c>
      <c r="L117" s="24" t="s">
        <v>3555</v>
      </c>
    </row>
    <row r="118" spans="1:12" x14ac:dyDescent="0.35">
      <c r="A118" s="24" t="s">
        <v>3246</v>
      </c>
      <c r="B118" s="24" t="str">
        <f>"688409"</f>
        <v>688409</v>
      </c>
      <c r="C118" s="24" t="str">
        <f t="shared" si="1"/>
        <v>'688409.SS'</v>
      </c>
      <c r="D118" s="24" t="s">
        <v>3556</v>
      </c>
      <c r="E118" s="24" t="s">
        <v>3557</v>
      </c>
      <c r="F118" s="24">
        <v>2.6951000000000001</v>
      </c>
      <c r="G118" s="24">
        <v>22285085404.400002</v>
      </c>
      <c r="H118" s="24">
        <v>5.0856000000000003</v>
      </c>
      <c r="I118" s="24">
        <v>4.4800000000000004</v>
      </c>
      <c r="J118" s="24">
        <v>3.8645</v>
      </c>
      <c r="K118" s="24">
        <v>14</v>
      </c>
      <c r="L118" s="24" t="s">
        <v>3558</v>
      </c>
    </row>
    <row r="119" spans="1:12" x14ac:dyDescent="0.35">
      <c r="A119" s="24" t="s">
        <v>3246</v>
      </c>
      <c r="B119" s="24" t="str">
        <f>"601890"</f>
        <v>601890</v>
      </c>
      <c r="C119" s="24" t="str">
        <f t="shared" si="1"/>
        <v>'601890.SS'</v>
      </c>
      <c r="D119" s="24" t="s">
        <v>3559</v>
      </c>
      <c r="E119" s="24" t="s">
        <v>3560</v>
      </c>
      <c r="F119" s="24">
        <v>2.6924000000000001</v>
      </c>
      <c r="G119" s="24">
        <v>8625006000</v>
      </c>
      <c r="H119" s="24">
        <v>5.1940999999999997</v>
      </c>
      <c r="I119" s="24">
        <v>3.6349</v>
      </c>
      <c r="J119" s="24">
        <v>1.7974000000000001</v>
      </c>
      <c r="K119" s="24">
        <v>167</v>
      </c>
      <c r="L119" s="24" t="s">
        <v>3561</v>
      </c>
    </row>
    <row r="120" spans="1:12" x14ac:dyDescent="0.35">
      <c r="A120" s="24" t="s">
        <v>3246</v>
      </c>
      <c r="B120" s="24" t="str">
        <f>"688137"</f>
        <v>688137</v>
      </c>
      <c r="C120" s="24" t="str">
        <f t="shared" si="1"/>
        <v>'688137.SS'</v>
      </c>
      <c r="D120" s="24" t="s">
        <v>3562</v>
      </c>
      <c r="E120" s="24" t="s">
        <v>3282</v>
      </c>
      <c r="F120" s="24">
        <v>2.6911</v>
      </c>
      <c r="G120" s="24">
        <v>5912280735.75</v>
      </c>
      <c r="H120" s="24">
        <v>23.575399999999998</v>
      </c>
      <c r="I120" s="24">
        <v>22.675699999999999</v>
      </c>
      <c r="J120" s="24">
        <v>18.508700000000001</v>
      </c>
      <c r="K120" s="24">
        <v>14</v>
      </c>
      <c r="L120" s="24" t="s">
        <v>3563</v>
      </c>
    </row>
    <row r="121" spans="1:12" x14ac:dyDescent="0.35">
      <c r="A121" s="24" t="s">
        <v>3242</v>
      </c>
      <c r="B121" s="24" t="str">
        <f>"002835"</f>
        <v>002835</v>
      </c>
      <c r="C121" s="24" t="str">
        <f t="shared" si="1"/>
        <v>'002835.SZ'</v>
      </c>
      <c r="D121" s="24" t="s">
        <v>3564</v>
      </c>
      <c r="E121" s="24" t="s">
        <v>3565</v>
      </c>
      <c r="F121" s="24">
        <v>2.6888999999999998</v>
      </c>
      <c r="G121" s="24">
        <v>2357364818.9400001</v>
      </c>
      <c r="H121" s="24">
        <v>3.1398000000000001</v>
      </c>
      <c r="I121" s="24">
        <v>2.2595000000000001</v>
      </c>
      <c r="J121" s="24">
        <v>1.1773</v>
      </c>
      <c r="K121" s="24">
        <v>98</v>
      </c>
      <c r="L121" s="24" t="s">
        <v>3566</v>
      </c>
    </row>
    <row r="122" spans="1:12" x14ac:dyDescent="0.35">
      <c r="A122" s="24" t="s">
        <v>3242</v>
      </c>
      <c r="B122" s="24" t="str">
        <f>"300939"</f>
        <v>300939</v>
      </c>
      <c r="C122" s="24" t="str">
        <f t="shared" si="1"/>
        <v>'300939.SZ'</v>
      </c>
      <c r="D122" s="24" t="s">
        <v>3567</v>
      </c>
      <c r="E122" s="24" t="s">
        <v>3568</v>
      </c>
      <c r="F122" s="24">
        <v>2.6886000000000001</v>
      </c>
      <c r="G122" s="24">
        <v>3385200000</v>
      </c>
      <c r="H122" s="24">
        <v>5.0045000000000002</v>
      </c>
      <c r="I122" s="24">
        <v>4.5458999999999996</v>
      </c>
      <c r="J122" s="24">
        <v>1.0960000000000001</v>
      </c>
      <c r="K122" s="24">
        <v>48</v>
      </c>
      <c r="L122" s="24" t="s">
        <v>3569</v>
      </c>
    </row>
    <row r="123" spans="1:12" x14ac:dyDescent="0.35">
      <c r="A123" s="24" t="s">
        <v>3242</v>
      </c>
      <c r="B123" s="24" t="str">
        <f>"300888"</f>
        <v>300888</v>
      </c>
      <c r="C123" s="24" t="str">
        <f t="shared" si="1"/>
        <v>'300888.SZ'</v>
      </c>
      <c r="D123" s="24" t="s">
        <v>3570</v>
      </c>
      <c r="E123" s="24" t="s">
        <v>3571</v>
      </c>
      <c r="F123" s="24">
        <v>2.6825000000000001</v>
      </c>
      <c r="G123" s="24">
        <v>30502729868.16</v>
      </c>
      <c r="H123" s="24">
        <v>2.6280999999999999</v>
      </c>
      <c r="I123" s="24">
        <v>2.1196000000000002</v>
      </c>
      <c r="J123" s="24">
        <v>0.93230000000000002</v>
      </c>
      <c r="K123" s="24">
        <v>467</v>
      </c>
      <c r="L123" s="24" t="s">
        <v>3572</v>
      </c>
    </row>
    <row r="124" spans="1:12" x14ac:dyDescent="0.35">
      <c r="A124" s="24" t="s">
        <v>3246</v>
      </c>
      <c r="B124" s="24" t="str">
        <f>"603155"</f>
        <v>603155</v>
      </c>
      <c r="C124" s="24" t="str">
        <f t="shared" si="1"/>
        <v>'603155.SS'</v>
      </c>
      <c r="D124" s="24" t="s">
        <v>3573</v>
      </c>
      <c r="E124" s="24" t="s">
        <v>3322</v>
      </c>
      <c r="F124" s="24">
        <v>2.6768999999999998</v>
      </c>
      <c r="G124" s="24">
        <v>6182654420</v>
      </c>
      <c r="H124" s="24">
        <v>6.6052</v>
      </c>
      <c r="I124" s="24">
        <v>5.8808999999999996</v>
      </c>
      <c r="J124" s="24">
        <v>1.4117999999999999</v>
      </c>
      <c r="K124" s="24">
        <v>87</v>
      </c>
      <c r="L124" s="24" t="s">
        <v>3574</v>
      </c>
    </row>
    <row r="125" spans="1:12" x14ac:dyDescent="0.35">
      <c r="A125" s="24" t="s">
        <v>3246</v>
      </c>
      <c r="B125" s="24" t="str">
        <f>"688196"</f>
        <v>688196</v>
      </c>
      <c r="C125" s="24" t="str">
        <f t="shared" si="1"/>
        <v>'688196.SS'</v>
      </c>
      <c r="D125" s="24" t="s">
        <v>3575</v>
      </c>
      <c r="E125" s="24" t="s">
        <v>3271</v>
      </c>
      <c r="F125" s="24">
        <v>2.6743000000000001</v>
      </c>
      <c r="G125" s="24">
        <v>7387200000</v>
      </c>
      <c r="H125" s="24">
        <v>8.1268999999999991</v>
      </c>
      <c r="I125" s="24">
        <v>6.1154999999999999</v>
      </c>
      <c r="J125" s="24">
        <v>3.2040000000000002</v>
      </c>
      <c r="K125" s="24">
        <v>213</v>
      </c>
      <c r="L125" s="24" t="s">
        <v>3576</v>
      </c>
    </row>
    <row r="126" spans="1:12" x14ac:dyDescent="0.35">
      <c r="A126" s="24" t="s">
        <v>3242</v>
      </c>
      <c r="B126" s="24" t="str">
        <f>"300369"</f>
        <v>300369</v>
      </c>
      <c r="C126" s="24" t="str">
        <f t="shared" si="1"/>
        <v>'300369.SZ'</v>
      </c>
      <c r="D126" s="24" t="s">
        <v>3577</v>
      </c>
      <c r="E126" s="24" t="s">
        <v>3285</v>
      </c>
      <c r="F126" s="24">
        <v>2.6680000000000001</v>
      </c>
      <c r="G126" s="24">
        <v>9119833996.4599991</v>
      </c>
      <c r="H126" s="24">
        <v>3.6695000000000002</v>
      </c>
      <c r="I126" s="24">
        <v>3.3448000000000002</v>
      </c>
      <c r="J126" s="24">
        <v>0.83609999999999995</v>
      </c>
      <c r="K126" s="24">
        <v>422</v>
      </c>
      <c r="L126" s="24" t="s">
        <v>3578</v>
      </c>
    </row>
    <row r="127" spans="1:12" x14ac:dyDescent="0.35">
      <c r="A127" s="24" t="s">
        <v>3246</v>
      </c>
      <c r="B127" s="24" t="str">
        <f>"600426"</f>
        <v>600426</v>
      </c>
      <c r="C127" s="24" t="str">
        <f t="shared" si="1"/>
        <v>'600426.SS'</v>
      </c>
      <c r="D127" s="24" t="s">
        <v>3579</v>
      </c>
      <c r="E127" s="24" t="s">
        <v>3580</v>
      </c>
      <c r="F127" s="24">
        <v>2.6635</v>
      </c>
      <c r="G127" s="24">
        <v>69623662767.210007</v>
      </c>
      <c r="H127" s="24">
        <v>2.6560000000000001</v>
      </c>
      <c r="I127" s="24">
        <v>2.1852999999999998</v>
      </c>
      <c r="J127" s="24">
        <v>0.90429999999999999</v>
      </c>
      <c r="K127" s="24">
        <v>1092</v>
      </c>
      <c r="L127" s="24" t="s">
        <v>3581</v>
      </c>
    </row>
    <row r="128" spans="1:12" x14ac:dyDescent="0.35">
      <c r="A128" s="24" t="s">
        <v>3246</v>
      </c>
      <c r="B128" s="24" t="str">
        <f>"605009"</f>
        <v>605009</v>
      </c>
      <c r="C128" s="24" t="str">
        <f t="shared" si="1"/>
        <v>'605009.SS'</v>
      </c>
      <c r="D128" s="24" t="s">
        <v>3582</v>
      </c>
      <c r="E128" s="24" t="s">
        <v>3571</v>
      </c>
      <c r="F128" s="24">
        <v>2.6617000000000002</v>
      </c>
      <c r="G128" s="24">
        <v>7764451988.9799995</v>
      </c>
      <c r="H128" s="24">
        <v>2.5377000000000001</v>
      </c>
      <c r="I128" s="24">
        <v>2.1863000000000001</v>
      </c>
      <c r="J128" s="24">
        <v>1.474</v>
      </c>
      <c r="K128" s="24">
        <v>357</v>
      </c>
      <c r="L128" s="24" t="s">
        <v>3583</v>
      </c>
    </row>
    <row r="129" spans="1:12" x14ac:dyDescent="0.35">
      <c r="A129" s="24" t="s">
        <v>3242</v>
      </c>
      <c r="B129" s="24" t="str">
        <f>"002315"</f>
        <v>002315</v>
      </c>
      <c r="C129" s="24" t="str">
        <f t="shared" si="1"/>
        <v>'002315.SZ'</v>
      </c>
      <c r="D129" s="24" t="s">
        <v>3584</v>
      </c>
      <c r="E129" s="24" t="s">
        <v>3585</v>
      </c>
      <c r="F129" s="24">
        <v>2.6612</v>
      </c>
      <c r="G129" s="24">
        <v>5663145004.8000002</v>
      </c>
      <c r="H129" s="24">
        <v>2.0783999999999998</v>
      </c>
      <c r="I129" s="24">
        <v>2.0514999999999999</v>
      </c>
      <c r="J129" s="24">
        <v>1.542</v>
      </c>
      <c r="K129" s="24">
        <v>237</v>
      </c>
      <c r="L129" s="24" t="s">
        <v>3586</v>
      </c>
    </row>
    <row r="130" spans="1:12" x14ac:dyDescent="0.35">
      <c r="A130" s="24" t="s">
        <v>3242</v>
      </c>
      <c r="B130" s="24" t="str">
        <f>"300333"</f>
        <v>300333</v>
      </c>
      <c r="C130" s="24" t="str">
        <f t="shared" si="1"/>
        <v>'300333.SZ'</v>
      </c>
      <c r="D130" s="24" t="s">
        <v>3587</v>
      </c>
      <c r="E130" s="24" t="s">
        <v>3257</v>
      </c>
      <c r="F130" s="24">
        <v>2.6608000000000001</v>
      </c>
      <c r="G130" s="24">
        <v>2036160000</v>
      </c>
      <c r="H130" s="24">
        <v>19.0718</v>
      </c>
      <c r="I130" s="24">
        <v>16.447800000000001</v>
      </c>
      <c r="J130" s="24">
        <v>7.9080000000000004</v>
      </c>
      <c r="K130" s="24">
        <v>95</v>
      </c>
      <c r="L130" s="24" t="s">
        <v>3588</v>
      </c>
    </row>
    <row r="131" spans="1:12" x14ac:dyDescent="0.35">
      <c r="A131" s="24" t="s">
        <v>3242</v>
      </c>
      <c r="B131" s="24" t="str">
        <f>"301159"</f>
        <v>301159</v>
      </c>
      <c r="C131" s="24" t="str">
        <f t="shared" ref="C131:C194" si="2">CONCATENATE("'",B131,IF(A131="sh",".SS'",".SZ'"))</f>
        <v>'301159.SZ'</v>
      </c>
      <c r="D131" s="24" t="s">
        <v>3589</v>
      </c>
      <c r="E131" s="24" t="s">
        <v>3368</v>
      </c>
      <c r="F131" s="24">
        <v>2.6594000000000002</v>
      </c>
      <c r="G131" s="24">
        <v>2184364000</v>
      </c>
      <c r="H131" s="24">
        <v>6.0826000000000002</v>
      </c>
      <c r="I131" s="24">
        <v>5.0476999999999999</v>
      </c>
      <c r="J131" s="24">
        <v>3.5318000000000001</v>
      </c>
      <c r="K131" s="24">
        <v>21</v>
      </c>
      <c r="L131" s="24" t="s">
        <v>3590</v>
      </c>
    </row>
    <row r="132" spans="1:12" x14ac:dyDescent="0.35">
      <c r="A132" s="24" t="s">
        <v>3246</v>
      </c>
      <c r="B132" s="24" t="str">
        <f>"600576"</f>
        <v>600576</v>
      </c>
      <c r="C132" s="24" t="str">
        <f t="shared" si="2"/>
        <v>'600576.SS'</v>
      </c>
      <c r="D132" s="24" t="s">
        <v>3591</v>
      </c>
      <c r="E132" s="24" t="s">
        <v>3305</v>
      </c>
      <c r="F132" s="24">
        <v>2.6573000000000002</v>
      </c>
      <c r="G132" s="24">
        <v>7919545608.5200005</v>
      </c>
      <c r="H132" s="24">
        <v>8.0320999999999998</v>
      </c>
      <c r="I132" s="24">
        <v>6.4302999999999999</v>
      </c>
      <c r="J132" s="24">
        <v>2.2555000000000001</v>
      </c>
      <c r="K132" s="24">
        <v>88</v>
      </c>
      <c r="L132" s="24" t="s">
        <v>3592</v>
      </c>
    </row>
    <row r="133" spans="1:12" x14ac:dyDescent="0.35">
      <c r="A133" s="24" t="s">
        <v>3246</v>
      </c>
      <c r="B133" s="24" t="str">
        <f>"601595"</f>
        <v>601595</v>
      </c>
      <c r="C133" s="24" t="str">
        <f t="shared" si="2"/>
        <v>'601595.SS'</v>
      </c>
      <c r="D133" s="24" t="s">
        <v>3593</v>
      </c>
      <c r="E133" s="24" t="s">
        <v>3305</v>
      </c>
      <c r="F133" s="24">
        <v>2.6549</v>
      </c>
      <c r="G133" s="24">
        <v>4692654000</v>
      </c>
      <c r="H133" s="24">
        <v>2.6610999999999998</v>
      </c>
      <c r="I133" s="24">
        <v>2.625</v>
      </c>
      <c r="J133" s="24">
        <v>2.0762999999999998</v>
      </c>
      <c r="K133" s="24">
        <v>162</v>
      </c>
      <c r="L133" s="24" t="s">
        <v>3594</v>
      </c>
    </row>
    <row r="134" spans="1:12" x14ac:dyDescent="0.35">
      <c r="A134" s="24" t="s">
        <v>3242</v>
      </c>
      <c r="B134" s="24" t="str">
        <f>"300796"</f>
        <v>300796</v>
      </c>
      <c r="C134" s="24" t="str">
        <f t="shared" si="2"/>
        <v>'300796.SZ'</v>
      </c>
      <c r="D134" s="24" t="s">
        <v>3595</v>
      </c>
      <c r="E134" s="24" t="s">
        <v>3492</v>
      </c>
      <c r="F134" s="24">
        <v>2.6533000000000002</v>
      </c>
      <c r="G134" s="24">
        <v>4165181126.04</v>
      </c>
      <c r="H134" s="24">
        <v>4.6208999999999998</v>
      </c>
      <c r="I134" s="24">
        <v>4.3151999999999999</v>
      </c>
      <c r="J134" s="24">
        <v>3.3489</v>
      </c>
      <c r="K134" s="24">
        <v>48</v>
      </c>
      <c r="L134" s="24" t="s">
        <v>3596</v>
      </c>
    </row>
    <row r="135" spans="1:12" x14ac:dyDescent="0.35">
      <c r="A135" s="24" t="s">
        <v>3242</v>
      </c>
      <c r="B135" s="24" t="str">
        <f>"301181"</f>
        <v>301181</v>
      </c>
      <c r="C135" s="24" t="str">
        <f t="shared" si="2"/>
        <v>'301181.SZ'</v>
      </c>
      <c r="D135" s="24" t="s">
        <v>3597</v>
      </c>
      <c r="E135" s="24" t="s">
        <v>3299</v>
      </c>
      <c r="F135" s="24">
        <v>2.6516999999999999</v>
      </c>
      <c r="G135" s="24">
        <v>3393000000</v>
      </c>
      <c r="H135" s="24">
        <v>10.1205</v>
      </c>
      <c r="I135" s="24">
        <v>9.1586999999999996</v>
      </c>
      <c r="J135" s="24">
        <v>3.1116999999999999</v>
      </c>
      <c r="K135" s="24">
        <v>22</v>
      </c>
      <c r="L135" s="24" t="s">
        <v>3598</v>
      </c>
    </row>
    <row r="136" spans="1:12" x14ac:dyDescent="0.35">
      <c r="A136" s="24" t="s">
        <v>3242</v>
      </c>
      <c r="B136" s="24" t="str">
        <f>"301369"</f>
        <v>301369</v>
      </c>
      <c r="C136" s="24" t="str">
        <f t="shared" si="2"/>
        <v>'301369.SZ'</v>
      </c>
      <c r="D136" s="24" t="s">
        <v>3599</v>
      </c>
      <c r="E136" s="24" t="s">
        <v>3557</v>
      </c>
      <c r="F136" s="24">
        <v>2.6513</v>
      </c>
      <c r="G136" s="24">
        <v>4427969081.9700003</v>
      </c>
      <c r="H136" s="24">
        <v>15.8918</v>
      </c>
      <c r="I136" s="24">
        <v>14.616400000000001</v>
      </c>
      <c r="J136" s="24">
        <v>12.5252</v>
      </c>
      <c r="K136" s="24">
        <v>9</v>
      </c>
      <c r="L136" s="24" t="s">
        <v>3600</v>
      </c>
    </row>
    <row r="137" spans="1:12" x14ac:dyDescent="0.35">
      <c r="A137" s="24" t="s">
        <v>3242</v>
      </c>
      <c r="B137" s="24" t="str">
        <f>"001231"</f>
        <v>001231</v>
      </c>
      <c r="C137" s="24" t="str">
        <f t="shared" si="2"/>
        <v>'001231.SZ'</v>
      </c>
      <c r="D137" s="24" t="s">
        <v>3601</v>
      </c>
      <c r="E137" s="24" t="s">
        <v>3492</v>
      </c>
      <c r="F137" s="24">
        <v>2.65</v>
      </c>
      <c r="G137" s="24">
        <v>2317000000</v>
      </c>
      <c r="H137" s="24">
        <v>3.4085000000000001</v>
      </c>
      <c r="I137" s="24">
        <v>2.5257000000000001</v>
      </c>
      <c r="J137" s="24">
        <v>1.8794999999999999</v>
      </c>
      <c r="K137" s="24">
        <v>6</v>
      </c>
      <c r="L137" s="24" t="s">
        <v>3602</v>
      </c>
    </row>
    <row r="138" spans="1:12" x14ac:dyDescent="0.35">
      <c r="A138" s="24" t="s">
        <v>3246</v>
      </c>
      <c r="B138" s="24" t="str">
        <f>"605080"</f>
        <v>605080</v>
      </c>
      <c r="C138" s="24" t="str">
        <f t="shared" si="2"/>
        <v>'605080.SS'</v>
      </c>
      <c r="D138" s="24" t="s">
        <v>3603</v>
      </c>
      <c r="E138" s="24" t="s">
        <v>3296</v>
      </c>
      <c r="F138" s="24">
        <v>2.6471</v>
      </c>
      <c r="G138" s="24">
        <v>4694157512</v>
      </c>
      <c r="H138" s="24">
        <v>7.2788000000000004</v>
      </c>
      <c r="I138" s="24">
        <v>6.1516999999999999</v>
      </c>
      <c r="J138" s="24">
        <v>2.4853000000000001</v>
      </c>
      <c r="K138" s="24">
        <v>77</v>
      </c>
      <c r="L138" s="24" t="s">
        <v>3604</v>
      </c>
    </row>
    <row r="139" spans="1:12" x14ac:dyDescent="0.35">
      <c r="A139" s="24" t="s">
        <v>3242</v>
      </c>
      <c r="B139" s="24" t="str">
        <f>"002978"</f>
        <v>002978</v>
      </c>
      <c r="C139" s="24" t="str">
        <f t="shared" si="2"/>
        <v>'002978.SZ'</v>
      </c>
      <c r="D139" s="24" t="s">
        <v>3605</v>
      </c>
      <c r="E139" s="24" t="s">
        <v>3345</v>
      </c>
      <c r="F139" s="24">
        <v>2.6444999999999999</v>
      </c>
      <c r="G139" s="24">
        <v>13838510000</v>
      </c>
      <c r="H139" s="24">
        <v>4.1253000000000002</v>
      </c>
      <c r="I139" s="24">
        <v>4.0034000000000001</v>
      </c>
      <c r="J139" s="24">
        <v>2.927</v>
      </c>
      <c r="K139" s="24">
        <v>250</v>
      </c>
      <c r="L139" s="24" t="s">
        <v>3606</v>
      </c>
    </row>
    <row r="140" spans="1:12" x14ac:dyDescent="0.35">
      <c r="A140" s="24" t="s">
        <v>3246</v>
      </c>
      <c r="B140" s="24" t="str">
        <f>"688267"</f>
        <v>688267</v>
      </c>
      <c r="C140" s="24" t="str">
        <f t="shared" si="2"/>
        <v>'688267.SS'</v>
      </c>
      <c r="D140" s="24" t="s">
        <v>3607</v>
      </c>
      <c r="E140" s="24" t="s">
        <v>3271</v>
      </c>
      <c r="F140" s="24">
        <v>2.6423999999999999</v>
      </c>
      <c r="G140" s="24">
        <v>6790748000</v>
      </c>
      <c r="H140" s="24">
        <v>8.4643999999999995</v>
      </c>
      <c r="I140" s="24">
        <v>6.8288000000000002</v>
      </c>
      <c r="J140" s="24">
        <v>3.4716</v>
      </c>
      <c r="K140" s="24">
        <v>11</v>
      </c>
      <c r="L140" s="24" t="s">
        <v>3608</v>
      </c>
    </row>
    <row r="141" spans="1:12" x14ac:dyDescent="0.35">
      <c r="A141" s="24" t="s">
        <v>3242</v>
      </c>
      <c r="B141" s="24" t="str">
        <f>"301238"</f>
        <v>301238</v>
      </c>
      <c r="C141" s="24" t="str">
        <f t="shared" si="2"/>
        <v>'301238.SZ'</v>
      </c>
      <c r="D141" s="24" t="s">
        <v>3609</v>
      </c>
      <c r="E141" s="24" t="s">
        <v>3377</v>
      </c>
      <c r="F141" s="24">
        <v>2.6341999999999999</v>
      </c>
      <c r="G141" s="24">
        <v>17343332545</v>
      </c>
      <c r="H141" s="24">
        <v>2.7850999999999999</v>
      </c>
      <c r="I141" s="24">
        <v>2.5895999999999999</v>
      </c>
      <c r="J141" s="24">
        <v>1.5392999999999999</v>
      </c>
      <c r="K141" s="24">
        <v>22</v>
      </c>
      <c r="L141" s="24" t="s">
        <v>3610</v>
      </c>
    </row>
    <row r="142" spans="1:12" x14ac:dyDescent="0.35">
      <c r="A142" s="24" t="s">
        <v>3246</v>
      </c>
      <c r="B142" s="24" t="str">
        <f>"688246"</f>
        <v>688246</v>
      </c>
      <c r="C142" s="24" t="str">
        <f t="shared" si="2"/>
        <v>'688246.SS'</v>
      </c>
      <c r="D142" s="24" t="s">
        <v>3611</v>
      </c>
      <c r="E142" s="24" t="s">
        <v>3368</v>
      </c>
      <c r="F142" s="24">
        <v>2.6322000000000001</v>
      </c>
      <c r="G142" s="24">
        <v>4591320816.6000004</v>
      </c>
      <c r="H142" s="24">
        <v>4.0217000000000001</v>
      </c>
      <c r="I142" s="24">
        <v>2.2183000000000002</v>
      </c>
      <c r="J142" s="24">
        <v>1.4257</v>
      </c>
      <c r="K142" s="24">
        <v>19</v>
      </c>
      <c r="L142" s="24" t="s">
        <v>3612</v>
      </c>
    </row>
    <row r="143" spans="1:12" x14ac:dyDescent="0.35">
      <c r="A143" s="24" t="s">
        <v>3246</v>
      </c>
      <c r="B143" s="24" t="str">
        <f>"603583"</f>
        <v>603583</v>
      </c>
      <c r="C143" s="24" t="str">
        <f t="shared" si="2"/>
        <v>'603583.SS'</v>
      </c>
      <c r="D143" s="24" t="s">
        <v>3613</v>
      </c>
      <c r="E143" s="24" t="s">
        <v>3268</v>
      </c>
      <c r="F143" s="24">
        <v>2.6303999999999998</v>
      </c>
      <c r="G143" s="24">
        <v>10185857372.35</v>
      </c>
      <c r="H143" s="24">
        <v>1.8008999999999999</v>
      </c>
      <c r="I143" s="24">
        <v>1.3893</v>
      </c>
      <c r="J143" s="24">
        <v>1.1362000000000001</v>
      </c>
      <c r="K143" s="24">
        <v>708</v>
      </c>
      <c r="L143" s="24" t="s">
        <v>3614</v>
      </c>
    </row>
    <row r="144" spans="1:12" x14ac:dyDescent="0.35">
      <c r="A144" s="24" t="s">
        <v>3242</v>
      </c>
      <c r="B144" s="24" t="str">
        <f>"300791"</f>
        <v>300791</v>
      </c>
      <c r="C144" s="24" t="str">
        <f t="shared" si="2"/>
        <v>'300791.SZ'</v>
      </c>
      <c r="D144" s="24" t="s">
        <v>3615</v>
      </c>
      <c r="E144" s="24" t="s">
        <v>3616</v>
      </c>
      <c r="F144" s="24">
        <v>2.6291000000000002</v>
      </c>
      <c r="G144" s="24">
        <v>6497903520</v>
      </c>
      <c r="H144" s="24">
        <v>5.3929999999999998</v>
      </c>
      <c r="I144" s="24">
        <v>4.6055999999999999</v>
      </c>
      <c r="J144" s="24">
        <v>2.5002</v>
      </c>
      <c r="K144" s="24">
        <v>293</v>
      </c>
      <c r="L144" s="24" t="s">
        <v>3617</v>
      </c>
    </row>
    <row r="145" spans="1:12" x14ac:dyDescent="0.35">
      <c r="A145" s="24" t="s">
        <v>3242</v>
      </c>
      <c r="B145" s="24" t="str">
        <f>"000893"</f>
        <v>000893</v>
      </c>
      <c r="C145" s="24" t="str">
        <f t="shared" si="2"/>
        <v>'000893.SZ'</v>
      </c>
      <c r="D145" s="24" t="s">
        <v>3618</v>
      </c>
      <c r="E145" s="24" t="s">
        <v>3619</v>
      </c>
      <c r="F145" s="24">
        <v>2.6288</v>
      </c>
      <c r="G145" s="24">
        <v>25495572870.32</v>
      </c>
      <c r="H145" s="24">
        <v>3.1507999999999998</v>
      </c>
      <c r="I145" s="24">
        <v>2.7523</v>
      </c>
      <c r="J145" s="24">
        <v>2.2429999999999999</v>
      </c>
      <c r="K145" s="24">
        <v>192</v>
      </c>
      <c r="L145" s="24" t="s">
        <v>3620</v>
      </c>
    </row>
    <row r="146" spans="1:12" x14ac:dyDescent="0.35">
      <c r="A146" s="24" t="s">
        <v>3242</v>
      </c>
      <c r="B146" s="24" t="str">
        <f>"301083"</f>
        <v>301083</v>
      </c>
      <c r="C146" s="24" t="str">
        <f t="shared" si="2"/>
        <v>'301083.SZ'</v>
      </c>
      <c r="D146" s="24" t="s">
        <v>3621</v>
      </c>
      <c r="E146" s="24" t="s">
        <v>3244</v>
      </c>
      <c r="F146" s="24">
        <v>2.6278000000000001</v>
      </c>
      <c r="G146" s="24">
        <v>2020565337.1199999</v>
      </c>
      <c r="H146" s="24">
        <v>6.0808</v>
      </c>
      <c r="I146" s="24">
        <v>5.3711000000000002</v>
      </c>
      <c r="J146" s="24">
        <v>4.6208</v>
      </c>
      <c r="K146" s="24">
        <v>21</v>
      </c>
      <c r="L146" s="24" t="s">
        <v>3622</v>
      </c>
    </row>
    <row r="147" spans="1:12" x14ac:dyDescent="0.35">
      <c r="A147" s="24" t="s">
        <v>3242</v>
      </c>
      <c r="B147" s="24" t="str">
        <f>"301191"</f>
        <v>301191</v>
      </c>
      <c r="C147" s="24" t="str">
        <f t="shared" si="2"/>
        <v>'301191.SZ'</v>
      </c>
      <c r="D147" s="24" t="s">
        <v>3623</v>
      </c>
      <c r="E147" s="24" t="s">
        <v>3624</v>
      </c>
      <c r="F147" s="24">
        <v>2.6231</v>
      </c>
      <c r="G147" s="24">
        <v>4042105200</v>
      </c>
      <c r="H147" s="24">
        <v>3.5023</v>
      </c>
      <c r="I147" s="24">
        <v>2.5110000000000001</v>
      </c>
      <c r="J147" s="24">
        <v>2.1469</v>
      </c>
      <c r="K147" s="24">
        <v>10</v>
      </c>
      <c r="L147" s="24" t="s">
        <v>3625</v>
      </c>
    </row>
    <row r="148" spans="1:12" x14ac:dyDescent="0.35">
      <c r="A148" s="24" t="s">
        <v>3242</v>
      </c>
      <c r="B148" s="24" t="str">
        <f>"300770"</f>
        <v>300770</v>
      </c>
      <c r="C148" s="24" t="str">
        <f t="shared" si="2"/>
        <v>'300770.SZ'</v>
      </c>
      <c r="D148" s="24" t="s">
        <v>3626</v>
      </c>
      <c r="E148" s="24" t="s">
        <v>2859</v>
      </c>
      <c r="F148" s="24">
        <v>2.6219999999999999</v>
      </c>
      <c r="G148" s="24">
        <v>8625400590.1800003</v>
      </c>
      <c r="H148" s="24">
        <v>3.4695999999999998</v>
      </c>
      <c r="I148" s="24">
        <v>2.9767999999999999</v>
      </c>
      <c r="J148" s="24">
        <v>2.7772000000000001</v>
      </c>
      <c r="K148" s="24">
        <v>675</v>
      </c>
      <c r="L148" s="24" t="s">
        <v>3627</v>
      </c>
    </row>
    <row r="149" spans="1:12" x14ac:dyDescent="0.35">
      <c r="A149" s="24" t="s">
        <v>3242</v>
      </c>
      <c r="B149" s="24" t="str">
        <f>"300766"</f>
        <v>300766</v>
      </c>
      <c r="C149" s="24" t="str">
        <f t="shared" si="2"/>
        <v>'300766.SZ'</v>
      </c>
      <c r="D149" s="24" t="s">
        <v>3628</v>
      </c>
      <c r="E149" s="24" t="s">
        <v>3285</v>
      </c>
      <c r="F149" s="24">
        <v>2.6189</v>
      </c>
      <c r="G149" s="24">
        <v>4441110000</v>
      </c>
      <c r="H149" s="24">
        <v>4.9390999999999998</v>
      </c>
      <c r="I149" s="24">
        <v>4.7266000000000004</v>
      </c>
      <c r="J149" s="24">
        <v>3.8437999999999999</v>
      </c>
      <c r="K149" s="24">
        <v>148</v>
      </c>
      <c r="L149" s="24" t="s">
        <v>3629</v>
      </c>
    </row>
    <row r="150" spans="1:12" x14ac:dyDescent="0.35">
      <c r="A150" s="24" t="s">
        <v>3246</v>
      </c>
      <c r="B150" s="24" t="str">
        <f>"603237"</f>
        <v>603237</v>
      </c>
      <c r="C150" s="24" t="str">
        <f t="shared" si="2"/>
        <v>'603237.SS'</v>
      </c>
      <c r="D150" s="24" t="s">
        <v>3630</v>
      </c>
      <c r="E150" s="24" t="s">
        <v>3631</v>
      </c>
      <c r="F150" s="24">
        <v>2.6183999999999998</v>
      </c>
      <c r="G150" s="24">
        <v>4631155710</v>
      </c>
      <c r="H150" s="24">
        <v>2.7572999999999999</v>
      </c>
      <c r="I150" s="24">
        <v>2.3506</v>
      </c>
      <c r="J150" s="24">
        <v>1.9427000000000001</v>
      </c>
      <c r="K150" s="24">
        <v>24</v>
      </c>
      <c r="L150" s="24" t="s">
        <v>3632</v>
      </c>
    </row>
    <row r="151" spans="1:12" x14ac:dyDescent="0.35">
      <c r="A151" s="24" t="s">
        <v>3242</v>
      </c>
      <c r="B151" s="24" t="str">
        <f>"000538"</f>
        <v>000538</v>
      </c>
      <c r="C151" s="24" t="str">
        <f t="shared" si="2"/>
        <v>'000538.SZ'</v>
      </c>
      <c r="D151" s="24" t="s">
        <v>3633</v>
      </c>
      <c r="E151" s="24" t="s">
        <v>3311</v>
      </c>
      <c r="F151" s="24">
        <v>2.6145</v>
      </c>
      <c r="G151" s="24">
        <v>98899314696.960007</v>
      </c>
      <c r="H151" s="24">
        <v>2.718</v>
      </c>
      <c r="I151" s="24">
        <v>1.9757</v>
      </c>
      <c r="J151" s="24">
        <v>0.90349999999999997</v>
      </c>
      <c r="K151" s="24">
        <v>30809</v>
      </c>
      <c r="L151" s="24" t="s">
        <v>3634</v>
      </c>
    </row>
    <row r="152" spans="1:12" x14ac:dyDescent="0.35">
      <c r="A152" s="24" t="s">
        <v>3242</v>
      </c>
      <c r="B152" s="24" t="str">
        <f>"300993"</f>
        <v>300993</v>
      </c>
      <c r="C152" s="24" t="str">
        <f t="shared" si="2"/>
        <v>'300993.SZ'</v>
      </c>
      <c r="D152" s="24" t="s">
        <v>3635</v>
      </c>
      <c r="E152" s="24" t="s">
        <v>3636</v>
      </c>
      <c r="F152" s="24">
        <v>2.6141000000000001</v>
      </c>
      <c r="G152" s="24">
        <v>3223526400</v>
      </c>
      <c r="H152" s="24">
        <v>11.546799999999999</v>
      </c>
      <c r="I152" s="24">
        <v>9.0021000000000004</v>
      </c>
      <c r="J152" s="24">
        <v>5.6379999999999999</v>
      </c>
      <c r="K152" s="24">
        <v>40</v>
      </c>
      <c r="L152" s="24" t="s">
        <v>3637</v>
      </c>
    </row>
    <row r="153" spans="1:12" x14ac:dyDescent="0.35">
      <c r="A153" s="24" t="s">
        <v>3246</v>
      </c>
      <c r="B153" s="24" t="str">
        <f>"603922"</f>
        <v>603922</v>
      </c>
      <c r="C153" s="24" t="str">
        <f t="shared" si="2"/>
        <v>'603922.SS'</v>
      </c>
      <c r="D153" s="24" t="s">
        <v>3638</v>
      </c>
      <c r="E153" s="24" t="s">
        <v>3299</v>
      </c>
      <c r="F153" s="24">
        <v>2.6088</v>
      </c>
      <c r="G153" s="24">
        <v>2725120000</v>
      </c>
      <c r="H153" s="24">
        <v>5.4497999999999998</v>
      </c>
      <c r="I153" s="24">
        <v>4.0430000000000001</v>
      </c>
      <c r="J153" s="24">
        <v>2.1897000000000002</v>
      </c>
      <c r="K153" s="24">
        <v>73</v>
      </c>
      <c r="L153" s="24" t="s">
        <v>3639</v>
      </c>
    </row>
    <row r="154" spans="1:12" x14ac:dyDescent="0.35">
      <c r="A154" s="24" t="s">
        <v>3242</v>
      </c>
      <c r="B154" s="24" t="str">
        <f>"301215"</f>
        <v>301215</v>
      </c>
      <c r="C154" s="24" t="str">
        <f t="shared" si="2"/>
        <v>'301215.SZ'</v>
      </c>
      <c r="D154" s="24" t="s">
        <v>3640</v>
      </c>
      <c r="E154" s="24" t="s">
        <v>3641</v>
      </c>
      <c r="F154" s="24">
        <v>2.6070000000000002</v>
      </c>
      <c r="G154" s="24">
        <v>7008720000</v>
      </c>
      <c r="H154" s="24">
        <v>7.6654</v>
      </c>
      <c r="I154" s="24">
        <v>7.6505999999999998</v>
      </c>
      <c r="J154" s="24">
        <v>3.4540000000000002</v>
      </c>
      <c r="K154" s="24">
        <v>16</v>
      </c>
      <c r="L154" s="24" t="s">
        <v>3642</v>
      </c>
    </row>
    <row r="155" spans="1:12" x14ac:dyDescent="0.35">
      <c r="A155" s="24" t="s">
        <v>3242</v>
      </c>
      <c r="B155" s="24" t="str">
        <f>"301119"</f>
        <v>301119</v>
      </c>
      <c r="C155" s="24" t="str">
        <f t="shared" si="2"/>
        <v>'301119.SZ'</v>
      </c>
      <c r="D155" s="24" t="s">
        <v>3643</v>
      </c>
      <c r="E155" s="24" t="s">
        <v>3405</v>
      </c>
      <c r="F155" s="24">
        <v>2.5992999999999999</v>
      </c>
      <c r="G155" s="24">
        <v>2196000000</v>
      </c>
      <c r="H155" s="24">
        <v>3.4573999999999998</v>
      </c>
      <c r="I155" s="24">
        <v>3.1890000000000001</v>
      </c>
      <c r="J155" s="24">
        <v>2.3950999999999998</v>
      </c>
      <c r="K155" s="24">
        <v>26</v>
      </c>
      <c r="L155" s="24" t="s">
        <v>3644</v>
      </c>
    </row>
    <row r="156" spans="1:12" x14ac:dyDescent="0.35">
      <c r="A156" s="24" t="s">
        <v>3242</v>
      </c>
      <c r="B156" s="24" t="str">
        <f>"300819"</f>
        <v>300819</v>
      </c>
      <c r="C156" s="24" t="str">
        <f t="shared" si="2"/>
        <v>'300819.SZ'</v>
      </c>
      <c r="D156" s="24" t="s">
        <v>3645</v>
      </c>
      <c r="E156" s="24" t="s">
        <v>3357</v>
      </c>
      <c r="F156" s="24">
        <v>2.597</v>
      </c>
      <c r="G156" s="24">
        <v>2136615600</v>
      </c>
      <c r="H156" s="24">
        <v>2.8393000000000002</v>
      </c>
      <c r="I156" s="24">
        <v>2.2545999999999999</v>
      </c>
      <c r="J156" s="24">
        <v>1.6609</v>
      </c>
      <c r="K156" s="24">
        <v>55</v>
      </c>
      <c r="L156" s="24" t="s">
        <v>3646</v>
      </c>
    </row>
    <row r="157" spans="1:12" x14ac:dyDescent="0.35">
      <c r="A157" s="24" t="s">
        <v>3242</v>
      </c>
      <c r="B157" s="24" t="str">
        <f>"300915"</f>
        <v>300915</v>
      </c>
      <c r="C157" s="24" t="str">
        <f t="shared" si="2"/>
        <v>'300915.SZ'</v>
      </c>
      <c r="D157" s="24" t="s">
        <v>3647</v>
      </c>
      <c r="E157" s="24" t="s">
        <v>3648</v>
      </c>
      <c r="F157" s="24">
        <v>2.5960000000000001</v>
      </c>
      <c r="G157" s="24">
        <v>3744000000</v>
      </c>
      <c r="H157" s="24">
        <v>9.9893000000000001</v>
      </c>
      <c r="I157" s="24">
        <v>8.6837999999999997</v>
      </c>
      <c r="J157" s="24">
        <v>1.9051</v>
      </c>
      <c r="K157" s="24">
        <v>116</v>
      </c>
      <c r="L157" s="24" t="s">
        <v>3649</v>
      </c>
    </row>
    <row r="158" spans="1:12" x14ac:dyDescent="0.35">
      <c r="A158" s="24" t="s">
        <v>3246</v>
      </c>
      <c r="B158" s="24" t="str">
        <f>"603551"</f>
        <v>603551</v>
      </c>
      <c r="C158" s="24" t="str">
        <f t="shared" si="2"/>
        <v>'603551.SS'</v>
      </c>
      <c r="D158" s="24" t="s">
        <v>3650</v>
      </c>
      <c r="E158" s="24" t="s">
        <v>3651</v>
      </c>
      <c r="F158" s="24">
        <v>2.5950000000000002</v>
      </c>
      <c r="G158" s="24">
        <v>3775980000</v>
      </c>
      <c r="H158" s="24">
        <v>2.1730999999999998</v>
      </c>
      <c r="I158" s="24">
        <v>1.7623</v>
      </c>
      <c r="J158" s="24">
        <v>1.3454999999999999</v>
      </c>
      <c r="K158" s="24">
        <v>117</v>
      </c>
      <c r="L158" s="24" t="s">
        <v>3652</v>
      </c>
    </row>
    <row r="159" spans="1:12" x14ac:dyDescent="0.35">
      <c r="A159" s="24" t="s">
        <v>3246</v>
      </c>
      <c r="B159" s="24" t="str">
        <f>"688132"</f>
        <v>688132</v>
      </c>
      <c r="C159" s="24" t="str">
        <f t="shared" si="2"/>
        <v>'688132.SS'</v>
      </c>
      <c r="D159" s="24" t="s">
        <v>3653</v>
      </c>
      <c r="E159" s="24" t="s">
        <v>3383</v>
      </c>
      <c r="F159" s="24">
        <v>2.5947</v>
      </c>
      <c r="G159" s="24">
        <v>3939588279.52</v>
      </c>
      <c r="H159" s="24">
        <v>2.9049</v>
      </c>
      <c r="I159" s="24">
        <v>2.5400999999999998</v>
      </c>
      <c r="J159" s="24">
        <v>1.5447</v>
      </c>
      <c r="K159" s="24">
        <v>3</v>
      </c>
      <c r="L159" s="24" t="s">
        <v>3654</v>
      </c>
    </row>
    <row r="160" spans="1:12" x14ac:dyDescent="0.35">
      <c r="A160" s="24" t="s">
        <v>3246</v>
      </c>
      <c r="B160" s="24" t="str">
        <f>"603387"</f>
        <v>603387</v>
      </c>
      <c r="C160" s="24" t="str">
        <f t="shared" si="2"/>
        <v>'603387.SS'</v>
      </c>
      <c r="D160" s="24" t="s">
        <v>3655</v>
      </c>
      <c r="E160" s="24" t="s">
        <v>3432</v>
      </c>
      <c r="F160" s="24">
        <v>2.5926999999999998</v>
      </c>
      <c r="G160" s="24">
        <v>6374919708.6899996</v>
      </c>
      <c r="H160" s="24">
        <v>2.8889</v>
      </c>
      <c r="I160" s="24">
        <v>2.4032</v>
      </c>
      <c r="J160" s="24">
        <v>1.1898</v>
      </c>
      <c r="K160" s="24">
        <v>1835</v>
      </c>
      <c r="L160" s="24" t="s">
        <v>3656</v>
      </c>
    </row>
    <row r="161" spans="1:12" x14ac:dyDescent="0.35">
      <c r="A161" s="24" t="s">
        <v>3242</v>
      </c>
      <c r="B161" s="24" t="str">
        <f>"002001"</f>
        <v>002001</v>
      </c>
      <c r="C161" s="24" t="str">
        <f t="shared" si="2"/>
        <v>'002001.SZ'</v>
      </c>
      <c r="D161" s="24" t="s">
        <v>3657</v>
      </c>
      <c r="E161" s="24" t="s">
        <v>3658</v>
      </c>
      <c r="F161" s="24">
        <v>2.5889000000000002</v>
      </c>
      <c r="G161" s="24">
        <v>59499966603</v>
      </c>
      <c r="H161" s="24">
        <v>1.8668</v>
      </c>
      <c r="I161" s="24">
        <v>1.3373999999999999</v>
      </c>
      <c r="J161" s="24">
        <v>0.87280000000000002</v>
      </c>
      <c r="K161" s="24">
        <v>2057</v>
      </c>
      <c r="L161" s="24" t="s">
        <v>3659</v>
      </c>
    </row>
    <row r="162" spans="1:12" x14ac:dyDescent="0.35">
      <c r="A162" s="24" t="s">
        <v>3242</v>
      </c>
      <c r="B162" s="24" t="str">
        <f>"300667"</f>
        <v>300667</v>
      </c>
      <c r="C162" s="24" t="str">
        <f t="shared" si="2"/>
        <v>'300667.SZ'</v>
      </c>
      <c r="D162" s="24" t="s">
        <v>3660</v>
      </c>
      <c r="E162" s="24" t="s">
        <v>3476</v>
      </c>
      <c r="F162" s="24">
        <v>2.5871</v>
      </c>
      <c r="G162" s="24">
        <v>3199391379.27</v>
      </c>
      <c r="H162" s="24">
        <v>2.6539999999999999</v>
      </c>
      <c r="I162" s="24">
        <v>1.5430999999999999</v>
      </c>
      <c r="J162" s="24">
        <v>0.87590000000000001</v>
      </c>
      <c r="K162" s="24">
        <v>150</v>
      </c>
      <c r="L162" s="24" t="s">
        <v>3661</v>
      </c>
    </row>
    <row r="163" spans="1:12" x14ac:dyDescent="0.35">
      <c r="A163" s="24" t="s">
        <v>3242</v>
      </c>
      <c r="B163" s="24" t="str">
        <f>"000423"</f>
        <v>000423</v>
      </c>
      <c r="C163" s="24" t="str">
        <f t="shared" si="2"/>
        <v>'000423.SZ'</v>
      </c>
      <c r="D163" s="24" t="s">
        <v>3662</v>
      </c>
      <c r="E163" s="24" t="s">
        <v>3311</v>
      </c>
      <c r="F163" s="24">
        <v>2.5844999999999998</v>
      </c>
      <c r="G163" s="24">
        <v>26016976741.860001</v>
      </c>
      <c r="H163" s="24">
        <v>4.3143000000000002</v>
      </c>
      <c r="I163" s="24">
        <v>3.7437999999999998</v>
      </c>
      <c r="J163" s="24">
        <v>1.91</v>
      </c>
      <c r="K163" s="24">
        <v>24662</v>
      </c>
      <c r="L163" s="24" t="s">
        <v>3663</v>
      </c>
    </row>
    <row r="164" spans="1:12" x14ac:dyDescent="0.35">
      <c r="A164" s="24" t="s">
        <v>3246</v>
      </c>
      <c r="B164" s="24" t="str">
        <f>"603533"</f>
        <v>603533</v>
      </c>
      <c r="C164" s="24" t="str">
        <f t="shared" si="2"/>
        <v>'603533.SS'</v>
      </c>
      <c r="D164" s="24" t="s">
        <v>3664</v>
      </c>
      <c r="E164" s="24" t="s">
        <v>3665</v>
      </c>
      <c r="F164" s="24">
        <v>2.5783999999999998</v>
      </c>
      <c r="G164" s="24">
        <v>6596619430.0500002</v>
      </c>
      <c r="H164" s="24">
        <v>3.8969999999999998</v>
      </c>
      <c r="I164" s="24">
        <v>3.8069000000000002</v>
      </c>
      <c r="J164" s="24">
        <v>3.05</v>
      </c>
      <c r="K164" s="24">
        <v>870</v>
      </c>
      <c r="L164" s="24" t="s">
        <v>3666</v>
      </c>
    </row>
    <row r="165" spans="1:12" x14ac:dyDescent="0.35">
      <c r="A165" s="24" t="s">
        <v>3242</v>
      </c>
      <c r="B165" s="24" t="str">
        <f>"001216"</f>
        <v>001216</v>
      </c>
      <c r="C165" s="24" t="str">
        <f t="shared" si="2"/>
        <v>'001216.SZ'</v>
      </c>
      <c r="D165" s="24" t="s">
        <v>3667</v>
      </c>
      <c r="E165" s="24" t="s">
        <v>3636</v>
      </c>
      <c r="F165" s="24">
        <v>2.5733999999999999</v>
      </c>
      <c r="G165" s="24">
        <v>3717552492</v>
      </c>
      <c r="H165" s="24">
        <v>3.6309999999999998</v>
      </c>
      <c r="I165" s="24">
        <v>3.0436000000000001</v>
      </c>
      <c r="J165" s="24">
        <v>1.3403</v>
      </c>
      <c r="K165" s="24">
        <v>36</v>
      </c>
      <c r="L165" s="24" t="s">
        <v>3668</v>
      </c>
    </row>
    <row r="166" spans="1:12" x14ac:dyDescent="0.35">
      <c r="A166" s="24" t="s">
        <v>3242</v>
      </c>
      <c r="B166" s="24" t="str">
        <f>"300360"</f>
        <v>300360</v>
      </c>
      <c r="C166" s="24" t="str">
        <f t="shared" si="2"/>
        <v>'300360.SZ'</v>
      </c>
      <c r="D166" s="24" t="s">
        <v>3669</v>
      </c>
      <c r="E166" s="24" t="s">
        <v>3670</v>
      </c>
      <c r="F166" s="24">
        <v>2.5680999999999998</v>
      </c>
      <c r="G166" s="24">
        <v>7364052039.6000004</v>
      </c>
      <c r="H166" s="24">
        <v>4.0270000000000001</v>
      </c>
      <c r="I166" s="24">
        <v>3.0318000000000001</v>
      </c>
      <c r="J166" s="24">
        <v>2.3308</v>
      </c>
      <c r="K166" s="24">
        <v>969</v>
      </c>
      <c r="L166" s="24" t="s">
        <v>3671</v>
      </c>
    </row>
    <row r="167" spans="1:12" x14ac:dyDescent="0.35">
      <c r="A167" s="24" t="s">
        <v>3242</v>
      </c>
      <c r="B167" s="24" t="str">
        <f>"300922"</f>
        <v>300922</v>
      </c>
      <c r="C167" s="24" t="str">
        <f t="shared" si="2"/>
        <v>'300922.SZ'</v>
      </c>
      <c r="D167" s="24" t="s">
        <v>3672</v>
      </c>
      <c r="E167" s="24" t="s">
        <v>3446</v>
      </c>
      <c r="F167" s="24">
        <v>2.5583</v>
      </c>
      <c r="G167" s="24">
        <v>2204765472</v>
      </c>
      <c r="H167" s="24">
        <v>15.4876</v>
      </c>
      <c r="I167" s="24">
        <v>14.501099999999999</v>
      </c>
      <c r="J167" s="24">
        <v>9.2887000000000004</v>
      </c>
      <c r="K167" s="24">
        <v>86</v>
      </c>
      <c r="L167" s="24" t="s">
        <v>3673</v>
      </c>
    </row>
    <row r="168" spans="1:12" x14ac:dyDescent="0.35">
      <c r="A168" s="24" t="s">
        <v>3246</v>
      </c>
      <c r="B168" s="24" t="str">
        <f>"603757"</f>
        <v>603757</v>
      </c>
      <c r="C168" s="24" t="str">
        <f t="shared" si="2"/>
        <v>'603757.SS'</v>
      </c>
      <c r="D168" s="24" t="s">
        <v>3674</v>
      </c>
      <c r="E168" s="24" t="s">
        <v>3473</v>
      </c>
      <c r="F168" s="24">
        <v>2.5575000000000001</v>
      </c>
      <c r="G168" s="24">
        <v>3552354360</v>
      </c>
      <c r="H168" s="24">
        <v>2.5758000000000001</v>
      </c>
      <c r="I168" s="24">
        <v>1.8512999999999999</v>
      </c>
      <c r="J168" s="24">
        <v>1.0644</v>
      </c>
      <c r="K168" s="24">
        <v>537</v>
      </c>
      <c r="L168" s="24" t="s">
        <v>3675</v>
      </c>
    </row>
    <row r="169" spans="1:12" x14ac:dyDescent="0.35">
      <c r="A169" s="24" t="s">
        <v>3242</v>
      </c>
      <c r="B169" s="24" t="str">
        <f>"301016"</f>
        <v>301016</v>
      </c>
      <c r="C169" s="24" t="str">
        <f t="shared" si="2"/>
        <v>'301016.SZ'</v>
      </c>
      <c r="D169" s="24" t="s">
        <v>3676</v>
      </c>
      <c r="E169" s="24" t="s">
        <v>3522</v>
      </c>
      <c r="F169" s="24">
        <v>2.5531999999999999</v>
      </c>
      <c r="G169" s="24">
        <v>2424000000</v>
      </c>
      <c r="H169" s="24">
        <v>4.7934000000000001</v>
      </c>
      <c r="I169" s="24">
        <v>4.0293000000000001</v>
      </c>
      <c r="J169" s="24">
        <v>1.1744000000000001</v>
      </c>
      <c r="K169" s="24">
        <v>47</v>
      </c>
      <c r="L169" s="24" t="s">
        <v>3677</v>
      </c>
    </row>
    <row r="170" spans="1:12" x14ac:dyDescent="0.35">
      <c r="A170" s="24" t="s">
        <v>3242</v>
      </c>
      <c r="B170" s="24" t="str">
        <f>"300378"</f>
        <v>300378</v>
      </c>
      <c r="C170" s="24" t="str">
        <f t="shared" si="2"/>
        <v>'300378.SZ'</v>
      </c>
      <c r="D170" s="24" t="s">
        <v>3678</v>
      </c>
      <c r="E170" s="24" t="s">
        <v>3285</v>
      </c>
      <c r="F170" s="24">
        <v>2.5528</v>
      </c>
      <c r="G170" s="24">
        <v>4360668975.8999996</v>
      </c>
      <c r="H170" s="24">
        <v>2.1656</v>
      </c>
      <c r="I170" s="24">
        <v>2.0684</v>
      </c>
      <c r="J170" s="24">
        <v>1.2883</v>
      </c>
      <c r="K170" s="24">
        <v>202</v>
      </c>
      <c r="L170" s="24" t="s">
        <v>3679</v>
      </c>
    </row>
    <row r="171" spans="1:12" x14ac:dyDescent="0.35">
      <c r="A171" s="24" t="s">
        <v>3246</v>
      </c>
      <c r="B171" s="24" t="str">
        <f>"688244"</f>
        <v>688244</v>
      </c>
      <c r="C171" s="24" t="str">
        <f t="shared" si="2"/>
        <v>'688244.SS'</v>
      </c>
      <c r="D171" s="24" t="s">
        <v>3680</v>
      </c>
      <c r="E171" s="24" t="s">
        <v>3285</v>
      </c>
      <c r="F171" s="24">
        <v>2.5518000000000001</v>
      </c>
      <c r="G171" s="24">
        <v>2674067401.3000002</v>
      </c>
      <c r="H171" s="24">
        <v>7.3452000000000002</v>
      </c>
      <c r="I171" s="24">
        <v>6.7960000000000003</v>
      </c>
      <c r="J171" s="24">
        <v>4.6185999999999998</v>
      </c>
      <c r="K171" s="24">
        <v>6</v>
      </c>
      <c r="L171" s="24" t="s">
        <v>3681</v>
      </c>
    </row>
    <row r="172" spans="1:12" x14ac:dyDescent="0.35">
      <c r="A172" s="24" t="s">
        <v>3246</v>
      </c>
      <c r="B172" s="24" t="str">
        <f>"600566"</f>
        <v>600566</v>
      </c>
      <c r="C172" s="24" t="str">
        <f t="shared" si="2"/>
        <v>'600566.SS'</v>
      </c>
      <c r="D172" s="24" t="s">
        <v>3682</v>
      </c>
      <c r="E172" s="24" t="s">
        <v>3311</v>
      </c>
      <c r="F172" s="24">
        <v>2.5510999999999999</v>
      </c>
      <c r="G172" s="24">
        <v>25525255610.400002</v>
      </c>
      <c r="H172" s="24">
        <v>3.1947999999999999</v>
      </c>
      <c r="I172" s="24">
        <v>3.0326</v>
      </c>
      <c r="J172" s="24">
        <v>1.0414000000000001</v>
      </c>
      <c r="K172" s="24">
        <v>14071</v>
      </c>
      <c r="L172" s="24" t="s">
        <v>3683</v>
      </c>
    </row>
    <row r="173" spans="1:12" x14ac:dyDescent="0.35">
      <c r="A173" s="24" t="s">
        <v>3246</v>
      </c>
      <c r="B173" s="24" t="str">
        <f>"600538"</f>
        <v>600538</v>
      </c>
      <c r="C173" s="24" t="str">
        <f t="shared" si="2"/>
        <v>'600538.SS'</v>
      </c>
      <c r="D173" s="24" t="s">
        <v>3684</v>
      </c>
      <c r="E173" s="24" t="s">
        <v>3685</v>
      </c>
      <c r="F173" s="24">
        <v>2.5505</v>
      </c>
      <c r="G173" s="24">
        <v>2421796367.7600002</v>
      </c>
      <c r="H173" s="24">
        <v>3.4906000000000001</v>
      </c>
      <c r="I173" s="24">
        <v>2.8548</v>
      </c>
      <c r="J173" s="24">
        <v>0.97870000000000001</v>
      </c>
      <c r="K173" s="24">
        <v>76</v>
      </c>
      <c r="L173" s="24" t="s">
        <v>3686</v>
      </c>
    </row>
    <row r="174" spans="1:12" x14ac:dyDescent="0.35">
      <c r="A174" s="24" t="s">
        <v>3242</v>
      </c>
      <c r="B174" s="24" t="str">
        <f>"300414"</f>
        <v>300414</v>
      </c>
      <c r="C174" s="24" t="str">
        <f t="shared" si="2"/>
        <v>'300414.SZ'</v>
      </c>
      <c r="D174" s="24" t="s">
        <v>3687</v>
      </c>
      <c r="E174" s="24" t="s">
        <v>3374</v>
      </c>
      <c r="F174" s="24">
        <v>2.5472000000000001</v>
      </c>
      <c r="G174" s="24">
        <v>2481008136.2600002</v>
      </c>
      <c r="H174" s="24">
        <v>4.2222999999999997</v>
      </c>
      <c r="I174" s="24">
        <v>3.323</v>
      </c>
      <c r="J174" s="24">
        <v>0.97719999999999996</v>
      </c>
      <c r="K174" s="24">
        <v>220</v>
      </c>
      <c r="L174" s="24" t="s">
        <v>3688</v>
      </c>
    </row>
    <row r="175" spans="1:12" x14ac:dyDescent="0.35">
      <c r="A175" s="24" t="s">
        <v>3242</v>
      </c>
      <c r="B175" s="24" t="str">
        <f>"002760"</f>
        <v>002760</v>
      </c>
      <c r="C175" s="24" t="str">
        <f t="shared" si="2"/>
        <v>'002760.SZ'</v>
      </c>
      <c r="D175" s="24" t="s">
        <v>3689</v>
      </c>
      <c r="E175" s="24" t="s">
        <v>3690</v>
      </c>
      <c r="F175" s="24">
        <v>2.5455000000000001</v>
      </c>
      <c r="G175" s="24">
        <v>2470781593.2800002</v>
      </c>
      <c r="H175" s="24">
        <v>2.4666000000000001</v>
      </c>
      <c r="I175" s="24">
        <v>1.9401999999999999</v>
      </c>
      <c r="J175" s="24">
        <v>1.1986000000000001</v>
      </c>
      <c r="K175" s="24">
        <v>81</v>
      </c>
      <c r="L175" s="24" t="s">
        <v>3691</v>
      </c>
    </row>
    <row r="176" spans="1:12" x14ac:dyDescent="0.35">
      <c r="A176" s="24" t="s">
        <v>3242</v>
      </c>
      <c r="B176" s="24" t="str">
        <f>"002580"</f>
        <v>002580</v>
      </c>
      <c r="C176" s="24" t="str">
        <f t="shared" si="2"/>
        <v>'002580.SZ'</v>
      </c>
      <c r="D176" s="24" t="s">
        <v>3692</v>
      </c>
      <c r="E176" s="24" t="s">
        <v>3693</v>
      </c>
      <c r="F176" s="24">
        <v>2.544</v>
      </c>
      <c r="G176" s="24">
        <v>4643079798.3900003</v>
      </c>
      <c r="H176" s="24">
        <v>2.9639000000000002</v>
      </c>
      <c r="I176" s="24">
        <v>2.1469999999999998</v>
      </c>
      <c r="J176" s="24">
        <v>0.88890000000000002</v>
      </c>
      <c r="K176" s="24">
        <v>132</v>
      </c>
      <c r="L176" s="24" t="s">
        <v>3694</v>
      </c>
    </row>
    <row r="177" spans="1:12" x14ac:dyDescent="0.35">
      <c r="A177" s="24" t="s">
        <v>3246</v>
      </c>
      <c r="B177" s="24" t="str">
        <f>"688566"</f>
        <v>688566</v>
      </c>
      <c r="C177" s="24" t="str">
        <f t="shared" si="2"/>
        <v>'688566.SS'</v>
      </c>
      <c r="D177" s="24" t="s">
        <v>3695</v>
      </c>
      <c r="E177" s="24" t="s">
        <v>3696</v>
      </c>
      <c r="F177" s="24">
        <v>2.544</v>
      </c>
      <c r="G177" s="24">
        <v>4090282208</v>
      </c>
      <c r="H177" s="24">
        <v>6.9714999999999998</v>
      </c>
      <c r="I177" s="24">
        <v>6.7717000000000001</v>
      </c>
      <c r="J177" s="24">
        <v>4.1805000000000003</v>
      </c>
      <c r="K177" s="24">
        <v>72</v>
      </c>
      <c r="L177" s="24" t="s">
        <v>3697</v>
      </c>
    </row>
    <row r="178" spans="1:12" x14ac:dyDescent="0.35">
      <c r="A178" s="24" t="s">
        <v>3242</v>
      </c>
      <c r="B178" s="24" t="str">
        <f>"002984"</f>
        <v>002984</v>
      </c>
      <c r="C178" s="24" t="str">
        <f t="shared" si="2"/>
        <v>'002984.SZ'</v>
      </c>
      <c r="D178" s="24" t="s">
        <v>3698</v>
      </c>
      <c r="E178" s="24" t="s">
        <v>3699</v>
      </c>
      <c r="F178" s="24">
        <v>2.5428999999999999</v>
      </c>
      <c r="G178" s="24">
        <v>18515615149.5</v>
      </c>
      <c r="H178" s="24">
        <v>3.6717</v>
      </c>
      <c r="I178" s="24">
        <v>2.4123000000000001</v>
      </c>
      <c r="J178" s="24">
        <v>1.4399</v>
      </c>
      <c r="K178" s="24">
        <v>223</v>
      </c>
      <c r="L178" s="24" t="s">
        <v>3700</v>
      </c>
    </row>
    <row r="179" spans="1:12" x14ac:dyDescent="0.35">
      <c r="A179" s="24" t="s">
        <v>3242</v>
      </c>
      <c r="B179" s="24" t="str">
        <f>"003027"</f>
        <v>003027</v>
      </c>
      <c r="C179" s="24" t="str">
        <f t="shared" si="2"/>
        <v>'003027.SZ'</v>
      </c>
      <c r="D179" s="24" t="s">
        <v>3701</v>
      </c>
      <c r="E179" s="24" t="s">
        <v>3702</v>
      </c>
      <c r="F179" s="24">
        <v>2.5411000000000001</v>
      </c>
      <c r="G179" s="24">
        <v>4212248390</v>
      </c>
      <c r="H179" s="24">
        <v>2.5889000000000002</v>
      </c>
      <c r="I179" s="24">
        <v>1.9061999999999999</v>
      </c>
      <c r="J179" s="24">
        <v>0.93830000000000002</v>
      </c>
      <c r="K179" s="24">
        <v>68</v>
      </c>
      <c r="L179" s="24" t="s">
        <v>3703</v>
      </c>
    </row>
    <row r="180" spans="1:12" x14ac:dyDescent="0.35">
      <c r="A180" s="24" t="s">
        <v>3242</v>
      </c>
      <c r="B180" s="24" t="str">
        <f>"301282"</f>
        <v>301282</v>
      </c>
      <c r="C180" s="24" t="str">
        <f t="shared" si="2"/>
        <v>'301282.SZ'</v>
      </c>
      <c r="D180" s="24" t="s">
        <v>3704</v>
      </c>
      <c r="E180" s="24" t="s">
        <v>3466</v>
      </c>
      <c r="F180" s="24">
        <v>2.5404</v>
      </c>
      <c r="G180" s="24">
        <v>4180531514.8800001</v>
      </c>
      <c r="H180" s="24">
        <v>2.2206000000000001</v>
      </c>
      <c r="I180" s="24">
        <v>1.9931000000000001</v>
      </c>
      <c r="J180" s="24">
        <v>1.2709999999999999</v>
      </c>
      <c r="K180" s="24">
        <v>5</v>
      </c>
      <c r="L180" s="24" t="s">
        <v>3705</v>
      </c>
    </row>
    <row r="181" spans="1:12" x14ac:dyDescent="0.35">
      <c r="A181" s="24" t="s">
        <v>3242</v>
      </c>
      <c r="B181" s="24" t="str">
        <f>"301331"</f>
        <v>301331</v>
      </c>
      <c r="C181" s="24" t="str">
        <f t="shared" si="2"/>
        <v>'301331.SZ'</v>
      </c>
      <c r="D181" s="24" t="s">
        <v>3706</v>
      </c>
      <c r="E181" s="24" t="s">
        <v>3311</v>
      </c>
      <c r="F181" s="24">
        <v>2.5387</v>
      </c>
      <c r="G181" s="24">
        <v>2880582404.1300001</v>
      </c>
      <c r="H181" s="24">
        <v>4.8109000000000002</v>
      </c>
      <c r="I181" s="24">
        <v>4.2403000000000004</v>
      </c>
      <c r="J181" s="24">
        <v>2.9375</v>
      </c>
      <c r="K181" s="24">
        <v>5</v>
      </c>
      <c r="L181" s="24" t="s">
        <v>3707</v>
      </c>
    </row>
    <row r="182" spans="1:12" x14ac:dyDescent="0.35">
      <c r="A182" s="24" t="s">
        <v>3242</v>
      </c>
      <c r="B182" s="24" t="str">
        <f>"300497"</f>
        <v>300497</v>
      </c>
      <c r="C182" s="24" t="str">
        <f t="shared" si="2"/>
        <v>'300497.SZ'</v>
      </c>
      <c r="D182" s="24" t="s">
        <v>3708</v>
      </c>
      <c r="E182" s="24" t="s">
        <v>3658</v>
      </c>
      <c r="F182" s="24">
        <v>2.5384000000000002</v>
      </c>
      <c r="G182" s="24">
        <v>7271063905.4799995</v>
      </c>
      <c r="H182" s="24">
        <v>1.9870000000000001</v>
      </c>
      <c r="I182" s="24">
        <v>1.4965999999999999</v>
      </c>
      <c r="J182" s="24">
        <v>1.0125999999999999</v>
      </c>
      <c r="K182" s="24">
        <v>4699</v>
      </c>
      <c r="L182" s="24" t="s">
        <v>3709</v>
      </c>
    </row>
    <row r="183" spans="1:12" x14ac:dyDescent="0.35">
      <c r="A183" s="24" t="s">
        <v>3242</v>
      </c>
      <c r="B183" s="24" t="str">
        <f>"300294"</f>
        <v>300294</v>
      </c>
      <c r="C183" s="24" t="str">
        <f t="shared" si="2"/>
        <v>'300294.SZ'</v>
      </c>
      <c r="D183" s="24" t="s">
        <v>3710</v>
      </c>
      <c r="E183" s="24" t="s">
        <v>3711</v>
      </c>
      <c r="F183" s="24">
        <v>2.5367999999999999</v>
      </c>
      <c r="G183" s="24">
        <v>18193294467.040001</v>
      </c>
      <c r="H183" s="24">
        <v>8.9994999999999994</v>
      </c>
      <c r="I183" s="24">
        <v>8.0046999999999997</v>
      </c>
      <c r="J183" s="24">
        <v>1.651</v>
      </c>
      <c r="K183" s="24">
        <v>510</v>
      </c>
      <c r="L183" s="24" t="s">
        <v>3712</v>
      </c>
    </row>
    <row r="184" spans="1:12" x14ac:dyDescent="0.35">
      <c r="A184" s="24" t="s">
        <v>3242</v>
      </c>
      <c r="B184" s="24" t="str">
        <f>"300018"</f>
        <v>300018</v>
      </c>
      <c r="C184" s="24" t="str">
        <f t="shared" si="2"/>
        <v>'300018.SZ'</v>
      </c>
      <c r="D184" s="24" t="s">
        <v>3713</v>
      </c>
      <c r="E184" s="24" t="s">
        <v>3354</v>
      </c>
      <c r="F184" s="24">
        <v>2.5360999999999998</v>
      </c>
      <c r="G184" s="24">
        <v>3038855307.52</v>
      </c>
      <c r="H184" s="24">
        <v>6.3609</v>
      </c>
      <c r="I184" s="24">
        <v>5.1986999999999997</v>
      </c>
      <c r="J184" s="24">
        <v>0.94279999999999997</v>
      </c>
      <c r="K184" s="24">
        <v>130</v>
      </c>
      <c r="L184" s="24" t="s">
        <v>3714</v>
      </c>
    </row>
    <row r="185" spans="1:12" x14ac:dyDescent="0.35">
      <c r="A185" s="24" t="s">
        <v>3242</v>
      </c>
      <c r="B185" s="24" t="str">
        <f>"301130"</f>
        <v>301130</v>
      </c>
      <c r="C185" s="24" t="str">
        <f t="shared" si="2"/>
        <v>'301130.SZ'</v>
      </c>
      <c r="D185" s="24" t="s">
        <v>3715</v>
      </c>
      <c r="E185" s="24" t="s">
        <v>3696</v>
      </c>
      <c r="F185" s="24">
        <v>2.5354000000000001</v>
      </c>
      <c r="G185" s="24">
        <v>2374827884.77</v>
      </c>
      <c r="H185" s="24">
        <v>22.186900000000001</v>
      </c>
      <c r="I185" s="24">
        <v>21.256799999999998</v>
      </c>
      <c r="J185" s="24">
        <v>5.9901</v>
      </c>
      <c r="K185" s="24">
        <v>17</v>
      </c>
      <c r="L185" s="24" t="s">
        <v>3716</v>
      </c>
    </row>
    <row r="186" spans="1:12" x14ac:dyDescent="0.35">
      <c r="A186" s="24" t="s">
        <v>3246</v>
      </c>
      <c r="B186" s="24" t="str">
        <f>"688030"</f>
        <v>688030</v>
      </c>
      <c r="C186" s="24" t="str">
        <f t="shared" si="2"/>
        <v>'688030.SS'</v>
      </c>
      <c r="D186" s="24" t="s">
        <v>3717</v>
      </c>
      <c r="E186" s="24" t="s">
        <v>3285</v>
      </c>
      <c r="F186" s="24">
        <v>2.5346000000000002</v>
      </c>
      <c r="G186" s="24">
        <v>3716319340.6399999</v>
      </c>
      <c r="H186" s="24">
        <v>5.0545999999999998</v>
      </c>
      <c r="I186" s="24">
        <v>4.4307999999999996</v>
      </c>
      <c r="J186" s="24">
        <v>0.86799999999999999</v>
      </c>
      <c r="K186" s="24">
        <v>158</v>
      </c>
      <c r="L186" s="24" t="s">
        <v>3718</v>
      </c>
    </row>
    <row r="187" spans="1:12" x14ac:dyDescent="0.35">
      <c r="A187" s="24" t="s">
        <v>3246</v>
      </c>
      <c r="B187" s="24" t="str">
        <f>"600557"</f>
        <v>600557</v>
      </c>
      <c r="C187" s="24" t="str">
        <f t="shared" si="2"/>
        <v>'600557.SS'</v>
      </c>
      <c r="D187" s="24" t="s">
        <v>3719</v>
      </c>
      <c r="E187" s="24" t="s">
        <v>3311</v>
      </c>
      <c r="F187" s="24">
        <v>2.5344000000000002</v>
      </c>
      <c r="G187" s="24">
        <v>11621807285.76</v>
      </c>
      <c r="H187" s="24">
        <v>2.3706999999999998</v>
      </c>
      <c r="I187" s="24">
        <v>2.1562999999999999</v>
      </c>
      <c r="J187" s="24">
        <v>0.91020000000000001</v>
      </c>
      <c r="K187" s="24">
        <v>448</v>
      </c>
      <c r="L187" s="24" t="s">
        <v>3720</v>
      </c>
    </row>
    <row r="188" spans="1:12" x14ac:dyDescent="0.35">
      <c r="A188" s="24" t="s">
        <v>3242</v>
      </c>
      <c r="B188" s="24" t="str">
        <f>"301218"</f>
        <v>301218</v>
      </c>
      <c r="C188" s="24" t="str">
        <f t="shared" si="2"/>
        <v>'301218.SZ'</v>
      </c>
      <c r="D188" s="24" t="s">
        <v>3721</v>
      </c>
      <c r="E188" s="24" t="s">
        <v>3722</v>
      </c>
      <c r="F188" s="24">
        <v>2.5324</v>
      </c>
      <c r="G188" s="24">
        <v>2220358800</v>
      </c>
      <c r="H188" s="24">
        <v>3.0893999999999999</v>
      </c>
      <c r="I188" s="24">
        <v>2.3172000000000001</v>
      </c>
      <c r="J188" s="24">
        <v>1.5176000000000001</v>
      </c>
      <c r="K188" s="24">
        <v>18</v>
      </c>
      <c r="L188" s="24" t="s">
        <v>3723</v>
      </c>
    </row>
    <row r="189" spans="1:12" x14ac:dyDescent="0.35">
      <c r="A189" s="24" t="s">
        <v>3246</v>
      </c>
      <c r="B189" s="24" t="str">
        <f>"688303"</f>
        <v>688303</v>
      </c>
      <c r="C189" s="24" t="str">
        <f t="shared" si="2"/>
        <v>'688303.SS'</v>
      </c>
      <c r="D189" s="24" t="s">
        <v>3724</v>
      </c>
      <c r="E189" s="24" t="s">
        <v>3725</v>
      </c>
      <c r="F189" s="24">
        <v>2.5322</v>
      </c>
      <c r="G189" s="24">
        <v>104839284345.75</v>
      </c>
      <c r="H189" s="24">
        <v>4.4656000000000002</v>
      </c>
      <c r="I189" s="24">
        <v>4.3903999999999996</v>
      </c>
      <c r="J189" s="24">
        <v>2.7930999999999999</v>
      </c>
      <c r="K189" s="24">
        <v>199</v>
      </c>
      <c r="L189" s="24" t="s">
        <v>3726</v>
      </c>
    </row>
    <row r="190" spans="1:12" x14ac:dyDescent="0.35">
      <c r="A190" s="24" t="s">
        <v>3242</v>
      </c>
      <c r="B190" s="24" t="str">
        <f>"002982"</f>
        <v>002982</v>
      </c>
      <c r="C190" s="24" t="str">
        <f t="shared" si="2"/>
        <v>'002982.SZ'</v>
      </c>
      <c r="D190" s="24" t="s">
        <v>3727</v>
      </c>
      <c r="E190" s="24" t="s">
        <v>3728</v>
      </c>
      <c r="F190" s="24">
        <v>2.5295999999999998</v>
      </c>
      <c r="G190" s="24">
        <v>4314659757.1000004</v>
      </c>
      <c r="H190" s="24">
        <v>2.3513999999999999</v>
      </c>
      <c r="I190" s="24">
        <v>1.4742</v>
      </c>
      <c r="J190" s="24">
        <v>0.95599999999999996</v>
      </c>
      <c r="K190" s="24">
        <v>150</v>
      </c>
      <c r="L190" s="24" t="s">
        <v>3729</v>
      </c>
    </row>
    <row r="191" spans="1:12" x14ac:dyDescent="0.35">
      <c r="A191" s="24" t="s">
        <v>3246</v>
      </c>
      <c r="B191" s="24" t="str">
        <f>"688286"</f>
        <v>688286</v>
      </c>
      <c r="C191" s="24" t="str">
        <f t="shared" si="2"/>
        <v>'688286.SS'</v>
      </c>
      <c r="D191" s="24" t="s">
        <v>3730</v>
      </c>
      <c r="E191" s="24" t="s">
        <v>3389</v>
      </c>
      <c r="F191" s="24">
        <v>2.5257000000000001</v>
      </c>
      <c r="G191" s="24">
        <v>2717682470.1399999</v>
      </c>
      <c r="H191" s="24">
        <v>17.681100000000001</v>
      </c>
      <c r="I191" s="24">
        <v>12.4506</v>
      </c>
      <c r="J191" s="24">
        <v>7.2652999999999999</v>
      </c>
      <c r="K191" s="24">
        <v>108</v>
      </c>
      <c r="L191" s="24" t="s">
        <v>3731</v>
      </c>
    </row>
    <row r="192" spans="1:12" x14ac:dyDescent="0.35">
      <c r="A192" s="24" t="s">
        <v>3246</v>
      </c>
      <c r="B192" s="24" t="str">
        <f>"688087"</f>
        <v>688087</v>
      </c>
      <c r="C192" s="24" t="str">
        <f t="shared" si="2"/>
        <v>'688087.SS'</v>
      </c>
      <c r="D192" s="24" t="s">
        <v>3732</v>
      </c>
      <c r="E192" s="24" t="s">
        <v>3733</v>
      </c>
      <c r="F192" s="24">
        <v>2.5236000000000001</v>
      </c>
      <c r="G192" s="24">
        <v>5204702745.3800001</v>
      </c>
      <c r="H192" s="24">
        <v>2.8224</v>
      </c>
      <c r="I192" s="24">
        <v>1.9535</v>
      </c>
      <c r="J192" s="24">
        <v>1.3099000000000001</v>
      </c>
      <c r="K192" s="24">
        <v>36</v>
      </c>
      <c r="L192" s="24" t="s">
        <v>3734</v>
      </c>
    </row>
    <row r="193" spans="1:12" x14ac:dyDescent="0.35">
      <c r="A193" s="24" t="s">
        <v>3242</v>
      </c>
      <c r="B193" s="24" t="str">
        <f>"002646"</f>
        <v>002646</v>
      </c>
      <c r="C193" s="24" t="str">
        <f t="shared" si="2"/>
        <v>'002646.SZ'</v>
      </c>
      <c r="D193" s="24" t="s">
        <v>3735</v>
      </c>
      <c r="E193" s="24" t="s">
        <v>3362</v>
      </c>
      <c r="F193" s="24">
        <v>2.5217000000000001</v>
      </c>
      <c r="G193" s="24">
        <v>7027011423.3800001</v>
      </c>
      <c r="H193" s="24">
        <v>5.2516999999999996</v>
      </c>
      <c r="I193" s="24">
        <v>1.6518999999999999</v>
      </c>
      <c r="J193" s="24">
        <v>1.5891999999999999</v>
      </c>
      <c r="K193" s="24">
        <v>271</v>
      </c>
      <c r="L193" s="24" t="s">
        <v>3736</v>
      </c>
    </row>
    <row r="194" spans="1:12" x14ac:dyDescent="0.35">
      <c r="A194" s="24" t="s">
        <v>3242</v>
      </c>
      <c r="B194" s="24" t="str">
        <f>"002833"</f>
        <v>002833</v>
      </c>
      <c r="C194" s="24" t="str">
        <f t="shared" si="2"/>
        <v>'002833.SZ'</v>
      </c>
      <c r="D194" s="24" t="s">
        <v>3737</v>
      </c>
      <c r="E194" s="24" t="s">
        <v>3244</v>
      </c>
      <c r="F194" s="24">
        <v>2.5196000000000001</v>
      </c>
      <c r="G194" s="24">
        <v>5828920419.8400002</v>
      </c>
      <c r="H194" s="24">
        <v>5.0244999999999997</v>
      </c>
      <c r="I194" s="24">
        <v>4.2013999999999996</v>
      </c>
      <c r="J194" s="24">
        <v>2.238</v>
      </c>
      <c r="K194" s="24">
        <v>2930</v>
      </c>
      <c r="L194" s="24" t="s">
        <v>3738</v>
      </c>
    </row>
    <row r="195" spans="1:12" x14ac:dyDescent="0.35">
      <c r="A195" s="24" t="s">
        <v>3242</v>
      </c>
      <c r="B195" s="24" t="str">
        <f>"300531"</f>
        <v>300531</v>
      </c>
      <c r="C195" s="24" t="str">
        <f t="shared" ref="C195:C258" si="3">CONCATENATE("'",B195,IF(A195="sh",".SS'",".SZ'"))</f>
        <v>'300531.SZ'</v>
      </c>
      <c r="D195" s="24" t="s">
        <v>3739</v>
      </c>
      <c r="E195" s="24" t="s">
        <v>3257</v>
      </c>
      <c r="F195" s="24">
        <v>2.5158</v>
      </c>
      <c r="G195" s="24">
        <v>4394765835</v>
      </c>
      <c r="H195" s="24">
        <v>2.7197</v>
      </c>
      <c r="I195" s="24">
        <v>2.0081000000000002</v>
      </c>
      <c r="J195" s="24">
        <v>1.1194</v>
      </c>
      <c r="K195" s="24">
        <v>175</v>
      </c>
      <c r="L195" s="24" t="s">
        <v>3740</v>
      </c>
    </row>
    <row r="196" spans="1:12" x14ac:dyDescent="0.35">
      <c r="A196" s="24" t="s">
        <v>3242</v>
      </c>
      <c r="B196" s="24" t="str">
        <f>"300673"</f>
        <v>300673</v>
      </c>
      <c r="C196" s="24" t="str">
        <f t="shared" si="3"/>
        <v>'300673.SZ'</v>
      </c>
      <c r="D196" s="24" t="s">
        <v>3741</v>
      </c>
      <c r="E196" s="24" t="s">
        <v>3742</v>
      </c>
      <c r="F196" s="24">
        <v>2.5154000000000001</v>
      </c>
      <c r="G196" s="24">
        <v>4513415186.8000002</v>
      </c>
      <c r="H196" s="24">
        <v>4.0054999999999996</v>
      </c>
      <c r="I196" s="24">
        <v>2.5691999999999999</v>
      </c>
      <c r="J196" s="24">
        <v>1.5096000000000001</v>
      </c>
      <c r="K196" s="24">
        <v>521</v>
      </c>
      <c r="L196" s="24" t="s">
        <v>3743</v>
      </c>
    </row>
    <row r="197" spans="1:12" x14ac:dyDescent="0.35">
      <c r="A197" s="24" t="s">
        <v>3242</v>
      </c>
      <c r="B197" s="24" t="str">
        <f>"300397"</f>
        <v>300397</v>
      </c>
      <c r="C197" s="24" t="str">
        <f t="shared" si="3"/>
        <v>'300397.SZ'</v>
      </c>
      <c r="D197" s="24" t="s">
        <v>3744</v>
      </c>
      <c r="E197" s="24" t="s">
        <v>3383</v>
      </c>
      <c r="F197" s="24">
        <v>2.5133999999999999</v>
      </c>
      <c r="G197" s="24">
        <v>4886490872.8000002</v>
      </c>
      <c r="H197" s="24">
        <v>3.6789000000000001</v>
      </c>
      <c r="I197" s="24">
        <v>2.5920000000000001</v>
      </c>
      <c r="J197" s="24">
        <v>1.7175</v>
      </c>
      <c r="K197" s="24">
        <v>235</v>
      </c>
      <c r="L197" s="24" t="s">
        <v>3745</v>
      </c>
    </row>
    <row r="198" spans="1:12" x14ac:dyDescent="0.35">
      <c r="A198" s="24" t="s">
        <v>3242</v>
      </c>
      <c r="B198" s="24" t="str">
        <f>"301067"</f>
        <v>301067</v>
      </c>
      <c r="C198" s="24" t="str">
        <f t="shared" si="3"/>
        <v>'301067.SZ'</v>
      </c>
      <c r="D198" s="24" t="s">
        <v>3746</v>
      </c>
      <c r="E198" s="24" t="s">
        <v>3327</v>
      </c>
      <c r="F198" s="24">
        <v>2.5112999999999999</v>
      </c>
      <c r="G198" s="24">
        <v>2112722200</v>
      </c>
      <c r="H198" s="24">
        <v>3.4470999999999998</v>
      </c>
      <c r="I198" s="24">
        <v>2.8328000000000002</v>
      </c>
      <c r="J198" s="24">
        <v>1.6177999999999999</v>
      </c>
      <c r="K198" s="24">
        <v>29</v>
      </c>
      <c r="L198" s="24" t="s">
        <v>3747</v>
      </c>
    </row>
    <row r="199" spans="1:12" x14ac:dyDescent="0.35">
      <c r="A199" s="24" t="s">
        <v>3242</v>
      </c>
      <c r="B199" s="24" t="str">
        <f>"000403"</f>
        <v>000403</v>
      </c>
      <c r="C199" s="24" t="str">
        <f t="shared" si="3"/>
        <v>'000403.SZ'</v>
      </c>
      <c r="D199" s="24" t="s">
        <v>3748</v>
      </c>
      <c r="E199" s="24" t="s">
        <v>3711</v>
      </c>
      <c r="F199" s="24">
        <v>2.5110999999999999</v>
      </c>
      <c r="G199" s="24">
        <v>16580632686.639999</v>
      </c>
      <c r="H199" s="24">
        <v>3.4077999999999999</v>
      </c>
      <c r="I199" s="24">
        <v>2.3538999999999999</v>
      </c>
      <c r="J199" s="24">
        <v>0.998</v>
      </c>
      <c r="K199" s="24">
        <v>313</v>
      </c>
      <c r="L199" s="24" t="s">
        <v>3749</v>
      </c>
    </row>
    <row r="200" spans="1:12" x14ac:dyDescent="0.35">
      <c r="A200" s="24" t="s">
        <v>3246</v>
      </c>
      <c r="B200" s="24" t="str">
        <f>"605028"</f>
        <v>605028</v>
      </c>
      <c r="C200" s="24" t="str">
        <f t="shared" si="3"/>
        <v>'605028.SS'</v>
      </c>
      <c r="D200" s="24" t="s">
        <v>3750</v>
      </c>
      <c r="E200" s="24" t="s">
        <v>3332</v>
      </c>
      <c r="F200" s="24">
        <v>2.5068000000000001</v>
      </c>
      <c r="G200" s="24">
        <v>2752000000</v>
      </c>
      <c r="H200" s="24">
        <v>8.3947000000000003</v>
      </c>
      <c r="I200" s="24">
        <v>7.5858999999999996</v>
      </c>
      <c r="J200" s="24">
        <v>5.2042999999999999</v>
      </c>
      <c r="K200" s="24">
        <v>68</v>
      </c>
      <c r="L200" s="24" t="s">
        <v>3751</v>
      </c>
    </row>
    <row r="201" spans="1:12" x14ac:dyDescent="0.35">
      <c r="A201" s="24" t="s">
        <v>3242</v>
      </c>
      <c r="B201" s="24" t="str">
        <f>"002354"</f>
        <v>002354</v>
      </c>
      <c r="C201" s="24" t="str">
        <f t="shared" si="3"/>
        <v>'002354.SZ'</v>
      </c>
      <c r="D201" s="24" t="s">
        <v>3752</v>
      </c>
      <c r="E201" s="24" t="s">
        <v>3481</v>
      </c>
      <c r="F201" s="24">
        <v>2.5021</v>
      </c>
      <c r="G201" s="24">
        <v>6535613989</v>
      </c>
      <c r="H201" s="24">
        <v>4.0876999999999999</v>
      </c>
      <c r="I201" s="24">
        <v>3.895</v>
      </c>
      <c r="J201" s="24">
        <v>1.3394999999999999</v>
      </c>
      <c r="K201" s="24">
        <v>269</v>
      </c>
      <c r="L201" s="24" t="s">
        <v>3753</v>
      </c>
    </row>
    <row r="202" spans="1:12" x14ac:dyDescent="0.35">
      <c r="A202" s="24" t="s">
        <v>3242</v>
      </c>
      <c r="B202" s="24" t="str">
        <f>"300792"</f>
        <v>300792</v>
      </c>
      <c r="C202" s="24" t="str">
        <f t="shared" si="3"/>
        <v>'300792.SZ'</v>
      </c>
      <c r="D202" s="24" t="s">
        <v>3754</v>
      </c>
      <c r="E202" s="24" t="s">
        <v>3755</v>
      </c>
      <c r="F202" s="24">
        <v>2.5017999999999998</v>
      </c>
      <c r="G202" s="24">
        <v>6787358008.5500002</v>
      </c>
      <c r="H202" s="24">
        <v>5.1967999999999996</v>
      </c>
      <c r="I202" s="24">
        <v>4.0831</v>
      </c>
      <c r="J202" s="24">
        <v>2.7381000000000002</v>
      </c>
      <c r="K202" s="24">
        <v>368</v>
      </c>
      <c r="L202" s="24" t="s">
        <v>3756</v>
      </c>
    </row>
    <row r="203" spans="1:12" x14ac:dyDescent="0.35">
      <c r="A203" s="24" t="s">
        <v>3242</v>
      </c>
      <c r="B203" s="24" t="str">
        <f>"301185"</f>
        <v>301185</v>
      </c>
      <c r="C203" s="24" t="str">
        <f t="shared" si="3"/>
        <v>'301185.SZ'</v>
      </c>
      <c r="D203" s="24" t="s">
        <v>3757</v>
      </c>
      <c r="E203" s="24" t="s">
        <v>3722</v>
      </c>
      <c r="F203" s="24">
        <v>2.4994000000000001</v>
      </c>
      <c r="G203" s="24">
        <v>2393314560</v>
      </c>
      <c r="H203" s="24">
        <v>32.804000000000002</v>
      </c>
      <c r="I203" s="24">
        <v>32.060499999999998</v>
      </c>
      <c r="J203" s="24">
        <v>13.873200000000001</v>
      </c>
      <c r="K203" s="24">
        <v>28</v>
      </c>
      <c r="L203" s="24" t="s">
        <v>3758</v>
      </c>
    </row>
    <row r="204" spans="1:12" x14ac:dyDescent="0.35">
      <c r="A204" s="24" t="s">
        <v>3242</v>
      </c>
      <c r="B204" s="24" t="str">
        <f>"002033"</f>
        <v>002033</v>
      </c>
      <c r="C204" s="24" t="str">
        <f t="shared" si="3"/>
        <v>'002033.SZ'</v>
      </c>
      <c r="D204" s="24" t="s">
        <v>3759</v>
      </c>
      <c r="E204" s="24" t="s">
        <v>3397</v>
      </c>
      <c r="F204" s="24">
        <v>2.492</v>
      </c>
      <c r="G204" s="24">
        <v>6077367263.6599998</v>
      </c>
      <c r="H204" s="24">
        <v>5.2141000000000002</v>
      </c>
      <c r="I204" s="24">
        <v>5.0488</v>
      </c>
      <c r="J204" s="24">
        <v>3.7961</v>
      </c>
      <c r="K204" s="24">
        <v>292</v>
      </c>
      <c r="L204" s="24" t="s">
        <v>3760</v>
      </c>
    </row>
    <row r="205" spans="1:12" x14ac:dyDescent="0.35">
      <c r="A205" s="24" t="s">
        <v>3242</v>
      </c>
      <c r="B205" s="24" t="str">
        <f>"300066"</f>
        <v>300066</v>
      </c>
      <c r="C205" s="24" t="str">
        <f t="shared" si="3"/>
        <v>'300066.SZ'</v>
      </c>
      <c r="D205" s="24" t="s">
        <v>3761</v>
      </c>
      <c r="E205" s="24" t="s">
        <v>3476</v>
      </c>
      <c r="F205" s="24">
        <v>2.4906000000000001</v>
      </c>
      <c r="G205" s="24">
        <v>5356171299.3000002</v>
      </c>
      <c r="H205" s="24">
        <v>5.0256999999999996</v>
      </c>
      <c r="I205" s="24">
        <v>3.5448</v>
      </c>
      <c r="J205" s="24">
        <v>1.0077</v>
      </c>
      <c r="K205" s="24">
        <v>200</v>
      </c>
      <c r="L205" s="24" t="s">
        <v>3762</v>
      </c>
    </row>
    <row r="206" spans="1:12" x14ac:dyDescent="0.35">
      <c r="A206" s="24" t="s">
        <v>3246</v>
      </c>
      <c r="B206" s="24" t="str">
        <f>"688613"</f>
        <v>688613</v>
      </c>
      <c r="C206" s="24" t="str">
        <f t="shared" si="3"/>
        <v>'688613.SS'</v>
      </c>
      <c r="D206" s="24" t="s">
        <v>3763</v>
      </c>
      <c r="E206" s="24" t="s">
        <v>3319</v>
      </c>
      <c r="F206" s="24">
        <v>2.4882</v>
      </c>
      <c r="G206" s="24">
        <v>3168000015.8400002</v>
      </c>
      <c r="H206" s="24">
        <v>19.240300000000001</v>
      </c>
      <c r="I206" s="24">
        <v>18.692799999999998</v>
      </c>
      <c r="J206" s="24">
        <v>4.8723000000000001</v>
      </c>
      <c r="K206" s="24">
        <v>57</v>
      </c>
      <c r="L206" s="24" t="s">
        <v>3764</v>
      </c>
    </row>
    <row r="207" spans="1:12" x14ac:dyDescent="0.35">
      <c r="A207" s="24" t="s">
        <v>3242</v>
      </c>
      <c r="B207" s="24" t="str">
        <f>"002970"</f>
        <v>002970</v>
      </c>
      <c r="C207" s="24" t="str">
        <f t="shared" si="3"/>
        <v>'002970.SZ'</v>
      </c>
      <c r="D207" s="24" t="s">
        <v>3765</v>
      </c>
      <c r="E207" s="24" t="s">
        <v>3257</v>
      </c>
      <c r="F207" s="24">
        <v>2.4845999999999999</v>
      </c>
      <c r="G207" s="24">
        <v>3472029720</v>
      </c>
      <c r="H207" s="24">
        <v>2.3746999999999998</v>
      </c>
      <c r="I207" s="24">
        <v>1.5801000000000001</v>
      </c>
      <c r="J207" s="24">
        <v>0.85489999999999999</v>
      </c>
      <c r="K207" s="24">
        <v>567</v>
      </c>
      <c r="L207" s="24" t="s">
        <v>3766</v>
      </c>
    </row>
    <row r="208" spans="1:12" x14ac:dyDescent="0.35">
      <c r="A208" s="24" t="s">
        <v>3246</v>
      </c>
      <c r="B208" s="24" t="str">
        <f>"688981"</f>
        <v>688981</v>
      </c>
      <c r="C208" s="24" t="str">
        <f t="shared" si="3"/>
        <v>'688981.SS'</v>
      </c>
      <c r="D208" s="24" t="s">
        <v>1039</v>
      </c>
      <c r="E208" s="24" t="s">
        <v>3767</v>
      </c>
      <c r="F208" s="24">
        <v>2.4834000000000001</v>
      </c>
      <c r="G208" s="24">
        <v>329799864529.28003</v>
      </c>
      <c r="H208" s="24">
        <v>2.9815</v>
      </c>
      <c r="I208" s="24">
        <v>2.7031000000000001</v>
      </c>
      <c r="J208" s="24">
        <v>2.0865999999999998</v>
      </c>
      <c r="K208" s="24">
        <v>1160</v>
      </c>
      <c r="L208" s="24" t="s">
        <v>3768</v>
      </c>
    </row>
    <row r="209" spans="1:12" x14ac:dyDescent="0.35">
      <c r="A209" s="24" t="s">
        <v>3242</v>
      </c>
      <c r="B209" s="24" t="str">
        <f>"301300"</f>
        <v>301300</v>
      </c>
      <c r="C209" s="24" t="str">
        <f t="shared" si="3"/>
        <v>'301300.SZ'</v>
      </c>
      <c r="D209" s="24" t="s">
        <v>3769</v>
      </c>
      <c r="E209" s="24" t="s">
        <v>3770</v>
      </c>
      <c r="F209" s="24">
        <v>2.4824000000000002</v>
      </c>
      <c r="G209" s="24">
        <v>2031630500</v>
      </c>
      <c r="H209" s="24">
        <v>6.3632999999999997</v>
      </c>
      <c r="I209" s="24">
        <v>6.0545999999999998</v>
      </c>
      <c r="J209" s="24">
        <v>4.5815999999999999</v>
      </c>
      <c r="K209" s="24">
        <v>5</v>
      </c>
      <c r="L209" s="24" t="s">
        <v>3771</v>
      </c>
    </row>
    <row r="210" spans="1:12" x14ac:dyDescent="0.35">
      <c r="A210" s="24" t="s">
        <v>3242</v>
      </c>
      <c r="B210" s="24" t="str">
        <f>"002561"</f>
        <v>002561</v>
      </c>
      <c r="C210" s="24" t="str">
        <f t="shared" si="3"/>
        <v>'002561.SZ'</v>
      </c>
      <c r="D210" s="24" t="s">
        <v>3772</v>
      </c>
      <c r="E210" s="24" t="s">
        <v>3773</v>
      </c>
      <c r="F210" s="24">
        <v>2.4773999999999998</v>
      </c>
      <c r="G210" s="24">
        <v>5479756340</v>
      </c>
      <c r="H210" s="24">
        <v>5.4474999999999998</v>
      </c>
      <c r="I210" s="24">
        <v>5.3487</v>
      </c>
      <c r="J210" s="24">
        <v>2.7317999999999998</v>
      </c>
      <c r="K210" s="24">
        <v>193</v>
      </c>
      <c r="L210" s="24" t="s">
        <v>3774</v>
      </c>
    </row>
    <row r="211" spans="1:12" x14ac:dyDescent="0.35">
      <c r="A211" s="24" t="s">
        <v>3246</v>
      </c>
      <c r="B211" s="24" t="str">
        <f>"601089"</f>
        <v>601089</v>
      </c>
      <c r="C211" s="24" t="str">
        <f t="shared" si="3"/>
        <v>'601089.SS'</v>
      </c>
      <c r="D211" s="24" t="s">
        <v>3775</v>
      </c>
      <c r="E211" s="24" t="s">
        <v>3696</v>
      </c>
      <c r="F211" s="24">
        <v>2.4773000000000001</v>
      </c>
      <c r="G211" s="24">
        <v>7603200000</v>
      </c>
      <c r="H211" s="24">
        <v>3.3944000000000001</v>
      </c>
      <c r="I211" s="24">
        <v>3.0127000000000002</v>
      </c>
      <c r="J211" s="24">
        <v>2.1373000000000002</v>
      </c>
      <c r="K211" s="24">
        <v>21</v>
      </c>
      <c r="L211" s="24" t="s">
        <v>3776</v>
      </c>
    </row>
    <row r="212" spans="1:12" x14ac:dyDescent="0.35">
      <c r="A212" s="24" t="s">
        <v>3242</v>
      </c>
      <c r="B212" s="24" t="str">
        <f>"300288"</f>
        <v>300288</v>
      </c>
      <c r="C212" s="24" t="str">
        <f t="shared" si="3"/>
        <v>'300288.SZ'</v>
      </c>
      <c r="D212" s="24" t="s">
        <v>3777</v>
      </c>
      <c r="E212" s="24" t="s">
        <v>3722</v>
      </c>
      <c r="F212" s="24">
        <v>2.4727000000000001</v>
      </c>
      <c r="G212" s="24">
        <v>3768046632.3000002</v>
      </c>
      <c r="H212" s="24">
        <v>1.899</v>
      </c>
      <c r="I212" s="24">
        <v>1.8048999999999999</v>
      </c>
      <c r="J212" s="24">
        <v>1.4274</v>
      </c>
      <c r="K212" s="24">
        <v>227</v>
      </c>
      <c r="L212" s="24" t="s">
        <v>3778</v>
      </c>
    </row>
    <row r="213" spans="1:12" x14ac:dyDescent="0.35">
      <c r="A213" s="24" t="s">
        <v>3242</v>
      </c>
      <c r="B213" s="24" t="str">
        <f>"300527"</f>
        <v>300527</v>
      </c>
      <c r="C213" s="24" t="str">
        <f t="shared" si="3"/>
        <v>'300527.SZ'</v>
      </c>
      <c r="D213" s="24" t="s">
        <v>3779</v>
      </c>
      <c r="E213" s="24" t="s">
        <v>3446</v>
      </c>
      <c r="F213" s="24">
        <v>2.4617</v>
      </c>
      <c r="G213" s="24">
        <v>6540370756.0799999</v>
      </c>
      <c r="H213" s="24">
        <v>3.3834</v>
      </c>
      <c r="I213" s="24">
        <v>1.4413</v>
      </c>
      <c r="J213" s="24">
        <v>1.0827</v>
      </c>
      <c r="K213" s="24">
        <v>151</v>
      </c>
      <c r="L213" s="24" t="s">
        <v>3780</v>
      </c>
    </row>
    <row r="214" spans="1:12" x14ac:dyDescent="0.35">
      <c r="A214" s="24" t="s">
        <v>3246</v>
      </c>
      <c r="B214" s="24" t="str">
        <f>"688302"</f>
        <v>688302</v>
      </c>
      <c r="C214" s="24" t="str">
        <f t="shared" si="3"/>
        <v>'688302.SS'</v>
      </c>
      <c r="D214" s="24" t="s">
        <v>3781</v>
      </c>
      <c r="E214" s="24" t="s">
        <v>3696</v>
      </c>
      <c r="F214" s="24">
        <v>2.4597000000000002</v>
      </c>
      <c r="G214" s="24">
        <v>4025974214.6799998</v>
      </c>
      <c r="H214" s="24">
        <v>10.9</v>
      </c>
      <c r="I214" s="24">
        <v>10.7964</v>
      </c>
      <c r="J214" s="24">
        <v>1.7346999999999999</v>
      </c>
      <c r="K214" s="24">
        <v>9</v>
      </c>
      <c r="L214" s="24" t="s">
        <v>3782</v>
      </c>
    </row>
    <row r="215" spans="1:12" x14ac:dyDescent="0.35">
      <c r="A215" s="24" t="s">
        <v>3242</v>
      </c>
      <c r="B215" s="24" t="str">
        <f>"002194"</f>
        <v>002194</v>
      </c>
      <c r="C215" s="24" t="str">
        <f t="shared" si="3"/>
        <v>'002194.SZ'</v>
      </c>
      <c r="D215" s="24" t="s">
        <v>3783</v>
      </c>
      <c r="E215" s="24" t="s">
        <v>3314</v>
      </c>
      <c r="F215" s="24">
        <v>2.4573</v>
      </c>
      <c r="G215" s="24">
        <v>6547386871.4799995</v>
      </c>
      <c r="H215" s="24">
        <v>3.9157999999999999</v>
      </c>
      <c r="I215" s="24">
        <v>3.2947000000000002</v>
      </c>
      <c r="J215" s="24">
        <v>2.0110999999999999</v>
      </c>
      <c r="K215" s="24">
        <v>919</v>
      </c>
      <c r="L215" s="24" t="s">
        <v>3784</v>
      </c>
    </row>
    <row r="216" spans="1:12" x14ac:dyDescent="0.35">
      <c r="A216" s="24" t="s">
        <v>3246</v>
      </c>
      <c r="B216" s="24" t="str">
        <f>"600750"</f>
        <v>600750</v>
      </c>
      <c r="C216" s="24" t="str">
        <f t="shared" si="3"/>
        <v>'600750.SS'</v>
      </c>
      <c r="D216" s="24" t="s">
        <v>3785</v>
      </c>
      <c r="E216" s="24" t="s">
        <v>3311</v>
      </c>
      <c r="F216" s="24">
        <v>2.4556</v>
      </c>
      <c r="G216" s="24">
        <v>9311517158.8199997</v>
      </c>
      <c r="H216" s="24">
        <v>2.9839000000000002</v>
      </c>
      <c r="I216" s="24">
        <v>2.6635</v>
      </c>
      <c r="J216" s="24">
        <v>0.88270000000000004</v>
      </c>
      <c r="K216" s="24">
        <v>878</v>
      </c>
      <c r="L216" s="24" t="s">
        <v>3786</v>
      </c>
    </row>
    <row r="217" spans="1:12" x14ac:dyDescent="0.35">
      <c r="A217" s="24" t="s">
        <v>3242</v>
      </c>
      <c r="B217" s="24" t="str">
        <f>"301188"</f>
        <v>301188</v>
      </c>
      <c r="C217" s="24" t="str">
        <f t="shared" si="3"/>
        <v>'301188.SZ'</v>
      </c>
      <c r="D217" s="24" t="s">
        <v>3787</v>
      </c>
      <c r="E217" s="24" t="s">
        <v>3636</v>
      </c>
      <c r="F217" s="24">
        <v>2.4533</v>
      </c>
      <c r="G217" s="24">
        <v>3437343900</v>
      </c>
      <c r="H217" s="24">
        <v>5.5784000000000002</v>
      </c>
      <c r="I217" s="24">
        <v>4.3705999999999996</v>
      </c>
      <c r="J217" s="24">
        <v>2.3148</v>
      </c>
      <c r="K217" s="24">
        <v>23</v>
      </c>
      <c r="L217" s="24" t="s">
        <v>3788</v>
      </c>
    </row>
    <row r="218" spans="1:12" x14ac:dyDescent="0.35">
      <c r="A218" s="24" t="s">
        <v>3242</v>
      </c>
      <c r="B218" s="24" t="str">
        <f>"300642"</f>
        <v>300642</v>
      </c>
      <c r="C218" s="24" t="str">
        <f t="shared" si="3"/>
        <v>'300642.SZ'</v>
      </c>
      <c r="D218" s="24" t="s">
        <v>3789</v>
      </c>
      <c r="E218" s="24" t="s">
        <v>3432</v>
      </c>
      <c r="F218" s="24">
        <v>2.448</v>
      </c>
      <c r="G218" s="24">
        <v>3499506650.1599998</v>
      </c>
      <c r="H218" s="24">
        <v>8.4</v>
      </c>
      <c r="I218" s="24">
        <v>6.5110000000000001</v>
      </c>
      <c r="J218" s="24">
        <v>2.2225999999999999</v>
      </c>
      <c r="K218" s="24">
        <v>415</v>
      </c>
      <c r="L218" s="24" t="s">
        <v>3790</v>
      </c>
    </row>
    <row r="219" spans="1:12" x14ac:dyDescent="0.35">
      <c r="A219" s="24" t="s">
        <v>3246</v>
      </c>
      <c r="B219" s="24" t="str">
        <f>"688273"</f>
        <v>688273</v>
      </c>
      <c r="C219" s="24" t="str">
        <f t="shared" si="3"/>
        <v>'688273.SS'</v>
      </c>
      <c r="D219" s="24" t="s">
        <v>3791</v>
      </c>
      <c r="E219" s="24" t="s">
        <v>3443</v>
      </c>
      <c r="F219" s="24">
        <v>2.4449999999999998</v>
      </c>
      <c r="G219" s="24">
        <v>3269000000</v>
      </c>
      <c r="H219" s="24">
        <v>13.795299999999999</v>
      </c>
      <c r="I219" s="24">
        <v>13.0402</v>
      </c>
      <c r="J219" s="24">
        <v>10.584300000000001</v>
      </c>
      <c r="K219" s="24">
        <v>7</v>
      </c>
      <c r="L219" s="24" t="s">
        <v>3792</v>
      </c>
    </row>
    <row r="220" spans="1:12" x14ac:dyDescent="0.35">
      <c r="A220" s="24" t="s">
        <v>3242</v>
      </c>
      <c r="B220" s="24" t="str">
        <f>"002166"</f>
        <v>002166</v>
      </c>
      <c r="C220" s="24" t="str">
        <f t="shared" si="3"/>
        <v>'002166.SZ'</v>
      </c>
      <c r="D220" s="24" t="s">
        <v>3793</v>
      </c>
      <c r="E220" s="24" t="s">
        <v>3419</v>
      </c>
      <c r="F220" s="24">
        <v>2.4449000000000001</v>
      </c>
      <c r="G220" s="24">
        <v>7650869801.75</v>
      </c>
      <c r="H220" s="24">
        <v>2.4409000000000001</v>
      </c>
      <c r="I220" s="24">
        <v>1.3545</v>
      </c>
      <c r="J220" s="24">
        <v>0.92330000000000001</v>
      </c>
      <c r="K220" s="24">
        <v>214</v>
      </c>
      <c r="L220" s="24" t="s">
        <v>3794</v>
      </c>
    </row>
    <row r="221" spans="1:12" x14ac:dyDescent="0.35">
      <c r="A221" s="24" t="s">
        <v>3242</v>
      </c>
      <c r="B221" s="24" t="str">
        <f>"301103"</f>
        <v>301103</v>
      </c>
      <c r="C221" s="24" t="str">
        <f t="shared" si="3"/>
        <v>'301103.SZ'</v>
      </c>
      <c r="D221" s="24" t="s">
        <v>3795</v>
      </c>
      <c r="E221" s="24" t="s">
        <v>3796</v>
      </c>
      <c r="F221" s="24">
        <v>2.4369000000000001</v>
      </c>
      <c r="G221" s="24">
        <v>5377640808.1300001</v>
      </c>
      <c r="H221" s="24">
        <v>10.8414</v>
      </c>
      <c r="I221" s="24">
        <v>10.3056</v>
      </c>
      <c r="J221" s="24">
        <v>10.032299999999999</v>
      </c>
      <c r="K221" s="24">
        <v>17</v>
      </c>
      <c r="L221" s="24" t="s">
        <v>3797</v>
      </c>
    </row>
    <row r="222" spans="1:12" x14ac:dyDescent="0.35">
      <c r="A222" s="24" t="s">
        <v>3242</v>
      </c>
      <c r="B222" s="24" t="str">
        <f>"002609"</f>
        <v>002609</v>
      </c>
      <c r="C222" s="24" t="str">
        <f t="shared" si="3"/>
        <v>'002609.SZ'</v>
      </c>
      <c r="D222" s="24" t="s">
        <v>3798</v>
      </c>
      <c r="E222" s="24" t="s">
        <v>3722</v>
      </c>
      <c r="F222" s="24">
        <v>2.4306999999999999</v>
      </c>
      <c r="G222" s="24">
        <v>5695963021.9799995</v>
      </c>
      <c r="H222" s="24">
        <v>3.0377000000000001</v>
      </c>
      <c r="I222" s="24">
        <v>2.3359999999999999</v>
      </c>
      <c r="J222" s="24">
        <v>0.89939999999999998</v>
      </c>
      <c r="K222" s="24">
        <v>219</v>
      </c>
      <c r="L222" s="24" t="s">
        <v>3799</v>
      </c>
    </row>
    <row r="223" spans="1:12" x14ac:dyDescent="0.35">
      <c r="A223" s="24" t="s">
        <v>3246</v>
      </c>
      <c r="B223" s="24" t="str">
        <f>"603189"</f>
        <v>603189</v>
      </c>
      <c r="C223" s="24" t="str">
        <f t="shared" si="3"/>
        <v>'603189.SS'</v>
      </c>
      <c r="D223" s="24" t="s">
        <v>3800</v>
      </c>
      <c r="E223" s="24" t="s">
        <v>3368</v>
      </c>
      <c r="F223" s="24">
        <v>2.4289999999999998</v>
      </c>
      <c r="G223" s="24">
        <v>4142958124.1300001</v>
      </c>
      <c r="H223" s="24">
        <v>14.256600000000001</v>
      </c>
      <c r="I223" s="24">
        <v>13.069000000000001</v>
      </c>
      <c r="J223" s="24">
        <v>3.8094000000000001</v>
      </c>
      <c r="K223" s="24">
        <v>174</v>
      </c>
      <c r="L223" s="24" t="s">
        <v>3801</v>
      </c>
    </row>
    <row r="224" spans="1:12" x14ac:dyDescent="0.35">
      <c r="A224" s="24" t="s">
        <v>3242</v>
      </c>
      <c r="B224" s="24" t="str">
        <f>"301009"</f>
        <v>301009</v>
      </c>
      <c r="C224" s="24" t="str">
        <f t="shared" si="3"/>
        <v>'301009.SZ'</v>
      </c>
      <c r="D224" s="24" t="s">
        <v>3802</v>
      </c>
      <c r="E224" s="24" t="s">
        <v>3571</v>
      </c>
      <c r="F224" s="24">
        <v>2.4285999999999999</v>
      </c>
      <c r="G224" s="24">
        <v>3425436000</v>
      </c>
      <c r="H224" s="24">
        <v>2.4009999999999998</v>
      </c>
      <c r="I224" s="24">
        <v>2.0226000000000002</v>
      </c>
      <c r="J224" s="24">
        <v>1.5126999999999999</v>
      </c>
      <c r="K224" s="24">
        <v>61</v>
      </c>
      <c r="L224" s="24" t="s">
        <v>3803</v>
      </c>
    </row>
    <row r="225" spans="1:12" x14ac:dyDescent="0.35">
      <c r="A225" s="24" t="s">
        <v>3246</v>
      </c>
      <c r="B225" s="24" t="str">
        <f>"603128"</f>
        <v>603128</v>
      </c>
      <c r="C225" s="24" t="str">
        <f t="shared" si="3"/>
        <v>'603128.SS'</v>
      </c>
      <c r="D225" s="24" t="s">
        <v>3804</v>
      </c>
      <c r="E225" s="24" t="s">
        <v>3805</v>
      </c>
      <c r="F225" s="24">
        <v>2.4251</v>
      </c>
      <c r="G225" s="24">
        <v>13670793417.24</v>
      </c>
      <c r="H225" s="24">
        <v>2.3933</v>
      </c>
      <c r="I225" s="24">
        <v>2.2837999999999998</v>
      </c>
      <c r="J225" s="24">
        <v>0.8569</v>
      </c>
      <c r="K225" s="24">
        <v>300</v>
      </c>
      <c r="L225" s="24" t="s">
        <v>3806</v>
      </c>
    </row>
    <row r="226" spans="1:12" x14ac:dyDescent="0.35">
      <c r="A226" s="24" t="s">
        <v>3242</v>
      </c>
      <c r="B226" s="24" t="str">
        <f>"300112"</f>
        <v>300112</v>
      </c>
      <c r="C226" s="24" t="str">
        <f t="shared" si="3"/>
        <v>'300112.SZ'</v>
      </c>
      <c r="D226" s="24" t="s">
        <v>3807</v>
      </c>
      <c r="E226" s="24" t="s">
        <v>3476</v>
      </c>
      <c r="F226" s="24">
        <v>2.4228000000000001</v>
      </c>
      <c r="G226" s="24">
        <v>2706538026.9000001</v>
      </c>
      <c r="H226" s="24">
        <v>3.4005000000000001</v>
      </c>
      <c r="I226" s="24">
        <v>2.3835999999999999</v>
      </c>
      <c r="J226" s="24">
        <v>0.95609999999999995</v>
      </c>
      <c r="K226" s="24">
        <v>131</v>
      </c>
      <c r="L226" s="24" t="s">
        <v>3808</v>
      </c>
    </row>
    <row r="227" spans="1:12" x14ac:dyDescent="0.35">
      <c r="A227" s="24" t="s">
        <v>3242</v>
      </c>
      <c r="B227" s="24" t="str">
        <f>"300109"</f>
        <v>300109</v>
      </c>
      <c r="C227" s="24" t="str">
        <f t="shared" si="3"/>
        <v>'300109.SZ'</v>
      </c>
      <c r="D227" s="24" t="s">
        <v>3809</v>
      </c>
      <c r="E227" s="24" t="s">
        <v>3271</v>
      </c>
      <c r="F227" s="24">
        <v>2.4218999999999999</v>
      </c>
      <c r="G227" s="24">
        <v>8081438158.1499996</v>
      </c>
      <c r="H227" s="24">
        <v>4.3061999999999996</v>
      </c>
      <c r="I227" s="24">
        <v>3.6686000000000001</v>
      </c>
      <c r="J227" s="24">
        <v>1.1822999999999999</v>
      </c>
      <c r="K227" s="24">
        <v>127</v>
      </c>
      <c r="L227" s="24" t="s">
        <v>3810</v>
      </c>
    </row>
    <row r="228" spans="1:12" x14ac:dyDescent="0.35">
      <c r="A228" s="24" t="s">
        <v>3242</v>
      </c>
      <c r="B228" s="24" t="str">
        <f>"301132"</f>
        <v>301132</v>
      </c>
      <c r="C228" s="24" t="str">
        <f t="shared" si="3"/>
        <v>'301132.SZ'</v>
      </c>
      <c r="D228" s="24" t="s">
        <v>3811</v>
      </c>
      <c r="E228" s="24" t="s">
        <v>3466</v>
      </c>
      <c r="F228" s="24">
        <v>2.4216000000000002</v>
      </c>
      <c r="G228" s="24">
        <v>3910904400</v>
      </c>
      <c r="H228" s="24">
        <v>3.2240000000000002</v>
      </c>
      <c r="I228" s="24">
        <v>2.9941</v>
      </c>
      <c r="J228" s="24">
        <v>2.0436000000000001</v>
      </c>
      <c r="K228" s="24">
        <v>8</v>
      </c>
      <c r="L228" s="24" t="s">
        <v>3812</v>
      </c>
    </row>
    <row r="229" spans="1:12" x14ac:dyDescent="0.35">
      <c r="A229" s="24" t="s">
        <v>3242</v>
      </c>
      <c r="B229" s="24" t="str">
        <f>"300765"</f>
        <v>300765</v>
      </c>
      <c r="C229" s="24" t="str">
        <f t="shared" si="3"/>
        <v>'300765.SZ'</v>
      </c>
      <c r="D229" s="24" t="s">
        <v>3813</v>
      </c>
      <c r="E229" s="24" t="s">
        <v>3658</v>
      </c>
      <c r="F229" s="24">
        <v>2.4190999999999998</v>
      </c>
      <c r="G229" s="24">
        <v>10001846777.92</v>
      </c>
      <c r="H229" s="24">
        <v>9.2128999999999994</v>
      </c>
      <c r="I229" s="24">
        <v>8.3598999999999997</v>
      </c>
      <c r="J229" s="24">
        <v>5.4343000000000004</v>
      </c>
      <c r="K229" s="24">
        <v>183</v>
      </c>
      <c r="L229" s="24" t="s">
        <v>3814</v>
      </c>
    </row>
    <row r="230" spans="1:12" x14ac:dyDescent="0.35">
      <c r="A230" s="24" t="s">
        <v>3246</v>
      </c>
      <c r="B230" s="24" t="str">
        <f>"605398"</f>
        <v>605398</v>
      </c>
      <c r="C230" s="24" t="str">
        <f t="shared" si="3"/>
        <v>'605398.SS'</v>
      </c>
      <c r="D230" s="24" t="s">
        <v>3815</v>
      </c>
      <c r="E230" s="24" t="s">
        <v>3722</v>
      </c>
      <c r="F230" s="24">
        <v>2.4127999999999998</v>
      </c>
      <c r="G230" s="24">
        <v>2398967769.5999999</v>
      </c>
      <c r="H230" s="24">
        <v>6.1242999999999999</v>
      </c>
      <c r="I230" s="24">
        <v>4.4166999999999996</v>
      </c>
      <c r="J230" s="24">
        <v>3.8828999999999998</v>
      </c>
      <c r="K230" s="24">
        <v>48</v>
      </c>
      <c r="L230" s="24" t="s">
        <v>3816</v>
      </c>
    </row>
    <row r="231" spans="1:12" x14ac:dyDescent="0.35">
      <c r="A231" s="24" t="s">
        <v>3242</v>
      </c>
      <c r="B231" s="24" t="str">
        <f>"300928"</f>
        <v>300928</v>
      </c>
      <c r="C231" s="24" t="str">
        <f t="shared" si="3"/>
        <v>'300928.SZ'</v>
      </c>
      <c r="D231" s="24" t="s">
        <v>3817</v>
      </c>
      <c r="E231" s="24" t="s">
        <v>3274</v>
      </c>
      <c r="F231" s="24">
        <v>2.4112</v>
      </c>
      <c r="G231" s="24">
        <v>3123200000</v>
      </c>
      <c r="H231" s="24">
        <v>24.116800000000001</v>
      </c>
      <c r="I231" s="24">
        <v>22.8644</v>
      </c>
      <c r="J231" s="24">
        <v>9.2213999999999992</v>
      </c>
      <c r="K231" s="24">
        <v>40</v>
      </c>
      <c r="L231" s="24" t="s">
        <v>3818</v>
      </c>
    </row>
    <row r="232" spans="1:12" x14ac:dyDescent="0.35">
      <c r="A232" s="24" t="s">
        <v>3242</v>
      </c>
      <c r="B232" s="24" t="str">
        <f>"002956"</f>
        <v>002956</v>
      </c>
      <c r="C232" s="24" t="str">
        <f t="shared" si="3"/>
        <v>'002956.SZ'</v>
      </c>
      <c r="D232" s="24" t="s">
        <v>3819</v>
      </c>
      <c r="E232" s="24" t="s">
        <v>3365</v>
      </c>
      <c r="F232" s="24">
        <v>2.407</v>
      </c>
      <c r="G232" s="24">
        <v>3324604491.4099998</v>
      </c>
      <c r="H232" s="24">
        <v>3.2004999999999999</v>
      </c>
      <c r="I232" s="24">
        <v>2.8443000000000001</v>
      </c>
      <c r="J232" s="24">
        <v>0.96079999999999999</v>
      </c>
      <c r="K232" s="24">
        <v>291</v>
      </c>
      <c r="L232" s="24" t="s">
        <v>3820</v>
      </c>
    </row>
    <row r="233" spans="1:12" x14ac:dyDescent="0.35">
      <c r="A233" s="24" t="s">
        <v>3246</v>
      </c>
      <c r="B233" s="24" t="str">
        <f>"603217"</f>
        <v>603217</v>
      </c>
      <c r="C233" s="24" t="str">
        <f t="shared" si="3"/>
        <v>'603217.SS'</v>
      </c>
      <c r="D233" s="24" t="s">
        <v>3821</v>
      </c>
      <c r="E233" s="24" t="s">
        <v>3271</v>
      </c>
      <c r="F233" s="24">
        <v>2.4066999999999998</v>
      </c>
      <c r="G233" s="24">
        <v>6972832336</v>
      </c>
      <c r="H233" s="24">
        <v>5.1292999999999997</v>
      </c>
      <c r="I233" s="24">
        <v>4.2191000000000001</v>
      </c>
      <c r="J233" s="24">
        <v>1.954</v>
      </c>
      <c r="K233" s="24">
        <v>86</v>
      </c>
      <c r="L233" s="24" t="s">
        <v>3822</v>
      </c>
    </row>
    <row r="234" spans="1:12" x14ac:dyDescent="0.35">
      <c r="A234" s="24" t="s">
        <v>3246</v>
      </c>
      <c r="B234" s="24" t="str">
        <f>"688580"</f>
        <v>688580</v>
      </c>
      <c r="C234" s="24" t="str">
        <f t="shared" si="3"/>
        <v>'688580.SS'</v>
      </c>
      <c r="D234" s="24" t="s">
        <v>3823</v>
      </c>
      <c r="E234" s="24" t="s">
        <v>3443</v>
      </c>
      <c r="F234" s="24">
        <v>2.4062999999999999</v>
      </c>
      <c r="G234" s="24">
        <v>3636378712.3299999</v>
      </c>
      <c r="H234" s="24">
        <v>19.271899999999999</v>
      </c>
      <c r="I234" s="24">
        <v>18.800799999999999</v>
      </c>
      <c r="J234" s="24">
        <v>18.340299999999999</v>
      </c>
      <c r="K234" s="24">
        <v>244</v>
      </c>
      <c r="L234" s="24" t="s">
        <v>3824</v>
      </c>
    </row>
    <row r="235" spans="1:12" x14ac:dyDescent="0.35">
      <c r="A235" s="24" t="s">
        <v>3246</v>
      </c>
      <c r="B235" s="24" t="str">
        <f>"688136"</f>
        <v>688136</v>
      </c>
      <c r="C235" s="24" t="str">
        <f t="shared" si="3"/>
        <v>'688136.SS'</v>
      </c>
      <c r="D235" s="24" t="s">
        <v>3825</v>
      </c>
      <c r="E235" s="24" t="s">
        <v>3282</v>
      </c>
      <c r="F235" s="24">
        <v>2.4037000000000002</v>
      </c>
      <c r="G235" s="24">
        <v>4421089462.5</v>
      </c>
      <c r="H235" s="24">
        <v>2.0552999999999999</v>
      </c>
      <c r="I235" s="24">
        <v>1.7394000000000001</v>
      </c>
      <c r="J235" s="24">
        <v>0.94369999999999998</v>
      </c>
      <c r="K235" s="24">
        <v>68</v>
      </c>
      <c r="L235" s="24" t="s">
        <v>3826</v>
      </c>
    </row>
    <row r="236" spans="1:12" x14ac:dyDescent="0.35">
      <c r="A236" s="24" t="s">
        <v>3242</v>
      </c>
      <c r="B236" s="24" t="str">
        <f>"002127"</f>
        <v>002127</v>
      </c>
      <c r="C236" s="24" t="str">
        <f t="shared" si="3"/>
        <v>'002127.SZ'</v>
      </c>
      <c r="D236" s="24" t="s">
        <v>3827</v>
      </c>
      <c r="E236" s="24" t="s">
        <v>3755</v>
      </c>
      <c r="F236" s="24">
        <v>2.395</v>
      </c>
      <c r="G236" s="24">
        <v>11807926638.43</v>
      </c>
      <c r="H236" s="24">
        <v>5.2831999999999999</v>
      </c>
      <c r="I236" s="24">
        <v>4.4821999999999997</v>
      </c>
      <c r="J236" s="24">
        <v>2.3609</v>
      </c>
      <c r="K236" s="24">
        <v>1706</v>
      </c>
      <c r="L236" s="24" t="s">
        <v>3828</v>
      </c>
    </row>
    <row r="237" spans="1:12" x14ac:dyDescent="0.35">
      <c r="A237" s="24" t="s">
        <v>3242</v>
      </c>
      <c r="B237" s="24" t="str">
        <f>"002755"</f>
        <v>002755</v>
      </c>
      <c r="C237" s="24" t="str">
        <f t="shared" si="3"/>
        <v>'002755.SZ'</v>
      </c>
      <c r="D237" s="24" t="s">
        <v>3829</v>
      </c>
      <c r="E237" s="24" t="s">
        <v>3696</v>
      </c>
      <c r="F237" s="24">
        <v>2.3942000000000001</v>
      </c>
      <c r="G237" s="24">
        <v>7499535636.0799999</v>
      </c>
      <c r="H237" s="24">
        <v>7.3525999999999998</v>
      </c>
      <c r="I237" s="24">
        <v>6.7454000000000001</v>
      </c>
      <c r="J237" s="24">
        <v>2.6274999999999999</v>
      </c>
      <c r="K237" s="24">
        <v>300</v>
      </c>
      <c r="L237" s="24" t="s">
        <v>3830</v>
      </c>
    </row>
    <row r="238" spans="1:12" x14ac:dyDescent="0.35">
      <c r="A238" s="24" t="s">
        <v>3246</v>
      </c>
      <c r="B238" s="24" t="str">
        <f>"688387"</f>
        <v>688387</v>
      </c>
      <c r="C238" s="24" t="str">
        <f t="shared" si="3"/>
        <v>'688387.SS'</v>
      </c>
      <c r="D238" s="24" t="s">
        <v>3831</v>
      </c>
      <c r="E238" s="24" t="s">
        <v>3314</v>
      </c>
      <c r="F238" s="24">
        <v>2.3929999999999998</v>
      </c>
      <c r="G238" s="24">
        <v>17435625000</v>
      </c>
      <c r="H238" s="24">
        <v>2.1101999999999999</v>
      </c>
      <c r="I238" s="24">
        <v>1.7031000000000001</v>
      </c>
      <c r="J238" s="24">
        <v>0.93569999999999998</v>
      </c>
      <c r="K238" s="24">
        <v>4</v>
      </c>
      <c r="L238" s="24" t="s">
        <v>3832</v>
      </c>
    </row>
    <row r="239" spans="1:12" x14ac:dyDescent="0.35">
      <c r="A239" s="24" t="s">
        <v>3242</v>
      </c>
      <c r="B239" s="24" t="str">
        <f>"301152"</f>
        <v>301152</v>
      </c>
      <c r="C239" s="24" t="str">
        <f t="shared" si="3"/>
        <v>'301152.SZ'</v>
      </c>
      <c r="D239" s="24" t="s">
        <v>3833</v>
      </c>
      <c r="E239" s="24" t="s">
        <v>3377</v>
      </c>
      <c r="F239" s="24">
        <v>2.3879000000000001</v>
      </c>
      <c r="G239" s="24">
        <v>6033244904.2200003</v>
      </c>
      <c r="H239" s="24">
        <v>3.0821999999999998</v>
      </c>
      <c r="I239" s="24">
        <v>2.3081</v>
      </c>
      <c r="J239" s="24">
        <v>1.4413</v>
      </c>
      <c r="K239" s="24">
        <v>10</v>
      </c>
      <c r="L239" s="24" t="s">
        <v>3834</v>
      </c>
    </row>
    <row r="240" spans="1:12" x14ac:dyDescent="0.35">
      <c r="A240" s="24" t="s">
        <v>3242</v>
      </c>
      <c r="B240" s="24" t="str">
        <f>"300785"</f>
        <v>300785</v>
      </c>
      <c r="C240" s="24" t="str">
        <f t="shared" si="3"/>
        <v>'300785.SZ'</v>
      </c>
      <c r="D240" s="24" t="s">
        <v>3835</v>
      </c>
      <c r="E240" s="24" t="s">
        <v>3348</v>
      </c>
      <c r="F240" s="24">
        <v>2.3866999999999998</v>
      </c>
      <c r="G240" s="24">
        <v>4207693840.8400002</v>
      </c>
      <c r="H240" s="24">
        <v>6.3083</v>
      </c>
      <c r="I240" s="24">
        <v>6.1906999999999996</v>
      </c>
      <c r="J240" s="24">
        <v>3.7523</v>
      </c>
      <c r="K240" s="24">
        <v>331</v>
      </c>
      <c r="L240" s="24" t="s">
        <v>3836</v>
      </c>
    </row>
    <row r="241" spans="1:12" x14ac:dyDescent="0.35">
      <c r="A241" s="24" t="s">
        <v>3242</v>
      </c>
      <c r="B241" s="24" t="str">
        <f>"300825"</f>
        <v>300825</v>
      </c>
      <c r="C241" s="24" t="str">
        <f t="shared" si="3"/>
        <v>'300825.SZ'</v>
      </c>
      <c r="D241" s="24" t="s">
        <v>3837</v>
      </c>
      <c r="E241" s="24" t="s">
        <v>3641</v>
      </c>
      <c r="F241" s="24">
        <v>2.3866999999999998</v>
      </c>
      <c r="G241" s="24">
        <v>5776327676.1599998</v>
      </c>
      <c r="H241" s="24">
        <v>5.2839999999999998</v>
      </c>
      <c r="I241" s="24">
        <v>3.7444000000000002</v>
      </c>
      <c r="J241" s="24">
        <v>1.4177999999999999</v>
      </c>
      <c r="K241" s="24">
        <v>87</v>
      </c>
      <c r="L241" s="24" t="s">
        <v>3838</v>
      </c>
    </row>
    <row r="242" spans="1:12" x14ac:dyDescent="0.35">
      <c r="A242" s="24" t="s">
        <v>3242</v>
      </c>
      <c r="B242" s="24" t="str">
        <f>"001332"</f>
        <v>001332</v>
      </c>
      <c r="C242" s="24" t="str">
        <f t="shared" si="3"/>
        <v>'001332.SZ'</v>
      </c>
      <c r="D242" s="24" t="s">
        <v>3839</v>
      </c>
      <c r="E242" s="24" t="s">
        <v>3840</v>
      </c>
      <c r="F242" s="24">
        <v>2.3866999999999998</v>
      </c>
      <c r="G242" s="24">
        <v>4943200000</v>
      </c>
      <c r="H242" s="24">
        <v>3.4312999999999998</v>
      </c>
      <c r="I242" s="24">
        <v>2.4954999999999998</v>
      </c>
      <c r="J242" s="24">
        <v>1.9806999999999999</v>
      </c>
      <c r="K242" s="24">
        <v>7</v>
      </c>
      <c r="L242" s="24" t="s">
        <v>3841</v>
      </c>
    </row>
    <row r="243" spans="1:12" x14ac:dyDescent="0.35">
      <c r="A243" s="24" t="s">
        <v>3242</v>
      </c>
      <c r="B243" s="24" t="str">
        <f>"300786"</f>
        <v>300786</v>
      </c>
      <c r="C243" s="24" t="str">
        <f t="shared" si="3"/>
        <v>'300786.SZ'</v>
      </c>
      <c r="D243" s="24" t="s">
        <v>3842</v>
      </c>
      <c r="E243" s="24" t="s">
        <v>3843</v>
      </c>
      <c r="F243" s="24">
        <v>2.383</v>
      </c>
      <c r="G243" s="24">
        <v>2964495810.6900001</v>
      </c>
      <c r="H243" s="24">
        <v>2.8919999999999999</v>
      </c>
      <c r="I243" s="24">
        <v>1.8353999999999999</v>
      </c>
      <c r="J243" s="24">
        <v>0.88219999999999998</v>
      </c>
      <c r="K243" s="24">
        <v>117</v>
      </c>
      <c r="L243" s="24" t="s">
        <v>3844</v>
      </c>
    </row>
    <row r="244" spans="1:12" x14ac:dyDescent="0.35">
      <c r="A244" s="24" t="s">
        <v>3242</v>
      </c>
      <c r="B244" s="24" t="str">
        <f>"301136"</f>
        <v>301136</v>
      </c>
      <c r="C244" s="24" t="str">
        <f t="shared" si="3"/>
        <v>'301136.SZ'</v>
      </c>
      <c r="D244" s="24" t="s">
        <v>3845</v>
      </c>
      <c r="E244" s="24" t="s">
        <v>3846</v>
      </c>
      <c r="F244" s="24">
        <v>2.3780000000000001</v>
      </c>
      <c r="G244" s="24">
        <v>3539133985.1999998</v>
      </c>
      <c r="H244" s="24">
        <v>3.0754999999999999</v>
      </c>
      <c r="I244" s="24">
        <v>2.4218999999999999</v>
      </c>
      <c r="J244" s="24">
        <v>1.2417</v>
      </c>
      <c r="K244" s="24">
        <v>18</v>
      </c>
      <c r="L244" s="24" t="s">
        <v>3847</v>
      </c>
    </row>
    <row r="245" spans="1:12" x14ac:dyDescent="0.35">
      <c r="A245" s="24" t="s">
        <v>3242</v>
      </c>
      <c r="B245" s="24" t="str">
        <f>"300985"</f>
        <v>300985</v>
      </c>
      <c r="C245" s="24" t="str">
        <f t="shared" si="3"/>
        <v>'300985.SZ'</v>
      </c>
      <c r="D245" s="24" t="s">
        <v>3848</v>
      </c>
      <c r="E245" s="24" t="s">
        <v>3351</v>
      </c>
      <c r="F245" s="24">
        <v>2.3769999999999998</v>
      </c>
      <c r="G245" s="24">
        <v>2890668112</v>
      </c>
      <c r="H245" s="24">
        <v>3.0573999999999999</v>
      </c>
      <c r="I245" s="24">
        <v>1.6741999999999999</v>
      </c>
      <c r="J245" s="24">
        <v>1.3599000000000001</v>
      </c>
      <c r="K245" s="24">
        <v>39</v>
      </c>
      <c r="L245" s="24" t="s">
        <v>3849</v>
      </c>
    </row>
    <row r="246" spans="1:12" x14ac:dyDescent="0.35">
      <c r="A246" s="24" t="s">
        <v>3242</v>
      </c>
      <c r="B246" s="24" t="str">
        <f>"300873"</f>
        <v>300873</v>
      </c>
      <c r="C246" s="24" t="str">
        <f t="shared" si="3"/>
        <v>'300873.SZ'</v>
      </c>
      <c r="D246" s="24" t="s">
        <v>3850</v>
      </c>
      <c r="E246" s="24" t="s">
        <v>3851</v>
      </c>
      <c r="F246" s="24">
        <v>2.3765000000000001</v>
      </c>
      <c r="G246" s="24">
        <v>6212411926.2600002</v>
      </c>
      <c r="H246" s="24">
        <v>4.1349999999999998</v>
      </c>
      <c r="I246" s="24">
        <v>4.0979000000000001</v>
      </c>
      <c r="J246" s="24">
        <v>2.0173000000000001</v>
      </c>
      <c r="K246" s="24">
        <v>116</v>
      </c>
      <c r="L246" s="24" t="s">
        <v>3852</v>
      </c>
    </row>
    <row r="247" spans="1:12" x14ac:dyDescent="0.35">
      <c r="A247" s="24" t="s">
        <v>3246</v>
      </c>
      <c r="B247" s="24" t="str">
        <f>"600616"</f>
        <v>600616</v>
      </c>
      <c r="C247" s="24" t="str">
        <f t="shared" si="3"/>
        <v>'600616.SS'</v>
      </c>
      <c r="D247" s="24" t="s">
        <v>3853</v>
      </c>
      <c r="E247" s="24" t="s">
        <v>3854</v>
      </c>
      <c r="F247" s="24">
        <v>2.3725999999999998</v>
      </c>
      <c r="G247" s="24">
        <v>4475643115.5</v>
      </c>
      <c r="H247" s="24">
        <v>6.4103000000000003</v>
      </c>
      <c r="I247" s="24">
        <v>3.4033000000000002</v>
      </c>
      <c r="J247" s="24">
        <v>1.2892999999999999</v>
      </c>
      <c r="K247" s="24">
        <v>187</v>
      </c>
      <c r="L247" s="24" t="s">
        <v>3855</v>
      </c>
    </row>
    <row r="248" spans="1:12" x14ac:dyDescent="0.35">
      <c r="A248" s="24" t="s">
        <v>3242</v>
      </c>
      <c r="B248" s="24" t="str">
        <f>"300365"</f>
        <v>300365</v>
      </c>
      <c r="C248" s="24" t="str">
        <f t="shared" si="3"/>
        <v>'300365.SZ'</v>
      </c>
      <c r="D248" s="24" t="s">
        <v>3856</v>
      </c>
      <c r="E248" s="24" t="s">
        <v>3368</v>
      </c>
      <c r="F248" s="24">
        <v>2.3711000000000002</v>
      </c>
      <c r="G248" s="24">
        <v>5140761369.3299999</v>
      </c>
      <c r="H248" s="24">
        <v>7.4076000000000004</v>
      </c>
      <c r="I248" s="24">
        <v>5.7093999999999996</v>
      </c>
      <c r="J248" s="24">
        <v>1.0364</v>
      </c>
      <c r="K248" s="24">
        <v>348</v>
      </c>
      <c r="L248" s="24" t="s">
        <v>3857</v>
      </c>
    </row>
    <row r="249" spans="1:12" x14ac:dyDescent="0.35">
      <c r="A249" s="24" t="s">
        <v>3246</v>
      </c>
      <c r="B249" s="24" t="str">
        <f>"605599"</f>
        <v>605599</v>
      </c>
      <c r="C249" s="24" t="str">
        <f t="shared" si="3"/>
        <v>'605599.SS'</v>
      </c>
      <c r="D249" s="24" t="s">
        <v>3858</v>
      </c>
      <c r="E249" s="24" t="s">
        <v>3859</v>
      </c>
      <c r="F249" s="24">
        <v>2.3706999999999998</v>
      </c>
      <c r="G249" s="24">
        <v>7801111334</v>
      </c>
      <c r="H249" s="24">
        <v>2.7296999999999998</v>
      </c>
      <c r="I249" s="24">
        <v>1.4991000000000001</v>
      </c>
      <c r="J249" s="24">
        <v>0.88119999999999998</v>
      </c>
      <c r="K249" s="24">
        <v>29</v>
      </c>
      <c r="L249" s="24" t="s">
        <v>3860</v>
      </c>
    </row>
    <row r="250" spans="1:12" x14ac:dyDescent="0.35">
      <c r="A250" s="24" t="s">
        <v>3246</v>
      </c>
      <c r="B250" s="24" t="str">
        <f>"603040"</f>
        <v>603040</v>
      </c>
      <c r="C250" s="24" t="str">
        <f t="shared" si="3"/>
        <v>'603040.SS'</v>
      </c>
      <c r="D250" s="24" t="s">
        <v>3861</v>
      </c>
      <c r="E250" s="24" t="s">
        <v>3405</v>
      </c>
      <c r="F250" s="24">
        <v>2.3694999999999999</v>
      </c>
      <c r="G250" s="24">
        <v>2504320866.6799998</v>
      </c>
      <c r="H250" s="24">
        <v>6.3913000000000002</v>
      </c>
      <c r="I250" s="24">
        <v>4.7203999999999997</v>
      </c>
      <c r="J250" s="24">
        <v>2.5091000000000001</v>
      </c>
      <c r="K250" s="24">
        <v>657</v>
      </c>
      <c r="L250" s="24" t="s">
        <v>3862</v>
      </c>
    </row>
    <row r="251" spans="1:12" x14ac:dyDescent="0.35">
      <c r="A251" s="24" t="s">
        <v>3242</v>
      </c>
      <c r="B251" s="24" t="str">
        <f>"300317"</f>
        <v>300317</v>
      </c>
      <c r="C251" s="24" t="str">
        <f t="shared" si="3"/>
        <v>'300317.SZ'</v>
      </c>
      <c r="D251" s="24" t="s">
        <v>3863</v>
      </c>
      <c r="E251" s="24" t="s">
        <v>3254</v>
      </c>
      <c r="F251" s="24">
        <v>2.3683999999999998</v>
      </c>
      <c r="G251" s="24">
        <v>4319247452.6000004</v>
      </c>
      <c r="H251" s="24">
        <v>2.2915000000000001</v>
      </c>
      <c r="I251" s="24">
        <v>1.9550000000000001</v>
      </c>
      <c r="J251" s="24">
        <v>0.8508</v>
      </c>
      <c r="K251" s="24">
        <v>145</v>
      </c>
      <c r="L251" s="24" t="s">
        <v>3864</v>
      </c>
    </row>
    <row r="252" spans="1:12" x14ac:dyDescent="0.35">
      <c r="A252" s="24" t="s">
        <v>3246</v>
      </c>
      <c r="B252" s="24" t="str">
        <f>"688658"</f>
        <v>688658</v>
      </c>
      <c r="C252" s="24" t="str">
        <f t="shared" si="3"/>
        <v>'688658.SS'</v>
      </c>
      <c r="D252" s="24" t="s">
        <v>3865</v>
      </c>
      <c r="E252" s="24" t="s">
        <v>3696</v>
      </c>
      <c r="F252" s="24">
        <v>2.3660999999999999</v>
      </c>
      <c r="G252" s="24">
        <v>9504000000</v>
      </c>
      <c r="H252" s="24">
        <v>2.1535000000000002</v>
      </c>
      <c r="I252" s="24">
        <v>1.7224999999999999</v>
      </c>
      <c r="J252" s="24">
        <v>0.91520000000000001</v>
      </c>
      <c r="K252" s="24">
        <v>77</v>
      </c>
      <c r="L252" s="24" t="s">
        <v>3866</v>
      </c>
    </row>
    <row r="253" spans="1:12" x14ac:dyDescent="0.35">
      <c r="A253" s="24" t="s">
        <v>3246</v>
      </c>
      <c r="B253" s="24" t="str">
        <f>"688608"</f>
        <v>688608</v>
      </c>
      <c r="C253" s="24" t="str">
        <f t="shared" si="3"/>
        <v>'688608.SS'</v>
      </c>
      <c r="D253" s="24" t="s">
        <v>3867</v>
      </c>
      <c r="E253" s="24" t="s">
        <v>3277</v>
      </c>
      <c r="F253" s="24">
        <v>2.3654999999999999</v>
      </c>
      <c r="G253" s="24">
        <v>14170800000</v>
      </c>
      <c r="H253" s="24">
        <v>12.8847</v>
      </c>
      <c r="I253" s="24">
        <v>10.917400000000001</v>
      </c>
      <c r="J253" s="24">
        <v>3.7589000000000001</v>
      </c>
      <c r="K253" s="24">
        <v>161</v>
      </c>
      <c r="L253" s="24" t="s">
        <v>3868</v>
      </c>
    </row>
    <row r="254" spans="1:12" x14ac:dyDescent="0.35">
      <c r="A254" s="24" t="s">
        <v>3242</v>
      </c>
      <c r="B254" s="24" t="str">
        <f>"301000"</f>
        <v>301000</v>
      </c>
      <c r="C254" s="24" t="str">
        <f t="shared" si="3"/>
        <v>'301000.SZ'</v>
      </c>
      <c r="D254" s="24" t="s">
        <v>3869</v>
      </c>
      <c r="E254" s="24" t="s">
        <v>3299</v>
      </c>
      <c r="F254" s="24">
        <v>2.3637999999999999</v>
      </c>
      <c r="G254" s="24">
        <v>2600648127</v>
      </c>
      <c r="H254" s="24">
        <v>7.8335999999999997</v>
      </c>
      <c r="I254" s="24">
        <v>6.915</v>
      </c>
      <c r="J254" s="24">
        <v>0.95489999999999997</v>
      </c>
      <c r="K254" s="24">
        <v>31</v>
      </c>
      <c r="L254" s="24" t="s">
        <v>3870</v>
      </c>
    </row>
    <row r="255" spans="1:12" x14ac:dyDescent="0.35">
      <c r="A255" s="24" t="s">
        <v>3246</v>
      </c>
      <c r="B255" s="24" t="str">
        <f>"603599"</f>
        <v>603599</v>
      </c>
      <c r="C255" s="24" t="str">
        <f t="shared" si="3"/>
        <v>'603599.SS'</v>
      </c>
      <c r="D255" s="24" t="s">
        <v>3871</v>
      </c>
      <c r="E255" s="24" t="s">
        <v>3492</v>
      </c>
      <c r="F255" s="24">
        <v>2.3597999999999999</v>
      </c>
      <c r="G255" s="24">
        <v>19293077391.630001</v>
      </c>
      <c r="H255" s="24">
        <v>2.4664999999999999</v>
      </c>
      <c r="I255" s="24">
        <v>2.1629999999999998</v>
      </c>
      <c r="J255" s="24">
        <v>0.86470000000000002</v>
      </c>
      <c r="K255" s="24">
        <v>340</v>
      </c>
      <c r="L255" s="24" t="s">
        <v>3872</v>
      </c>
    </row>
    <row r="256" spans="1:12" x14ac:dyDescent="0.35">
      <c r="A256" s="24" t="s">
        <v>3242</v>
      </c>
      <c r="B256" s="24" t="str">
        <f>"001212"</f>
        <v>001212</v>
      </c>
      <c r="C256" s="24" t="str">
        <f t="shared" si="3"/>
        <v>'001212.SZ'</v>
      </c>
      <c r="D256" s="24" t="s">
        <v>3873</v>
      </c>
      <c r="E256" s="24" t="s">
        <v>3260</v>
      </c>
      <c r="F256" s="24">
        <v>2.3584999999999998</v>
      </c>
      <c r="G256" s="24">
        <v>3288600900</v>
      </c>
      <c r="H256" s="24">
        <v>5.9595000000000002</v>
      </c>
      <c r="I256" s="24">
        <v>5.1341999999999999</v>
      </c>
      <c r="J256" s="24">
        <v>3.9344000000000001</v>
      </c>
      <c r="K256" s="24">
        <v>32</v>
      </c>
      <c r="L256" s="24" t="s">
        <v>3874</v>
      </c>
    </row>
    <row r="257" spans="1:12" x14ac:dyDescent="0.35">
      <c r="A257" s="24" t="s">
        <v>3242</v>
      </c>
      <c r="B257" s="24" t="str">
        <f>"002660"</f>
        <v>002660</v>
      </c>
      <c r="C257" s="24" t="str">
        <f t="shared" si="3"/>
        <v>'002660.SZ'</v>
      </c>
      <c r="D257" s="24" t="s">
        <v>3875</v>
      </c>
      <c r="E257" s="24" t="s">
        <v>3327</v>
      </c>
      <c r="F257" s="24">
        <v>2.3536000000000001</v>
      </c>
      <c r="G257" s="24">
        <v>2910068315.04</v>
      </c>
      <c r="H257" s="24">
        <v>2.0853999999999999</v>
      </c>
      <c r="I257" s="24">
        <v>1.7990999999999999</v>
      </c>
      <c r="J257" s="24">
        <v>0.85709999999999997</v>
      </c>
      <c r="K257" s="24">
        <v>135</v>
      </c>
      <c r="L257" s="24" t="s">
        <v>3876</v>
      </c>
    </row>
    <row r="258" spans="1:12" x14ac:dyDescent="0.35">
      <c r="A258" s="24" t="s">
        <v>3242</v>
      </c>
      <c r="B258" s="24" t="str">
        <f>"301100"</f>
        <v>301100</v>
      </c>
      <c r="C258" s="24" t="str">
        <f t="shared" si="3"/>
        <v>'301100.SZ'</v>
      </c>
      <c r="D258" s="24" t="s">
        <v>3877</v>
      </c>
      <c r="E258" s="24" t="s">
        <v>3271</v>
      </c>
      <c r="F258" s="24">
        <v>2.3515999999999999</v>
      </c>
      <c r="G258" s="24">
        <v>4914000000</v>
      </c>
      <c r="H258" s="24">
        <v>7.2961999999999998</v>
      </c>
      <c r="I258" s="24">
        <v>6.7057000000000002</v>
      </c>
      <c r="J258" s="24">
        <v>4.9164000000000003</v>
      </c>
      <c r="K258" s="24">
        <v>16</v>
      </c>
      <c r="L258" s="24" t="s">
        <v>3878</v>
      </c>
    </row>
    <row r="259" spans="1:12" x14ac:dyDescent="0.35">
      <c r="A259" s="24" t="s">
        <v>3246</v>
      </c>
      <c r="B259" s="24" t="str">
        <f>"600226"</f>
        <v>600226</v>
      </c>
      <c r="C259" s="24" t="str">
        <f t="shared" ref="C259:C322" si="4">CONCATENATE("'",B259,IF(A259="sh",".SS'",".SZ'"))</f>
        <v>'600226.SS'</v>
      </c>
      <c r="D259" s="24" t="s">
        <v>3879</v>
      </c>
      <c r="E259" s="24" t="s">
        <v>3332</v>
      </c>
      <c r="F259" s="24">
        <v>2.3472</v>
      </c>
      <c r="G259" s="24">
        <v>7414093333.0799999</v>
      </c>
      <c r="H259" s="24">
        <v>7.1513</v>
      </c>
      <c r="I259" s="24">
        <v>6.7283999999999997</v>
      </c>
      <c r="J259" s="24">
        <v>4.202</v>
      </c>
      <c r="K259" s="24">
        <v>110</v>
      </c>
      <c r="L259" s="24" t="s">
        <v>3880</v>
      </c>
    </row>
    <row r="260" spans="1:12" x14ac:dyDescent="0.35">
      <c r="A260" s="24" t="s">
        <v>3242</v>
      </c>
      <c r="B260" s="24" t="str">
        <f>"301121"</f>
        <v>301121</v>
      </c>
      <c r="C260" s="24" t="str">
        <f t="shared" si="4"/>
        <v>'301121.SZ'</v>
      </c>
      <c r="D260" s="24" t="s">
        <v>3881</v>
      </c>
      <c r="E260" s="24" t="s">
        <v>3539</v>
      </c>
      <c r="F260" s="24">
        <v>2.3403</v>
      </c>
      <c r="G260" s="24">
        <v>3834700445.4400001</v>
      </c>
      <c r="H260" s="24">
        <v>3.3376999999999999</v>
      </c>
      <c r="I260" s="24">
        <v>2.7048999999999999</v>
      </c>
      <c r="J260" s="24">
        <v>1.1565000000000001</v>
      </c>
      <c r="K260" s="24">
        <v>10</v>
      </c>
      <c r="L260" s="24" t="s">
        <v>3882</v>
      </c>
    </row>
    <row r="261" spans="1:12" x14ac:dyDescent="0.35">
      <c r="A261" s="24" t="s">
        <v>3242</v>
      </c>
      <c r="B261" s="24" t="str">
        <f>"301107"</f>
        <v>301107</v>
      </c>
      <c r="C261" s="24" t="str">
        <f t="shared" si="4"/>
        <v>'301107.SZ'</v>
      </c>
      <c r="D261" s="24" t="s">
        <v>3883</v>
      </c>
      <c r="E261" s="24" t="s">
        <v>3473</v>
      </c>
      <c r="F261" s="24">
        <v>2.3397999999999999</v>
      </c>
      <c r="G261" s="24">
        <v>2091900000</v>
      </c>
      <c r="H261" s="24">
        <v>5.1562999999999999</v>
      </c>
      <c r="I261" s="24">
        <v>4.1670999999999996</v>
      </c>
      <c r="J261" s="24">
        <v>3.3731</v>
      </c>
      <c r="K261" s="24">
        <v>10</v>
      </c>
      <c r="L261" s="24" t="s">
        <v>3884</v>
      </c>
    </row>
    <row r="262" spans="1:12" x14ac:dyDescent="0.35">
      <c r="A262" s="24" t="s">
        <v>3246</v>
      </c>
      <c r="B262" s="24" t="str">
        <f>"600783"</f>
        <v>600783</v>
      </c>
      <c r="C262" s="24" t="str">
        <f t="shared" si="4"/>
        <v>'600783.SS'</v>
      </c>
      <c r="D262" s="24" t="s">
        <v>3885</v>
      </c>
      <c r="E262" s="24" t="s">
        <v>3690</v>
      </c>
      <c r="F262" s="24">
        <v>2.3382999999999998</v>
      </c>
      <c r="G262" s="24">
        <v>9691558007.8799992</v>
      </c>
      <c r="H262" s="24">
        <v>4.4713000000000003</v>
      </c>
      <c r="I262" s="24">
        <v>4.4359999999999999</v>
      </c>
      <c r="J262" s="24">
        <v>2.0773999999999999</v>
      </c>
      <c r="K262" s="24">
        <v>132</v>
      </c>
      <c r="L262" s="24" t="s">
        <v>3886</v>
      </c>
    </row>
    <row r="263" spans="1:12" x14ac:dyDescent="0.35">
      <c r="A263" s="24" t="s">
        <v>3242</v>
      </c>
      <c r="B263" s="24" t="str">
        <f>"300305"</f>
        <v>300305</v>
      </c>
      <c r="C263" s="24" t="str">
        <f t="shared" si="4"/>
        <v>'300305.SZ'</v>
      </c>
      <c r="D263" s="24" t="s">
        <v>3887</v>
      </c>
      <c r="E263" s="24" t="s">
        <v>3888</v>
      </c>
      <c r="F263" s="24">
        <v>2.3380000000000001</v>
      </c>
      <c r="G263" s="24">
        <v>4420813865.0500002</v>
      </c>
      <c r="H263" s="24">
        <v>2.8397000000000001</v>
      </c>
      <c r="I263" s="24">
        <v>2.3995000000000002</v>
      </c>
      <c r="J263" s="24">
        <v>0.97270000000000001</v>
      </c>
      <c r="K263" s="24">
        <v>154</v>
      </c>
      <c r="L263" s="24" t="s">
        <v>3889</v>
      </c>
    </row>
    <row r="264" spans="1:12" x14ac:dyDescent="0.35">
      <c r="A264" s="24" t="s">
        <v>3246</v>
      </c>
      <c r="B264" s="24" t="str">
        <f>"601969"</f>
        <v>601969</v>
      </c>
      <c r="C264" s="24" t="str">
        <f t="shared" si="4"/>
        <v>'601969.SS'</v>
      </c>
      <c r="D264" s="24" t="s">
        <v>3890</v>
      </c>
      <c r="E264" s="24" t="s">
        <v>3891</v>
      </c>
      <c r="F264" s="24">
        <v>2.3376000000000001</v>
      </c>
      <c r="G264" s="24">
        <v>14790791219.83</v>
      </c>
      <c r="H264" s="24">
        <v>2.2069000000000001</v>
      </c>
      <c r="I264" s="24">
        <v>2.0463</v>
      </c>
      <c r="J264" s="24">
        <v>1.3162</v>
      </c>
      <c r="K264" s="24">
        <v>163</v>
      </c>
      <c r="L264" s="24" t="s">
        <v>3892</v>
      </c>
    </row>
    <row r="265" spans="1:12" x14ac:dyDescent="0.35">
      <c r="A265" s="24" t="s">
        <v>3242</v>
      </c>
      <c r="B265" s="24" t="str">
        <f>"301019"</f>
        <v>301019</v>
      </c>
      <c r="C265" s="24" t="str">
        <f t="shared" si="4"/>
        <v>'301019.SZ'</v>
      </c>
      <c r="D265" s="24" t="s">
        <v>3893</v>
      </c>
      <c r="E265" s="24" t="s">
        <v>3733</v>
      </c>
      <c r="F265" s="24">
        <v>2.3357000000000001</v>
      </c>
      <c r="G265" s="24">
        <v>2376000000</v>
      </c>
      <c r="H265" s="24">
        <v>20.952200000000001</v>
      </c>
      <c r="I265" s="24">
        <v>19.4924</v>
      </c>
      <c r="J265" s="24">
        <v>10.843500000000001</v>
      </c>
      <c r="K265" s="24">
        <v>44</v>
      </c>
      <c r="L265" s="24" t="s">
        <v>3894</v>
      </c>
    </row>
    <row r="266" spans="1:12" x14ac:dyDescent="0.35">
      <c r="A266" s="24" t="s">
        <v>3246</v>
      </c>
      <c r="B266" s="24" t="str">
        <f>"688203"</f>
        <v>688203</v>
      </c>
      <c r="C266" s="24" t="str">
        <f t="shared" si="4"/>
        <v>'688203.SS'</v>
      </c>
      <c r="D266" s="24" t="s">
        <v>3895</v>
      </c>
      <c r="E266" s="24" t="s">
        <v>3896</v>
      </c>
      <c r="F266" s="24">
        <v>2.3336999999999999</v>
      </c>
      <c r="G266" s="24">
        <v>3376616612.8800001</v>
      </c>
      <c r="H266" s="24">
        <v>3.7450000000000001</v>
      </c>
      <c r="I266" s="24">
        <v>3.3087</v>
      </c>
      <c r="J266" s="24">
        <v>3.0750000000000002</v>
      </c>
      <c r="K266" s="24">
        <v>4</v>
      </c>
      <c r="L266" s="24" t="s">
        <v>3897</v>
      </c>
    </row>
    <row r="267" spans="1:12" x14ac:dyDescent="0.35">
      <c r="A267" s="24" t="s">
        <v>3242</v>
      </c>
      <c r="B267" s="24" t="str">
        <f>"002650"</f>
        <v>002650</v>
      </c>
      <c r="C267" s="24" t="str">
        <f t="shared" si="4"/>
        <v>'002650.SZ'</v>
      </c>
      <c r="D267" s="24" t="s">
        <v>3898</v>
      </c>
      <c r="E267" s="24" t="s">
        <v>3899</v>
      </c>
      <c r="F267" s="24">
        <v>2.3332000000000002</v>
      </c>
      <c r="G267" s="24">
        <v>5437440000</v>
      </c>
      <c r="H267" s="24">
        <v>2.9889000000000001</v>
      </c>
      <c r="I267" s="24">
        <v>1.1998</v>
      </c>
      <c r="J267" s="24">
        <v>0.88970000000000005</v>
      </c>
      <c r="K267" s="24">
        <v>216</v>
      </c>
      <c r="L267" s="24" t="s">
        <v>3900</v>
      </c>
    </row>
    <row r="268" spans="1:12" x14ac:dyDescent="0.35">
      <c r="A268" s="24" t="s">
        <v>3242</v>
      </c>
      <c r="B268" s="24" t="str">
        <f>"000416"</f>
        <v>000416</v>
      </c>
      <c r="C268" s="24" t="str">
        <f t="shared" si="4"/>
        <v>'000416.SZ'</v>
      </c>
      <c r="D268" s="24" t="s">
        <v>3901</v>
      </c>
      <c r="E268" s="24" t="s">
        <v>3902</v>
      </c>
      <c r="F268" s="24">
        <v>2.3331</v>
      </c>
      <c r="G268" s="24">
        <v>2042386536.96</v>
      </c>
      <c r="H268" s="24">
        <v>38.3003</v>
      </c>
      <c r="I268" s="24">
        <v>38.292999999999999</v>
      </c>
      <c r="J268" s="24">
        <v>2.1419999999999999</v>
      </c>
      <c r="K268" s="24">
        <v>126</v>
      </c>
      <c r="L268" s="24" t="s">
        <v>3903</v>
      </c>
    </row>
    <row r="269" spans="1:12" x14ac:dyDescent="0.35">
      <c r="A269" s="24" t="s">
        <v>3242</v>
      </c>
      <c r="B269" s="24" t="str">
        <f>"301077"</f>
        <v>301077</v>
      </c>
      <c r="C269" s="24" t="str">
        <f t="shared" si="4"/>
        <v>'301077.SZ'</v>
      </c>
      <c r="D269" s="24" t="s">
        <v>3904</v>
      </c>
      <c r="E269" s="24" t="s">
        <v>3271</v>
      </c>
      <c r="F269" s="24">
        <v>2.3311999999999999</v>
      </c>
      <c r="G269" s="24">
        <v>2769600000</v>
      </c>
      <c r="H269" s="24">
        <v>3.3174000000000001</v>
      </c>
      <c r="I269" s="24">
        <v>2.9197000000000002</v>
      </c>
      <c r="J269" s="24">
        <v>2.5846</v>
      </c>
      <c r="K269" s="24">
        <v>40</v>
      </c>
      <c r="L269" s="24" t="s">
        <v>3905</v>
      </c>
    </row>
    <row r="270" spans="1:12" x14ac:dyDescent="0.35">
      <c r="A270" s="24" t="s">
        <v>3242</v>
      </c>
      <c r="B270" s="24" t="str">
        <f>"002643"</f>
        <v>002643</v>
      </c>
      <c r="C270" s="24" t="str">
        <f t="shared" si="4"/>
        <v>'002643.SZ'</v>
      </c>
      <c r="D270" s="24" t="s">
        <v>3906</v>
      </c>
      <c r="E270" s="24" t="s">
        <v>3907</v>
      </c>
      <c r="F270" s="24">
        <v>2.3304999999999998</v>
      </c>
      <c r="G270" s="24">
        <v>14519332656.15</v>
      </c>
      <c r="H270" s="24">
        <v>2.4843000000000002</v>
      </c>
      <c r="I270" s="24">
        <v>1.1355999999999999</v>
      </c>
      <c r="J270" s="24">
        <v>0.80289999999999995</v>
      </c>
      <c r="K270" s="24">
        <v>422</v>
      </c>
      <c r="L270" s="24" t="s">
        <v>3908</v>
      </c>
    </row>
    <row r="271" spans="1:12" x14ac:dyDescent="0.35">
      <c r="A271" s="24" t="s">
        <v>3246</v>
      </c>
      <c r="B271" s="24" t="str">
        <f>"605086"</f>
        <v>605086</v>
      </c>
      <c r="C271" s="24" t="str">
        <f t="shared" si="4"/>
        <v>'605086.SS'</v>
      </c>
      <c r="D271" s="24" t="s">
        <v>3909</v>
      </c>
      <c r="E271" s="24" t="s">
        <v>3910</v>
      </c>
      <c r="F271" s="24">
        <v>2.3298000000000001</v>
      </c>
      <c r="G271" s="24">
        <v>2539520000</v>
      </c>
      <c r="H271" s="24">
        <v>7.5948000000000002</v>
      </c>
      <c r="I271" s="24">
        <v>7.2946</v>
      </c>
      <c r="J271" s="24">
        <v>6.5125999999999999</v>
      </c>
      <c r="K271" s="24">
        <v>38</v>
      </c>
      <c r="L271" s="24" t="s">
        <v>3911</v>
      </c>
    </row>
    <row r="272" spans="1:12" x14ac:dyDescent="0.35">
      <c r="A272" s="24" t="s">
        <v>3246</v>
      </c>
      <c r="B272" s="24" t="str">
        <f>"600645"</f>
        <v>600645</v>
      </c>
      <c r="C272" s="24" t="str">
        <f t="shared" si="4"/>
        <v>'600645.SS'</v>
      </c>
      <c r="D272" s="24" t="s">
        <v>3912</v>
      </c>
      <c r="E272" s="24" t="s">
        <v>3432</v>
      </c>
      <c r="F272" s="24">
        <v>2.3252000000000002</v>
      </c>
      <c r="G272" s="24">
        <v>8245259441.8000002</v>
      </c>
      <c r="H272" s="24">
        <v>1.5752999999999999</v>
      </c>
      <c r="I272" s="24">
        <v>1.3734</v>
      </c>
      <c r="J272" s="24">
        <v>0.9173</v>
      </c>
      <c r="K272" s="24">
        <v>224</v>
      </c>
      <c r="L272" s="24" t="s">
        <v>3913</v>
      </c>
    </row>
    <row r="273" spans="1:12" x14ac:dyDescent="0.35">
      <c r="A273" s="24" t="s">
        <v>3246</v>
      </c>
      <c r="B273" s="24" t="str">
        <f>"603068"</f>
        <v>603068</v>
      </c>
      <c r="C273" s="24" t="str">
        <f t="shared" si="4"/>
        <v>'603068.SS'</v>
      </c>
      <c r="D273" s="24" t="s">
        <v>3914</v>
      </c>
      <c r="E273" s="24" t="s">
        <v>3389</v>
      </c>
      <c r="F273" s="24">
        <v>2.3209</v>
      </c>
      <c r="G273" s="24">
        <v>4399221411.2799997</v>
      </c>
      <c r="H273" s="24">
        <v>7.1178999999999997</v>
      </c>
      <c r="I273" s="24">
        <v>5.0911</v>
      </c>
      <c r="J273" s="24">
        <v>4.1802000000000001</v>
      </c>
      <c r="K273" s="24">
        <v>366</v>
      </c>
      <c r="L273" s="24" t="s">
        <v>3915</v>
      </c>
    </row>
    <row r="274" spans="1:12" x14ac:dyDescent="0.35">
      <c r="A274" s="24" t="s">
        <v>3246</v>
      </c>
      <c r="B274" s="24" t="str">
        <f>"605377"</f>
        <v>605377</v>
      </c>
      <c r="C274" s="24" t="str">
        <f t="shared" si="4"/>
        <v>'605377.SS'</v>
      </c>
      <c r="D274" s="24" t="s">
        <v>3916</v>
      </c>
      <c r="E274" s="24" t="s">
        <v>3917</v>
      </c>
      <c r="F274" s="24">
        <v>2.3201999999999998</v>
      </c>
      <c r="G274" s="24">
        <v>8139915280</v>
      </c>
      <c r="H274" s="24">
        <v>2.1833</v>
      </c>
      <c r="I274" s="24">
        <v>1.7935000000000001</v>
      </c>
      <c r="J274" s="24">
        <v>0.94510000000000005</v>
      </c>
      <c r="K274" s="24">
        <v>78</v>
      </c>
      <c r="L274" s="24" t="s">
        <v>3918</v>
      </c>
    </row>
    <row r="275" spans="1:12" x14ac:dyDescent="0.35">
      <c r="A275" s="24" t="s">
        <v>3246</v>
      </c>
      <c r="B275" s="24" t="str">
        <f>"600053"</f>
        <v>600053</v>
      </c>
      <c r="C275" s="24" t="str">
        <f t="shared" si="4"/>
        <v>'600053.SS'</v>
      </c>
      <c r="D275" s="24" t="s">
        <v>3919</v>
      </c>
      <c r="E275" s="24" t="s">
        <v>3920</v>
      </c>
      <c r="F275" s="24">
        <v>2.3199999999999998</v>
      </c>
      <c r="G275" s="24">
        <v>6641845056</v>
      </c>
      <c r="H275" s="24">
        <v>7.3960999999999997</v>
      </c>
      <c r="I275" s="24">
        <v>1.6418999999999999</v>
      </c>
      <c r="J275" s="24">
        <v>0.86780000000000002</v>
      </c>
      <c r="K275" s="24">
        <v>233</v>
      </c>
      <c r="L275" s="24" t="s">
        <v>3921</v>
      </c>
    </row>
    <row r="276" spans="1:12" x14ac:dyDescent="0.35">
      <c r="A276" s="24" t="s">
        <v>3242</v>
      </c>
      <c r="B276" s="24" t="str">
        <f>"301049"</f>
        <v>301049</v>
      </c>
      <c r="C276" s="24" t="str">
        <f t="shared" si="4"/>
        <v>'301049.SZ'</v>
      </c>
      <c r="D276" s="24" t="s">
        <v>3922</v>
      </c>
      <c r="E276" s="24" t="s">
        <v>3422</v>
      </c>
      <c r="F276" s="24">
        <v>2.3197999999999999</v>
      </c>
      <c r="G276" s="24">
        <v>2087711348.0999999</v>
      </c>
      <c r="H276" s="24">
        <v>3.7397999999999998</v>
      </c>
      <c r="I276" s="24">
        <v>3.5123000000000002</v>
      </c>
      <c r="J276" s="24">
        <v>1.5838000000000001</v>
      </c>
      <c r="K276" s="24">
        <v>29</v>
      </c>
      <c r="L276" s="24" t="s">
        <v>3923</v>
      </c>
    </row>
    <row r="277" spans="1:12" x14ac:dyDescent="0.35">
      <c r="A277" s="24" t="s">
        <v>3246</v>
      </c>
      <c r="B277" s="24" t="str">
        <f>"688687"</f>
        <v>688687</v>
      </c>
      <c r="C277" s="24" t="str">
        <f t="shared" si="4"/>
        <v>'688687.SS'</v>
      </c>
      <c r="D277" s="24" t="s">
        <v>3924</v>
      </c>
      <c r="E277" s="24" t="s">
        <v>3282</v>
      </c>
      <c r="F277" s="24">
        <v>2.3180000000000001</v>
      </c>
      <c r="G277" s="24">
        <v>3937730042.8800001</v>
      </c>
      <c r="H277" s="24">
        <v>4.218</v>
      </c>
      <c r="I277" s="24">
        <v>3.8045</v>
      </c>
      <c r="J277" s="24">
        <v>1.3886000000000001</v>
      </c>
      <c r="K277" s="24">
        <v>44</v>
      </c>
      <c r="L277" s="24" t="s">
        <v>3925</v>
      </c>
    </row>
    <row r="278" spans="1:12" x14ac:dyDescent="0.35">
      <c r="A278" s="24" t="s">
        <v>3242</v>
      </c>
      <c r="B278" s="24" t="str">
        <f>"000513"</f>
        <v>000513</v>
      </c>
      <c r="C278" s="24" t="str">
        <f t="shared" si="4"/>
        <v>'000513.SZ'</v>
      </c>
      <c r="D278" s="24" t="s">
        <v>3926</v>
      </c>
      <c r="E278" s="24" t="s">
        <v>3696</v>
      </c>
      <c r="F278" s="24">
        <v>2.3178000000000001</v>
      </c>
      <c r="G278" s="24">
        <v>31135193423.360001</v>
      </c>
      <c r="H278" s="24">
        <v>2.3184999999999998</v>
      </c>
      <c r="I278" s="24">
        <v>2.0206</v>
      </c>
      <c r="J278" s="24">
        <v>1.4294</v>
      </c>
      <c r="K278" s="24">
        <v>1667</v>
      </c>
      <c r="L278" s="24" t="s">
        <v>3927</v>
      </c>
    </row>
    <row r="279" spans="1:12" x14ac:dyDescent="0.35">
      <c r="A279" s="24" t="s">
        <v>3242</v>
      </c>
      <c r="B279" s="24" t="str">
        <f>"300248"</f>
        <v>300248</v>
      </c>
      <c r="C279" s="24" t="str">
        <f t="shared" si="4"/>
        <v>'300248.SZ'</v>
      </c>
      <c r="D279" s="24" t="s">
        <v>3928</v>
      </c>
      <c r="E279" s="24" t="s">
        <v>3257</v>
      </c>
      <c r="F279" s="24">
        <v>2.3170999999999999</v>
      </c>
      <c r="G279" s="24">
        <v>4392374479.3500004</v>
      </c>
      <c r="H279" s="24">
        <v>3.0705</v>
      </c>
      <c r="I279" s="24">
        <v>2.3214999999999999</v>
      </c>
      <c r="J279" s="24">
        <v>0.97389999999999999</v>
      </c>
      <c r="K279" s="24">
        <v>213</v>
      </c>
      <c r="L279" s="24" t="s">
        <v>3929</v>
      </c>
    </row>
    <row r="280" spans="1:12" x14ac:dyDescent="0.35">
      <c r="A280" s="24" t="s">
        <v>3242</v>
      </c>
      <c r="B280" s="24" t="str">
        <f>"301201"</f>
        <v>301201</v>
      </c>
      <c r="C280" s="24" t="str">
        <f t="shared" si="4"/>
        <v>'301201.SZ'</v>
      </c>
      <c r="D280" s="24" t="s">
        <v>3930</v>
      </c>
      <c r="E280" s="24" t="s">
        <v>3500</v>
      </c>
      <c r="F280" s="24">
        <v>2.3157000000000001</v>
      </c>
      <c r="G280" s="24">
        <v>5093952655.1999998</v>
      </c>
      <c r="H280" s="24">
        <v>21.501100000000001</v>
      </c>
      <c r="I280" s="24">
        <v>19.097899999999999</v>
      </c>
      <c r="J280" s="24">
        <v>5.4265999999999996</v>
      </c>
      <c r="K280" s="24">
        <v>27</v>
      </c>
      <c r="L280" s="24" t="s">
        <v>3931</v>
      </c>
    </row>
    <row r="281" spans="1:12" x14ac:dyDescent="0.35">
      <c r="A281" s="24" t="s">
        <v>3242</v>
      </c>
      <c r="B281" s="24" t="str">
        <f>"001331"</f>
        <v>001331</v>
      </c>
      <c r="C281" s="24" t="str">
        <f t="shared" si="4"/>
        <v>'001331.SZ'</v>
      </c>
      <c r="D281" s="24" t="s">
        <v>3932</v>
      </c>
      <c r="E281" s="24" t="s">
        <v>3933</v>
      </c>
      <c r="F281" s="24">
        <v>2.3155999999999999</v>
      </c>
      <c r="G281" s="24">
        <v>3621600000</v>
      </c>
      <c r="H281" s="24">
        <v>8.4505999999999997</v>
      </c>
      <c r="I281" s="24">
        <v>7.3921999999999999</v>
      </c>
      <c r="J281" s="24">
        <v>6.4184999999999999</v>
      </c>
      <c r="K281" s="24">
        <v>10</v>
      </c>
      <c r="L281" s="24" t="s">
        <v>3934</v>
      </c>
    </row>
    <row r="282" spans="1:12" x14ac:dyDescent="0.35">
      <c r="A282" s="24" t="s">
        <v>3246</v>
      </c>
      <c r="B282" s="24" t="str">
        <f>"688079"</f>
        <v>688079</v>
      </c>
      <c r="C282" s="24" t="str">
        <f t="shared" si="4"/>
        <v>'688079.SS'</v>
      </c>
      <c r="D282" s="24" t="s">
        <v>3935</v>
      </c>
      <c r="E282" s="24" t="s">
        <v>3248</v>
      </c>
      <c r="F282" s="24">
        <v>2.3149000000000002</v>
      </c>
      <c r="G282" s="24">
        <v>3555813339.2399998</v>
      </c>
      <c r="H282" s="24">
        <v>2.3281999999999998</v>
      </c>
      <c r="I282" s="24">
        <v>1.9762</v>
      </c>
      <c r="J282" s="24">
        <v>1.6243000000000001</v>
      </c>
      <c r="K282" s="24">
        <v>48</v>
      </c>
      <c r="L282" s="24" t="s">
        <v>3936</v>
      </c>
    </row>
    <row r="283" spans="1:12" x14ac:dyDescent="0.35">
      <c r="A283" s="24" t="s">
        <v>3242</v>
      </c>
      <c r="B283" s="24" t="str">
        <f>"300892"</f>
        <v>300892</v>
      </c>
      <c r="C283" s="24" t="str">
        <f t="shared" si="4"/>
        <v>'300892.SZ'</v>
      </c>
      <c r="D283" s="24" t="s">
        <v>3937</v>
      </c>
      <c r="E283" s="24" t="s">
        <v>3648</v>
      </c>
      <c r="F283" s="24">
        <v>2.3142</v>
      </c>
      <c r="G283" s="24">
        <v>2685000000</v>
      </c>
      <c r="H283" s="24">
        <v>3.3589000000000002</v>
      </c>
      <c r="I283" s="24">
        <v>2.2343999999999999</v>
      </c>
      <c r="J283" s="24">
        <v>0.96830000000000005</v>
      </c>
      <c r="K283" s="24">
        <v>108</v>
      </c>
      <c r="L283" s="24" t="s">
        <v>3938</v>
      </c>
    </row>
    <row r="284" spans="1:12" x14ac:dyDescent="0.35">
      <c r="A284" s="24" t="s">
        <v>3242</v>
      </c>
      <c r="B284" s="24" t="str">
        <f>"300543"</f>
        <v>300543</v>
      </c>
      <c r="C284" s="24" t="str">
        <f t="shared" si="4"/>
        <v>'300543.SZ'</v>
      </c>
      <c r="D284" s="24" t="s">
        <v>3939</v>
      </c>
      <c r="E284" s="24" t="s">
        <v>3327</v>
      </c>
      <c r="F284" s="24">
        <v>2.3140000000000001</v>
      </c>
      <c r="G284" s="24">
        <v>2340747138.5999999</v>
      </c>
      <c r="H284" s="24">
        <v>2.3866000000000001</v>
      </c>
      <c r="I284" s="24">
        <v>1.7635000000000001</v>
      </c>
      <c r="J284" s="24">
        <v>0.99</v>
      </c>
      <c r="K284" s="24">
        <v>153</v>
      </c>
      <c r="L284" s="24" t="s">
        <v>3940</v>
      </c>
    </row>
    <row r="285" spans="1:12" x14ac:dyDescent="0.35">
      <c r="A285" s="24" t="s">
        <v>3246</v>
      </c>
      <c r="B285" s="24" t="str">
        <f>"605259"</f>
        <v>605259</v>
      </c>
      <c r="C285" s="24" t="str">
        <f t="shared" si="4"/>
        <v>'605259.SS'</v>
      </c>
      <c r="D285" s="24" t="s">
        <v>3941</v>
      </c>
      <c r="E285" s="24" t="s">
        <v>3244</v>
      </c>
      <c r="F285" s="24">
        <v>2.3130000000000002</v>
      </c>
      <c r="G285" s="24">
        <v>3278000000</v>
      </c>
      <c r="H285" s="24">
        <v>3.4714</v>
      </c>
      <c r="I285" s="24">
        <v>2.5497000000000001</v>
      </c>
      <c r="J285" s="24">
        <v>2.1694</v>
      </c>
      <c r="K285" s="24">
        <v>37</v>
      </c>
      <c r="L285" s="24" t="s">
        <v>3942</v>
      </c>
    </row>
    <row r="286" spans="1:12" x14ac:dyDescent="0.35">
      <c r="A286" s="24" t="s">
        <v>3242</v>
      </c>
      <c r="B286" s="24" t="str">
        <f>"301092"</f>
        <v>301092</v>
      </c>
      <c r="C286" s="24" t="str">
        <f t="shared" si="4"/>
        <v>'301092.SZ'</v>
      </c>
      <c r="D286" s="24" t="s">
        <v>3943</v>
      </c>
      <c r="E286" s="24" t="s">
        <v>3944</v>
      </c>
      <c r="F286" s="24">
        <v>2.3113000000000001</v>
      </c>
      <c r="G286" s="24">
        <v>3886666686.0999999</v>
      </c>
      <c r="H286" s="24">
        <v>13.863899999999999</v>
      </c>
      <c r="I286" s="24">
        <v>12.851100000000001</v>
      </c>
      <c r="J286" s="24">
        <v>2.6804999999999999</v>
      </c>
      <c r="K286" s="24">
        <v>35</v>
      </c>
      <c r="L286" s="24" t="s">
        <v>3945</v>
      </c>
    </row>
    <row r="287" spans="1:12" x14ac:dyDescent="0.35">
      <c r="A287" s="24" t="s">
        <v>3242</v>
      </c>
      <c r="B287" s="24" t="str">
        <f>"003010"</f>
        <v>003010</v>
      </c>
      <c r="C287" s="24" t="str">
        <f t="shared" si="4"/>
        <v>'003010.SZ'</v>
      </c>
      <c r="D287" s="24" t="s">
        <v>3946</v>
      </c>
      <c r="E287" s="24" t="s">
        <v>3755</v>
      </c>
      <c r="F287" s="24">
        <v>2.3073999999999999</v>
      </c>
      <c r="G287" s="24">
        <v>2446166784</v>
      </c>
      <c r="H287" s="24">
        <v>14.6494</v>
      </c>
      <c r="I287" s="24">
        <v>7.4825999999999997</v>
      </c>
      <c r="J287" s="24">
        <v>4.4794</v>
      </c>
      <c r="K287" s="24">
        <v>61</v>
      </c>
      <c r="L287" s="24" t="s">
        <v>3947</v>
      </c>
    </row>
    <row r="288" spans="1:12" x14ac:dyDescent="0.35">
      <c r="A288" s="24" t="s">
        <v>3242</v>
      </c>
      <c r="B288" s="24" t="str">
        <f>"300875"</f>
        <v>300875</v>
      </c>
      <c r="C288" s="24" t="str">
        <f t="shared" si="4"/>
        <v>'300875.SZ'</v>
      </c>
      <c r="D288" s="24" t="s">
        <v>3948</v>
      </c>
      <c r="E288" s="24" t="s">
        <v>3446</v>
      </c>
      <c r="F288" s="24">
        <v>2.3048000000000002</v>
      </c>
      <c r="G288" s="24">
        <v>3069918593.25</v>
      </c>
      <c r="H288" s="24">
        <v>4.1056999999999997</v>
      </c>
      <c r="I288" s="24">
        <v>3.1924999999999999</v>
      </c>
      <c r="J288" s="24">
        <v>2.1574</v>
      </c>
      <c r="K288" s="24">
        <v>107</v>
      </c>
      <c r="L288" s="24" t="s">
        <v>3949</v>
      </c>
    </row>
    <row r="289" spans="1:12" x14ac:dyDescent="0.35">
      <c r="A289" s="24" t="s">
        <v>3242</v>
      </c>
      <c r="B289" s="24" t="str">
        <f>"300448"</f>
        <v>300448</v>
      </c>
      <c r="C289" s="24" t="str">
        <f t="shared" si="4"/>
        <v>'300448.SZ'</v>
      </c>
      <c r="D289" s="24" t="s">
        <v>3950</v>
      </c>
      <c r="E289" s="24" t="s">
        <v>3722</v>
      </c>
      <c r="F289" s="24">
        <v>2.3014999999999999</v>
      </c>
      <c r="G289" s="24">
        <v>3267577491.5700002</v>
      </c>
      <c r="H289" s="24">
        <v>11.9663</v>
      </c>
      <c r="I289" s="24">
        <v>9.4570000000000007</v>
      </c>
      <c r="J289" s="24">
        <v>3.7391999999999999</v>
      </c>
      <c r="K289" s="24">
        <v>157</v>
      </c>
      <c r="L289" s="24" t="s">
        <v>3951</v>
      </c>
    </row>
    <row r="290" spans="1:12" x14ac:dyDescent="0.35">
      <c r="A290" s="24" t="s">
        <v>3246</v>
      </c>
      <c r="B290" s="24" t="str">
        <f>"688176"</f>
        <v>688176</v>
      </c>
      <c r="C290" s="24" t="str">
        <f t="shared" si="4"/>
        <v>'688176.SS'</v>
      </c>
      <c r="D290" s="24" t="s">
        <v>3952</v>
      </c>
      <c r="E290" s="24" t="s">
        <v>3696</v>
      </c>
      <c r="F290" s="24">
        <v>2.3007</v>
      </c>
      <c r="G290" s="24">
        <v>6560700000</v>
      </c>
      <c r="H290" s="24">
        <v>33.368499999999997</v>
      </c>
      <c r="I290" s="24">
        <v>33.083399999999997</v>
      </c>
      <c r="J290" s="24">
        <v>8.3969000000000005</v>
      </c>
      <c r="K290" s="24">
        <v>15</v>
      </c>
      <c r="L290" s="24" t="s">
        <v>3953</v>
      </c>
    </row>
    <row r="291" spans="1:12" x14ac:dyDescent="0.35">
      <c r="A291" s="24" t="s">
        <v>3242</v>
      </c>
      <c r="B291" s="24" t="str">
        <f>"300386"</f>
        <v>300386</v>
      </c>
      <c r="C291" s="24" t="str">
        <f t="shared" si="4"/>
        <v>'300386.SZ'</v>
      </c>
      <c r="D291" s="24" t="s">
        <v>3954</v>
      </c>
      <c r="E291" s="24" t="s">
        <v>3257</v>
      </c>
      <c r="F291" s="24">
        <v>2.2963</v>
      </c>
      <c r="G291" s="24">
        <v>4096831200</v>
      </c>
      <c r="H291" s="24">
        <v>5.9013</v>
      </c>
      <c r="I291" s="24">
        <v>3.4144999999999999</v>
      </c>
      <c r="J291" s="24">
        <v>2.1326000000000001</v>
      </c>
      <c r="K291" s="24">
        <v>192</v>
      </c>
      <c r="L291" s="24" t="s">
        <v>3955</v>
      </c>
    </row>
    <row r="292" spans="1:12" x14ac:dyDescent="0.35">
      <c r="A292" s="24" t="s">
        <v>3242</v>
      </c>
      <c r="B292" s="24" t="str">
        <f>"300456"</f>
        <v>300456</v>
      </c>
      <c r="C292" s="24" t="str">
        <f t="shared" si="4"/>
        <v>'300456.SZ'</v>
      </c>
      <c r="D292" s="24" t="s">
        <v>3956</v>
      </c>
      <c r="E292" s="24" t="s">
        <v>3767</v>
      </c>
      <c r="F292" s="24">
        <v>2.2898000000000001</v>
      </c>
      <c r="G292" s="24">
        <v>11395312178.879999</v>
      </c>
      <c r="H292" s="24">
        <v>4.2023999999999999</v>
      </c>
      <c r="I292" s="24">
        <v>3.7326999999999999</v>
      </c>
      <c r="J292" s="24">
        <v>2.7075999999999998</v>
      </c>
      <c r="K292" s="24">
        <v>398</v>
      </c>
      <c r="L292" s="24" t="s">
        <v>3957</v>
      </c>
    </row>
    <row r="293" spans="1:12" x14ac:dyDescent="0.35">
      <c r="A293" s="24" t="s">
        <v>3246</v>
      </c>
      <c r="B293" s="24" t="str">
        <f>"603199"</f>
        <v>603199</v>
      </c>
      <c r="C293" s="24" t="str">
        <f t="shared" si="4"/>
        <v>'603199.SS'</v>
      </c>
      <c r="D293" s="24" t="s">
        <v>3958</v>
      </c>
      <c r="E293" s="24" t="s">
        <v>3397</v>
      </c>
      <c r="F293" s="24">
        <v>2.2898000000000001</v>
      </c>
      <c r="G293" s="24">
        <v>2882107200</v>
      </c>
      <c r="H293" s="24">
        <v>3.3982999999999999</v>
      </c>
      <c r="I293" s="24">
        <v>3.3239000000000001</v>
      </c>
      <c r="J293" s="24">
        <v>1.0447</v>
      </c>
      <c r="K293" s="24">
        <v>150</v>
      </c>
      <c r="L293" s="24" t="s">
        <v>3959</v>
      </c>
    </row>
    <row r="294" spans="1:12" x14ac:dyDescent="0.35">
      <c r="A294" s="24" t="s">
        <v>3242</v>
      </c>
      <c r="B294" s="24" t="str">
        <f>"002405"</f>
        <v>002405</v>
      </c>
      <c r="C294" s="24" t="str">
        <f t="shared" si="4"/>
        <v>'002405.SZ'</v>
      </c>
      <c r="D294" s="24" t="s">
        <v>3960</v>
      </c>
      <c r="E294" s="24" t="s">
        <v>3368</v>
      </c>
      <c r="F294" s="24">
        <v>2.2896000000000001</v>
      </c>
      <c r="G294" s="24">
        <v>27992425772.639999</v>
      </c>
      <c r="H294" s="24">
        <v>4.9622999999999999</v>
      </c>
      <c r="I294" s="24">
        <v>4.3733000000000004</v>
      </c>
      <c r="J294" s="24">
        <v>3.5868000000000002</v>
      </c>
      <c r="K294" s="24">
        <v>3891</v>
      </c>
      <c r="L294" s="24" t="s">
        <v>3961</v>
      </c>
    </row>
    <row r="295" spans="1:12" x14ac:dyDescent="0.35">
      <c r="A295" s="24" t="s">
        <v>3246</v>
      </c>
      <c r="B295" s="24" t="str">
        <f>"603258"</f>
        <v>603258</v>
      </c>
      <c r="C295" s="24" t="str">
        <f t="shared" si="4"/>
        <v>'603258.SS'</v>
      </c>
      <c r="D295" s="24" t="s">
        <v>3962</v>
      </c>
      <c r="E295" s="24" t="s">
        <v>3481</v>
      </c>
      <c r="F295" s="24">
        <v>2.2883</v>
      </c>
      <c r="G295" s="24">
        <v>5480980970</v>
      </c>
      <c r="H295" s="24">
        <v>3.5468000000000002</v>
      </c>
      <c r="I295" s="24">
        <v>3.5185</v>
      </c>
      <c r="J295" s="24">
        <v>2.2120000000000002</v>
      </c>
      <c r="K295" s="24">
        <v>777</v>
      </c>
      <c r="L295" s="24" t="s">
        <v>3963</v>
      </c>
    </row>
    <row r="296" spans="1:12" x14ac:dyDescent="0.35">
      <c r="A296" s="24" t="s">
        <v>3246</v>
      </c>
      <c r="B296" s="24" t="str">
        <f>"688182"</f>
        <v>688182</v>
      </c>
      <c r="C296" s="24" t="str">
        <f t="shared" si="4"/>
        <v>'688182.SS'</v>
      </c>
      <c r="D296" s="24" t="s">
        <v>3964</v>
      </c>
      <c r="E296" s="24" t="s">
        <v>3314</v>
      </c>
      <c r="F296" s="24">
        <v>2.2793999999999999</v>
      </c>
      <c r="G296" s="24">
        <v>4756000000</v>
      </c>
      <c r="H296" s="24">
        <v>11.372199999999999</v>
      </c>
      <c r="I296" s="24">
        <v>10.3123</v>
      </c>
      <c r="J296" s="24">
        <v>3.8048000000000002</v>
      </c>
      <c r="K296" s="24">
        <v>23</v>
      </c>
      <c r="L296" s="24" t="s">
        <v>3965</v>
      </c>
    </row>
    <row r="297" spans="1:12" x14ac:dyDescent="0.35">
      <c r="A297" s="24" t="s">
        <v>3242</v>
      </c>
      <c r="B297" s="24" t="str">
        <f>"002933"</f>
        <v>002933</v>
      </c>
      <c r="C297" s="24" t="str">
        <f t="shared" si="4"/>
        <v>'002933.SZ'</v>
      </c>
      <c r="D297" s="24" t="s">
        <v>3966</v>
      </c>
      <c r="E297" s="24" t="s">
        <v>3497</v>
      </c>
      <c r="F297" s="24">
        <v>2.2782</v>
      </c>
      <c r="G297" s="24">
        <v>3299882000</v>
      </c>
      <c r="H297" s="24">
        <v>7.1698000000000004</v>
      </c>
      <c r="I297" s="24">
        <v>5.9934000000000003</v>
      </c>
      <c r="J297" s="24">
        <v>2.0274999999999999</v>
      </c>
      <c r="K297" s="24">
        <v>324</v>
      </c>
      <c r="L297" s="24" t="s">
        <v>3967</v>
      </c>
    </row>
    <row r="298" spans="1:12" x14ac:dyDescent="0.35">
      <c r="A298" s="24" t="s">
        <v>3242</v>
      </c>
      <c r="B298" s="24" t="str">
        <f>"300039"</f>
        <v>300039</v>
      </c>
      <c r="C298" s="24" t="str">
        <f t="shared" si="4"/>
        <v>'300039.SZ'</v>
      </c>
      <c r="D298" s="24" t="s">
        <v>3968</v>
      </c>
      <c r="E298" s="24" t="s">
        <v>3311</v>
      </c>
      <c r="F298" s="24">
        <v>2.2778999999999998</v>
      </c>
      <c r="G298" s="24">
        <v>8420300000</v>
      </c>
      <c r="H298" s="24">
        <v>9.7855000000000008</v>
      </c>
      <c r="I298" s="24">
        <v>9.0846</v>
      </c>
      <c r="J298" s="24">
        <v>5.9935</v>
      </c>
      <c r="K298" s="24">
        <v>234</v>
      </c>
      <c r="L298" s="24" t="s">
        <v>3969</v>
      </c>
    </row>
    <row r="299" spans="1:12" x14ac:dyDescent="0.35">
      <c r="A299" s="24" t="s">
        <v>3242</v>
      </c>
      <c r="B299" s="24" t="str">
        <f>"300660"</f>
        <v>300660</v>
      </c>
      <c r="C299" s="24" t="str">
        <f t="shared" si="4"/>
        <v>'300660.SZ'</v>
      </c>
      <c r="D299" s="24" t="s">
        <v>3970</v>
      </c>
      <c r="E299" s="24" t="s">
        <v>3288</v>
      </c>
      <c r="F299" s="24">
        <v>2.2763</v>
      </c>
      <c r="G299" s="24">
        <v>6686904055.3599997</v>
      </c>
      <c r="H299" s="24">
        <v>2.0142000000000002</v>
      </c>
      <c r="I299" s="24">
        <v>1.6818</v>
      </c>
      <c r="J299" s="24">
        <v>0.86660000000000004</v>
      </c>
      <c r="K299" s="24">
        <v>115</v>
      </c>
      <c r="L299" s="24" t="s">
        <v>3971</v>
      </c>
    </row>
    <row r="300" spans="1:12" x14ac:dyDescent="0.35">
      <c r="A300" s="24" t="s">
        <v>3246</v>
      </c>
      <c r="B300" s="24" t="str">
        <f>"605555"</f>
        <v>605555</v>
      </c>
      <c r="C300" s="24" t="str">
        <f t="shared" si="4"/>
        <v>'605555.SS'</v>
      </c>
      <c r="D300" s="24" t="s">
        <v>3972</v>
      </c>
      <c r="E300" s="24" t="s">
        <v>3486</v>
      </c>
      <c r="F300" s="24">
        <v>2.2730999999999999</v>
      </c>
      <c r="G300" s="24">
        <v>5694460520</v>
      </c>
      <c r="H300" s="24">
        <v>2.5322</v>
      </c>
      <c r="I300" s="24">
        <v>2.3365999999999998</v>
      </c>
      <c r="J300" s="24">
        <v>1.7211000000000001</v>
      </c>
      <c r="K300" s="24">
        <v>51</v>
      </c>
      <c r="L300" s="24" t="s">
        <v>3973</v>
      </c>
    </row>
    <row r="301" spans="1:12" x14ac:dyDescent="0.35">
      <c r="A301" s="24" t="s">
        <v>3242</v>
      </c>
      <c r="B301" s="24" t="str">
        <f>"002312"</f>
        <v>002312</v>
      </c>
      <c r="C301" s="24" t="str">
        <f t="shared" si="4"/>
        <v>'002312.SZ'</v>
      </c>
      <c r="D301" s="24" t="s">
        <v>3974</v>
      </c>
      <c r="E301" s="24" t="s">
        <v>3975</v>
      </c>
      <c r="F301" s="24">
        <v>2.2694000000000001</v>
      </c>
      <c r="G301" s="24">
        <v>20530378910.959999</v>
      </c>
      <c r="H301" s="24">
        <v>1.6739999999999999</v>
      </c>
      <c r="I301" s="24">
        <v>1.1269</v>
      </c>
      <c r="J301" s="24">
        <v>0.85629999999999995</v>
      </c>
      <c r="K301" s="24">
        <v>269</v>
      </c>
      <c r="L301" s="24" t="s">
        <v>3976</v>
      </c>
    </row>
    <row r="302" spans="1:12" x14ac:dyDescent="0.35">
      <c r="A302" s="24" t="s">
        <v>3246</v>
      </c>
      <c r="B302" s="24" t="str">
        <f>"600110"</f>
        <v>600110</v>
      </c>
      <c r="C302" s="24" t="str">
        <f t="shared" si="4"/>
        <v>'600110.SS'</v>
      </c>
      <c r="D302" s="24" t="s">
        <v>3977</v>
      </c>
      <c r="E302" s="24" t="s">
        <v>3539</v>
      </c>
      <c r="F302" s="24">
        <v>2.2669999999999999</v>
      </c>
      <c r="G302" s="24">
        <v>14454830459.879999</v>
      </c>
      <c r="H302" s="24">
        <v>1.7212000000000001</v>
      </c>
      <c r="I302" s="24">
        <v>1.5299</v>
      </c>
      <c r="J302" s="24">
        <v>0.96360000000000001</v>
      </c>
      <c r="K302" s="24">
        <v>358</v>
      </c>
      <c r="L302" s="24" t="s">
        <v>3978</v>
      </c>
    </row>
    <row r="303" spans="1:12" x14ac:dyDescent="0.35">
      <c r="A303" s="24" t="s">
        <v>3242</v>
      </c>
      <c r="B303" s="24" t="str">
        <f>"002678"</f>
        <v>002678</v>
      </c>
      <c r="C303" s="24" t="str">
        <f t="shared" si="4"/>
        <v>'002678.SZ'</v>
      </c>
      <c r="D303" s="24" t="s">
        <v>3979</v>
      </c>
      <c r="E303" s="24" t="s">
        <v>3296</v>
      </c>
      <c r="F303" s="24">
        <v>2.2658999999999998</v>
      </c>
      <c r="G303" s="24">
        <v>8425875796.1400003</v>
      </c>
      <c r="H303" s="24">
        <v>2.5712999999999999</v>
      </c>
      <c r="I303" s="24">
        <v>1.7579</v>
      </c>
      <c r="J303" s="24">
        <v>0.98129999999999995</v>
      </c>
      <c r="K303" s="24">
        <v>113</v>
      </c>
      <c r="L303" s="24" t="s">
        <v>3980</v>
      </c>
    </row>
    <row r="304" spans="1:12" x14ac:dyDescent="0.35">
      <c r="A304" s="24" t="s">
        <v>3242</v>
      </c>
      <c r="B304" s="24" t="str">
        <f>"301389"</f>
        <v>301389</v>
      </c>
      <c r="C304" s="24" t="str">
        <f t="shared" si="4"/>
        <v>'301389.SZ'</v>
      </c>
      <c r="D304" s="24" t="s">
        <v>3981</v>
      </c>
      <c r="E304" s="24" t="s">
        <v>3327</v>
      </c>
      <c r="F304" s="24">
        <v>2.2538</v>
      </c>
      <c r="G304" s="24">
        <v>5446035000</v>
      </c>
      <c r="H304" s="24">
        <v>8.2157</v>
      </c>
      <c r="I304" s="24">
        <v>7.6619999999999999</v>
      </c>
      <c r="J304" s="24">
        <v>5.2868000000000004</v>
      </c>
      <c r="K304" s="24">
        <v>4</v>
      </c>
      <c r="L304" s="24" t="s">
        <v>3982</v>
      </c>
    </row>
    <row r="305" spans="1:12" x14ac:dyDescent="0.35">
      <c r="A305" s="24" t="s">
        <v>3246</v>
      </c>
      <c r="B305" s="24" t="str">
        <f>"688217"</f>
        <v>688217</v>
      </c>
      <c r="C305" s="24" t="str">
        <f t="shared" si="4"/>
        <v>'688217.SS'</v>
      </c>
      <c r="D305" s="24" t="s">
        <v>3983</v>
      </c>
      <c r="E305" s="24" t="s">
        <v>3432</v>
      </c>
      <c r="F305" s="24">
        <v>2.2391999999999999</v>
      </c>
      <c r="G305" s="24">
        <v>2088030144.2</v>
      </c>
      <c r="H305" s="24">
        <v>10.754899999999999</v>
      </c>
      <c r="I305" s="24">
        <v>9.3317999999999994</v>
      </c>
      <c r="J305" s="24">
        <v>3.3757000000000001</v>
      </c>
      <c r="K305" s="24">
        <v>33</v>
      </c>
      <c r="L305" s="24" t="s">
        <v>3984</v>
      </c>
    </row>
    <row r="306" spans="1:12" x14ac:dyDescent="0.35">
      <c r="A306" s="24" t="s">
        <v>3242</v>
      </c>
      <c r="B306" s="24" t="str">
        <f>"002020"</f>
        <v>002020</v>
      </c>
      <c r="C306" s="24" t="str">
        <f t="shared" si="4"/>
        <v>'002020.SZ'</v>
      </c>
      <c r="D306" s="24" t="s">
        <v>3985</v>
      </c>
      <c r="E306" s="24" t="s">
        <v>3696</v>
      </c>
      <c r="F306" s="24">
        <v>2.2378</v>
      </c>
      <c r="G306" s="24">
        <v>11115886197.4</v>
      </c>
      <c r="H306" s="24">
        <v>1.9496</v>
      </c>
      <c r="I306" s="24">
        <v>1.4628000000000001</v>
      </c>
      <c r="J306" s="24">
        <v>0.91969999999999996</v>
      </c>
      <c r="K306" s="24">
        <v>637</v>
      </c>
      <c r="L306" s="24" t="s">
        <v>3986</v>
      </c>
    </row>
    <row r="307" spans="1:12" x14ac:dyDescent="0.35">
      <c r="A307" s="24" t="s">
        <v>3246</v>
      </c>
      <c r="B307" s="24" t="str">
        <f>"600641"</f>
        <v>600641</v>
      </c>
      <c r="C307" s="24" t="str">
        <f t="shared" si="4"/>
        <v>'600641.SS'</v>
      </c>
      <c r="D307" s="24" t="s">
        <v>3987</v>
      </c>
      <c r="E307" s="24" t="s">
        <v>3988</v>
      </c>
      <c r="F307" s="24">
        <v>2.2357999999999998</v>
      </c>
      <c r="G307" s="24">
        <v>17472650568.959999</v>
      </c>
      <c r="H307" s="24">
        <v>4.1936999999999998</v>
      </c>
      <c r="I307" s="24">
        <v>3.1646000000000001</v>
      </c>
      <c r="J307" s="24">
        <v>1.6942999999999999</v>
      </c>
      <c r="K307" s="24">
        <v>429</v>
      </c>
      <c r="L307" s="24" t="s">
        <v>3989</v>
      </c>
    </row>
    <row r="308" spans="1:12" x14ac:dyDescent="0.35">
      <c r="A308" s="24" t="s">
        <v>3242</v>
      </c>
      <c r="B308" s="24" t="str">
        <f>"002270"</f>
        <v>002270</v>
      </c>
      <c r="C308" s="24" t="str">
        <f t="shared" si="4"/>
        <v>'002270.SZ'</v>
      </c>
      <c r="D308" s="24" t="s">
        <v>3990</v>
      </c>
      <c r="E308" s="24" t="s">
        <v>3991</v>
      </c>
      <c r="F308" s="24">
        <v>2.2302</v>
      </c>
      <c r="G308" s="24">
        <v>7393859805.75</v>
      </c>
      <c r="H308" s="24">
        <v>4.6778000000000004</v>
      </c>
      <c r="I308" s="24">
        <v>3.7763</v>
      </c>
      <c r="J308" s="24">
        <v>1.6833</v>
      </c>
      <c r="K308" s="24">
        <v>174</v>
      </c>
      <c r="L308" s="24" t="s">
        <v>3992</v>
      </c>
    </row>
    <row r="309" spans="1:12" x14ac:dyDescent="0.35">
      <c r="A309" s="24" t="s">
        <v>3242</v>
      </c>
      <c r="B309" s="24" t="str">
        <f>"001217"</f>
        <v>001217</v>
      </c>
      <c r="C309" s="24" t="str">
        <f t="shared" si="4"/>
        <v>'001217.SZ'</v>
      </c>
      <c r="D309" s="24" t="s">
        <v>3993</v>
      </c>
      <c r="E309" s="24" t="s">
        <v>3994</v>
      </c>
      <c r="F309" s="24">
        <v>2.2290000000000001</v>
      </c>
      <c r="G309" s="24">
        <v>4533344200</v>
      </c>
      <c r="H309" s="24">
        <v>2.3014000000000001</v>
      </c>
      <c r="I309" s="24">
        <v>1.9811000000000001</v>
      </c>
      <c r="J309" s="24">
        <v>1.0660000000000001</v>
      </c>
      <c r="K309" s="24">
        <v>34</v>
      </c>
      <c r="L309" s="24" t="s">
        <v>3995</v>
      </c>
    </row>
    <row r="310" spans="1:12" x14ac:dyDescent="0.35">
      <c r="A310" s="24" t="s">
        <v>3246</v>
      </c>
      <c r="B310" s="24" t="str">
        <f>"605033"</f>
        <v>605033</v>
      </c>
      <c r="C310" s="24" t="str">
        <f t="shared" si="4"/>
        <v>'605033.SS'</v>
      </c>
      <c r="D310" s="24" t="s">
        <v>3996</v>
      </c>
      <c r="E310" s="24" t="s">
        <v>3492</v>
      </c>
      <c r="F310" s="24">
        <v>2.2254</v>
      </c>
      <c r="G310" s="24">
        <v>2409999570</v>
      </c>
      <c r="H310" s="24">
        <v>3.2847</v>
      </c>
      <c r="I310" s="24">
        <v>1.6956</v>
      </c>
      <c r="J310" s="24">
        <v>0.89759999999999995</v>
      </c>
      <c r="K310" s="24">
        <v>23</v>
      </c>
      <c r="L310" s="24" t="s">
        <v>3997</v>
      </c>
    </row>
    <row r="311" spans="1:12" x14ac:dyDescent="0.35">
      <c r="A311" s="24" t="s">
        <v>3242</v>
      </c>
      <c r="B311" s="24" t="str">
        <f>"300908"</f>
        <v>300908</v>
      </c>
      <c r="C311" s="24" t="str">
        <f t="shared" si="4"/>
        <v>'300908.SZ'</v>
      </c>
      <c r="D311" s="24" t="s">
        <v>3998</v>
      </c>
      <c r="E311" s="24" t="s">
        <v>3899</v>
      </c>
      <c r="F311" s="24">
        <v>2.2248000000000001</v>
      </c>
      <c r="G311" s="24">
        <v>3520000000</v>
      </c>
      <c r="H311" s="24">
        <v>10.594200000000001</v>
      </c>
      <c r="I311" s="24">
        <v>8.8496000000000006</v>
      </c>
      <c r="J311" s="24">
        <v>4.4404000000000003</v>
      </c>
      <c r="K311" s="24">
        <v>185</v>
      </c>
      <c r="L311" s="24" t="s">
        <v>3999</v>
      </c>
    </row>
    <row r="312" spans="1:12" x14ac:dyDescent="0.35">
      <c r="A312" s="24" t="s">
        <v>3246</v>
      </c>
      <c r="B312" s="24" t="str">
        <f>"688168"</f>
        <v>688168</v>
      </c>
      <c r="C312" s="24" t="str">
        <f t="shared" si="4"/>
        <v>'688168.SS'</v>
      </c>
      <c r="D312" s="24" t="s">
        <v>4000</v>
      </c>
      <c r="E312" s="24" t="s">
        <v>3285</v>
      </c>
      <c r="F312" s="24">
        <v>2.2187000000000001</v>
      </c>
      <c r="G312" s="24">
        <v>2632330407.7199998</v>
      </c>
      <c r="H312" s="24">
        <v>9.7426999999999992</v>
      </c>
      <c r="I312" s="24">
        <v>8.5587999999999997</v>
      </c>
      <c r="J312" s="24">
        <v>3.7692000000000001</v>
      </c>
      <c r="K312" s="24">
        <v>151</v>
      </c>
      <c r="L312" s="24" t="s">
        <v>4001</v>
      </c>
    </row>
    <row r="313" spans="1:12" x14ac:dyDescent="0.35">
      <c r="A313" s="24" t="s">
        <v>3242</v>
      </c>
      <c r="B313" s="24" t="str">
        <f>"301187"</f>
        <v>301187</v>
      </c>
      <c r="C313" s="24" t="str">
        <f t="shared" si="4"/>
        <v>'301187.SZ'</v>
      </c>
      <c r="D313" s="24" t="s">
        <v>4002</v>
      </c>
      <c r="E313" s="24" t="s">
        <v>3486</v>
      </c>
      <c r="F313" s="24">
        <v>2.2181999999999999</v>
      </c>
      <c r="G313" s="24">
        <v>3168242918.3499999</v>
      </c>
      <c r="H313" s="24">
        <v>3.7065999999999999</v>
      </c>
      <c r="I313" s="24">
        <v>3.3085</v>
      </c>
      <c r="J313" s="24">
        <v>1.4313</v>
      </c>
      <c r="K313" s="24">
        <v>16</v>
      </c>
      <c r="L313" s="24" t="s">
        <v>4003</v>
      </c>
    </row>
    <row r="314" spans="1:12" x14ac:dyDescent="0.35">
      <c r="A314" s="24" t="s">
        <v>3246</v>
      </c>
      <c r="B314" s="24" t="str">
        <f>"688265"</f>
        <v>688265</v>
      </c>
      <c r="C314" s="24" t="str">
        <f t="shared" si="4"/>
        <v>'688265.SS'</v>
      </c>
      <c r="D314" s="24" t="s">
        <v>4004</v>
      </c>
      <c r="E314" s="24" t="s">
        <v>3500</v>
      </c>
      <c r="F314" s="24">
        <v>2.2176</v>
      </c>
      <c r="G314" s="24">
        <v>3919225798.5100002</v>
      </c>
      <c r="H314" s="24">
        <v>5.8369</v>
      </c>
      <c r="I314" s="24">
        <v>5.7561999999999998</v>
      </c>
      <c r="J314" s="24">
        <v>1.0078</v>
      </c>
      <c r="K314" s="24">
        <v>40</v>
      </c>
      <c r="L314" s="24" t="s">
        <v>4005</v>
      </c>
    </row>
    <row r="315" spans="1:12" x14ac:dyDescent="0.35">
      <c r="A315" s="24" t="s">
        <v>3246</v>
      </c>
      <c r="B315" s="24" t="str">
        <f>"603187"</f>
        <v>603187</v>
      </c>
      <c r="C315" s="24" t="str">
        <f t="shared" si="4"/>
        <v>'603187.SS'</v>
      </c>
      <c r="D315" s="24" t="s">
        <v>4006</v>
      </c>
      <c r="E315" s="24" t="s">
        <v>4007</v>
      </c>
      <c r="F315" s="24">
        <v>2.2172999999999998</v>
      </c>
      <c r="G315" s="24">
        <v>8008310758.5600004</v>
      </c>
      <c r="H315" s="24">
        <v>3.0474999999999999</v>
      </c>
      <c r="I315" s="24">
        <v>2.6276999999999999</v>
      </c>
      <c r="J315" s="24">
        <v>0.98160000000000003</v>
      </c>
      <c r="K315" s="24">
        <v>705</v>
      </c>
      <c r="L315" s="24" t="s">
        <v>4008</v>
      </c>
    </row>
    <row r="316" spans="1:12" x14ac:dyDescent="0.35">
      <c r="A316" s="24" t="s">
        <v>3242</v>
      </c>
      <c r="B316" s="24" t="str">
        <f>"300935"</f>
        <v>300935</v>
      </c>
      <c r="C316" s="24" t="str">
        <f t="shared" si="4"/>
        <v>'300935.SZ'</v>
      </c>
      <c r="D316" s="24" t="s">
        <v>4009</v>
      </c>
      <c r="E316" s="24" t="s">
        <v>3368</v>
      </c>
      <c r="F316" s="24">
        <v>2.2158000000000002</v>
      </c>
      <c r="G316" s="24">
        <v>2065483770</v>
      </c>
      <c r="H316" s="24">
        <v>23.217099999999999</v>
      </c>
      <c r="I316" s="24">
        <v>23.010400000000001</v>
      </c>
      <c r="J316" s="24">
        <v>5.2938000000000001</v>
      </c>
      <c r="K316" s="24">
        <v>68</v>
      </c>
      <c r="L316" s="24" t="s">
        <v>4010</v>
      </c>
    </row>
    <row r="317" spans="1:12" x14ac:dyDescent="0.35">
      <c r="A317" s="24" t="s">
        <v>3246</v>
      </c>
      <c r="B317" s="24" t="str">
        <f>"600246"</f>
        <v>600246</v>
      </c>
      <c r="C317" s="24" t="str">
        <f t="shared" si="4"/>
        <v>'600246.SS'</v>
      </c>
      <c r="D317" s="24" t="s">
        <v>4011</v>
      </c>
      <c r="E317" s="24" t="s">
        <v>3988</v>
      </c>
      <c r="F317" s="24">
        <v>2.214</v>
      </c>
      <c r="G317" s="24">
        <v>13494841114.139999</v>
      </c>
      <c r="H317" s="24">
        <v>2.8506999999999998</v>
      </c>
      <c r="I317" s="24">
        <v>1.9894000000000001</v>
      </c>
      <c r="J317" s="24">
        <v>1.3726</v>
      </c>
      <c r="K317" s="24">
        <v>126</v>
      </c>
      <c r="L317" s="24" t="s">
        <v>4012</v>
      </c>
    </row>
    <row r="318" spans="1:12" x14ac:dyDescent="0.35">
      <c r="A318" s="24" t="s">
        <v>3242</v>
      </c>
      <c r="B318" s="24" t="str">
        <f>"002993"</f>
        <v>002993</v>
      </c>
      <c r="C318" s="24" t="str">
        <f t="shared" si="4"/>
        <v>'002993.SZ'</v>
      </c>
      <c r="D318" s="24" t="s">
        <v>4013</v>
      </c>
      <c r="E318" s="24" t="s">
        <v>3327</v>
      </c>
      <c r="F318" s="24">
        <v>2.2128000000000001</v>
      </c>
      <c r="G318" s="24">
        <v>9987127200</v>
      </c>
      <c r="H318" s="24">
        <v>2.3428</v>
      </c>
      <c r="I318" s="24">
        <v>2.1185999999999998</v>
      </c>
      <c r="J318" s="24">
        <v>1.4688000000000001</v>
      </c>
      <c r="K318" s="24">
        <v>165</v>
      </c>
      <c r="L318" s="24" t="s">
        <v>4014</v>
      </c>
    </row>
    <row r="319" spans="1:12" x14ac:dyDescent="0.35">
      <c r="A319" s="24" t="s">
        <v>3242</v>
      </c>
      <c r="B319" s="24" t="str">
        <f>"300676"</f>
        <v>300676</v>
      </c>
      <c r="C319" s="24" t="str">
        <f t="shared" si="4"/>
        <v>'300676.SZ'</v>
      </c>
      <c r="D319" s="24" t="s">
        <v>4015</v>
      </c>
      <c r="E319" s="24" t="s">
        <v>4016</v>
      </c>
      <c r="F319" s="24">
        <v>2.2063000000000001</v>
      </c>
      <c r="G319" s="24">
        <v>21962294084.5</v>
      </c>
      <c r="H319" s="24">
        <v>3.4304000000000001</v>
      </c>
      <c r="I319" s="24">
        <v>2.9573</v>
      </c>
      <c r="J319" s="24">
        <v>2.024</v>
      </c>
      <c r="K319" s="24">
        <v>1493</v>
      </c>
      <c r="L319" s="24" t="s">
        <v>4017</v>
      </c>
    </row>
    <row r="320" spans="1:12" x14ac:dyDescent="0.35">
      <c r="A320" s="24" t="s">
        <v>3242</v>
      </c>
      <c r="B320" s="24" t="str">
        <f>"000997"</f>
        <v>000997</v>
      </c>
      <c r="C320" s="24" t="str">
        <f t="shared" si="4"/>
        <v>'000997.SZ'</v>
      </c>
      <c r="D320" s="24" t="s">
        <v>4018</v>
      </c>
      <c r="E320" s="24" t="s">
        <v>3257</v>
      </c>
      <c r="F320" s="24">
        <v>2.2048000000000001</v>
      </c>
      <c r="G320" s="24">
        <v>14046376572.57</v>
      </c>
      <c r="H320" s="24">
        <v>1.6392</v>
      </c>
      <c r="I320" s="24">
        <v>1.3528</v>
      </c>
      <c r="J320" s="24">
        <v>0.80330000000000001</v>
      </c>
      <c r="K320" s="24">
        <v>599</v>
      </c>
      <c r="L320" s="24" t="s">
        <v>4019</v>
      </c>
    </row>
    <row r="321" spans="1:12" x14ac:dyDescent="0.35">
      <c r="A321" s="24" t="s">
        <v>3246</v>
      </c>
      <c r="B321" s="24" t="str">
        <f>"688189"</f>
        <v>688189</v>
      </c>
      <c r="C321" s="24" t="str">
        <f t="shared" si="4"/>
        <v>'688189.SS'</v>
      </c>
      <c r="D321" s="24" t="s">
        <v>4020</v>
      </c>
      <c r="E321" s="24" t="s">
        <v>3696</v>
      </c>
      <c r="F321" s="24">
        <v>2.1999</v>
      </c>
      <c r="G321" s="24">
        <v>3096800000</v>
      </c>
      <c r="H321" s="24">
        <v>2.5139999999999998</v>
      </c>
      <c r="I321" s="24">
        <v>2.4308999999999998</v>
      </c>
      <c r="J321" s="24">
        <v>0.87619999999999998</v>
      </c>
      <c r="K321" s="24">
        <v>94</v>
      </c>
      <c r="L321" s="24" t="s">
        <v>4021</v>
      </c>
    </row>
    <row r="322" spans="1:12" x14ac:dyDescent="0.35">
      <c r="A322" s="24" t="s">
        <v>3246</v>
      </c>
      <c r="B322" s="24" t="str">
        <f>"688230"</f>
        <v>688230</v>
      </c>
      <c r="C322" s="24" t="str">
        <f t="shared" si="4"/>
        <v>'688230.SS'</v>
      </c>
      <c r="D322" s="24" t="s">
        <v>4022</v>
      </c>
      <c r="E322" s="24" t="s">
        <v>3508</v>
      </c>
      <c r="F322" s="24">
        <v>2.1993</v>
      </c>
      <c r="G322" s="24">
        <v>4735080000</v>
      </c>
      <c r="H322" s="24">
        <v>46.595500000000001</v>
      </c>
      <c r="I322" s="24">
        <v>45.216999999999999</v>
      </c>
      <c r="J322" s="24">
        <v>6.4896000000000003</v>
      </c>
      <c r="K322" s="24">
        <v>34</v>
      </c>
      <c r="L322" s="24" t="s">
        <v>4023</v>
      </c>
    </row>
    <row r="323" spans="1:12" x14ac:dyDescent="0.35">
      <c r="A323" s="24" t="s">
        <v>3246</v>
      </c>
      <c r="B323" s="24" t="str">
        <f>"688210"</f>
        <v>688210</v>
      </c>
      <c r="C323" s="24" t="str">
        <f t="shared" ref="C323:C386" si="5">CONCATENATE("'",B323,IF(A323="sh",".SS'",".SZ'"))</f>
        <v>'688210.SS'</v>
      </c>
      <c r="D323" s="24" t="s">
        <v>4024</v>
      </c>
      <c r="E323" s="24" t="s">
        <v>3327</v>
      </c>
      <c r="F323" s="24">
        <v>2.1941999999999999</v>
      </c>
      <c r="G323" s="24">
        <v>2588320000</v>
      </c>
      <c r="H323" s="24">
        <v>3.4744000000000002</v>
      </c>
      <c r="I323" s="24">
        <v>3.056</v>
      </c>
      <c r="J323" s="24">
        <v>0.91259999999999997</v>
      </c>
      <c r="K323" s="24">
        <v>15</v>
      </c>
      <c r="L323" s="24" t="s">
        <v>4025</v>
      </c>
    </row>
    <row r="324" spans="1:12" x14ac:dyDescent="0.35">
      <c r="A324" s="24" t="s">
        <v>3246</v>
      </c>
      <c r="B324" s="24" t="str">
        <f>"600419"</f>
        <v>600419</v>
      </c>
      <c r="C324" s="24" t="str">
        <f t="shared" si="5"/>
        <v>'600419.SS'</v>
      </c>
      <c r="D324" s="24" t="s">
        <v>4026</v>
      </c>
      <c r="E324" s="24" t="s">
        <v>3648</v>
      </c>
      <c r="F324" s="24">
        <v>2.1941000000000002</v>
      </c>
      <c r="G324" s="24">
        <v>4972554520.3800001</v>
      </c>
      <c r="H324" s="24">
        <v>1.5547</v>
      </c>
      <c r="I324" s="24">
        <v>1.1041000000000001</v>
      </c>
      <c r="J324" s="24">
        <v>0.97599999999999998</v>
      </c>
      <c r="K324" s="24">
        <v>653</v>
      </c>
      <c r="L324" s="24" t="s">
        <v>4027</v>
      </c>
    </row>
    <row r="325" spans="1:12" x14ac:dyDescent="0.35">
      <c r="A325" s="24" t="s">
        <v>3242</v>
      </c>
      <c r="B325" s="24" t="str">
        <f>"300860"</f>
        <v>300860</v>
      </c>
      <c r="C325" s="24" t="str">
        <f t="shared" si="5"/>
        <v>'300860.SZ'</v>
      </c>
      <c r="D325" s="24" t="s">
        <v>4028</v>
      </c>
      <c r="E325" s="24" t="s">
        <v>4029</v>
      </c>
      <c r="F325" s="24">
        <v>2.1928000000000001</v>
      </c>
      <c r="G325" s="24">
        <v>7108268502.0799999</v>
      </c>
      <c r="H325" s="24">
        <v>6.0614999999999997</v>
      </c>
      <c r="I325" s="24">
        <v>5.8350999999999997</v>
      </c>
      <c r="J325" s="24">
        <v>0.87909999999999999</v>
      </c>
      <c r="K325" s="24">
        <v>99</v>
      </c>
      <c r="L325" s="24" t="s">
        <v>4030</v>
      </c>
    </row>
    <row r="326" spans="1:12" x14ac:dyDescent="0.35">
      <c r="A326" s="24" t="s">
        <v>3242</v>
      </c>
      <c r="B326" s="24" t="str">
        <f>"301027"</f>
        <v>301027</v>
      </c>
      <c r="C326" s="24" t="str">
        <f t="shared" si="5"/>
        <v>'301027.SZ'</v>
      </c>
      <c r="D326" s="24" t="s">
        <v>4031</v>
      </c>
      <c r="E326" s="24" t="s">
        <v>3846</v>
      </c>
      <c r="F326" s="24">
        <v>2.1907999999999999</v>
      </c>
      <c r="G326" s="24">
        <v>2052120000</v>
      </c>
      <c r="H326" s="24">
        <v>1.8663000000000001</v>
      </c>
      <c r="I326" s="24">
        <v>1.7357</v>
      </c>
      <c r="J326" s="24">
        <v>1.0047999999999999</v>
      </c>
      <c r="K326" s="24">
        <v>34</v>
      </c>
      <c r="L326" s="24" t="s">
        <v>4032</v>
      </c>
    </row>
    <row r="327" spans="1:12" x14ac:dyDescent="0.35">
      <c r="A327" s="24" t="s">
        <v>3242</v>
      </c>
      <c r="B327" s="24" t="str">
        <f>"002152"</f>
        <v>002152</v>
      </c>
      <c r="C327" s="24" t="str">
        <f t="shared" si="5"/>
        <v>'002152.SZ'</v>
      </c>
      <c r="D327" s="24" t="s">
        <v>4033</v>
      </c>
      <c r="E327" s="24" t="s">
        <v>3257</v>
      </c>
      <c r="F327" s="24">
        <v>2.1903999999999999</v>
      </c>
      <c r="G327" s="24">
        <v>24933164295.919998</v>
      </c>
      <c r="H327" s="24">
        <v>2.5909</v>
      </c>
      <c r="I327" s="24">
        <v>2.0891000000000002</v>
      </c>
      <c r="J327" s="24">
        <v>1.0386</v>
      </c>
      <c r="K327" s="24">
        <v>16876</v>
      </c>
      <c r="L327" s="24" t="s">
        <v>4034</v>
      </c>
    </row>
    <row r="328" spans="1:12" x14ac:dyDescent="0.35">
      <c r="A328" s="24" t="s">
        <v>3242</v>
      </c>
      <c r="B328" s="24" t="str">
        <f>"300798"</f>
        <v>300798</v>
      </c>
      <c r="C328" s="24" t="str">
        <f t="shared" si="5"/>
        <v>'300798.SZ'</v>
      </c>
      <c r="D328" s="24" t="s">
        <v>4035</v>
      </c>
      <c r="E328" s="24" t="s">
        <v>4036</v>
      </c>
      <c r="F328" s="24">
        <v>2.1827999999999999</v>
      </c>
      <c r="G328" s="24">
        <v>2752976888.9400001</v>
      </c>
      <c r="H328" s="24">
        <v>4.3640999999999996</v>
      </c>
      <c r="I328" s="24">
        <v>3.5209000000000001</v>
      </c>
      <c r="J328" s="24">
        <v>0.81179999999999997</v>
      </c>
      <c r="K328" s="24">
        <v>57</v>
      </c>
      <c r="L328" s="24" t="s">
        <v>4037</v>
      </c>
    </row>
    <row r="329" spans="1:12" x14ac:dyDescent="0.35">
      <c r="A329" s="24" t="s">
        <v>3246</v>
      </c>
      <c r="B329" s="24" t="str">
        <f>"600977"</f>
        <v>600977</v>
      </c>
      <c r="C329" s="24" t="str">
        <f t="shared" si="5"/>
        <v>'600977.SS'</v>
      </c>
      <c r="D329" s="24" t="s">
        <v>4038</v>
      </c>
      <c r="E329" s="24" t="s">
        <v>3305</v>
      </c>
      <c r="F329" s="24">
        <v>2.1798999999999999</v>
      </c>
      <c r="G329" s="24">
        <v>24028290000</v>
      </c>
      <c r="H329" s="24">
        <v>2.6669</v>
      </c>
      <c r="I329" s="24">
        <v>2.2269999999999999</v>
      </c>
      <c r="J329" s="24">
        <v>1.4430000000000001</v>
      </c>
      <c r="K329" s="24">
        <v>566</v>
      </c>
      <c r="L329" s="24" t="s">
        <v>4039</v>
      </c>
    </row>
    <row r="330" spans="1:12" x14ac:dyDescent="0.35">
      <c r="A330" s="24" t="s">
        <v>3242</v>
      </c>
      <c r="B330" s="24" t="str">
        <f>"002790"</f>
        <v>002790</v>
      </c>
      <c r="C330" s="24" t="str">
        <f t="shared" si="5"/>
        <v>'002790.SZ'</v>
      </c>
      <c r="D330" s="24" t="s">
        <v>4040</v>
      </c>
      <c r="E330" s="24" t="s">
        <v>3437</v>
      </c>
      <c r="F330" s="24">
        <v>2.1789999999999998</v>
      </c>
      <c r="G330" s="24">
        <v>4071432010</v>
      </c>
      <c r="H330" s="24">
        <v>4.4812000000000003</v>
      </c>
      <c r="I330" s="24">
        <v>3.593</v>
      </c>
      <c r="J330" s="24">
        <v>1.4903</v>
      </c>
      <c r="K330" s="24">
        <v>143</v>
      </c>
      <c r="L330" s="24" t="s">
        <v>4041</v>
      </c>
    </row>
    <row r="331" spans="1:12" x14ac:dyDescent="0.35">
      <c r="A331" s="24" t="s">
        <v>3242</v>
      </c>
      <c r="B331" s="24" t="str">
        <f>"300105"</f>
        <v>300105</v>
      </c>
      <c r="C331" s="24" t="str">
        <f t="shared" si="5"/>
        <v>'300105.SZ'</v>
      </c>
      <c r="D331" s="24" t="s">
        <v>4042</v>
      </c>
      <c r="E331" s="24" t="s">
        <v>4043</v>
      </c>
      <c r="F331" s="24">
        <v>2.1776</v>
      </c>
      <c r="G331" s="24">
        <v>4105135280.4000001</v>
      </c>
      <c r="H331" s="24">
        <v>4.0648</v>
      </c>
      <c r="I331" s="24">
        <v>3.2040000000000002</v>
      </c>
      <c r="J331" s="24">
        <v>2.2290999999999999</v>
      </c>
      <c r="K331" s="24">
        <v>64</v>
      </c>
      <c r="L331" s="24" t="s">
        <v>4044</v>
      </c>
    </row>
    <row r="332" spans="1:12" x14ac:dyDescent="0.35">
      <c r="A332" s="24" t="s">
        <v>3246</v>
      </c>
      <c r="B332" s="24" t="str">
        <f>"605588"</f>
        <v>605588</v>
      </c>
      <c r="C332" s="24" t="str">
        <f t="shared" si="5"/>
        <v>'605588.SS'</v>
      </c>
      <c r="D332" s="24" t="s">
        <v>4045</v>
      </c>
      <c r="E332" s="24" t="s">
        <v>3248</v>
      </c>
      <c r="F332" s="24">
        <v>2.1760999999999999</v>
      </c>
      <c r="G332" s="24">
        <v>2154244062.6700001</v>
      </c>
      <c r="H332" s="24">
        <v>2.9399000000000002</v>
      </c>
      <c r="I332" s="24">
        <v>2.6303999999999998</v>
      </c>
      <c r="J332" s="24">
        <v>0.89759999999999995</v>
      </c>
      <c r="K332" s="24">
        <v>33</v>
      </c>
      <c r="L332" s="24" t="s">
        <v>4046</v>
      </c>
    </row>
    <row r="333" spans="1:12" x14ac:dyDescent="0.35">
      <c r="A333" s="24" t="s">
        <v>3242</v>
      </c>
      <c r="B333" s="24" t="str">
        <f>"300007"</f>
        <v>300007</v>
      </c>
      <c r="C333" s="24" t="str">
        <f t="shared" si="5"/>
        <v>'300007.SZ'</v>
      </c>
      <c r="D333" s="24" t="s">
        <v>4047</v>
      </c>
      <c r="E333" s="24" t="s">
        <v>3476</v>
      </c>
      <c r="F333" s="24">
        <v>2.1737000000000002</v>
      </c>
      <c r="G333" s="24">
        <v>5817443221.6499996</v>
      </c>
      <c r="H333" s="24">
        <v>2.0026999999999999</v>
      </c>
      <c r="I333" s="24">
        <v>1.5887</v>
      </c>
      <c r="J333" s="24">
        <v>0.8196</v>
      </c>
      <c r="K333" s="24">
        <v>313</v>
      </c>
      <c r="L333" s="24" t="s">
        <v>4048</v>
      </c>
    </row>
    <row r="334" spans="1:12" x14ac:dyDescent="0.35">
      <c r="A334" s="24" t="s">
        <v>3242</v>
      </c>
      <c r="B334" s="24" t="str">
        <f>"002308"</f>
        <v>002308</v>
      </c>
      <c r="C334" s="24" t="str">
        <f t="shared" si="5"/>
        <v>'002308.SZ'</v>
      </c>
      <c r="D334" s="24" t="s">
        <v>4049</v>
      </c>
      <c r="E334" s="24" t="s">
        <v>3257</v>
      </c>
      <c r="F334" s="24">
        <v>2.1736</v>
      </c>
      <c r="G334" s="24">
        <v>4358892471.3100004</v>
      </c>
      <c r="H334" s="24">
        <v>8.7159999999999993</v>
      </c>
      <c r="I334" s="24">
        <v>8.1556999999999995</v>
      </c>
      <c r="J334" s="24">
        <v>5.8560999999999996</v>
      </c>
      <c r="K334" s="24">
        <v>223</v>
      </c>
      <c r="L334" s="24" t="s">
        <v>4050</v>
      </c>
    </row>
    <row r="335" spans="1:12" x14ac:dyDescent="0.35">
      <c r="A335" s="24" t="s">
        <v>3242</v>
      </c>
      <c r="B335" s="24" t="str">
        <f>"301222"</f>
        <v>301222</v>
      </c>
      <c r="C335" s="24" t="str">
        <f t="shared" si="5"/>
        <v>'301222.SZ'</v>
      </c>
      <c r="D335" s="24" t="s">
        <v>4051</v>
      </c>
      <c r="E335" s="24" t="s">
        <v>3693</v>
      </c>
      <c r="F335" s="24">
        <v>2.1714000000000002</v>
      </c>
      <c r="G335" s="24">
        <v>2660001750</v>
      </c>
      <c r="H335" s="24">
        <v>19.883099999999999</v>
      </c>
      <c r="I335" s="24">
        <v>17.627800000000001</v>
      </c>
      <c r="J335" s="24">
        <v>12.4872</v>
      </c>
      <c r="K335" s="24">
        <v>22</v>
      </c>
      <c r="L335" s="24" t="s">
        <v>4052</v>
      </c>
    </row>
    <row r="336" spans="1:12" x14ac:dyDescent="0.35">
      <c r="A336" s="24" t="s">
        <v>3242</v>
      </c>
      <c r="B336" s="24" t="str">
        <f>"002869"</f>
        <v>002869</v>
      </c>
      <c r="C336" s="24" t="str">
        <f t="shared" si="5"/>
        <v>'002869.SZ'</v>
      </c>
      <c r="D336" s="24" t="s">
        <v>4053</v>
      </c>
      <c r="E336" s="24" t="s">
        <v>4054</v>
      </c>
      <c r="F336" s="24">
        <v>2.1686000000000001</v>
      </c>
      <c r="G336" s="24">
        <v>4731309585.3500004</v>
      </c>
      <c r="H336" s="24">
        <v>4.2346000000000004</v>
      </c>
      <c r="I336" s="24">
        <v>3.8986000000000001</v>
      </c>
      <c r="J336" s="24">
        <v>2.1587000000000001</v>
      </c>
      <c r="K336" s="24">
        <v>604</v>
      </c>
      <c r="L336" s="24" t="s">
        <v>4055</v>
      </c>
    </row>
    <row r="337" spans="1:12" x14ac:dyDescent="0.35">
      <c r="A337" s="24" t="s">
        <v>3246</v>
      </c>
      <c r="B337" s="24" t="str">
        <f>"688130"</f>
        <v>688130</v>
      </c>
      <c r="C337" s="24" t="str">
        <f t="shared" si="5"/>
        <v>'688130.SS'</v>
      </c>
      <c r="D337" s="24" t="s">
        <v>4056</v>
      </c>
      <c r="E337" s="24" t="s">
        <v>3389</v>
      </c>
      <c r="F337" s="24">
        <v>2.1665999999999999</v>
      </c>
      <c r="G337" s="24">
        <v>2878720000</v>
      </c>
      <c r="H337" s="24">
        <v>140.23339999999999</v>
      </c>
      <c r="I337" s="24">
        <v>128.30260000000001</v>
      </c>
      <c r="J337" s="24">
        <v>99.281400000000005</v>
      </c>
      <c r="K337" s="24">
        <v>10</v>
      </c>
      <c r="L337" s="24" t="s">
        <v>4057</v>
      </c>
    </row>
    <row r="338" spans="1:12" x14ac:dyDescent="0.35">
      <c r="A338" s="24" t="s">
        <v>3242</v>
      </c>
      <c r="B338" s="24" t="str">
        <f>"002773"</f>
        <v>002773</v>
      </c>
      <c r="C338" s="24" t="str">
        <f t="shared" si="5"/>
        <v>'002773.SZ'</v>
      </c>
      <c r="D338" s="24" t="s">
        <v>4058</v>
      </c>
      <c r="E338" s="24" t="s">
        <v>3696</v>
      </c>
      <c r="F338" s="24">
        <v>2.1616</v>
      </c>
      <c r="G338" s="24">
        <v>14610282229.059999</v>
      </c>
      <c r="H338" s="24">
        <v>5.4499000000000004</v>
      </c>
      <c r="I338" s="24">
        <v>4.9473000000000003</v>
      </c>
      <c r="J338" s="24">
        <v>2.2703000000000002</v>
      </c>
      <c r="K338" s="24">
        <v>5280</v>
      </c>
      <c r="L338" s="24" t="s">
        <v>4059</v>
      </c>
    </row>
    <row r="339" spans="1:12" x14ac:dyDescent="0.35">
      <c r="A339" s="24" t="s">
        <v>3242</v>
      </c>
      <c r="B339" s="24" t="str">
        <f>"002825"</f>
        <v>002825</v>
      </c>
      <c r="C339" s="24" t="str">
        <f t="shared" si="5"/>
        <v>'002825.SZ'</v>
      </c>
      <c r="D339" s="24" t="s">
        <v>4060</v>
      </c>
      <c r="E339" s="24" t="s">
        <v>3733</v>
      </c>
      <c r="F339" s="24">
        <v>2.1604000000000001</v>
      </c>
      <c r="G339" s="24">
        <v>3055807484.23</v>
      </c>
      <c r="H339" s="24">
        <v>2.1324000000000001</v>
      </c>
      <c r="I339" s="24">
        <v>1.7303999999999999</v>
      </c>
      <c r="J339" s="24">
        <v>0.96919999999999995</v>
      </c>
      <c r="K339" s="24">
        <v>111</v>
      </c>
      <c r="L339" s="24" t="s">
        <v>4061</v>
      </c>
    </row>
    <row r="340" spans="1:12" x14ac:dyDescent="0.35">
      <c r="A340" s="24" t="s">
        <v>3242</v>
      </c>
      <c r="B340" s="24" t="str">
        <f>"300236"</f>
        <v>300236</v>
      </c>
      <c r="C340" s="24" t="str">
        <f t="shared" si="5"/>
        <v>'300236.SZ'</v>
      </c>
      <c r="D340" s="24" t="s">
        <v>4062</v>
      </c>
      <c r="E340" s="24" t="s">
        <v>3907</v>
      </c>
      <c r="F340" s="24">
        <v>2.1591</v>
      </c>
      <c r="G340" s="24">
        <v>8978377167.2999992</v>
      </c>
      <c r="H340" s="24">
        <v>2.6107</v>
      </c>
      <c r="I340" s="24">
        <v>2.1772</v>
      </c>
      <c r="J340" s="24">
        <v>0.9365</v>
      </c>
      <c r="K340" s="24">
        <v>429</v>
      </c>
      <c r="L340" s="24" t="s">
        <v>4063</v>
      </c>
    </row>
    <row r="341" spans="1:12" x14ac:dyDescent="0.35">
      <c r="A341" s="24" t="s">
        <v>3242</v>
      </c>
      <c r="B341" s="24" t="str">
        <f>"301003"</f>
        <v>301003</v>
      </c>
      <c r="C341" s="24" t="str">
        <f t="shared" si="5"/>
        <v>'301003.SZ'</v>
      </c>
      <c r="D341" s="24" t="s">
        <v>4064</v>
      </c>
      <c r="E341" s="24" t="s">
        <v>3896</v>
      </c>
      <c r="F341" s="24">
        <v>2.1577000000000002</v>
      </c>
      <c r="G341" s="24">
        <v>2343601858.7800002</v>
      </c>
      <c r="H341" s="24">
        <v>10.3817</v>
      </c>
      <c r="I341" s="24">
        <v>9.3506999999999998</v>
      </c>
      <c r="J341" s="24">
        <v>4.5377999999999998</v>
      </c>
      <c r="K341" s="24">
        <v>38</v>
      </c>
      <c r="L341" s="24" t="s">
        <v>4065</v>
      </c>
    </row>
    <row r="342" spans="1:12" x14ac:dyDescent="0.35">
      <c r="A342" s="24" t="s">
        <v>3242</v>
      </c>
      <c r="B342" s="24" t="str">
        <f>"301163"</f>
        <v>301163</v>
      </c>
      <c r="C342" s="24" t="str">
        <f t="shared" si="5"/>
        <v>'301163.SZ'</v>
      </c>
      <c r="D342" s="24" t="s">
        <v>4066</v>
      </c>
      <c r="E342" s="24" t="s">
        <v>4067</v>
      </c>
      <c r="F342" s="24">
        <v>2.1577000000000002</v>
      </c>
      <c r="G342" s="24">
        <v>2328048000</v>
      </c>
      <c r="H342" s="24">
        <v>3.4613</v>
      </c>
      <c r="I342" s="24">
        <v>2.5356999999999998</v>
      </c>
      <c r="J342" s="24">
        <v>1.1981999999999999</v>
      </c>
      <c r="K342" s="24">
        <v>16</v>
      </c>
      <c r="L342" s="24" t="s">
        <v>4068</v>
      </c>
    </row>
    <row r="343" spans="1:12" x14ac:dyDescent="0.35">
      <c r="A343" s="24" t="s">
        <v>3242</v>
      </c>
      <c r="B343" s="24" t="str">
        <f>"301047"</f>
        <v>301047</v>
      </c>
      <c r="C343" s="24" t="str">
        <f t="shared" si="5"/>
        <v>'301047.SZ'</v>
      </c>
      <c r="D343" s="24" t="s">
        <v>4069</v>
      </c>
      <c r="E343" s="24" t="s">
        <v>3282</v>
      </c>
      <c r="F343" s="24">
        <v>2.1570999999999998</v>
      </c>
      <c r="G343" s="24">
        <v>13677112000</v>
      </c>
      <c r="H343" s="24">
        <v>50.939900000000002</v>
      </c>
      <c r="I343" s="24">
        <v>50.514499999999998</v>
      </c>
      <c r="J343" s="24">
        <v>19.408000000000001</v>
      </c>
      <c r="K343" s="24">
        <v>90</v>
      </c>
      <c r="L343" s="24" t="s">
        <v>4070</v>
      </c>
    </row>
    <row r="344" spans="1:12" x14ac:dyDescent="0.35">
      <c r="A344" s="24" t="s">
        <v>3246</v>
      </c>
      <c r="B344" s="24" t="str">
        <f>"605136"</f>
        <v>605136</v>
      </c>
      <c r="C344" s="24" t="str">
        <f t="shared" si="5"/>
        <v>'605136.SS'</v>
      </c>
      <c r="D344" s="24" t="s">
        <v>4071</v>
      </c>
      <c r="E344" s="24" t="s">
        <v>3755</v>
      </c>
      <c r="F344" s="24">
        <v>2.1539000000000001</v>
      </c>
      <c r="G344" s="24">
        <v>5594405245</v>
      </c>
      <c r="H344" s="24">
        <v>6.4912000000000001</v>
      </c>
      <c r="I344" s="24">
        <v>3.0103</v>
      </c>
      <c r="J344" s="24">
        <v>2.1071</v>
      </c>
      <c r="K344" s="24">
        <v>109</v>
      </c>
      <c r="L344" s="24" t="s">
        <v>4072</v>
      </c>
    </row>
    <row r="345" spans="1:12" x14ac:dyDescent="0.35">
      <c r="A345" s="24" t="s">
        <v>3246</v>
      </c>
      <c r="B345" s="24" t="str">
        <f>"605507"</f>
        <v>605507</v>
      </c>
      <c r="C345" s="24" t="str">
        <f t="shared" si="5"/>
        <v>'605507.SS'</v>
      </c>
      <c r="D345" s="24" t="s">
        <v>4073</v>
      </c>
      <c r="E345" s="24" t="s">
        <v>3658</v>
      </c>
      <c r="F345" s="24">
        <v>2.1532</v>
      </c>
      <c r="G345" s="24">
        <v>14976469800</v>
      </c>
      <c r="H345" s="24">
        <v>2.9007999999999998</v>
      </c>
      <c r="I345" s="24">
        <v>2.0084</v>
      </c>
      <c r="J345" s="24">
        <v>1.0686</v>
      </c>
      <c r="K345" s="24">
        <v>39</v>
      </c>
      <c r="L345" s="24" t="s">
        <v>4074</v>
      </c>
    </row>
    <row r="346" spans="1:12" x14ac:dyDescent="0.35">
      <c r="A346" s="24" t="s">
        <v>3242</v>
      </c>
      <c r="B346" s="24" t="str">
        <f>"300042"</f>
        <v>300042</v>
      </c>
      <c r="C346" s="24" t="str">
        <f t="shared" si="5"/>
        <v>'300042.SZ'</v>
      </c>
      <c r="D346" s="24" t="s">
        <v>4075</v>
      </c>
      <c r="E346" s="24" t="s">
        <v>3257</v>
      </c>
      <c r="F346" s="24">
        <v>2.1486000000000001</v>
      </c>
      <c r="G346" s="24">
        <v>2494980000</v>
      </c>
      <c r="H346" s="24">
        <v>8.6242999999999999</v>
      </c>
      <c r="I346" s="24">
        <v>7.0754999999999999</v>
      </c>
      <c r="J346" s="24">
        <v>1.5743</v>
      </c>
      <c r="K346" s="24">
        <v>121</v>
      </c>
      <c r="L346" s="24" t="s">
        <v>4076</v>
      </c>
    </row>
    <row r="347" spans="1:12" x14ac:dyDescent="0.35">
      <c r="A347" s="24" t="s">
        <v>3246</v>
      </c>
      <c r="B347" s="24" t="str">
        <f>"688163"</f>
        <v>688163</v>
      </c>
      <c r="C347" s="24" t="str">
        <f t="shared" si="5"/>
        <v>'688163.SS'</v>
      </c>
      <c r="D347" s="24" t="s">
        <v>4077</v>
      </c>
      <c r="E347" s="24" t="s">
        <v>3282</v>
      </c>
      <c r="F347" s="24">
        <v>2.1461999999999999</v>
      </c>
      <c r="G347" s="24">
        <v>2403566200</v>
      </c>
      <c r="H347" s="24">
        <v>36.810299999999998</v>
      </c>
      <c r="I347" s="24">
        <v>34.905200000000001</v>
      </c>
      <c r="J347" s="24">
        <v>4.1307</v>
      </c>
      <c r="K347" s="24">
        <v>28</v>
      </c>
      <c r="L347" s="24" t="s">
        <v>4078</v>
      </c>
    </row>
    <row r="348" spans="1:12" x14ac:dyDescent="0.35">
      <c r="A348" s="24" t="s">
        <v>3246</v>
      </c>
      <c r="B348" s="24" t="str">
        <f>"600868"</f>
        <v>600868</v>
      </c>
      <c r="C348" s="24" t="str">
        <f t="shared" si="5"/>
        <v>'600868.SS'</v>
      </c>
      <c r="D348" s="24" t="s">
        <v>4079</v>
      </c>
      <c r="E348" s="24" t="s">
        <v>3846</v>
      </c>
      <c r="F348" s="24">
        <v>2.1423000000000001</v>
      </c>
      <c r="G348" s="24">
        <v>5125001433.3000002</v>
      </c>
      <c r="H348" s="24">
        <v>3.5196000000000001</v>
      </c>
      <c r="I348" s="24">
        <v>3.0642</v>
      </c>
      <c r="J348" s="24">
        <v>1.2299</v>
      </c>
      <c r="K348" s="24">
        <v>132</v>
      </c>
      <c r="L348" s="24" t="s">
        <v>4080</v>
      </c>
    </row>
    <row r="349" spans="1:12" x14ac:dyDescent="0.35">
      <c r="A349" s="24" t="s">
        <v>3242</v>
      </c>
      <c r="B349" s="24" t="str">
        <f>"002332"</f>
        <v>002332</v>
      </c>
      <c r="C349" s="24" t="str">
        <f t="shared" si="5"/>
        <v>'002332.SZ'</v>
      </c>
      <c r="D349" s="24" t="s">
        <v>4081</v>
      </c>
      <c r="E349" s="24" t="s">
        <v>3658</v>
      </c>
      <c r="F349" s="24">
        <v>2.1362999999999999</v>
      </c>
      <c r="G349" s="24">
        <v>11079094499.200001</v>
      </c>
      <c r="H349" s="24">
        <v>3.1059999999999999</v>
      </c>
      <c r="I349" s="24">
        <v>2.3130999999999999</v>
      </c>
      <c r="J349" s="24">
        <v>1.0525</v>
      </c>
      <c r="K349" s="24">
        <v>422</v>
      </c>
      <c r="L349" s="24" t="s">
        <v>4082</v>
      </c>
    </row>
    <row r="350" spans="1:12" x14ac:dyDescent="0.35">
      <c r="A350" s="24" t="s">
        <v>3246</v>
      </c>
      <c r="B350" s="24" t="str">
        <f>"603015"</f>
        <v>603015</v>
      </c>
      <c r="C350" s="24" t="str">
        <f t="shared" si="5"/>
        <v>'603015.SS'</v>
      </c>
      <c r="D350" s="24" t="s">
        <v>4083</v>
      </c>
      <c r="E350" s="24" t="s">
        <v>3268</v>
      </c>
      <c r="F350" s="24">
        <v>2.1347</v>
      </c>
      <c r="G350" s="24">
        <v>2801237670</v>
      </c>
      <c r="H350" s="24">
        <v>3.2543000000000002</v>
      </c>
      <c r="I350" s="24">
        <v>2.0346000000000002</v>
      </c>
      <c r="J350" s="24">
        <v>0.83079999999999998</v>
      </c>
      <c r="K350" s="24">
        <v>105</v>
      </c>
      <c r="L350" s="24" t="s">
        <v>4084</v>
      </c>
    </row>
    <row r="351" spans="1:12" x14ac:dyDescent="0.35">
      <c r="A351" s="24" t="s">
        <v>3246</v>
      </c>
      <c r="B351" s="24" t="str">
        <f>"600573"</f>
        <v>600573</v>
      </c>
      <c r="C351" s="24" t="str">
        <f t="shared" si="5"/>
        <v>'600573.SS'</v>
      </c>
      <c r="D351" s="24" t="s">
        <v>4085</v>
      </c>
      <c r="E351" s="24" t="s">
        <v>4086</v>
      </c>
      <c r="F351" s="24">
        <v>2.1337000000000002</v>
      </c>
      <c r="G351" s="24">
        <v>2605000000</v>
      </c>
      <c r="H351" s="24">
        <v>5.0444000000000004</v>
      </c>
      <c r="I351" s="24">
        <v>4.6859999999999999</v>
      </c>
      <c r="J351" s="24">
        <v>4.2173999999999996</v>
      </c>
      <c r="K351" s="24">
        <v>195</v>
      </c>
      <c r="L351" s="24" t="s">
        <v>4087</v>
      </c>
    </row>
    <row r="352" spans="1:12" x14ac:dyDescent="0.35">
      <c r="A352" s="24" t="s">
        <v>3242</v>
      </c>
      <c r="B352" s="24" t="str">
        <f>"002658"</f>
        <v>002658</v>
      </c>
      <c r="C352" s="24" t="str">
        <f t="shared" si="5"/>
        <v>'002658.SZ'</v>
      </c>
      <c r="D352" s="24" t="s">
        <v>4088</v>
      </c>
      <c r="E352" s="24" t="s">
        <v>3843</v>
      </c>
      <c r="F352" s="24">
        <v>2.1309</v>
      </c>
      <c r="G352" s="24">
        <v>5406359767.3800001</v>
      </c>
      <c r="H352" s="24">
        <v>5.7621000000000002</v>
      </c>
      <c r="I352" s="24">
        <v>4.46</v>
      </c>
      <c r="J352" s="24">
        <v>0.98839999999999995</v>
      </c>
      <c r="K352" s="24">
        <v>240</v>
      </c>
      <c r="L352" s="24" t="s">
        <v>4089</v>
      </c>
    </row>
    <row r="353" spans="1:12" x14ac:dyDescent="0.35">
      <c r="A353" s="24" t="s">
        <v>3242</v>
      </c>
      <c r="B353" s="24" t="str">
        <f>"300139"</f>
        <v>300139</v>
      </c>
      <c r="C353" s="24" t="str">
        <f t="shared" si="5"/>
        <v>'300139.SZ'</v>
      </c>
      <c r="D353" s="24" t="s">
        <v>4090</v>
      </c>
      <c r="E353" s="24" t="s">
        <v>3308</v>
      </c>
      <c r="F353" s="24">
        <v>2.1278999999999999</v>
      </c>
      <c r="G353" s="24">
        <v>2153640000</v>
      </c>
      <c r="H353" s="24">
        <v>6.3696000000000002</v>
      </c>
      <c r="I353" s="24">
        <v>5.68</v>
      </c>
      <c r="J353" s="24">
        <v>4.1037999999999997</v>
      </c>
      <c r="K353" s="24">
        <v>152</v>
      </c>
      <c r="L353" s="24" t="s">
        <v>4091</v>
      </c>
    </row>
    <row r="354" spans="1:12" x14ac:dyDescent="0.35">
      <c r="A354" s="24" t="s">
        <v>3242</v>
      </c>
      <c r="B354" s="24" t="str">
        <f>"000729"</f>
        <v>000729</v>
      </c>
      <c r="C354" s="24" t="str">
        <f t="shared" si="5"/>
        <v>'000729.SZ'</v>
      </c>
      <c r="D354" s="24" t="s">
        <v>4092</v>
      </c>
      <c r="E354" s="24" t="s">
        <v>4086</v>
      </c>
      <c r="F354" s="24">
        <v>2.1267</v>
      </c>
      <c r="G354" s="24">
        <v>29707404654.139999</v>
      </c>
      <c r="H354" s="24">
        <v>1.5858000000000001</v>
      </c>
      <c r="I354" s="24">
        <v>1.1005</v>
      </c>
      <c r="J354" s="24">
        <v>0.98129999999999995</v>
      </c>
      <c r="K354" s="24">
        <v>642</v>
      </c>
      <c r="L354" s="24" t="s">
        <v>4093</v>
      </c>
    </row>
    <row r="355" spans="1:12" x14ac:dyDescent="0.35">
      <c r="A355" s="24" t="s">
        <v>3246</v>
      </c>
      <c r="B355" s="24" t="str">
        <f>"603698"</f>
        <v>603698</v>
      </c>
      <c r="C355" s="24" t="str">
        <f t="shared" si="5"/>
        <v>'603698.SS'</v>
      </c>
      <c r="D355" s="24" t="s">
        <v>4094</v>
      </c>
      <c r="E355" s="24" t="s">
        <v>3840</v>
      </c>
      <c r="F355" s="24">
        <v>2.1242000000000001</v>
      </c>
      <c r="G355" s="24">
        <v>6506918600</v>
      </c>
      <c r="H355" s="24">
        <v>2.2768000000000002</v>
      </c>
      <c r="I355" s="24">
        <v>1.4826999999999999</v>
      </c>
      <c r="J355" s="24">
        <v>1.0279</v>
      </c>
      <c r="K355" s="24">
        <v>116</v>
      </c>
      <c r="L355" s="24" t="s">
        <v>4095</v>
      </c>
    </row>
    <row r="356" spans="1:12" x14ac:dyDescent="0.35">
      <c r="A356" s="24" t="s">
        <v>3246</v>
      </c>
      <c r="B356" s="24" t="str">
        <f>"688039"</f>
        <v>688039</v>
      </c>
      <c r="C356" s="24" t="str">
        <f t="shared" si="5"/>
        <v>'688039.SS'</v>
      </c>
      <c r="D356" s="24" t="s">
        <v>4096</v>
      </c>
      <c r="E356" s="24" t="s">
        <v>3722</v>
      </c>
      <c r="F356" s="24">
        <v>2.1217000000000001</v>
      </c>
      <c r="G356" s="24">
        <v>3023916225</v>
      </c>
      <c r="H356" s="24">
        <v>4.7381000000000002</v>
      </c>
      <c r="I356" s="24">
        <v>3.8117000000000001</v>
      </c>
      <c r="J356" s="24">
        <v>2.1259999999999999</v>
      </c>
      <c r="K356" s="24">
        <v>162</v>
      </c>
      <c r="L356" s="24" t="s">
        <v>4097</v>
      </c>
    </row>
    <row r="357" spans="1:12" x14ac:dyDescent="0.35">
      <c r="A357" s="24" t="s">
        <v>3242</v>
      </c>
      <c r="B357" s="24" t="str">
        <f>"002273"</f>
        <v>002273</v>
      </c>
      <c r="C357" s="24" t="str">
        <f t="shared" si="5"/>
        <v>'002273.SZ'</v>
      </c>
      <c r="D357" s="24" t="s">
        <v>4098</v>
      </c>
      <c r="E357" s="24" t="s">
        <v>3248</v>
      </c>
      <c r="F357" s="24">
        <v>2.1082000000000001</v>
      </c>
      <c r="G357" s="24">
        <v>17146495284.93</v>
      </c>
      <c r="H357" s="24">
        <v>3.3246000000000002</v>
      </c>
      <c r="I357" s="24">
        <v>2.7471999999999999</v>
      </c>
      <c r="J357" s="24">
        <v>1.8660000000000001</v>
      </c>
      <c r="K357" s="24">
        <v>980</v>
      </c>
      <c r="L357" s="24" t="s">
        <v>4099</v>
      </c>
    </row>
    <row r="358" spans="1:12" x14ac:dyDescent="0.35">
      <c r="A358" s="24" t="s">
        <v>3246</v>
      </c>
      <c r="B358" s="24" t="str">
        <f>"603859"</f>
        <v>603859</v>
      </c>
      <c r="C358" s="24" t="str">
        <f t="shared" si="5"/>
        <v>'603859.SS'</v>
      </c>
      <c r="D358" s="24" t="s">
        <v>4100</v>
      </c>
      <c r="E358" s="24" t="s">
        <v>3722</v>
      </c>
      <c r="F358" s="24">
        <v>2.1021999999999998</v>
      </c>
      <c r="G358" s="24">
        <v>5043689123.2399998</v>
      </c>
      <c r="H358" s="24">
        <v>4.5225999999999997</v>
      </c>
      <c r="I358" s="24">
        <v>3.8391999999999999</v>
      </c>
      <c r="J358" s="24">
        <v>1.1279999999999999</v>
      </c>
      <c r="K358" s="24">
        <v>211</v>
      </c>
      <c r="L358" s="24" t="s">
        <v>4101</v>
      </c>
    </row>
    <row r="359" spans="1:12" x14ac:dyDescent="0.35">
      <c r="A359" s="24" t="s">
        <v>3246</v>
      </c>
      <c r="B359" s="24" t="str">
        <f>"600201"</f>
        <v>600201</v>
      </c>
      <c r="C359" s="24" t="str">
        <f t="shared" si="5"/>
        <v>'600201.SS'</v>
      </c>
      <c r="D359" s="24" t="s">
        <v>4102</v>
      </c>
      <c r="E359" s="24" t="s">
        <v>4103</v>
      </c>
      <c r="F359" s="24">
        <v>2.1015999999999999</v>
      </c>
      <c r="G359" s="24">
        <v>10755544569.6</v>
      </c>
      <c r="H359" s="24">
        <v>3.9315000000000002</v>
      </c>
      <c r="I359" s="24">
        <v>3.4618000000000002</v>
      </c>
      <c r="J359" s="24">
        <v>1.7433000000000001</v>
      </c>
      <c r="K359" s="24">
        <v>1752</v>
      </c>
      <c r="L359" s="24" t="s">
        <v>4104</v>
      </c>
    </row>
    <row r="360" spans="1:12" x14ac:dyDescent="0.35">
      <c r="A360" s="24" t="s">
        <v>3246</v>
      </c>
      <c r="B360" s="24" t="str">
        <f>"688325"</f>
        <v>688325</v>
      </c>
      <c r="C360" s="24" t="str">
        <f t="shared" si="5"/>
        <v>'688325.SS'</v>
      </c>
      <c r="D360" s="24" t="s">
        <v>4105</v>
      </c>
      <c r="E360" s="24" t="s">
        <v>3389</v>
      </c>
      <c r="F360" s="24">
        <v>2.1</v>
      </c>
      <c r="G360" s="24">
        <v>3397600000</v>
      </c>
      <c r="H360" s="24">
        <v>33.059800000000003</v>
      </c>
      <c r="I360" s="24">
        <v>31.083600000000001</v>
      </c>
      <c r="J360" s="24">
        <v>22.708500000000001</v>
      </c>
      <c r="K360" s="24">
        <v>22</v>
      </c>
      <c r="L360" s="24" t="s">
        <v>4106</v>
      </c>
    </row>
    <row r="361" spans="1:12" x14ac:dyDescent="0.35">
      <c r="A361" s="24" t="s">
        <v>3242</v>
      </c>
      <c r="B361" s="24" t="str">
        <f>"002229"</f>
        <v>002229</v>
      </c>
      <c r="C361" s="24" t="str">
        <f t="shared" si="5"/>
        <v>'002229.SZ'</v>
      </c>
      <c r="D361" s="24" t="s">
        <v>4107</v>
      </c>
      <c r="E361" s="24" t="s">
        <v>4108</v>
      </c>
      <c r="F361" s="24">
        <v>2.0998999999999999</v>
      </c>
      <c r="G361" s="24">
        <v>3448542299.96</v>
      </c>
      <c r="H361" s="24">
        <v>2.5108999999999999</v>
      </c>
      <c r="I361" s="24">
        <v>2.2913999999999999</v>
      </c>
      <c r="J361" s="24">
        <v>1.8087</v>
      </c>
      <c r="K361" s="24">
        <v>122</v>
      </c>
      <c r="L361" s="24" t="s">
        <v>4109</v>
      </c>
    </row>
    <row r="362" spans="1:12" x14ac:dyDescent="0.35">
      <c r="A362" s="24" t="s">
        <v>3242</v>
      </c>
      <c r="B362" s="24" t="str">
        <f>"002705"</f>
        <v>002705</v>
      </c>
      <c r="C362" s="24" t="str">
        <f t="shared" si="5"/>
        <v>'002705.SZ'</v>
      </c>
      <c r="D362" s="24" t="s">
        <v>4110</v>
      </c>
      <c r="E362" s="24" t="s">
        <v>3386</v>
      </c>
      <c r="F362" s="24">
        <v>2.0988000000000002</v>
      </c>
      <c r="G362" s="24">
        <v>14376796094.200001</v>
      </c>
      <c r="H362" s="24">
        <v>1.5443</v>
      </c>
      <c r="I362" s="24">
        <v>1.2412000000000001</v>
      </c>
      <c r="J362" s="24">
        <v>0.81420000000000003</v>
      </c>
      <c r="K362" s="24">
        <v>1128</v>
      </c>
      <c r="L362" s="24" t="s">
        <v>4111</v>
      </c>
    </row>
    <row r="363" spans="1:12" x14ac:dyDescent="0.35">
      <c r="A363" s="24" t="s">
        <v>3246</v>
      </c>
      <c r="B363" s="24" t="str">
        <f>"600054"</f>
        <v>600054</v>
      </c>
      <c r="C363" s="24" t="str">
        <f t="shared" si="5"/>
        <v>'600054.SS'</v>
      </c>
      <c r="D363" s="24" t="s">
        <v>4112</v>
      </c>
      <c r="E363" s="24" t="s">
        <v>3397</v>
      </c>
      <c r="F363" s="24">
        <v>2.0975000000000001</v>
      </c>
      <c r="G363" s="24">
        <v>8708790513.6000004</v>
      </c>
      <c r="H363" s="24">
        <v>5.3994999999999997</v>
      </c>
      <c r="I363" s="24">
        <v>4.5034999999999998</v>
      </c>
      <c r="J363" s="24">
        <v>2.5396999999999998</v>
      </c>
      <c r="K363" s="24">
        <v>389</v>
      </c>
      <c r="L363" s="24" t="s">
        <v>4113</v>
      </c>
    </row>
    <row r="364" spans="1:12" x14ac:dyDescent="0.35">
      <c r="A364" s="24" t="s">
        <v>3242</v>
      </c>
      <c r="B364" s="24" t="str">
        <f>"300170"</f>
        <v>300170</v>
      </c>
      <c r="C364" s="24" t="str">
        <f t="shared" si="5"/>
        <v>'300170.SZ'</v>
      </c>
      <c r="D364" s="24" t="s">
        <v>4114</v>
      </c>
      <c r="E364" s="24" t="s">
        <v>3722</v>
      </c>
      <c r="F364" s="24">
        <v>2.0943000000000001</v>
      </c>
      <c r="G364" s="24">
        <v>7759269346.8000002</v>
      </c>
      <c r="H364" s="24">
        <v>4.8948999999999998</v>
      </c>
      <c r="I364" s="24">
        <v>4.1037999999999997</v>
      </c>
      <c r="J364" s="24">
        <v>2.0531000000000001</v>
      </c>
      <c r="K364" s="24">
        <v>3202</v>
      </c>
      <c r="L364" s="24" t="s">
        <v>4115</v>
      </c>
    </row>
    <row r="365" spans="1:12" x14ac:dyDescent="0.35">
      <c r="A365" s="24" t="s">
        <v>3242</v>
      </c>
      <c r="B365" s="24" t="str">
        <f>"300562"</f>
        <v>300562</v>
      </c>
      <c r="C365" s="24" t="str">
        <f t="shared" si="5"/>
        <v>'300562.SZ'</v>
      </c>
      <c r="D365" s="24" t="s">
        <v>4116</v>
      </c>
      <c r="E365" s="24" t="s">
        <v>3443</v>
      </c>
      <c r="F365" s="24">
        <v>2.0941999999999998</v>
      </c>
      <c r="G365" s="24">
        <v>2243627414.5999999</v>
      </c>
      <c r="H365" s="24">
        <v>2.0728</v>
      </c>
      <c r="I365" s="24">
        <v>1.7715000000000001</v>
      </c>
      <c r="J365" s="24">
        <v>1.0687</v>
      </c>
      <c r="K365" s="24">
        <v>156</v>
      </c>
      <c r="L365" s="24" t="s">
        <v>4117</v>
      </c>
    </row>
    <row r="366" spans="1:12" x14ac:dyDescent="0.35">
      <c r="A366" s="24" t="s">
        <v>3242</v>
      </c>
      <c r="B366" s="24" t="str">
        <f>"300429"</f>
        <v>300429</v>
      </c>
      <c r="C366" s="24" t="str">
        <f t="shared" si="5"/>
        <v>'300429.SZ'</v>
      </c>
      <c r="D366" s="24" t="s">
        <v>4118</v>
      </c>
      <c r="E366" s="24" t="s">
        <v>3907</v>
      </c>
      <c r="F366" s="24">
        <v>2.0911</v>
      </c>
      <c r="G366" s="24">
        <v>3859305249.52</v>
      </c>
      <c r="H366" s="24">
        <v>2.3532000000000002</v>
      </c>
      <c r="I366" s="24">
        <v>1.6978</v>
      </c>
      <c r="J366" s="24">
        <v>1.0091000000000001</v>
      </c>
      <c r="K366" s="24">
        <v>264</v>
      </c>
      <c r="L366" s="24" t="s">
        <v>4119</v>
      </c>
    </row>
    <row r="367" spans="1:12" x14ac:dyDescent="0.35">
      <c r="A367" s="24" t="s">
        <v>3242</v>
      </c>
      <c r="B367" s="24" t="str">
        <f>"300901"</f>
        <v>300901</v>
      </c>
      <c r="C367" s="24" t="str">
        <f t="shared" si="5"/>
        <v>'300901.SZ'</v>
      </c>
      <c r="D367" s="24" t="s">
        <v>4120</v>
      </c>
      <c r="E367" s="24" t="s">
        <v>4121</v>
      </c>
      <c r="F367" s="24">
        <v>2.0891999999999999</v>
      </c>
      <c r="G367" s="24">
        <v>2193600000</v>
      </c>
      <c r="H367" s="24">
        <v>4.7702</v>
      </c>
      <c r="I367" s="24">
        <v>4.5709999999999997</v>
      </c>
      <c r="J367" s="24">
        <v>2.9302999999999999</v>
      </c>
      <c r="K367" s="24">
        <v>47</v>
      </c>
      <c r="L367" s="24" t="s">
        <v>4122</v>
      </c>
    </row>
    <row r="368" spans="1:12" x14ac:dyDescent="0.35">
      <c r="A368" s="24" t="s">
        <v>3242</v>
      </c>
      <c r="B368" s="24" t="str">
        <f>"002900"</f>
        <v>002900</v>
      </c>
      <c r="C368" s="24" t="str">
        <f t="shared" si="5"/>
        <v>'002900.SZ'</v>
      </c>
      <c r="D368" s="24" t="s">
        <v>4123</v>
      </c>
      <c r="E368" s="24" t="s">
        <v>3696</v>
      </c>
      <c r="F368" s="24">
        <v>2.0886</v>
      </c>
      <c r="G368" s="24">
        <v>4226610667.5</v>
      </c>
      <c r="H368" s="24">
        <v>2.7183999999999999</v>
      </c>
      <c r="I368" s="24">
        <v>2.3910999999999998</v>
      </c>
      <c r="J368" s="24">
        <v>2.0358000000000001</v>
      </c>
      <c r="K368" s="24">
        <v>185</v>
      </c>
      <c r="L368" s="24" t="s">
        <v>4124</v>
      </c>
    </row>
    <row r="369" spans="1:12" x14ac:dyDescent="0.35">
      <c r="A369" s="24" t="s">
        <v>3242</v>
      </c>
      <c r="B369" s="24" t="str">
        <f>"002495"</f>
        <v>002495</v>
      </c>
      <c r="C369" s="24" t="str">
        <f t="shared" si="5"/>
        <v>'002495.SZ'</v>
      </c>
      <c r="D369" s="24" t="s">
        <v>4125</v>
      </c>
      <c r="E369" s="24" t="s">
        <v>3899</v>
      </c>
      <c r="F369" s="24">
        <v>2.0764999999999998</v>
      </c>
      <c r="G369" s="24">
        <v>2526189120</v>
      </c>
      <c r="H369" s="24">
        <v>11.0251</v>
      </c>
      <c r="I369" s="24">
        <v>10.1363</v>
      </c>
      <c r="J369" s="24">
        <v>8.6793999999999993</v>
      </c>
      <c r="K369" s="24">
        <v>119</v>
      </c>
      <c r="L369" s="24" t="s">
        <v>4126</v>
      </c>
    </row>
    <row r="370" spans="1:12" x14ac:dyDescent="0.35">
      <c r="A370" s="24" t="s">
        <v>3246</v>
      </c>
      <c r="B370" s="24" t="str">
        <f>"603711"</f>
        <v>603711</v>
      </c>
      <c r="C370" s="24" t="str">
        <f t="shared" si="5"/>
        <v>'603711.SS'</v>
      </c>
      <c r="D370" s="24" t="s">
        <v>4127</v>
      </c>
      <c r="E370" s="24" t="s">
        <v>4128</v>
      </c>
      <c r="F370" s="24">
        <v>2.0733999999999999</v>
      </c>
      <c r="G370" s="24">
        <v>5873664940</v>
      </c>
      <c r="H370" s="24">
        <v>1.6081000000000001</v>
      </c>
      <c r="I370" s="24">
        <v>1.3660000000000001</v>
      </c>
      <c r="J370" s="24">
        <v>1.1815</v>
      </c>
      <c r="K370" s="24">
        <v>393</v>
      </c>
      <c r="L370" s="24" t="s">
        <v>4129</v>
      </c>
    </row>
    <row r="371" spans="1:12" x14ac:dyDescent="0.35">
      <c r="A371" s="24" t="s">
        <v>3242</v>
      </c>
      <c r="B371" s="24" t="str">
        <f>"300130"</f>
        <v>300130</v>
      </c>
      <c r="C371" s="24" t="str">
        <f t="shared" si="5"/>
        <v>'300130.SZ'</v>
      </c>
      <c r="D371" s="24" t="s">
        <v>4130</v>
      </c>
      <c r="E371" s="24" t="s">
        <v>3257</v>
      </c>
      <c r="F371" s="24">
        <v>2.0724</v>
      </c>
      <c r="G371" s="24">
        <v>6318919717.6199999</v>
      </c>
      <c r="H371" s="24">
        <v>2.6395</v>
      </c>
      <c r="I371" s="24">
        <v>2.3460999999999999</v>
      </c>
      <c r="J371" s="24">
        <v>1.6862999999999999</v>
      </c>
      <c r="K371" s="24">
        <v>215</v>
      </c>
      <c r="L371" s="24" t="s">
        <v>4131</v>
      </c>
    </row>
    <row r="372" spans="1:12" x14ac:dyDescent="0.35">
      <c r="A372" s="24" t="s">
        <v>3246</v>
      </c>
      <c r="B372" s="24" t="str">
        <f>"688455"</f>
        <v>688455</v>
      </c>
      <c r="C372" s="24" t="str">
        <f t="shared" si="5"/>
        <v>'688455.SS'</v>
      </c>
      <c r="D372" s="24" t="s">
        <v>4132</v>
      </c>
      <c r="E372" s="24" t="s">
        <v>3552</v>
      </c>
      <c r="F372" s="24">
        <v>2.0712999999999999</v>
      </c>
      <c r="G372" s="24">
        <v>2528271354.6599998</v>
      </c>
      <c r="H372" s="24">
        <v>1.8070999999999999</v>
      </c>
      <c r="I372" s="24">
        <v>1.1277999999999999</v>
      </c>
      <c r="J372" s="24">
        <v>0.90600000000000003</v>
      </c>
      <c r="K372" s="24">
        <v>8</v>
      </c>
      <c r="L372" s="24" t="s">
        <v>4133</v>
      </c>
    </row>
    <row r="373" spans="1:12" x14ac:dyDescent="0.35">
      <c r="A373" s="24" t="s">
        <v>3242</v>
      </c>
      <c r="B373" s="24" t="str">
        <f>"301326"</f>
        <v>301326</v>
      </c>
      <c r="C373" s="24" t="str">
        <f t="shared" si="5"/>
        <v>'301326.SZ'</v>
      </c>
      <c r="D373" s="24" t="s">
        <v>4134</v>
      </c>
      <c r="E373" s="24" t="s">
        <v>3327</v>
      </c>
      <c r="F373" s="24">
        <v>2.0670999999999999</v>
      </c>
      <c r="G373" s="24">
        <v>2894932402.8000002</v>
      </c>
      <c r="H373" s="24">
        <v>3.5289999999999999</v>
      </c>
      <c r="I373" s="24">
        <v>3.2218</v>
      </c>
      <c r="J373" s="24">
        <v>2.0750000000000002</v>
      </c>
      <c r="K373" s="24">
        <v>2</v>
      </c>
      <c r="L373" s="24" t="s">
        <v>4135</v>
      </c>
    </row>
    <row r="374" spans="1:12" x14ac:dyDescent="0.35">
      <c r="A374" s="24" t="s">
        <v>3246</v>
      </c>
      <c r="B374" s="24" t="str">
        <f>"688115"</f>
        <v>688115</v>
      </c>
      <c r="C374" s="24" t="str">
        <f t="shared" si="5"/>
        <v>'688115.SS'</v>
      </c>
      <c r="D374" s="24" t="s">
        <v>4136</v>
      </c>
      <c r="E374" s="24" t="s">
        <v>3476</v>
      </c>
      <c r="F374" s="24">
        <v>2.0569000000000002</v>
      </c>
      <c r="G374" s="24">
        <v>2742137100</v>
      </c>
      <c r="H374" s="24">
        <v>40.356200000000001</v>
      </c>
      <c r="I374" s="24">
        <v>38.851999999999997</v>
      </c>
      <c r="J374" s="24">
        <v>30.836600000000001</v>
      </c>
      <c r="K374" s="24">
        <v>15</v>
      </c>
      <c r="L374" s="24" t="s">
        <v>4137</v>
      </c>
    </row>
    <row r="375" spans="1:12" x14ac:dyDescent="0.35">
      <c r="A375" s="24" t="s">
        <v>3242</v>
      </c>
      <c r="B375" s="24" t="str">
        <f>"301205"</f>
        <v>301205</v>
      </c>
      <c r="C375" s="24" t="str">
        <f t="shared" si="5"/>
        <v>'301205.SZ'</v>
      </c>
      <c r="D375" s="24" t="s">
        <v>4138</v>
      </c>
      <c r="E375" s="24" t="s">
        <v>3314</v>
      </c>
      <c r="F375" s="24">
        <v>2.0489000000000002</v>
      </c>
      <c r="G375" s="24">
        <v>2838510400</v>
      </c>
      <c r="H375" s="24">
        <v>5.5232999999999999</v>
      </c>
      <c r="I375" s="24">
        <v>4.0510999999999999</v>
      </c>
      <c r="J375" s="24">
        <v>3.1585999999999999</v>
      </c>
      <c r="K375" s="24">
        <v>8</v>
      </c>
      <c r="L375" s="24" t="s">
        <v>4139</v>
      </c>
    </row>
    <row r="376" spans="1:12" x14ac:dyDescent="0.35">
      <c r="A376" s="24" t="s">
        <v>3246</v>
      </c>
      <c r="B376" s="24" t="str">
        <f>"688125"</f>
        <v>688125</v>
      </c>
      <c r="C376" s="24" t="str">
        <f t="shared" si="5"/>
        <v>'688125.SS'</v>
      </c>
      <c r="D376" s="24" t="s">
        <v>4140</v>
      </c>
      <c r="E376" s="24" t="s">
        <v>3552</v>
      </c>
      <c r="F376" s="24">
        <v>2.0461999999999998</v>
      </c>
      <c r="G376" s="24">
        <v>3856969658.4000001</v>
      </c>
      <c r="H376" s="24">
        <v>10.865500000000001</v>
      </c>
      <c r="I376" s="24">
        <v>9.9758999999999993</v>
      </c>
      <c r="J376" s="24">
        <v>6.1055999999999999</v>
      </c>
      <c r="K376" s="24">
        <v>18</v>
      </c>
      <c r="L376" s="24" t="s">
        <v>4141</v>
      </c>
    </row>
    <row r="377" spans="1:12" x14ac:dyDescent="0.35">
      <c r="A377" s="24" t="s">
        <v>3242</v>
      </c>
      <c r="B377" s="24" t="str">
        <f>"301220"</f>
        <v>301220</v>
      </c>
      <c r="C377" s="24" t="str">
        <f t="shared" si="5"/>
        <v>'301220.SZ'</v>
      </c>
      <c r="D377" s="24" t="s">
        <v>4142</v>
      </c>
      <c r="E377" s="24" t="s">
        <v>3419</v>
      </c>
      <c r="F377" s="24">
        <v>2.0457999999999998</v>
      </c>
      <c r="G377" s="24">
        <v>3078480000</v>
      </c>
      <c r="H377" s="24">
        <v>6.8476999999999997</v>
      </c>
      <c r="I377" s="24">
        <v>4.7375999999999996</v>
      </c>
      <c r="J377" s="24">
        <v>1.1433</v>
      </c>
      <c r="K377" s="24">
        <v>7</v>
      </c>
      <c r="L377" s="24" t="s">
        <v>4143</v>
      </c>
    </row>
    <row r="378" spans="1:12" x14ac:dyDescent="0.35">
      <c r="A378" s="24" t="s">
        <v>3246</v>
      </c>
      <c r="B378" s="24" t="str">
        <f>"603052"</f>
        <v>603052</v>
      </c>
      <c r="C378" s="24" t="str">
        <f t="shared" si="5"/>
        <v>'603052.SS'</v>
      </c>
      <c r="D378" s="24" t="s">
        <v>4144</v>
      </c>
      <c r="E378" s="24" t="s">
        <v>3327</v>
      </c>
      <c r="F378" s="24">
        <v>2.0455000000000001</v>
      </c>
      <c r="G378" s="24">
        <v>3387024000</v>
      </c>
      <c r="H378" s="24">
        <v>3.1551</v>
      </c>
      <c r="I378" s="24">
        <v>2.9941</v>
      </c>
      <c r="J378" s="24">
        <v>1.5673999999999999</v>
      </c>
      <c r="K378" s="24">
        <v>6</v>
      </c>
      <c r="L378" s="24" t="s">
        <v>4145</v>
      </c>
    </row>
    <row r="379" spans="1:12" x14ac:dyDescent="0.35">
      <c r="A379" s="24" t="s">
        <v>3246</v>
      </c>
      <c r="B379" s="24" t="str">
        <f>"600838"</f>
        <v>600838</v>
      </c>
      <c r="C379" s="24" t="str">
        <f t="shared" si="5"/>
        <v>'600838.SS'</v>
      </c>
      <c r="D379" s="24" t="s">
        <v>4146</v>
      </c>
      <c r="E379" s="24" t="s">
        <v>4147</v>
      </c>
      <c r="F379" s="24">
        <v>2.0438000000000001</v>
      </c>
      <c r="G379" s="24">
        <v>2818200326.4299998</v>
      </c>
      <c r="H379" s="24">
        <v>6.0182000000000002</v>
      </c>
      <c r="I379" s="24">
        <v>5.5704000000000002</v>
      </c>
      <c r="J379" s="24">
        <v>5.4347000000000003</v>
      </c>
      <c r="K379" s="24">
        <v>86</v>
      </c>
      <c r="L379" s="24" t="s">
        <v>4148</v>
      </c>
    </row>
    <row r="380" spans="1:12" x14ac:dyDescent="0.35">
      <c r="A380" s="24" t="s">
        <v>3246</v>
      </c>
      <c r="B380" s="24" t="str">
        <f>"688158"</f>
        <v>688158</v>
      </c>
      <c r="C380" s="24" t="str">
        <f t="shared" si="5"/>
        <v>'688158.SS'</v>
      </c>
      <c r="D380" s="24" t="s">
        <v>4149</v>
      </c>
      <c r="E380" s="24" t="s">
        <v>3722</v>
      </c>
      <c r="F380" s="24">
        <v>2.04</v>
      </c>
      <c r="G380" s="24">
        <v>6216464511.3199997</v>
      </c>
      <c r="H380" s="24">
        <v>1.8912</v>
      </c>
      <c r="I380" s="24">
        <v>1.8176000000000001</v>
      </c>
      <c r="J380" s="24">
        <v>1.3933</v>
      </c>
      <c r="K380" s="24">
        <v>110</v>
      </c>
      <c r="L380" s="24" t="s">
        <v>4150</v>
      </c>
    </row>
    <row r="381" spans="1:12" x14ac:dyDescent="0.35">
      <c r="A381" s="24" t="s">
        <v>3242</v>
      </c>
      <c r="B381" s="24" t="str">
        <f>"301042"</f>
        <v>301042</v>
      </c>
      <c r="C381" s="24" t="str">
        <f t="shared" si="5"/>
        <v>'301042.SZ'</v>
      </c>
      <c r="D381" s="24" t="s">
        <v>4151</v>
      </c>
      <c r="E381" s="24" t="s">
        <v>3565</v>
      </c>
      <c r="F381" s="24">
        <v>2.0394000000000001</v>
      </c>
      <c r="G381" s="24">
        <v>2341588500</v>
      </c>
      <c r="H381" s="24">
        <v>8.2065000000000001</v>
      </c>
      <c r="I381" s="24">
        <v>7.0183</v>
      </c>
      <c r="J381" s="24">
        <v>3.8523999999999998</v>
      </c>
      <c r="K381" s="24">
        <v>21</v>
      </c>
      <c r="L381" s="24" t="s">
        <v>4152</v>
      </c>
    </row>
    <row r="382" spans="1:12" x14ac:dyDescent="0.35">
      <c r="A382" s="24" t="s">
        <v>3242</v>
      </c>
      <c r="B382" s="24" t="str">
        <f>"002819"</f>
        <v>002819</v>
      </c>
      <c r="C382" s="24" t="str">
        <f t="shared" si="5"/>
        <v>'002819.SZ'</v>
      </c>
      <c r="D382" s="24" t="s">
        <v>4153</v>
      </c>
      <c r="E382" s="24" t="s">
        <v>3476</v>
      </c>
      <c r="F382" s="24">
        <v>2.0369000000000002</v>
      </c>
      <c r="G382" s="24">
        <v>7733526921.7200003</v>
      </c>
      <c r="H382" s="24">
        <v>4.6509999999999998</v>
      </c>
      <c r="I382" s="24">
        <v>4.0425000000000004</v>
      </c>
      <c r="J382" s="24">
        <v>1.3933</v>
      </c>
      <c r="K382" s="24">
        <v>154</v>
      </c>
      <c r="L382" s="24" t="s">
        <v>4154</v>
      </c>
    </row>
    <row r="383" spans="1:12" x14ac:dyDescent="0.35">
      <c r="A383" s="24" t="s">
        <v>3242</v>
      </c>
      <c r="B383" s="24" t="str">
        <f>"301258"</f>
        <v>301258</v>
      </c>
      <c r="C383" s="24" t="str">
        <f t="shared" si="5"/>
        <v>'301258.SZ'</v>
      </c>
      <c r="D383" s="24" t="s">
        <v>4155</v>
      </c>
      <c r="E383" s="24" t="s">
        <v>3658</v>
      </c>
      <c r="F383" s="24">
        <v>2.0366</v>
      </c>
      <c r="G383" s="24">
        <v>3740136000</v>
      </c>
      <c r="H383" s="24">
        <v>10.684100000000001</v>
      </c>
      <c r="I383" s="24">
        <v>9.782</v>
      </c>
      <c r="J383" s="24">
        <v>2.0777999999999999</v>
      </c>
      <c r="K383" s="24">
        <v>27</v>
      </c>
      <c r="L383" s="24" t="s">
        <v>4156</v>
      </c>
    </row>
    <row r="384" spans="1:12" x14ac:dyDescent="0.35">
      <c r="A384" s="24" t="s">
        <v>3246</v>
      </c>
      <c r="B384" s="24" t="str">
        <f>"600062"</f>
        <v>600062</v>
      </c>
      <c r="C384" s="24" t="str">
        <f t="shared" si="5"/>
        <v>'600062.SS'</v>
      </c>
      <c r="D384" s="24" t="s">
        <v>4157</v>
      </c>
      <c r="E384" s="24" t="s">
        <v>3696</v>
      </c>
      <c r="F384" s="24">
        <v>2.0343</v>
      </c>
      <c r="G384" s="24">
        <v>19976405036.5</v>
      </c>
      <c r="H384" s="24">
        <v>2.1962999999999999</v>
      </c>
      <c r="I384" s="24">
        <v>1.6113999999999999</v>
      </c>
      <c r="J384" s="24">
        <v>0.80259999999999998</v>
      </c>
      <c r="K384" s="24">
        <v>661</v>
      </c>
      <c r="L384" s="24" t="s">
        <v>4158</v>
      </c>
    </row>
    <row r="385" spans="1:12" x14ac:dyDescent="0.35">
      <c r="A385" s="24" t="s">
        <v>3242</v>
      </c>
      <c r="B385" s="24" t="str">
        <f>"300810"</f>
        <v>300810</v>
      </c>
      <c r="C385" s="24" t="str">
        <f t="shared" si="5"/>
        <v>'300810.SZ'</v>
      </c>
      <c r="D385" s="24" t="s">
        <v>4159</v>
      </c>
      <c r="E385" s="24" t="s">
        <v>3560</v>
      </c>
      <c r="F385" s="24">
        <v>2.0285000000000002</v>
      </c>
      <c r="G385" s="24">
        <v>2074138500</v>
      </c>
      <c r="H385" s="24">
        <v>8.2279999999999998</v>
      </c>
      <c r="I385" s="24">
        <v>6.6482000000000001</v>
      </c>
      <c r="J385" s="24">
        <v>1.4316</v>
      </c>
      <c r="K385" s="24">
        <v>58</v>
      </c>
      <c r="L385" s="24" t="s">
        <v>4160</v>
      </c>
    </row>
    <row r="386" spans="1:12" x14ac:dyDescent="0.35">
      <c r="A386" s="24" t="s">
        <v>3242</v>
      </c>
      <c r="B386" s="24" t="str">
        <f>"301006"</f>
        <v>301006</v>
      </c>
      <c r="C386" s="24" t="str">
        <f t="shared" si="5"/>
        <v>'301006.SZ'</v>
      </c>
      <c r="D386" s="24" t="s">
        <v>4161</v>
      </c>
      <c r="E386" s="24" t="s">
        <v>3476</v>
      </c>
      <c r="F386" s="24">
        <v>2.0278999999999998</v>
      </c>
      <c r="G386" s="24">
        <v>2330154400</v>
      </c>
      <c r="H386" s="24">
        <v>8.6628000000000007</v>
      </c>
      <c r="I386" s="24">
        <v>7.8352000000000004</v>
      </c>
      <c r="J386" s="24">
        <v>1.5576000000000001</v>
      </c>
      <c r="K386" s="24">
        <v>57</v>
      </c>
      <c r="L386" s="24" t="s">
        <v>4162</v>
      </c>
    </row>
    <row r="387" spans="1:12" x14ac:dyDescent="0.35">
      <c r="A387" s="24" t="s">
        <v>3246</v>
      </c>
      <c r="B387" s="24" t="str">
        <f>"603798"</f>
        <v>603798</v>
      </c>
      <c r="C387" s="24" t="str">
        <f t="shared" ref="C387:C450" si="6">CONCATENATE("'",B387,IF(A387="sh",".SS'",".SZ'"))</f>
        <v>'603798.SS'</v>
      </c>
      <c r="D387" s="24" t="s">
        <v>4163</v>
      </c>
      <c r="E387" s="24" t="s">
        <v>4164</v>
      </c>
      <c r="F387" s="24">
        <v>2.0245000000000002</v>
      </c>
      <c r="G387" s="24">
        <v>2218000000</v>
      </c>
      <c r="H387" s="24">
        <v>4.2839999999999998</v>
      </c>
      <c r="I387" s="24">
        <v>3.4281999999999999</v>
      </c>
      <c r="J387" s="24">
        <v>1.4383999999999999</v>
      </c>
      <c r="K387" s="24">
        <v>150</v>
      </c>
      <c r="L387" s="24" t="s">
        <v>4165</v>
      </c>
    </row>
    <row r="388" spans="1:12" x14ac:dyDescent="0.35">
      <c r="A388" s="24" t="s">
        <v>3246</v>
      </c>
      <c r="B388" s="24" t="str">
        <f>"603587"</f>
        <v>603587</v>
      </c>
      <c r="C388" s="24" t="str">
        <f t="shared" si="6"/>
        <v>'603587.SS'</v>
      </c>
      <c r="D388" s="24" t="s">
        <v>4166</v>
      </c>
      <c r="E388" s="24" t="s">
        <v>4121</v>
      </c>
      <c r="F388" s="24">
        <v>2.0238999999999998</v>
      </c>
      <c r="G388" s="24">
        <v>7322001072</v>
      </c>
      <c r="H388" s="24">
        <v>4.4770000000000003</v>
      </c>
      <c r="I388" s="24">
        <v>3.9655999999999998</v>
      </c>
      <c r="J388" s="24">
        <v>2.4819</v>
      </c>
      <c r="K388" s="24">
        <v>1022</v>
      </c>
      <c r="L388" s="24" t="s">
        <v>4167</v>
      </c>
    </row>
    <row r="389" spans="1:12" x14ac:dyDescent="0.35">
      <c r="A389" s="24" t="s">
        <v>3242</v>
      </c>
      <c r="B389" s="24" t="str">
        <f>"002263"</f>
        <v>002263</v>
      </c>
      <c r="C389" s="24" t="str">
        <f t="shared" si="6"/>
        <v>'002263.SZ'</v>
      </c>
      <c r="D389" s="24" t="s">
        <v>4168</v>
      </c>
      <c r="E389" s="24" t="s">
        <v>3888</v>
      </c>
      <c r="F389" s="24">
        <v>2.0173999999999999</v>
      </c>
      <c r="G389" s="24">
        <v>5541162295</v>
      </c>
      <c r="H389" s="24">
        <v>10.9232</v>
      </c>
      <c r="I389" s="24">
        <v>8.8872999999999998</v>
      </c>
      <c r="J389" s="24">
        <v>7.3269000000000002</v>
      </c>
      <c r="K389" s="24">
        <v>134</v>
      </c>
      <c r="L389" s="24" t="s">
        <v>4169</v>
      </c>
    </row>
    <row r="390" spans="1:12" x14ac:dyDescent="0.35">
      <c r="A390" s="24" t="s">
        <v>3242</v>
      </c>
      <c r="B390" s="24" t="str">
        <f>"300741"</f>
        <v>300741</v>
      </c>
      <c r="C390" s="24" t="str">
        <f t="shared" si="6"/>
        <v>'300741.SZ'</v>
      </c>
      <c r="D390" s="24" t="s">
        <v>4170</v>
      </c>
      <c r="E390" s="24" t="s">
        <v>3419</v>
      </c>
      <c r="F390" s="24">
        <v>2.0165999999999999</v>
      </c>
      <c r="G390" s="24">
        <v>14885819600</v>
      </c>
      <c r="H390" s="24">
        <v>5.9427000000000003</v>
      </c>
      <c r="I390" s="24">
        <v>5.4499000000000004</v>
      </c>
      <c r="J390" s="24">
        <v>3.3729</v>
      </c>
      <c r="K390" s="24">
        <v>463</v>
      </c>
      <c r="L390" s="24" t="s">
        <v>4171</v>
      </c>
    </row>
    <row r="391" spans="1:12" x14ac:dyDescent="0.35">
      <c r="A391" s="24" t="s">
        <v>3246</v>
      </c>
      <c r="B391" s="24" t="str">
        <f>"605090"</f>
        <v>605090</v>
      </c>
      <c r="C391" s="24" t="str">
        <f t="shared" si="6"/>
        <v>'605090.SS'</v>
      </c>
      <c r="D391" s="24" t="s">
        <v>4172</v>
      </c>
      <c r="E391" s="24" t="s">
        <v>3933</v>
      </c>
      <c r="F391" s="24">
        <v>2.0154000000000001</v>
      </c>
      <c r="G391" s="24">
        <v>13315064570.959999</v>
      </c>
      <c r="H391" s="24">
        <v>2.1082000000000001</v>
      </c>
      <c r="I391" s="24">
        <v>1.6589</v>
      </c>
      <c r="J391" s="24">
        <v>1.3368</v>
      </c>
      <c r="K391" s="24">
        <v>73</v>
      </c>
      <c r="L391" s="24" t="s">
        <v>4173</v>
      </c>
    </row>
    <row r="392" spans="1:12" x14ac:dyDescent="0.35">
      <c r="A392" s="24" t="s">
        <v>3242</v>
      </c>
      <c r="B392" s="24" t="str">
        <f>"301248"</f>
        <v>301248</v>
      </c>
      <c r="C392" s="24" t="str">
        <f t="shared" si="6"/>
        <v>'301248.SZ'</v>
      </c>
      <c r="D392" s="24" t="s">
        <v>4174</v>
      </c>
      <c r="E392" s="24" t="s">
        <v>3722</v>
      </c>
      <c r="F392" s="24">
        <v>2.0125000000000002</v>
      </c>
      <c r="G392" s="24">
        <v>3171446500</v>
      </c>
      <c r="H392" s="24">
        <v>3.0297999999999998</v>
      </c>
      <c r="I392" s="24">
        <v>2.2625000000000002</v>
      </c>
      <c r="J392" s="24">
        <v>0.99760000000000004</v>
      </c>
      <c r="K392" s="24">
        <v>8</v>
      </c>
      <c r="L392" s="24" t="s">
        <v>4175</v>
      </c>
    </row>
    <row r="393" spans="1:12" x14ac:dyDescent="0.35">
      <c r="A393" s="24" t="s">
        <v>3246</v>
      </c>
      <c r="B393" s="24" t="str">
        <f>"603956"</f>
        <v>603956</v>
      </c>
      <c r="C393" s="24" t="str">
        <f t="shared" si="6"/>
        <v>'603956.SS'</v>
      </c>
      <c r="D393" s="24" t="s">
        <v>4176</v>
      </c>
      <c r="E393" s="24" t="s">
        <v>3244</v>
      </c>
      <c r="F393" s="24">
        <v>2.0124</v>
      </c>
      <c r="G393" s="24">
        <v>3960711477.77</v>
      </c>
      <c r="H393" s="24">
        <v>2.4895999999999998</v>
      </c>
      <c r="I393" s="24">
        <v>2.1598000000000002</v>
      </c>
      <c r="J393" s="24">
        <v>1.0817000000000001</v>
      </c>
      <c r="K393" s="24">
        <v>184</v>
      </c>
      <c r="L393" s="24" t="s">
        <v>4177</v>
      </c>
    </row>
    <row r="394" spans="1:12" x14ac:dyDescent="0.35">
      <c r="A394" s="24" t="s">
        <v>3242</v>
      </c>
      <c r="B394" s="24" t="str">
        <f>"000722"</f>
        <v>000722</v>
      </c>
      <c r="C394" s="24" t="str">
        <f t="shared" si="6"/>
        <v>'000722.SZ'</v>
      </c>
      <c r="D394" s="24" t="s">
        <v>4178</v>
      </c>
      <c r="E394" s="24" t="s">
        <v>4179</v>
      </c>
      <c r="F394" s="24">
        <v>2.0118999999999998</v>
      </c>
      <c r="G394" s="24">
        <v>6354326880.5799999</v>
      </c>
      <c r="H394" s="24">
        <v>12.081899999999999</v>
      </c>
      <c r="I394" s="24">
        <v>7.4878</v>
      </c>
      <c r="J394" s="24">
        <v>5.3463000000000003</v>
      </c>
      <c r="K394" s="24">
        <v>115</v>
      </c>
      <c r="L394" s="24" t="s">
        <v>4180</v>
      </c>
    </row>
    <row r="395" spans="1:12" x14ac:dyDescent="0.35">
      <c r="A395" s="24" t="s">
        <v>3242</v>
      </c>
      <c r="B395" s="24" t="str">
        <f>"002444"</f>
        <v>002444</v>
      </c>
      <c r="C395" s="24" t="str">
        <f t="shared" si="6"/>
        <v>'002444.SZ'</v>
      </c>
      <c r="D395" s="24" t="s">
        <v>4181</v>
      </c>
      <c r="E395" s="24" t="s">
        <v>3473</v>
      </c>
      <c r="F395" s="24">
        <v>2.0108999999999999</v>
      </c>
      <c r="G395" s="24">
        <v>24482940557.119999</v>
      </c>
      <c r="H395" s="24">
        <v>2.2864</v>
      </c>
      <c r="I395" s="24">
        <v>1.6073999999999999</v>
      </c>
      <c r="J395" s="24">
        <v>0.88900000000000001</v>
      </c>
      <c r="K395" s="24">
        <v>690</v>
      </c>
      <c r="L395" s="24" t="s">
        <v>4182</v>
      </c>
    </row>
    <row r="396" spans="1:12" x14ac:dyDescent="0.35">
      <c r="A396" s="24" t="s">
        <v>3242</v>
      </c>
      <c r="B396" s="24" t="str">
        <f>"002297"</f>
        <v>002297</v>
      </c>
      <c r="C396" s="24" t="str">
        <f t="shared" si="6"/>
        <v>'002297.SZ'</v>
      </c>
      <c r="D396" s="24" t="s">
        <v>4183</v>
      </c>
      <c r="E396" s="24" t="s">
        <v>3497</v>
      </c>
      <c r="F396" s="24">
        <v>2.0108000000000001</v>
      </c>
      <c r="G396" s="24">
        <v>4172203082.3200002</v>
      </c>
      <c r="H396" s="24">
        <v>3.4499</v>
      </c>
      <c r="I396" s="24">
        <v>2.3464</v>
      </c>
      <c r="J396" s="24">
        <v>1.3381000000000001</v>
      </c>
      <c r="K396" s="24">
        <v>109</v>
      </c>
      <c r="L396" s="24" t="s">
        <v>4184</v>
      </c>
    </row>
    <row r="397" spans="1:12" x14ac:dyDescent="0.35">
      <c r="A397" s="24" t="s">
        <v>3246</v>
      </c>
      <c r="B397" s="24" t="str">
        <f>"603087"</f>
        <v>603087</v>
      </c>
      <c r="C397" s="24" t="str">
        <f t="shared" si="6"/>
        <v>'603087.SS'</v>
      </c>
      <c r="D397" s="24" t="s">
        <v>4185</v>
      </c>
      <c r="E397" s="24" t="s">
        <v>3282</v>
      </c>
      <c r="F397" s="24">
        <v>2.0082</v>
      </c>
      <c r="G397" s="24">
        <v>19441500484</v>
      </c>
      <c r="H397" s="24">
        <v>10.422000000000001</v>
      </c>
      <c r="I397" s="24">
        <v>9.1438000000000006</v>
      </c>
      <c r="J397" s="24">
        <v>5.2834000000000003</v>
      </c>
      <c r="K397" s="24">
        <v>717</v>
      </c>
      <c r="L397" s="24" t="s">
        <v>4186</v>
      </c>
    </row>
    <row r="398" spans="1:12" x14ac:dyDescent="0.35">
      <c r="A398" s="24" t="s">
        <v>3242</v>
      </c>
      <c r="B398" s="24" t="str">
        <f>"300597"</f>
        <v>300597</v>
      </c>
      <c r="C398" s="24" t="str">
        <f t="shared" si="6"/>
        <v>'300597.SZ'</v>
      </c>
      <c r="D398" s="24" t="s">
        <v>4187</v>
      </c>
      <c r="E398" s="24" t="s">
        <v>4188</v>
      </c>
      <c r="F398" s="24">
        <v>2.0076999999999998</v>
      </c>
      <c r="G398" s="24">
        <v>2142400435.8</v>
      </c>
      <c r="H398" s="24">
        <v>4.1887999999999996</v>
      </c>
      <c r="I398" s="24">
        <v>2.9152999999999998</v>
      </c>
      <c r="J398" s="24">
        <v>0.80679999999999996</v>
      </c>
      <c r="K398" s="24">
        <v>111</v>
      </c>
      <c r="L398" s="24" t="s">
        <v>4189</v>
      </c>
    </row>
    <row r="399" spans="1:12" x14ac:dyDescent="0.35">
      <c r="A399" s="24" t="s">
        <v>3246</v>
      </c>
      <c r="B399" s="24" t="str">
        <f>"605389"</f>
        <v>605389</v>
      </c>
      <c r="C399" s="24" t="str">
        <f t="shared" si="6"/>
        <v>'605389.SS'</v>
      </c>
      <c r="D399" s="24" t="s">
        <v>4190</v>
      </c>
      <c r="E399" s="24" t="s">
        <v>3416</v>
      </c>
      <c r="F399" s="24">
        <v>2.0072999999999999</v>
      </c>
      <c r="G399" s="24">
        <v>3649223832.8000002</v>
      </c>
      <c r="H399" s="24">
        <v>8.5733999999999995</v>
      </c>
      <c r="I399" s="24">
        <v>7.3319999999999999</v>
      </c>
      <c r="J399" s="24">
        <v>5.0057999999999998</v>
      </c>
      <c r="K399" s="24">
        <v>74</v>
      </c>
      <c r="L399" s="24" t="s">
        <v>4191</v>
      </c>
    </row>
    <row r="400" spans="1:12" x14ac:dyDescent="0.35">
      <c r="A400" s="24" t="s">
        <v>3246</v>
      </c>
      <c r="B400" s="24" t="str">
        <f>"603109"</f>
        <v>603109</v>
      </c>
      <c r="C400" s="24" t="str">
        <f t="shared" si="6"/>
        <v>'603109.SS'</v>
      </c>
      <c r="D400" s="24" t="s">
        <v>4192</v>
      </c>
      <c r="E400" s="24" t="s">
        <v>3299</v>
      </c>
      <c r="F400" s="24">
        <v>2.0038</v>
      </c>
      <c r="G400" s="24">
        <v>3191926854.1999998</v>
      </c>
      <c r="H400" s="24">
        <v>2.0895000000000001</v>
      </c>
      <c r="I400" s="24">
        <v>1.5573999999999999</v>
      </c>
      <c r="J400" s="24">
        <v>1.0113000000000001</v>
      </c>
      <c r="K400" s="24">
        <v>91</v>
      </c>
      <c r="L400" s="24" t="s">
        <v>4193</v>
      </c>
    </row>
    <row r="401" spans="1:12" x14ac:dyDescent="0.35">
      <c r="A401" s="24" t="s">
        <v>3242</v>
      </c>
      <c r="B401" s="24" t="str">
        <f>"300989"</f>
        <v>300989</v>
      </c>
      <c r="C401" s="24" t="str">
        <f t="shared" si="6"/>
        <v>'300989.SZ'</v>
      </c>
      <c r="D401" s="24" t="s">
        <v>4194</v>
      </c>
      <c r="E401" s="24" t="s">
        <v>3846</v>
      </c>
      <c r="F401" s="24">
        <v>2.0030999999999999</v>
      </c>
      <c r="G401" s="24">
        <v>2026080000</v>
      </c>
      <c r="H401" s="24">
        <v>9.0975000000000001</v>
      </c>
      <c r="I401" s="24">
        <v>9.0132999999999992</v>
      </c>
      <c r="J401" s="24">
        <v>4.1817000000000002</v>
      </c>
      <c r="K401" s="24">
        <v>37</v>
      </c>
      <c r="L401" s="24" t="s">
        <v>4195</v>
      </c>
    </row>
    <row r="402" spans="1:12" x14ac:dyDescent="0.35">
      <c r="A402" s="24" t="s">
        <v>3242</v>
      </c>
      <c r="B402" s="24" t="str">
        <f>"301127"</f>
        <v>301127</v>
      </c>
      <c r="C402" s="24" t="str">
        <f t="shared" si="6"/>
        <v>'301127.SZ'</v>
      </c>
      <c r="D402" s="24" t="s">
        <v>4196</v>
      </c>
      <c r="E402" s="24" t="s">
        <v>4197</v>
      </c>
      <c r="F402" s="24">
        <v>2.0015999999999998</v>
      </c>
      <c r="G402" s="24">
        <v>4016695680</v>
      </c>
      <c r="H402" s="24">
        <v>4.5288000000000004</v>
      </c>
      <c r="I402" s="24">
        <v>3.0630999999999999</v>
      </c>
      <c r="J402" s="24">
        <v>1.9246000000000001</v>
      </c>
      <c r="K402" s="24">
        <v>20</v>
      </c>
      <c r="L402" s="24" t="s">
        <v>4198</v>
      </c>
    </row>
    <row r="403" spans="1:12" x14ac:dyDescent="0.35">
      <c r="A403" s="24" t="s">
        <v>3242</v>
      </c>
      <c r="B403" s="24" t="str">
        <f>"000045"</f>
        <v>000045</v>
      </c>
      <c r="C403" s="24" t="str">
        <f t="shared" si="6"/>
        <v>'000045.SZ'</v>
      </c>
      <c r="D403" s="24" t="s">
        <v>4199</v>
      </c>
      <c r="E403" s="24" t="s">
        <v>3568</v>
      </c>
      <c r="F403" s="24">
        <v>1.9988999999999999</v>
      </c>
      <c r="G403" s="24">
        <v>5693305582.7600002</v>
      </c>
      <c r="H403" s="24">
        <v>4.4625000000000004</v>
      </c>
      <c r="I403" s="24">
        <v>3.1562999999999999</v>
      </c>
      <c r="J403" s="24">
        <v>0.93969999999999998</v>
      </c>
      <c r="K403" s="24">
        <v>91</v>
      </c>
      <c r="L403" s="24" t="s">
        <v>4200</v>
      </c>
    </row>
    <row r="404" spans="1:12" x14ac:dyDescent="0.35">
      <c r="A404" s="24" t="s">
        <v>3242</v>
      </c>
      <c r="B404" s="24" t="str">
        <f>"300107"</f>
        <v>300107</v>
      </c>
      <c r="C404" s="24" t="str">
        <f t="shared" si="6"/>
        <v>'300107.SZ'</v>
      </c>
      <c r="D404" s="24" t="s">
        <v>4201</v>
      </c>
      <c r="E404" s="24" t="s">
        <v>4036</v>
      </c>
      <c r="F404" s="24">
        <v>1.9981</v>
      </c>
      <c r="G404" s="24">
        <v>2885553485.6399999</v>
      </c>
      <c r="H404" s="24">
        <v>8.4783000000000008</v>
      </c>
      <c r="I404" s="24">
        <v>7.2305000000000001</v>
      </c>
      <c r="J404" s="24">
        <v>4.3856999999999999</v>
      </c>
      <c r="K404" s="24">
        <v>239</v>
      </c>
      <c r="L404" s="24" t="s">
        <v>4202</v>
      </c>
    </row>
    <row r="405" spans="1:12" x14ac:dyDescent="0.35">
      <c r="A405" s="24" t="s">
        <v>3246</v>
      </c>
      <c r="B405" s="24" t="str">
        <f>"603102"</f>
        <v>603102</v>
      </c>
      <c r="C405" s="24" t="str">
        <f t="shared" si="6"/>
        <v>'603102.SS'</v>
      </c>
      <c r="D405" s="24" t="s">
        <v>4203</v>
      </c>
      <c r="E405" s="24" t="s">
        <v>3616</v>
      </c>
      <c r="F405" s="24">
        <v>1.9981</v>
      </c>
      <c r="G405" s="24">
        <v>2778880000</v>
      </c>
      <c r="H405" s="24">
        <v>7.1765999999999996</v>
      </c>
      <c r="I405" s="24">
        <v>6.4622000000000002</v>
      </c>
      <c r="J405" s="24">
        <v>6.0007999999999999</v>
      </c>
      <c r="K405" s="24">
        <v>30</v>
      </c>
      <c r="L405" s="24" t="s">
        <v>4204</v>
      </c>
    </row>
    <row r="406" spans="1:12" x14ac:dyDescent="0.35">
      <c r="A406" s="24" t="s">
        <v>3242</v>
      </c>
      <c r="B406" s="24" t="str">
        <f>"300801"</f>
        <v>300801</v>
      </c>
      <c r="C406" s="24" t="str">
        <f t="shared" si="6"/>
        <v>'300801.SZ'</v>
      </c>
      <c r="D406" s="24" t="s">
        <v>4205</v>
      </c>
      <c r="E406" s="24" t="s">
        <v>3271</v>
      </c>
      <c r="F406" s="24">
        <v>1.9974000000000001</v>
      </c>
      <c r="G406" s="24">
        <v>4761279000</v>
      </c>
      <c r="H406" s="24">
        <v>3.6516000000000002</v>
      </c>
      <c r="I406" s="24">
        <v>3.0466000000000002</v>
      </c>
      <c r="J406" s="24">
        <v>1.0648</v>
      </c>
      <c r="K406" s="24">
        <v>125</v>
      </c>
      <c r="L406" s="24" t="s">
        <v>4206</v>
      </c>
    </row>
    <row r="407" spans="1:12" x14ac:dyDescent="0.35">
      <c r="A407" s="24" t="s">
        <v>3242</v>
      </c>
      <c r="B407" s="24" t="str">
        <f>"301197"</f>
        <v>301197</v>
      </c>
      <c r="C407" s="24" t="str">
        <f t="shared" si="6"/>
        <v>'301197.SZ'</v>
      </c>
      <c r="D407" s="24" t="s">
        <v>4207</v>
      </c>
      <c r="E407" s="24" t="s">
        <v>3476</v>
      </c>
      <c r="F407" s="24">
        <v>1.9956</v>
      </c>
      <c r="G407" s="24">
        <v>2543394000</v>
      </c>
      <c r="H407" s="24">
        <v>9.0271000000000008</v>
      </c>
      <c r="I407" s="24">
        <v>7.6597</v>
      </c>
      <c r="J407" s="24">
        <v>5.1216999999999997</v>
      </c>
      <c r="K407" s="24">
        <v>7</v>
      </c>
      <c r="L407" s="24" t="s">
        <v>4208</v>
      </c>
    </row>
    <row r="408" spans="1:12" x14ac:dyDescent="0.35">
      <c r="A408" s="24" t="s">
        <v>3246</v>
      </c>
      <c r="B408" s="24" t="str">
        <f>"603201"</f>
        <v>603201</v>
      </c>
      <c r="C408" s="24" t="str">
        <f t="shared" si="6"/>
        <v>'603201.SS'</v>
      </c>
      <c r="D408" s="24" t="s">
        <v>4209</v>
      </c>
      <c r="E408" s="24" t="s">
        <v>3244</v>
      </c>
      <c r="F408" s="24">
        <v>1.9925999999999999</v>
      </c>
      <c r="G408" s="24">
        <v>2474627487.4200001</v>
      </c>
      <c r="H408" s="24">
        <v>2.3565</v>
      </c>
      <c r="I408" s="24">
        <v>1.7634000000000001</v>
      </c>
      <c r="J408" s="24">
        <v>1.008</v>
      </c>
      <c r="K408" s="24">
        <v>10</v>
      </c>
      <c r="L408" s="24" t="s">
        <v>4210</v>
      </c>
    </row>
    <row r="409" spans="1:12" x14ac:dyDescent="0.35">
      <c r="A409" s="24" t="s">
        <v>3242</v>
      </c>
      <c r="B409" s="24" t="str">
        <f>"300965"</f>
        <v>300965</v>
      </c>
      <c r="C409" s="24" t="str">
        <f t="shared" si="6"/>
        <v>'300965.SZ'</v>
      </c>
      <c r="D409" s="24" t="s">
        <v>4211</v>
      </c>
      <c r="E409" s="24" t="s">
        <v>3497</v>
      </c>
      <c r="F409" s="24">
        <v>1.9916</v>
      </c>
      <c r="G409" s="24">
        <v>2676600000</v>
      </c>
      <c r="H409" s="24">
        <v>7.6734999999999998</v>
      </c>
      <c r="I409" s="24">
        <v>7.2173999999999996</v>
      </c>
      <c r="J409" s="24">
        <v>4.7325999999999997</v>
      </c>
      <c r="K409" s="24">
        <v>44</v>
      </c>
      <c r="L409" s="24" t="s">
        <v>4212</v>
      </c>
    </row>
    <row r="410" spans="1:12" x14ac:dyDescent="0.35">
      <c r="A410" s="24" t="s">
        <v>3242</v>
      </c>
      <c r="B410" s="24" t="str">
        <f>"000888"</f>
        <v>000888</v>
      </c>
      <c r="C410" s="24" t="str">
        <f t="shared" si="6"/>
        <v>'000888.SZ'</v>
      </c>
      <c r="D410" s="24" t="s">
        <v>4213</v>
      </c>
      <c r="E410" s="24" t="s">
        <v>3397</v>
      </c>
      <c r="F410" s="24">
        <v>1.9914000000000001</v>
      </c>
      <c r="G410" s="24">
        <v>4636835297.6000004</v>
      </c>
      <c r="H410" s="24">
        <v>3.8184999999999998</v>
      </c>
      <c r="I410" s="24">
        <v>3.6377000000000002</v>
      </c>
      <c r="J410" s="24">
        <v>3.3919999999999999</v>
      </c>
      <c r="K410" s="24">
        <v>229</v>
      </c>
      <c r="L410" s="24" t="s">
        <v>4214</v>
      </c>
    </row>
    <row r="411" spans="1:12" x14ac:dyDescent="0.35">
      <c r="A411" s="24" t="s">
        <v>3246</v>
      </c>
      <c r="B411" s="24" t="str">
        <f>"688207"</f>
        <v>688207</v>
      </c>
      <c r="C411" s="24" t="str">
        <f t="shared" si="6"/>
        <v>'688207.SS'</v>
      </c>
      <c r="D411" s="24" t="s">
        <v>4215</v>
      </c>
      <c r="E411" s="24" t="s">
        <v>3722</v>
      </c>
      <c r="F411" s="24">
        <v>1.9899</v>
      </c>
      <c r="G411" s="24">
        <v>4587524311.1999998</v>
      </c>
      <c r="H411" s="24">
        <v>15.6401</v>
      </c>
      <c r="I411" s="24">
        <v>15.091100000000001</v>
      </c>
      <c r="J411" s="24">
        <v>12.575100000000001</v>
      </c>
      <c r="K411" s="24">
        <v>12</v>
      </c>
      <c r="L411" s="24" t="s">
        <v>4216</v>
      </c>
    </row>
    <row r="412" spans="1:12" x14ac:dyDescent="0.35">
      <c r="A412" s="24" t="s">
        <v>3242</v>
      </c>
      <c r="B412" s="24" t="str">
        <f>"003008"</f>
        <v>003008</v>
      </c>
      <c r="C412" s="24" t="str">
        <f t="shared" si="6"/>
        <v>'003008.SZ'</v>
      </c>
      <c r="D412" s="24" t="s">
        <v>4217</v>
      </c>
      <c r="E412" s="24" t="s">
        <v>3342</v>
      </c>
      <c r="F412" s="24">
        <v>1.9846999999999999</v>
      </c>
      <c r="G412" s="24">
        <v>2048800000</v>
      </c>
      <c r="H412" s="24">
        <v>12.7034</v>
      </c>
      <c r="I412" s="24">
        <v>12.6251</v>
      </c>
      <c r="J412" s="24">
        <v>10.6898</v>
      </c>
      <c r="K412" s="24">
        <v>78</v>
      </c>
      <c r="L412" s="24" t="s">
        <v>4218</v>
      </c>
    </row>
    <row r="413" spans="1:12" x14ac:dyDescent="0.35">
      <c r="A413" s="24" t="s">
        <v>3242</v>
      </c>
      <c r="B413" s="24" t="str">
        <f>"300959"</f>
        <v>300959</v>
      </c>
      <c r="C413" s="24" t="str">
        <f t="shared" si="6"/>
        <v>'300959.SZ'</v>
      </c>
      <c r="D413" s="24" t="s">
        <v>4219</v>
      </c>
      <c r="E413" s="24" t="s">
        <v>3339</v>
      </c>
      <c r="F413" s="24">
        <v>1.9845999999999999</v>
      </c>
      <c r="G413" s="24">
        <v>2289600000</v>
      </c>
      <c r="H413" s="24">
        <v>7.1119000000000003</v>
      </c>
      <c r="I413" s="24">
        <v>5.7232000000000003</v>
      </c>
      <c r="J413" s="24">
        <v>2.0529999999999999</v>
      </c>
      <c r="K413" s="24">
        <v>36</v>
      </c>
      <c r="L413" s="24" t="s">
        <v>4220</v>
      </c>
    </row>
    <row r="414" spans="1:12" x14ac:dyDescent="0.35">
      <c r="A414" s="24" t="s">
        <v>3246</v>
      </c>
      <c r="B414" s="24" t="str">
        <f>"600730"</f>
        <v>600730</v>
      </c>
      <c r="C414" s="24" t="str">
        <f t="shared" si="6"/>
        <v>'600730.SS'</v>
      </c>
      <c r="D414" s="24" t="s">
        <v>4221</v>
      </c>
      <c r="E414" s="24" t="s">
        <v>4222</v>
      </c>
      <c r="F414" s="24">
        <v>1.9831000000000001</v>
      </c>
      <c r="G414" s="24">
        <v>3690066252.5799999</v>
      </c>
      <c r="H414" s="24">
        <v>13.7692</v>
      </c>
      <c r="I414" s="24">
        <v>13.5145</v>
      </c>
      <c r="J414" s="24">
        <v>0.82769999999999999</v>
      </c>
      <c r="K414" s="24">
        <v>104</v>
      </c>
      <c r="L414" s="24" t="s">
        <v>4223</v>
      </c>
    </row>
    <row r="415" spans="1:12" x14ac:dyDescent="0.35">
      <c r="A415" s="24" t="s">
        <v>3242</v>
      </c>
      <c r="B415" s="24" t="str">
        <f>"300246"</f>
        <v>300246</v>
      </c>
      <c r="C415" s="24" t="str">
        <f t="shared" si="6"/>
        <v>'300246.SZ'</v>
      </c>
      <c r="D415" s="24" t="s">
        <v>4224</v>
      </c>
      <c r="E415" s="24" t="s">
        <v>3443</v>
      </c>
      <c r="F415" s="24">
        <v>1.9824999999999999</v>
      </c>
      <c r="G415" s="24">
        <v>2668476018.1199999</v>
      </c>
      <c r="H415" s="24">
        <v>2.5318000000000001</v>
      </c>
      <c r="I415" s="24">
        <v>1.9723999999999999</v>
      </c>
      <c r="J415" s="24">
        <v>1.3611</v>
      </c>
      <c r="K415" s="24">
        <v>517</v>
      </c>
      <c r="L415" s="24" t="s">
        <v>4225</v>
      </c>
    </row>
    <row r="416" spans="1:12" x14ac:dyDescent="0.35">
      <c r="A416" s="24" t="s">
        <v>3242</v>
      </c>
      <c r="B416" s="24" t="str">
        <f>"000565"</f>
        <v>000565</v>
      </c>
      <c r="C416" s="24" t="str">
        <f t="shared" si="6"/>
        <v>'000565.SZ'</v>
      </c>
      <c r="D416" s="24" t="s">
        <v>4226</v>
      </c>
      <c r="E416" s="24" t="s">
        <v>4227</v>
      </c>
      <c r="F416" s="24">
        <v>1.9807999999999999</v>
      </c>
      <c r="G416" s="24">
        <v>2649248464.1999998</v>
      </c>
      <c r="H416" s="24">
        <v>2.8944000000000001</v>
      </c>
      <c r="I416" s="24">
        <v>2.391</v>
      </c>
      <c r="J416" s="24">
        <v>1.6107</v>
      </c>
      <c r="K416" s="24">
        <v>88</v>
      </c>
      <c r="L416" s="24" t="s">
        <v>4228</v>
      </c>
    </row>
    <row r="417" spans="1:12" x14ac:dyDescent="0.35">
      <c r="A417" s="24" t="s">
        <v>3246</v>
      </c>
      <c r="B417" s="24" t="str">
        <f>"603115"</f>
        <v>603115</v>
      </c>
      <c r="C417" s="24" t="str">
        <f t="shared" si="6"/>
        <v>'603115.SS'</v>
      </c>
      <c r="D417" s="24" t="s">
        <v>4229</v>
      </c>
      <c r="E417" s="24" t="s">
        <v>1174</v>
      </c>
      <c r="F417" s="24">
        <v>1.9794</v>
      </c>
      <c r="G417" s="24">
        <v>3949192000</v>
      </c>
      <c r="H417" s="24">
        <v>4.5496999999999996</v>
      </c>
      <c r="I417" s="24">
        <v>4.0448000000000004</v>
      </c>
      <c r="J417" s="24">
        <v>1.6728000000000001</v>
      </c>
      <c r="K417" s="24">
        <v>106</v>
      </c>
      <c r="L417" s="24" t="s">
        <v>4230</v>
      </c>
    </row>
    <row r="418" spans="1:12" x14ac:dyDescent="0.35">
      <c r="A418" s="24" t="s">
        <v>3246</v>
      </c>
      <c r="B418" s="24" t="str">
        <f>"688799"</f>
        <v>688799</v>
      </c>
      <c r="C418" s="24" t="str">
        <f t="shared" si="6"/>
        <v>'688799.SS'</v>
      </c>
      <c r="D418" s="24" t="s">
        <v>4231</v>
      </c>
      <c r="E418" s="24" t="s">
        <v>3696</v>
      </c>
      <c r="F418" s="24">
        <v>1.9791000000000001</v>
      </c>
      <c r="G418" s="24">
        <v>3043810000</v>
      </c>
      <c r="H418" s="24">
        <v>4.3803999999999998</v>
      </c>
      <c r="I418" s="24">
        <v>3.1286</v>
      </c>
      <c r="J418" s="24">
        <v>1.3022</v>
      </c>
      <c r="K418" s="24">
        <v>37</v>
      </c>
      <c r="L418" s="24" t="s">
        <v>4232</v>
      </c>
    </row>
    <row r="419" spans="1:12" x14ac:dyDescent="0.35">
      <c r="A419" s="24" t="s">
        <v>3246</v>
      </c>
      <c r="B419" s="24" t="str">
        <f>"688353"</f>
        <v>688353</v>
      </c>
      <c r="C419" s="24" t="str">
        <f t="shared" si="6"/>
        <v>'688353.SS'</v>
      </c>
      <c r="D419" s="24" t="s">
        <v>4233</v>
      </c>
      <c r="E419" s="24" t="s">
        <v>3377</v>
      </c>
      <c r="F419" s="24">
        <v>1.9773000000000001</v>
      </c>
      <c r="G419" s="24">
        <v>7584500000</v>
      </c>
      <c r="H419" s="24">
        <v>11.1829</v>
      </c>
      <c r="I419" s="24">
        <v>10.889900000000001</v>
      </c>
      <c r="J419" s="24">
        <v>3.9188000000000001</v>
      </c>
      <c r="K419" s="24">
        <v>12</v>
      </c>
      <c r="L419" s="24" t="s">
        <v>4234</v>
      </c>
    </row>
    <row r="420" spans="1:12" x14ac:dyDescent="0.35">
      <c r="A420" s="24" t="s">
        <v>3246</v>
      </c>
      <c r="B420" s="24" t="str">
        <f>"600735"</f>
        <v>600735</v>
      </c>
      <c r="C420" s="24" t="str">
        <f t="shared" si="6"/>
        <v>'600735.SS'</v>
      </c>
      <c r="D420" s="24" t="s">
        <v>4235</v>
      </c>
      <c r="E420" s="24" t="s">
        <v>4236</v>
      </c>
      <c r="F420" s="24">
        <v>1.9754</v>
      </c>
      <c r="G420" s="24">
        <v>2757043948.1700001</v>
      </c>
      <c r="H420" s="24">
        <v>2.4338000000000002</v>
      </c>
      <c r="I420" s="24">
        <v>1.6126</v>
      </c>
      <c r="J420" s="24">
        <v>0.92830000000000001</v>
      </c>
      <c r="K420" s="24">
        <v>110</v>
      </c>
      <c r="L420" s="24" t="s">
        <v>4237</v>
      </c>
    </row>
    <row r="421" spans="1:12" x14ac:dyDescent="0.35">
      <c r="A421" s="24" t="s">
        <v>3242</v>
      </c>
      <c r="B421" s="24" t="str">
        <f>"301221"</f>
        <v>301221</v>
      </c>
      <c r="C421" s="24" t="str">
        <f t="shared" si="6"/>
        <v>'301221.SZ'</v>
      </c>
      <c r="D421" s="24" t="s">
        <v>4238</v>
      </c>
      <c r="E421" s="24" t="s">
        <v>3274</v>
      </c>
      <c r="F421" s="24">
        <v>1.9730000000000001</v>
      </c>
      <c r="G421" s="24">
        <v>3960529548</v>
      </c>
      <c r="H421" s="24">
        <v>15.1707</v>
      </c>
      <c r="I421" s="24">
        <v>14.6592</v>
      </c>
      <c r="J421" s="24">
        <v>12.221299999999999</v>
      </c>
      <c r="K421" s="24">
        <v>31</v>
      </c>
      <c r="L421" s="24" t="s">
        <v>4239</v>
      </c>
    </row>
    <row r="422" spans="1:12" x14ac:dyDescent="0.35">
      <c r="A422" s="24" t="s">
        <v>3242</v>
      </c>
      <c r="B422" s="24" t="str">
        <f>"301086"</f>
        <v>301086</v>
      </c>
      <c r="C422" s="24" t="str">
        <f t="shared" si="6"/>
        <v>'301086.SZ'</v>
      </c>
      <c r="D422" s="24" t="s">
        <v>4240</v>
      </c>
      <c r="E422" s="24" t="s">
        <v>3327</v>
      </c>
      <c r="F422" s="24">
        <v>1.9699</v>
      </c>
      <c r="G422" s="24">
        <v>3612000000</v>
      </c>
      <c r="H422" s="24">
        <v>4.9988000000000001</v>
      </c>
      <c r="I422" s="24">
        <v>4.5663999999999998</v>
      </c>
      <c r="J422" s="24">
        <v>2.4085000000000001</v>
      </c>
      <c r="K422" s="24">
        <v>39</v>
      </c>
      <c r="L422" s="24" t="s">
        <v>4241</v>
      </c>
    </row>
    <row r="423" spans="1:12" x14ac:dyDescent="0.35">
      <c r="A423" s="24" t="s">
        <v>3246</v>
      </c>
      <c r="B423" s="24" t="str">
        <f>"603002"</f>
        <v>603002</v>
      </c>
      <c r="C423" s="24" t="str">
        <f t="shared" si="6"/>
        <v>'603002.SS'</v>
      </c>
      <c r="D423" s="24" t="s">
        <v>4242</v>
      </c>
      <c r="E423" s="24" t="s">
        <v>3907</v>
      </c>
      <c r="F423" s="24">
        <v>1.9682999999999999</v>
      </c>
      <c r="G423" s="24">
        <v>4600724742.5500002</v>
      </c>
      <c r="H423" s="24">
        <v>2.0588000000000002</v>
      </c>
      <c r="I423" s="24">
        <v>1.9093</v>
      </c>
      <c r="J423" s="24">
        <v>0.94440000000000002</v>
      </c>
      <c r="K423" s="24">
        <v>140</v>
      </c>
      <c r="L423" s="24" t="s">
        <v>4243</v>
      </c>
    </row>
    <row r="424" spans="1:12" x14ac:dyDescent="0.35">
      <c r="A424" s="24" t="s">
        <v>3242</v>
      </c>
      <c r="B424" s="24" t="str">
        <f>"002330"</f>
        <v>002330</v>
      </c>
      <c r="C424" s="24" t="str">
        <f t="shared" si="6"/>
        <v>'002330.SZ'</v>
      </c>
      <c r="D424" s="24" t="s">
        <v>4244</v>
      </c>
      <c r="E424" s="24" t="s">
        <v>3380</v>
      </c>
      <c r="F424" s="24">
        <v>1.9676</v>
      </c>
      <c r="G424" s="24">
        <v>4756857081.3000002</v>
      </c>
      <c r="H424" s="24">
        <v>2.4525000000000001</v>
      </c>
      <c r="I424" s="24">
        <v>1.6298999999999999</v>
      </c>
      <c r="J424" s="24">
        <v>1.0283</v>
      </c>
      <c r="K424" s="24">
        <v>546</v>
      </c>
      <c r="L424" s="24" t="s">
        <v>4245</v>
      </c>
    </row>
    <row r="425" spans="1:12" x14ac:dyDescent="0.35">
      <c r="A425" s="24" t="s">
        <v>3246</v>
      </c>
      <c r="B425" s="24" t="str">
        <f>"600880"</f>
        <v>600880</v>
      </c>
      <c r="C425" s="24" t="str">
        <f t="shared" si="6"/>
        <v>'600880.SS'</v>
      </c>
      <c r="D425" s="24" t="s">
        <v>4246</v>
      </c>
      <c r="E425" s="24" t="s">
        <v>4247</v>
      </c>
      <c r="F425" s="24">
        <v>1.9670000000000001</v>
      </c>
      <c r="G425" s="24">
        <v>5914926617.7200003</v>
      </c>
      <c r="H425" s="24">
        <v>2.1046999999999998</v>
      </c>
      <c r="I425" s="24">
        <v>1.9585999999999999</v>
      </c>
      <c r="J425" s="24">
        <v>1.2432000000000001</v>
      </c>
      <c r="K425" s="24">
        <v>322</v>
      </c>
      <c r="L425" s="24" t="s">
        <v>4248</v>
      </c>
    </row>
    <row r="426" spans="1:12" x14ac:dyDescent="0.35">
      <c r="A426" s="24" t="s">
        <v>3246</v>
      </c>
      <c r="B426" s="24" t="str">
        <f>"603810"</f>
        <v>603810</v>
      </c>
      <c r="C426" s="24" t="str">
        <f t="shared" si="6"/>
        <v>'603810.SS'</v>
      </c>
      <c r="D426" s="24" t="s">
        <v>4249</v>
      </c>
      <c r="E426" s="24" t="s">
        <v>3492</v>
      </c>
      <c r="F426" s="24">
        <v>1.9615</v>
      </c>
      <c r="G426" s="24">
        <v>2940765105.5999999</v>
      </c>
      <c r="H426" s="24">
        <v>2.8740999999999999</v>
      </c>
      <c r="I426" s="24">
        <v>2.3235000000000001</v>
      </c>
      <c r="J426" s="24">
        <v>0.80620000000000003</v>
      </c>
      <c r="K426" s="24">
        <v>96</v>
      </c>
      <c r="L426" s="24" t="s">
        <v>4250</v>
      </c>
    </row>
    <row r="427" spans="1:12" x14ac:dyDescent="0.35">
      <c r="A427" s="24" t="s">
        <v>3246</v>
      </c>
      <c r="B427" s="24" t="str">
        <f>"603535"</f>
        <v>603535</v>
      </c>
      <c r="C427" s="24" t="str">
        <f t="shared" si="6"/>
        <v>'603535.SS'</v>
      </c>
      <c r="D427" s="24" t="s">
        <v>4251</v>
      </c>
      <c r="E427" s="24" t="s">
        <v>3805</v>
      </c>
      <c r="F427" s="24">
        <v>1.9584999999999999</v>
      </c>
      <c r="G427" s="24">
        <v>4270767858.8499999</v>
      </c>
      <c r="H427" s="24">
        <v>4.1902999999999997</v>
      </c>
      <c r="I427" s="24">
        <v>3.8424</v>
      </c>
      <c r="J427" s="24">
        <v>1.7170000000000001</v>
      </c>
      <c r="K427" s="24">
        <v>93</v>
      </c>
      <c r="L427" s="24" t="s">
        <v>4252</v>
      </c>
    </row>
    <row r="428" spans="1:12" x14ac:dyDescent="0.35">
      <c r="A428" s="24" t="s">
        <v>3242</v>
      </c>
      <c r="B428" s="24" t="str">
        <f>"301190"</f>
        <v>301190</v>
      </c>
      <c r="C428" s="24" t="str">
        <f t="shared" si="6"/>
        <v>'301190.SZ'</v>
      </c>
      <c r="D428" s="24" t="s">
        <v>4253</v>
      </c>
      <c r="E428" s="24" t="s">
        <v>4036</v>
      </c>
      <c r="F428" s="24">
        <v>1.9537</v>
      </c>
      <c r="G428" s="24">
        <v>3983653440</v>
      </c>
      <c r="H428" s="24">
        <v>10.9046</v>
      </c>
      <c r="I428" s="24">
        <v>10.358499999999999</v>
      </c>
      <c r="J428" s="24">
        <v>7.6546000000000003</v>
      </c>
      <c r="K428" s="24">
        <v>22</v>
      </c>
      <c r="L428" s="24" t="s">
        <v>4254</v>
      </c>
    </row>
    <row r="429" spans="1:12" x14ac:dyDescent="0.35">
      <c r="A429" s="24" t="s">
        <v>3246</v>
      </c>
      <c r="B429" s="24" t="str">
        <f>"688228"</f>
        <v>688228</v>
      </c>
      <c r="C429" s="24" t="str">
        <f t="shared" si="6"/>
        <v>'688228.SS'</v>
      </c>
      <c r="D429" s="24" t="s">
        <v>4255</v>
      </c>
      <c r="E429" s="24" t="s">
        <v>3722</v>
      </c>
      <c r="F429" s="24">
        <v>1.9486000000000001</v>
      </c>
      <c r="G429" s="24">
        <v>2332887040</v>
      </c>
      <c r="H429" s="24">
        <v>5.3497000000000003</v>
      </c>
      <c r="I429" s="24">
        <v>4.4592999999999998</v>
      </c>
      <c r="J429" s="24">
        <v>3.056</v>
      </c>
      <c r="K429" s="24">
        <v>99</v>
      </c>
      <c r="L429" s="24" t="s">
        <v>4256</v>
      </c>
    </row>
    <row r="430" spans="1:12" x14ac:dyDescent="0.35">
      <c r="A430" s="24" t="s">
        <v>3242</v>
      </c>
      <c r="B430" s="24" t="str">
        <f>"001210"</f>
        <v>001210</v>
      </c>
      <c r="C430" s="24" t="str">
        <f t="shared" si="6"/>
        <v>'001210.SZ'</v>
      </c>
      <c r="D430" s="24" t="s">
        <v>4257</v>
      </c>
      <c r="E430" s="24" t="s">
        <v>3332</v>
      </c>
      <c r="F430" s="24">
        <v>1.9457</v>
      </c>
      <c r="G430" s="24">
        <v>2404824040.5</v>
      </c>
      <c r="H430" s="24">
        <v>4.0831999999999997</v>
      </c>
      <c r="I430" s="24">
        <v>3.9537</v>
      </c>
      <c r="J430" s="24">
        <v>1.7322</v>
      </c>
      <c r="K430" s="24">
        <v>39</v>
      </c>
      <c r="L430" s="24" t="s">
        <v>4258</v>
      </c>
    </row>
    <row r="431" spans="1:12" x14ac:dyDescent="0.35">
      <c r="A431" s="24" t="s">
        <v>3246</v>
      </c>
      <c r="B431" s="24" t="str">
        <f>"600724"</f>
        <v>600724</v>
      </c>
      <c r="C431" s="24" t="str">
        <f t="shared" si="6"/>
        <v>'600724.SS'</v>
      </c>
      <c r="D431" s="24" t="s">
        <v>4259</v>
      </c>
      <c r="E431" s="24" t="s">
        <v>3549</v>
      </c>
      <c r="F431" s="24">
        <v>1.9439</v>
      </c>
      <c r="G431" s="24">
        <v>5463011248.3800001</v>
      </c>
      <c r="H431" s="24">
        <v>2.9140000000000001</v>
      </c>
      <c r="I431" s="24">
        <v>2.3157000000000001</v>
      </c>
      <c r="J431" s="24">
        <v>1.6781999999999999</v>
      </c>
      <c r="K431" s="24">
        <v>172</v>
      </c>
      <c r="L431" s="24" t="s">
        <v>4260</v>
      </c>
    </row>
    <row r="432" spans="1:12" x14ac:dyDescent="0.35">
      <c r="A432" s="24" t="s">
        <v>3242</v>
      </c>
      <c r="B432" s="24" t="str">
        <f>"000869"</f>
        <v>000869</v>
      </c>
      <c r="C432" s="24" t="str">
        <f t="shared" si="6"/>
        <v>'000869.SZ'</v>
      </c>
      <c r="D432" s="24" t="s">
        <v>4261</v>
      </c>
      <c r="E432" s="24" t="s">
        <v>3854</v>
      </c>
      <c r="F432" s="24">
        <v>1.9408000000000001</v>
      </c>
      <c r="G432" s="24">
        <v>20509082880</v>
      </c>
      <c r="H432" s="24">
        <v>2.6353</v>
      </c>
      <c r="I432" s="24">
        <v>1.1315</v>
      </c>
      <c r="J432" s="24">
        <v>0.8478</v>
      </c>
      <c r="K432" s="24">
        <v>860</v>
      </c>
      <c r="L432" s="24" t="s">
        <v>4262</v>
      </c>
    </row>
    <row r="433" spans="1:12" x14ac:dyDescent="0.35">
      <c r="A433" s="24" t="s">
        <v>3246</v>
      </c>
      <c r="B433" s="24" t="str">
        <f>"605289"</f>
        <v>605289</v>
      </c>
      <c r="C433" s="24" t="str">
        <f t="shared" si="6"/>
        <v>'605289.SS'</v>
      </c>
      <c r="D433" s="24" t="s">
        <v>4263</v>
      </c>
      <c r="E433" s="24" t="s">
        <v>4264</v>
      </c>
      <c r="F433" s="24">
        <v>1.9379999999999999</v>
      </c>
      <c r="G433" s="24">
        <v>2448427500</v>
      </c>
      <c r="H433" s="24">
        <v>3.3837000000000002</v>
      </c>
      <c r="I433" s="24">
        <v>2.3022999999999998</v>
      </c>
      <c r="J433" s="24">
        <v>0.84499999999999997</v>
      </c>
      <c r="K433" s="24">
        <v>35</v>
      </c>
      <c r="L433" s="24" t="s">
        <v>4265</v>
      </c>
    </row>
    <row r="434" spans="1:12" x14ac:dyDescent="0.35">
      <c r="A434" s="24" t="s">
        <v>3242</v>
      </c>
      <c r="B434" s="24" t="str">
        <f>"301366"</f>
        <v>301366</v>
      </c>
      <c r="C434" s="24" t="str">
        <f t="shared" si="6"/>
        <v>'301366.SZ'</v>
      </c>
      <c r="D434" s="24" t="s">
        <v>4266</v>
      </c>
      <c r="E434" s="24" t="s">
        <v>3466</v>
      </c>
      <c r="F434" s="24">
        <v>1.9367000000000001</v>
      </c>
      <c r="G434" s="24">
        <v>3968333365.0799999</v>
      </c>
      <c r="H434" s="24">
        <v>8.8063000000000002</v>
      </c>
      <c r="I434" s="24">
        <v>7.6828000000000003</v>
      </c>
      <c r="J434" s="24">
        <v>6.4717000000000002</v>
      </c>
      <c r="K434" s="24">
        <v>8</v>
      </c>
      <c r="L434" s="24" t="s">
        <v>4267</v>
      </c>
    </row>
    <row r="435" spans="1:12" x14ac:dyDescent="0.35">
      <c r="A435" s="24" t="s">
        <v>3242</v>
      </c>
      <c r="B435" s="24" t="str">
        <f>"300683"</f>
        <v>300683</v>
      </c>
      <c r="C435" s="24" t="str">
        <f t="shared" si="6"/>
        <v>'300683.SZ'</v>
      </c>
      <c r="D435" s="24" t="s">
        <v>4268</v>
      </c>
      <c r="E435" s="24" t="s">
        <v>3282</v>
      </c>
      <c r="F435" s="24">
        <v>1.9317</v>
      </c>
      <c r="G435" s="24">
        <v>4526401396.5500002</v>
      </c>
      <c r="H435" s="24">
        <v>6.3444000000000003</v>
      </c>
      <c r="I435" s="24">
        <v>5.0155000000000003</v>
      </c>
      <c r="J435" s="24">
        <v>1.5026999999999999</v>
      </c>
      <c r="K435" s="24">
        <v>123</v>
      </c>
      <c r="L435" s="24" t="s">
        <v>4269</v>
      </c>
    </row>
    <row r="436" spans="1:12" x14ac:dyDescent="0.35">
      <c r="A436" s="24" t="s">
        <v>3246</v>
      </c>
      <c r="B436" s="24" t="str">
        <f>"688049"</f>
        <v>688049</v>
      </c>
      <c r="C436" s="24" t="str">
        <f t="shared" si="6"/>
        <v>'688049.SS'</v>
      </c>
      <c r="D436" s="24" t="s">
        <v>4270</v>
      </c>
      <c r="E436" s="24" t="s">
        <v>3277</v>
      </c>
      <c r="F436" s="24">
        <v>1.9317</v>
      </c>
      <c r="G436" s="24">
        <v>3408680000</v>
      </c>
      <c r="H436" s="24">
        <v>24.8812</v>
      </c>
      <c r="I436" s="24">
        <v>21.247800000000002</v>
      </c>
      <c r="J436" s="24">
        <v>17.584</v>
      </c>
      <c r="K436" s="24">
        <v>39</v>
      </c>
      <c r="L436" s="24" t="s">
        <v>4271</v>
      </c>
    </row>
    <row r="437" spans="1:12" x14ac:dyDescent="0.35">
      <c r="A437" s="24" t="s">
        <v>3242</v>
      </c>
      <c r="B437" s="24" t="str">
        <f>"301166"</f>
        <v>301166</v>
      </c>
      <c r="C437" s="24" t="str">
        <f t="shared" si="6"/>
        <v>'301166.SZ'</v>
      </c>
      <c r="D437" s="24" t="s">
        <v>4272</v>
      </c>
      <c r="E437" s="24" t="s">
        <v>3282</v>
      </c>
      <c r="F437" s="24">
        <v>1.9308000000000001</v>
      </c>
      <c r="G437" s="24">
        <v>4117533396.6799998</v>
      </c>
      <c r="H437" s="24">
        <v>9.8068000000000008</v>
      </c>
      <c r="I437" s="24">
        <v>8.9398999999999997</v>
      </c>
      <c r="J437" s="24">
        <v>3.8965000000000001</v>
      </c>
      <c r="K437" s="24">
        <v>38</v>
      </c>
      <c r="L437" s="24" t="s">
        <v>4273</v>
      </c>
    </row>
    <row r="438" spans="1:12" x14ac:dyDescent="0.35">
      <c r="A438" s="24" t="s">
        <v>3246</v>
      </c>
      <c r="B438" s="24" t="str">
        <f>"600794"</f>
        <v>600794</v>
      </c>
      <c r="C438" s="24" t="str">
        <f t="shared" si="6"/>
        <v>'600794.SS'</v>
      </c>
      <c r="D438" s="24" t="s">
        <v>4274</v>
      </c>
      <c r="E438" s="24" t="s">
        <v>4275</v>
      </c>
      <c r="F438" s="24">
        <v>1.9281999999999999</v>
      </c>
      <c r="G438" s="24">
        <v>4436476894.6199999</v>
      </c>
      <c r="H438" s="24">
        <v>2.9415</v>
      </c>
      <c r="I438" s="24">
        <v>2.7650999999999999</v>
      </c>
      <c r="J438" s="24">
        <v>0.80330000000000001</v>
      </c>
      <c r="K438" s="24">
        <v>112</v>
      </c>
      <c r="L438" s="24" t="s">
        <v>4276</v>
      </c>
    </row>
    <row r="439" spans="1:12" x14ac:dyDescent="0.35">
      <c r="A439" s="24" t="s">
        <v>3242</v>
      </c>
      <c r="B439" s="24" t="str">
        <f>"300148"</f>
        <v>300148</v>
      </c>
      <c r="C439" s="24" t="str">
        <f t="shared" si="6"/>
        <v>'300148.SZ'</v>
      </c>
      <c r="D439" s="24" t="s">
        <v>4277</v>
      </c>
      <c r="E439" s="24" t="s">
        <v>3481</v>
      </c>
      <c r="F439" s="24">
        <v>1.9278999999999999</v>
      </c>
      <c r="G439" s="24">
        <v>2890274126.7800002</v>
      </c>
      <c r="H439" s="24">
        <v>3.7263999999999999</v>
      </c>
      <c r="I439" s="24">
        <v>3.3727999999999998</v>
      </c>
      <c r="J439" s="24">
        <v>1.9119999999999999</v>
      </c>
      <c r="K439" s="24">
        <v>99</v>
      </c>
      <c r="L439" s="24" t="s">
        <v>4278</v>
      </c>
    </row>
    <row r="440" spans="1:12" x14ac:dyDescent="0.35">
      <c r="A440" s="24" t="s">
        <v>3242</v>
      </c>
      <c r="B440" s="24" t="str">
        <f>"300081"</f>
        <v>300081</v>
      </c>
      <c r="C440" s="24" t="str">
        <f t="shared" si="6"/>
        <v>'300081.SZ'</v>
      </c>
      <c r="D440" s="24" t="s">
        <v>4279</v>
      </c>
      <c r="E440" s="24" t="s">
        <v>3339</v>
      </c>
      <c r="F440" s="24">
        <v>1.9278999999999999</v>
      </c>
      <c r="G440" s="24">
        <v>4167040423.1300001</v>
      </c>
      <c r="H440" s="24">
        <v>4.3727999999999998</v>
      </c>
      <c r="I440" s="24">
        <v>2.5682999999999998</v>
      </c>
      <c r="J440" s="24">
        <v>0.99550000000000005</v>
      </c>
      <c r="K440" s="24">
        <v>157</v>
      </c>
      <c r="L440" s="24" t="s">
        <v>4280</v>
      </c>
    </row>
    <row r="441" spans="1:12" x14ac:dyDescent="0.35">
      <c r="A441" s="24" t="s">
        <v>3242</v>
      </c>
      <c r="B441" s="24" t="str">
        <f>"300006"</f>
        <v>300006</v>
      </c>
      <c r="C441" s="24" t="str">
        <f t="shared" si="6"/>
        <v>'300006.SZ'</v>
      </c>
      <c r="D441" s="24" t="s">
        <v>4281</v>
      </c>
      <c r="E441" s="24" t="s">
        <v>3696</v>
      </c>
      <c r="F441" s="24">
        <v>1.9242999999999999</v>
      </c>
      <c r="G441" s="24">
        <v>4118053699.5</v>
      </c>
      <c r="H441" s="24">
        <v>2.7174</v>
      </c>
      <c r="I441" s="24">
        <v>2.4296000000000002</v>
      </c>
      <c r="J441" s="24">
        <v>1.1175999999999999</v>
      </c>
      <c r="K441" s="24">
        <v>132</v>
      </c>
      <c r="L441" s="24" t="s">
        <v>4282</v>
      </c>
    </row>
    <row r="442" spans="1:12" x14ac:dyDescent="0.35">
      <c r="A442" s="24" t="s">
        <v>3242</v>
      </c>
      <c r="B442" s="24" t="str">
        <f>"300308"</f>
        <v>300308</v>
      </c>
      <c r="C442" s="24" t="str">
        <f t="shared" si="6"/>
        <v>'300308.SZ'</v>
      </c>
      <c r="D442" s="24" t="s">
        <v>4283</v>
      </c>
      <c r="E442" s="24" t="s">
        <v>3314</v>
      </c>
      <c r="F442" s="24">
        <v>1.9231</v>
      </c>
      <c r="G442" s="24">
        <v>22763334014.959999</v>
      </c>
      <c r="H442" s="24">
        <v>3.0301</v>
      </c>
      <c r="I442" s="24">
        <v>1.7031000000000001</v>
      </c>
      <c r="J442" s="24">
        <v>0.81610000000000005</v>
      </c>
      <c r="K442" s="24">
        <v>855</v>
      </c>
      <c r="L442" s="24" t="s">
        <v>4284</v>
      </c>
    </row>
    <row r="443" spans="1:12" x14ac:dyDescent="0.35">
      <c r="A443" s="24" t="s">
        <v>3246</v>
      </c>
      <c r="B443" s="24" t="str">
        <f>"600640"</f>
        <v>600640</v>
      </c>
      <c r="C443" s="24" t="str">
        <f t="shared" si="6"/>
        <v>'600640.SS'</v>
      </c>
      <c r="D443" s="24" t="s">
        <v>4285</v>
      </c>
      <c r="E443" s="24" t="s">
        <v>3408</v>
      </c>
      <c r="F443" s="24">
        <v>1.9214</v>
      </c>
      <c r="G443" s="24">
        <v>7789863252.6000004</v>
      </c>
      <c r="H443" s="24">
        <v>3.4603000000000002</v>
      </c>
      <c r="I443" s="24">
        <v>3.3853</v>
      </c>
      <c r="J443" s="24">
        <v>1.3365</v>
      </c>
      <c r="K443" s="24">
        <v>168</v>
      </c>
      <c r="L443" s="24" t="s">
        <v>4286</v>
      </c>
    </row>
    <row r="444" spans="1:12" x14ac:dyDescent="0.35">
      <c r="A444" s="24" t="s">
        <v>3242</v>
      </c>
      <c r="B444" s="24" t="str">
        <f>"301135"</f>
        <v>301135</v>
      </c>
      <c r="C444" s="24" t="str">
        <f t="shared" si="6"/>
        <v>'301135.SZ'</v>
      </c>
      <c r="D444" s="24" t="s">
        <v>4287</v>
      </c>
      <c r="E444" s="24" t="s">
        <v>3327</v>
      </c>
      <c r="F444" s="24">
        <v>1.921</v>
      </c>
      <c r="G444" s="24">
        <v>2447654580</v>
      </c>
      <c r="H444" s="24">
        <v>3.2816999999999998</v>
      </c>
      <c r="I444" s="24">
        <v>2.859</v>
      </c>
      <c r="J444" s="24">
        <v>1.895</v>
      </c>
      <c r="K444" s="24">
        <v>13</v>
      </c>
      <c r="L444" s="24" t="s">
        <v>4288</v>
      </c>
    </row>
    <row r="445" spans="1:12" x14ac:dyDescent="0.35">
      <c r="A445" s="24" t="s">
        <v>3246</v>
      </c>
      <c r="B445" s="24" t="str">
        <f>"688330"</f>
        <v>688330</v>
      </c>
      <c r="C445" s="24" t="str">
        <f t="shared" si="6"/>
        <v>'688330.SS'</v>
      </c>
      <c r="D445" s="24" t="s">
        <v>4289</v>
      </c>
      <c r="E445" s="24" t="s">
        <v>3354</v>
      </c>
      <c r="F445" s="24">
        <v>1.9197</v>
      </c>
      <c r="G445" s="24">
        <v>6720000000</v>
      </c>
      <c r="H445" s="24">
        <v>7.1513999999999998</v>
      </c>
      <c r="I445" s="24">
        <v>5.9078999999999997</v>
      </c>
      <c r="J445" s="24">
        <v>1.1149</v>
      </c>
      <c r="K445" s="24">
        <v>103</v>
      </c>
      <c r="L445" s="24" t="s">
        <v>4290</v>
      </c>
    </row>
    <row r="446" spans="1:12" x14ac:dyDescent="0.35">
      <c r="A446" s="24" t="s">
        <v>3242</v>
      </c>
      <c r="B446" s="24" t="str">
        <f>"300822"</f>
        <v>300822</v>
      </c>
      <c r="C446" s="24" t="str">
        <f t="shared" si="6"/>
        <v>'300822.SZ'</v>
      </c>
      <c r="D446" s="24" t="s">
        <v>4291</v>
      </c>
      <c r="E446" s="24" t="s">
        <v>3327</v>
      </c>
      <c r="F446" s="24">
        <v>1.9196</v>
      </c>
      <c r="G446" s="24">
        <v>2408075250</v>
      </c>
      <c r="H446" s="24">
        <v>3.2330999999999999</v>
      </c>
      <c r="I446" s="24">
        <v>2.2991999999999999</v>
      </c>
      <c r="J446" s="24">
        <v>1.1686000000000001</v>
      </c>
      <c r="K446" s="24">
        <v>138</v>
      </c>
      <c r="L446" s="24" t="s">
        <v>4292</v>
      </c>
    </row>
    <row r="447" spans="1:12" x14ac:dyDescent="0.35">
      <c r="A447" s="24" t="s">
        <v>3246</v>
      </c>
      <c r="B447" s="24" t="str">
        <f>"603687"</f>
        <v>603687</v>
      </c>
      <c r="C447" s="24" t="str">
        <f t="shared" si="6"/>
        <v>'603687.SS'</v>
      </c>
      <c r="D447" s="24" t="s">
        <v>4293</v>
      </c>
      <c r="E447" s="24" t="s">
        <v>4294</v>
      </c>
      <c r="F447" s="24">
        <v>1.9193</v>
      </c>
      <c r="G447" s="24">
        <v>3703887111.1199999</v>
      </c>
      <c r="H447" s="24">
        <v>2.8965999999999998</v>
      </c>
      <c r="I447" s="24">
        <v>2.3096000000000001</v>
      </c>
      <c r="J447" s="24">
        <v>1.4414</v>
      </c>
      <c r="K447" s="24">
        <v>96</v>
      </c>
      <c r="L447" s="24" t="s">
        <v>4295</v>
      </c>
    </row>
    <row r="448" spans="1:12" x14ac:dyDescent="0.35">
      <c r="A448" s="24" t="s">
        <v>3246</v>
      </c>
      <c r="B448" s="24" t="str">
        <f>"601156"</f>
        <v>601156</v>
      </c>
      <c r="C448" s="24" t="str">
        <f t="shared" si="6"/>
        <v>'601156.SS'</v>
      </c>
      <c r="D448" s="24" t="s">
        <v>4296</v>
      </c>
      <c r="E448" s="24" t="s">
        <v>3805</v>
      </c>
      <c r="F448" s="24">
        <v>1.9186000000000001</v>
      </c>
      <c r="G448" s="24">
        <v>24607111118</v>
      </c>
      <c r="H448" s="24">
        <v>2.3622000000000001</v>
      </c>
      <c r="I448" s="24">
        <v>2.3378999999999999</v>
      </c>
      <c r="J448" s="24">
        <v>1.6877</v>
      </c>
      <c r="K448" s="24">
        <v>224</v>
      </c>
      <c r="L448" s="24" t="s">
        <v>4297</v>
      </c>
    </row>
    <row r="449" spans="1:12" x14ac:dyDescent="0.35">
      <c r="A449" s="24" t="s">
        <v>3242</v>
      </c>
      <c r="B449" s="24" t="str">
        <f>"300435"</f>
        <v>300435</v>
      </c>
      <c r="C449" s="24" t="str">
        <f t="shared" si="6"/>
        <v>'300435.SZ'</v>
      </c>
      <c r="D449" s="24" t="s">
        <v>4298</v>
      </c>
      <c r="E449" s="24" t="s">
        <v>3933</v>
      </c>
      <c r="F449" s="24">
        <v>1.9179999999999999</v>
      </c>
      <c r="G449" s="24">
        <v>5267962104</v>
      </c>
      <c r="H449" s="24">
        <v>1.5772999999999999</v>
      </c>
      <c r="I449" s="24">
        <v>1.2903</v>
      </c>
      <c r="J449" s="24">
        <v>0.85660000000000003</v>
      </c>
      <c r="K449" s="24">
        <v>119</v>
      </c>
      <c r="L449" s="24" t="s">
        <v>4299</v>
      </c>
    </row>
    <row r="450" spans="1:12" x14ac:dyDescent="0.35">
      <c r="A450" s="24" t="s">
        <v>3242</v>
      </c>
      <c r="B450" s="24" t="str">
        <f>"300315"</f>
        <v>300315</v>
      </c>
      <c r="C450" s="24" t="str">
        <f t="shared" si="6"/>
        <v>'300315.SZ'</v>
      </c>
      <c r="D450" s="24" t="s">
        <v>4300</v>
      </c>
      <c r="E450" s="24" t="s">
        <v>3481</v>
      </c>
      <c r="F450" s="24">
        <v>1.9176</v>
      </c>
      <c r="G450" s="24">
        <v>8961823624</v>
      </c>
      <c r="H450" s="24">
        <v>5.3631000000000002</v>
      </c>
      <c r="I450" s="24">
        <v>5.1821999999999999</v>
      </c>
      <c r="J450" s="24">
        <v>4.6881000000000004</v>
      </c>
      <c r="K450" s="24">
        <v>459</v>
      </c>
      <c r="L450" s="24" t="s">
        <v>4301</v>
      </c>
    </row>
    <row r="451" spans="1:12" x14ac:dyDescent="0.35">
      <c r="A451" s="24" t="s">
        <v>3246</v>
      </c>
      <c r="B451" s="24" t="str">
        <f>"600613"</f>
        <v>600613</v>
      </c>
      <c r="C451" s="24" t="str">
        <f t="shared" ref="C451:C514" si="7">CONCATENATE("'",B451,IF(A451="sh",".SS'",".SZ'"))</f>
        <v>'600613.SS'</v>
      </c>
      <c r="D451" s="24" t="s">
        <v>4302</v>
      </c>
      <c r="E451" s="24" t="s">
        <v>3696</v>
      </c>
      <c r="F451" s="24">
        <v>1.9068000000000001</v>
      </c>
      <c r="G451" s="24">
        <v>4448816661.2399998</v>
      </c>
      <c r="H451" s="24">
        <v>2.7185999999999999</v>
      </c>
      <c r="I451" s="24">
        <v>2.2458</v>
      </c>
      <c r="J451" s="24">
        <v>1.0797000000000001</v>
      </c>
      <c r="K451" s="24">
        <v>128</v>
      </c>
      <c r="L451" s="24" t="s">
        <v>4303</v>
      </c>
    </row>
    <row r="452" spans="1:12" x14ac:dyDescent="0.35">
      <c r="A452" s="24" t="s">
        <v>3242</v>
      </c>
      <c r="B452" s="24" t="str">
        <f>"300155"</f>
        <v>300155</v>
      </c>
      <c r="C452" s="24" t="str">
        <f t="shared" si="7"/>
        <v>'300155.SZ'</v>
      </c>
      <c r="D452" s="24" t="s">
        <v>4304</v>
      </c>
      <c r="E452" s="24" t="s">
        <v>3565</v>
      </c>
      <c r="F452" s="24">
        <v>1.9045000000000001</v>
      </c>
      <c r="G452" s="24">
        <v>2671444061.4400001</v>
      </c>
      <c r="H452" s="24">
        <v>6.7164999999999999</v>
      </c>
      <c r="I452" s="24">
        <v>5.8559000000000001</v>
      </c>
      <c r="J452" s="24">
        <v>3.0630999999999999</v>
      </c>
      <c r="K452" s="24">
        <v>72</v>
      </c>
      <c r="L452" s="24" t="s">
        <v>4305</v>
      </c>
    </row>
    <row r="453" spans="1:12" x14ac:dyDescent="0.35">
      <c r="A453" s="24" t="s">
        <v>3246</v>
      </c>
      <c r="B453" s="24" t="str">
        <f>"603301"</f>
        <v>603301</v>
      </c>
      <c r="C453" s="24" t="str">
        <f t="shared" si="7"/>
        <v>'603301.SS'</v>
      </c>
      <c r="D453" s="24" t="s">
        <v>4306</v>
      </c>
      <c r="E453" s="24" t="s">
        <v>3319</v>
      </c>
      <c r="F453" s="24">
        <v>1.9045000000000001</v>
      </c>
      <c r="G453" s="24">
        <v>10221068108.719999</v>
      </c>
      <c r="H453" s="24">
        <v>2.4895999999999998</v>
      </c>
      <c r="I453" s="24">
        <v>1.679</v>
      </c>
      <c r="J453" s="24">
        <v>1.036</v>
      </c>
      <c r="K453" s="24">
        <v>1532</v>
      </c>
      <c r="L453" s="24" t="s">
        <v>4307</v>
      </c>
    </row>
    <row r="454" spans="1:12" x14ac:dyDescent="0.35">
      <c r="A454" s="24" t="s">
        <v>3242</v>
      </c>
      <c r="B454" s="24" t="str">
        <f>"300016"</f>
        <v>300016</v>
      </c>
      <c r="C454" s="24" t="str">
        <f t="shared" si="7"/>
        <v>'300016.SZ'</v>
      </c>
      <c r="D454" s="24" t="s">
        <v>4308</v>
      </c>
      <c r="E454" s="24" t="s">
        <v>3696</v>
      </c>
      <c r="F454" s="24">
        <v>1.9041999999999999</v>
      </c>
      <c r="G454" s="24">
        <v>3212476284.5599999</v>
      </c>
      <c r="H454" s="24">
        <v>4.2769000000000004</v>
      </c>
      <c r="I454" s="24">
        <v>3.1907999999999999</v>
      </c>
      <c r="J454" s="24">
        <v>1.3925000000000001</v>
      </c>
      <c r="K454" s="24">
        <v>302</v>
      </c>
      <c r="L454" s="24" t="s">
        <v>4309</v>
      </c>
    </row>
    <row r="455" spans="1:12" x14ac:dyDescent="0.35">
      <c r="A455" s="24" t="s">
        <v>3246</v>
      </c>
      <c r="B455" s="24" t="str">
        <f>"688175"</f>
        <v>688175</v>
      </c>
      <c r="C455" s="24" t="str">
        <f t="shared" si="7"/>
        <v>'688175.SS'</v>
      </c>
      <c r="D455" s="24" t="s">
        <v>4310</v>
      </c>
      <c r="E455" s="24" t="s">
        <v>3383</v>
      </c>
      <c r="F455" s="24">
        <v>1.9029</v>
      </c>
      <c r="G455" s="24">
        <v>3418025683.4099998</v>
      </c>
      <c r="H455" s="24">
        <v>9.2637999999999998</v>
      </c>
      <c r="I455" s="24">
        <v>8.1167999999999996</v>
      </c>
      <c r="J455" s="24">
        <v>0.99790000000000001</v>
      </c>
      <c r="K455" s="24">
        <v>13</v>
      </c>
      <c r="L455" s="24" t="s">
        <v>4311</v>
      </c>
    </row>
    <row r="456" spans="1:12" x14ac:dyDescent="0.35">
      <c r="A456" s="24" t="s">
        <v>3246</v>
      </c>
      <c r="B456" s="24" t="str">
        <f>"603106"</f>
        <v>603106</v>
      </c>
      <c r="C456" s="24" t="str">
        <f t="shared" si="7"/>
        <v>'603106.SS'</v>
      </c>
      <c r="D456" s="24" t="s">
        <v>4312</v>
      </c>
      <c r="E456" s="24" t="s">
        <v>3257</v>
      </c>
      <c r="F456" s="24">
        <v>1.8952</v>
      </c>
      <c r="G456" s="24">
        <v>2930527600</v>
      </c>
      <c r="H456" s="24">
        <v>4.4604999999999997</v>
      </c>
      <c r="I456" s="24">
        <v>3.2736999999999998</v>
      </c>
      <c r="J456" s="24">
        <v>1.5046999999999999</v>
      </c>
      <c r="K456" s="24">
        <v>2940</v>
      </c>
      <c r="L456" s="24" t="s">
        <v>4313</v>
      </c>
    </row>
    <row r="457" spans="1:12" x14ac:dyDescent="0.35">
      <c r="A457" s="24" t="s">
        <v>3246</v>
      </c>
      <c r="B457" s="24" t="str">
        <f>"603010"</f>
        <v>603010</v>
      </c>
      <c r="C457" s="24" t="str">
        <f t="shared" si="7"/>
        <v>'603010.SS'</v>
      </c>
      <c r="D457" s="24" t="s">
        <v>4314</v>
      </c>
      <c r="E457" s="24" t="s">
        <v>3271</v>
      </c>
      <c r="F457" s="24">
        <v>1.8929</v>
      </c>
      <c r="G457" s="24">
        <v>7422794485.8699999</v>
      </c>
      <c r="H457" s="24">
        <v>2.1911999999999998</v>
      </c>
      <c r="I457" s="24">
        <v>1.8189</v>
      </c>
      <c r="J457" s="24">
        <v>1.1589</v>
      </c>
      <c r="K457" s="24">
        <v>285</v>
      </c>
      <c r="L457" s="24" t="s">
        <v>4315</v>
      </c>
    </row>
    <row r="458" spans="1:12" x14ac:dyDescent="0.35">
      <c r="A458" s="24" t="s">
        <v>3246</v>
      </c>
      <c r="B458" s="24" t="str">
        <f>"688227"</f>
        <v>688227</v>
      </c>
      <c r="C458" s="24" t="str">
        <f t="shared" si="7"/>
        <v>'688227.SS'</v>
      </c>
      <c r="D458" s="24" t="s">
        <v>4316</v>
      </c>
      <c r="E458" s="24" t="s">
        <v>3722</v>
      </c>
      <c r="F458" s="24">
        <v>1.8914</v>
      </c>
      <c r="G458" s="24">
        <v>2604793536</v>
      </c>
      <c r="H458" s="24">
        <v>4.8682999999999996</v>
      </c>
      <c r="I458" s="24">
        <v>3.903</v>
      </c>
      <c r="J458" s="24">
        <v>1.7422</v>
      </c>
      <c r="K458" s="24">
        <v>23</v>
      </c>
      <c r="L458" s="24" t="s">
        <v>4317</v>
      </c>
    </row>
    <row r="459" spans="1:12" x14ac:dyDescent="0.35">
      <c r="A459" s="24" t="s">
        <v>3246</v>
      </c>
      <c r="B459" s="24" t="str">
        <f>"688767"</f>
        <v>688767</v>
      </c>
      <c r="C459" s="24" t="str">
        <f t="shared" si="7"/>
        <v>'688767.SS'</v>
      </c>
      <c r="D459" s="24" t="s">
        <v>4318</v>
      </c>
      <c r="E459" s="24" t="s">
        <v>3432</v>
      </c>
      <c r="F459" s="24">
        <v>1.8913</v>
      </c>
      <c r="G459" s="24">
        <v>5056000015.8000002</v>
      </c>
      <c r="H459" s="24">
        <v>8.1646000000000001</v>
      </c>
      <c r="I459" s="24">
        <v>7.4470999999999998</v>
      </c>
      <c r="J459" s="24">
        <v>5.9184999999999999</v>
      </c>
      <c r="K459" s="24">
        <v>68</v>
      </c>
      <c r="L459" s="24" t="s">
        <v>4319</v>
      </c>
    </row>
    <row r="460" spans="1:12" x14ac:dyDescent="0.35">
      <c r="A460" s="24" t="s">
        <v>3246</v>
      </c>
      <c r="B460" s="24" t="str">
        <f>"605018"</f>
        <v>605018</v>
      </c>
      <c r="C460" s="24" t="str">
        <f t="shared" si="7"/>
        <v>'605018.SS'</v>
      </c>
      <c r="D460" s="24" t="s">
        <v>4320</v>
      </c>
      <c r="E460" s="24" t="s">
        <v>3299</v>
      </c>
      <c r="F460" s="24">
        <v>1.8908</v>
      </c>
      <c r="G460" s="24">
        <v>5030962116.5100002</v>
      </c>
      <c r="H460" s="24">
        <v>3.3315000000000001</v>
      </c>
      <c r="I460" s="24">
        <v>2.0594999999999999</v>
      </c>
      <c r="J460" s="24">
        <v>0.97860000000000003</v>
      </c>
      <c r="K460" s="24">
        <v>61</v>
      </c>
      <c r="L460" s="24" t="s">
        <v>4321</v>
      </c>
    </row>
    <row r="461" spans="1:12" x14ac:dyDescent="0.35">
      <c r="A461" s="24" t="s">
        <v>3246</v>
      </c>
      <c r="B461" s="24" t="str">
        <f>"605180"</f>
        <v>605180</v>
      </c>
      <c r="C461" s="24" t="str">
        <f t="shared" si="7"/>
        <v>'605180.SS'</v>
      </c>
      <c r="D461" s="24" t="s">
        <v>4322</v>
      </c>
      <c r="E461" s="24" t="s">
        <v>3357</v>
      </c>
      <c r="F461" s="24">
        <v>1.8896999999999999</v>
      </c>
      <c r="G461" s="24">
        <v>2072200000</v>
      </c>
      <c r="H461" s="24">
        <v>39.727400000000003</v>
      </c>
      <c r="I461" s="24">
        <v>31.6129</v>
      </c>
      <c r="J461" s="24">
        <v>25.337199999999999</v>
      </c>
      <c r="K461" s="24">
        <v>54</v>
      </c>
      <c r="L461" s="24" t="s">
        <v>4323</v>
      </c>
    </row>
    <row r="462" spans="1:12" x14ac:dyDescent="0.35">
      <c r="A462" s="24" t="s">
        <v>3242</v>
      </c>
      <c r="B462" s="24" t="str">
        <f>"300183"</f>
        <v>300183</v>
      </c>
      <c r="C462" s="24" t="str">
        <f t="shared" si="7"/>
        <v>'300183.SZ'</v>
      </c>
      <c r="D462" s="24" t="s">
        <v>4324</v>
      </c>
      <c r="E462" s="24" t="s">
        <v>3374</v>
      </c>
      <c r="F462" s="24">
        <v>1.8892</v>
      </c>
      <c r="G462" s="24">
        <v>5805744669.3500004</v>
      </c>
      <c r="H462" s="24">
        <v>7.7325999999999997</v>
      </c>
      <c r="I462" s="24">
        <v>6.5430999999999999</v>
      </c>
      <c r="J462" s="24">
        <v>3.5081000000000002</v>
      </c>
      <c r="K462" s="24">
        <v>280</v>
      </c>
      <c r="L462" s="24" t="s">
        <v>4325</v>
      </c>
    </row>
    <row r="463" spans="1:12" x14ac:dyDescent="0.35">
      <c r="A463" s="24" t="s">
        <v>3246</v>
      </c>
      <c r="B463" s="24" t="str">
        <f>"603036"</f>
        <v>603036</v>
      </c>
      <c r="C463" s="24" t="str">
        <f t="shared" si="7"/>
        <v>'603036.SS'</v>
      </c>
      <c r="D463" s="24" t="s">
        <v>4326</v>
      </c>
      <c r="E463" s="24" t="s">
        <v>3840</v>
      </c>
      <c r="F463" s="24">
        <v>1.8875</v>
      </c>
      <c r="G463" s="24">
        <v>2217230032</v>
      </c>
      <c r="H463" s="24">
        <v>7.4530000000000003</v>
      </c>
      <c r="I463" s="24">
        <v>6.1844999999999999</v>
      </c>
      <c r="J463" s="24">
        <v>1.4901</v>
      </c>
      <c r="K463" s="24">
        <v>66</v>
      </c>
      <c r="L463" s="24" t="s">
        <v>4327</v>
      </c>
    </row>
    <row r="464" spans="1:12" x14ac:dyDescent="0.35">
      <c r="A464" s="24" t="s">
        <v>3246</v>
      </c>
      <c r="B464" s="24" t="str">
        <f>"688426"</f>
        <v>688426</v>
      </c>
      <c r="C464" s="24" t="str">
        <f t="shared" si="7"/>
        <v>'688426.SS'</v>
      </c>
      <c r="D464" s="24" t="s">
        <v>4328</v>
      </c>
      <c r="E464" s="24" t="s">
        <v>3282</v>
      </c>
      <c r="F464" s="24">
        <v>1.8866000000000001</v>
      </c>
      <c r="G464" s="24">
        <v>3491212582.0900002</v>
      </c>
      <c r="H464" s="24">
        <v>6.3284000000000002</v>
      </c>
      <c r="I464" s="24">
        <v>5.5193000000000003</v>
      </c>
      <c r="J464" s="24">
        <v>1.1109</v>
      </c>
      <c r="K464" s="24">
        <v>5</v>
      </c>
      <c r="L464" s="24" t="s">
        <v>4329</v>
      </c>
    </row>
    <row r="465" spans="1:12" x14ac:dyDescent="0.35">
      <c r="A465" s="24" t="s">
        <v>3242</v>
      </c>
      <c r="B465" s="24" t="str">
        <f>"301186"</f>
        <v>301186</v>
      </c>
      <c r="C465" s="24" t="str">
        <f t="shared" si="7"/>
        <v>'301186.SZ'</v>
      </c>
      <c r="D465" s="24" t="s">
        <v>4330</v>
      </c>
      <c r="E465" s="24" t="s">
        <v>3299</v>
      </c>
      <c r="F465" s="24">
        <v>1.8857999999999999</v>
      </c>
      <c r="G465" s="24">
        <v>2119464484.8599999</v>
      </c>
      <c r="H465" s="24">
        <v>3.51</v>
      </c>
      <c r="I465" s="24">
        <v>2.4253</v>
      </c>
      <c r="J465" s="24">
        <v>1.1534</v>
      </c>
      <c r="K465" s="24">
        <v>15</v>
      </c>
      <c r="L465" s="24" t="s">
        <v>4331</v>
      </c>
    </row>
    <row r="466" spans="1:12" x14ac:dyDescent="0.35">
      <c r="A466" s="24" t="s">
        <v>3242</v>
      </c>
      <c r="B466" s="24" t="str">
        <f>"301217"</f>
        <v>301217</v>
      </c>
      <c r="C466" s="24" t="str">
        <f t="shared" si="7"/>
        <v>'301217.SZ'</v>
      </c>
      <c r="D466" s="24" t="s">
        <v>4332</v>
      </c>
      <c r="E466" s="24" t="s">
        <v>1316</v>
      </c>
      <c r="F466" s="24">
        <v>1.8845000000000001</v>
      </c>
      <c r="G466" s="24">
        <v>10569948186</v>
      </c>
      <c r="H466" s="24">
        <v>13.1791</v>
      </c>
      <c r="I466" s="24">
        <v>11.5349</v>
      </c>
      <c r="J466" s="24">
        <v>6.7698</v>
      </c>
      <c r="K466" s="24">
        <v>36</v>
      </c>
      <c r="L466" s="24" t="s">
        <v>4333</v>
      </c>
    </row>
    <row r="467" spans="1:12" x14ac:dyDescent="0.35">
      <c r="A467" s="24" t="s">
        <v>3242</v>
      </c>
      <c r="B467" s="24" t="str">
        <f>"300002"</f>
        <v>300002</v>
      </c>
      <c r="C467" s="24" t="str">
        <f t="shared" si="7"/>
        <v>'300002.SZ'</v>
      </c>
      <c r="D467" s="24" t="s">
        <v>4334</v>
      </c>
      <c r="E467" s="24" t="s">
        <v>3481</v>
      </c>
      <c r="F467" s="24">
        <v>1.8841000000000001</v>
      </c>
      <c r="G467" s="24">
        <v>8864135767.6800003</v>
      </c>
      <c r="H467" s="24">
        <v>2.7418</v>
      </c>
      <c r="I467" s="24">
        <v>2.4081999999999999</v>
      </c>
      <c r="J467" s="24">
        <v>1.6621999999999999</v>
      </c>
      <c r="K467" s="24">
        <v>287</v>
      </c>
      <c r="L467" s="24" t="s">
        <v>4335</v>
      </c>
    </row>
    <row r="468" spans="1:12" x14ac:dyDescent="0.35">
      <c r="A468" s="24" t="s">
        <v>3246</v>
      </c>
      <c r="B468" s="24" t="str">
        <f>"603393"</f>
        <v>603393</v>
      </c>
      <c r="C468" s="24" t="str">
        <f t="shared" si="7"/>
        <v>'603393.SS'</v>
      </c>
      <c r="D468" s="24" t="s">
        <v>4336</v>
      </c>
      <c r="E468" s="24" t="s">
        <v>3933</v>
      </c>
      <c r="F468" s="24">
        <v>1.8832</v>
      </c>
      <c r="G468" s="24">
        <v>9415292672.6700001</v>
      </c>
      <c r="H468" s="24">
        <v>2.2400000000000002</v>
      </c>
      <c r="I468" s="24">
        <v>2.1884999999999999</v>
      </c>
      <c r="J468" s="24">
        <v>1.4617</v>
      </c>
      <c r="K468" s="24">
        <v>528</v>
      </c>
      <c r="L468" s="24" t="s">
        <v>4337</v>
      </c>
    </row>
    <row r="469" spans="1:12" x14ac:dyDescent="0.35">
      <c r="A469" s="24" t="s">
        <v>3246</v>
      </c>
      <c r="B469" s="24" t="str">
        <f>"603948"</f>
        <v>603948</v>
      </c>
      <c r="C469" s="24" t="str">
        <f t="shared" si="7"/>
        <v>'603948.SS'</v>
      </c>
      <c r="D469" s="24" t="s">
        <v>4338</v>
      </c>
      <c r="E469" s="24" t="s">
        <v>3271</v>
      </c>
      <c r="F469" s="24">
        <v>1.8803000000000001</v>
      </c>
      <c r="G469" s="24">
        <v>3653674400</v>
      </c>
      <c r="H469" s="24">
        <v>3.1269999999999998</v>
      </c>
      <c r="I469" s="24">
        <v>2.8130000000000002</v>
      </c>
      <c r="J469" s="24">
        <v>1.4665999999999999</v>
      </c>
      <c r="K469" s="24">
        <v>74</v>
      </c>
      <c r="L469" s="24" t="s">
        <v>4339</v>
      </c>
    </row>
    <row r="470" spans="1:12" x14ac:dyDescent="0.35">
      <c r="A470" s="24" t="s">
        <v>3246</v>
      </c>
      <c r="B470" s="24" t="str">
        <f>"688416"</f>
        <v>688416</v>
      </c>
      <c r="C470" s="24" t="str">
        <f t="shared" si="7"/>
        <v>'688416.SS'</v>
      </c>
      <c r="D470" s="24" t="s">
        <v>4340</v>
      </c>
      <c r="E470" s="24" t="s">
        <v>3277</v>
      </c>
      <c r="F470" s="24">
        <v>1.8793</v>
      </c>
      <c r="G470" s="24">
        <v>3220374762.6300001</v>
      </c>
      <c r="H470" s="24">
        <v>8.6105</v>
      </c>
      <c r="I470" s="24">
        <v>6.1841999999999997</v>
      </c>
      <c r="J470" s="24">
        <v>5.5053999999999998</v>
      </c>
      <c r="K470" s="24">
        <v>11</v>
      </c>
      <c r="L470" s="24" t="s">
        <v>4341</v>
      </c>
    </row>
    <row r="471" spans="1:12" x14ac:dyDescent="0.35">
      <c r="A471" s="24" t="s">
        <v>3242</v>
      </c>
      <c r="B471" s="24" t="str">
        <f>"301309"</f>
        <v>301309</v>
      </c>
      <c r="C471" s="24" t="str">
        <f t="shared" si="7"/>
        <v>'301309.SZ'</v>
      </c>
      <c r="D471" s="24" t="s">
        <v>4342</v>
      </c>
      <c r="E471" s="24" t="s">
        <v>3351</v>
      </c>
      <c r="F471" s="24">
        <v>1.8771</v>
      </c>
      <c r="G471" s="24">
        <v>2580000000</v>
      </c>
      <c r="H471" s="24">
        <v>4.8635999999999999</v>
      </c>
      <c r="I471" s="24">
        <v>4.1660000000000004</v>
      </c>
      <c r="J471" s="24">
        <v>3.613</v>
      </c>
      <c r="K471" s="24">
        <v>5</v>
      </c>
      <c r="L471" s="24" t="s">
        <v>4343</v>
      </c>
    </row>
    <row r="472" spans="1:12" x14ac:dyDescent="0.35">
      <c r="A472" s="24" t="s">
        <v>3242</v>
      </c>
      <c r="B472" s="24" t="str">
        <f>"001230"</f>
        <v>001230</v>
      </c>
      <c r="C472" s="24" t="str">
        <f t="shared" si="7"/>
        <v>'001230.SZ'</v>
      </c>
      <c r="D472" s="24" t="s">
        <v>4344</v>
      </c>
      <c r="E472" s="24" t="s">
        <v>3422</v>
      </c>
      <c r="F472" s="24">
        <v>1.8754999999999999</v>
      </c>
      <c r="G472" s="24">
        <v>2957493389.4000001</v>
      </c>
      <c r="H472" s="24">
        <v>4.4641000000000002</v>
      </c>
      <c r="I472" s="24">
        <v>4.2381000000000002</v>
      </c>
      <c r="J472" s="24">
        <v>1.4359999999999999</v>
      </c>
      <c r="K472" s="24">
        <v>14</v>
      </c>
      <c r="L472" s="24" t="s">
        <v>4345</v>
      </c>
    </row>
    <row r="473" spans="1:12" x14ac:dyDescent="0.35">
      <c r="A473" s="24" t="s">
        <v>3246</v>
      </c>
      <c r="B473" s="24" t="str">
        <f>"688335"</f>
        <v>688335</v>
      </c>
      <c r="C473" s="24" t="str">
        <f t="shared" si="7"/>
        <v>'688335.SS'</v>
      </c>
      <c r="D473" s="24" t="s">
        <v>4346</v>
      </c>
      <c r="E473" s="24" t="s">
        <v>4197</v>
      </c>
      <c r="F473" s="24">
        <v>1.8740000000000001</v>
      </c>
      <c r="G473" s="24">
        <v>2203203408.6999998</v>
      </c>
      <c r="H473" s="24">
        <v>4.0171000000000001</v>
      </c>
      <c r="I473" s="24">
        <v>2.9007999999999998</v>
      </c>
      <c r="J473" s="24">
        <v>1.1466000000000001</v>
      </c>
      <c r="K473" s="24">
        <v>70</v>
      </c>
      <c r="L473" s="24" t="s">
        <v>4347</v>
      </c>
    </row>
    <row r="474" spans="1:12" x14ac:dyDescent="0.35">
      <c r="A474" s="24" t="s">
        <v>3242</v>
      </c>
      <c r="B474" s="24" t="str">
        <f>"301227"</f>
        <v>301227</v>
      </c>
      <c r="C474" s="24" t="str">
        <f t="shared" si="7"/>
        <v>'301227.SZ'</v>
      </c>
      <c r="D474" s="24" t="s">
        <v>4348</v>
      </c>
      <c r="E474" s="24" t="s">
        <v>4349</v>
      </c>
      <c r="F474" s="24">
        <v>1.8717999999999999</v>
      </c>
      <c r="G474" s="24">
        <v>3306624000</v>
      </c>
      <c r="H474" s="24">
        <v>4.0773999999999999</v>
      </c>
      <c r="I474" s="24">
        <v>3.6040000000000001</v>
      </c>
      <c r="J474" s="24">
        <v>2.6032999999999999</v>
      </c>
      <c r="K474" s="24">
        <v>3</v>
      </c>
      <c r="L474" s="24" t="s">
        <v>4350</v>
      </c>
    </row>
    <row r="475" spans="1:12" x14ac:dyDescent="0.35">
      <c r="A475" s="24" t="s">
        <v>3242</v>
      </c>
      <c r="B475" s="24" t="str">
        <f>"300788"</f>
        <v>300788</v>
      </c>
      <c r="C475" s="24" t="str">
        <f t="shared" si="7"/>
        <v>'300788.SZ'</v>
      </c>
      <c r="D475" s="24" t="s">
        <v>4351</v>
      </c>
      <c r="E475" s="24" t="s">
        <v>4352</v>
      </c>
      <c r="F475" s="24">
        <v>1.8716999999999999</v>
      </c>
      <c r="G475" s="24">
        <v>3882893936.3000002</v>
      </c>
      <c r="H475" s="24">
        <v>2.7004000000000001</v>
      </c>
      <c r="I475" s="24">
        <v>1.8372999999999999</v>
      </c>
      <c r="J475" s="24">
        <v>1.4901</v>
      </c>
      <c r="K475" s="24">
        <v>362</v>
      </c>
      <c r="L475" s="24" t="s">
        <v>4353</v>
      </c>
    </row>
    <row r="476" spans="1:12" x14ac:dyDescent="0.35">
      <c r="A476" s="24" t="s">
        <v>3246</v>
      </c>
      <c r="B476" s="24" t="str">
        <f>"601579"</f>
        <v>601579</v>
      </c>
      <c r="C476" s="24" t="str">
        <f t="shared" si="7"/>
        <v>'601579.SS'</v>
      </c>
      <c r="D476" s="24" t="s">
        <v>4354</v>
      </c>
      <c r="E476" s="24" t="s">
        <v>3854</v>
      </c>
      <c r="F476" s="24">
        <v>1.8669</v>
      </c>
      <c r="G476" s="24">
        <v>6793937600</v>
      </c>
      <c r="H476" s="24">
        <v>3.2345999999999999</v>
      </c>
      <c r="I476" s="24">
        <v>1.1491</v>
      </c>
      <c r="J476" s="24">
        <v>0.84750000000000003</v>
      </c>
      <c r="K476" s="24">
        <v>202</v>
      </c>
      <c r="L476" s="24" t="s">
        <v>4355</v>
      </c>
    </row>
    <row r="477" spans="1:12" x14ac:dyDescent="0.35">
      <c r="A477" s="24" t="s">
        <v>3242</v>
      </c>
      <c r="B477" s="24" t="str">
        <f>"300609"</f>
        <v>300609</v>
      </c>
      <c r="C477" s="24" t="str">
        <f t="shared" si="7"/>
        <v>'300609.SZ'</v>
      </c>
      <c r="D477" s="24" t="s">
        <v>4356</v>
      </c>
      <c r="E477" s="24" t="s">
        <v>3722</v>
      </c>
      <c r="F477" s="24">
        <v>1.8668</v>
      </c>
      <c r="G477" s="24">
        <v>2003110056.4000001</v>
      </c>
      <c r="H477" s="24">
        <v>4.2576999999999998</v>
      </c>
      <c r="I477" s="24">
        <v>3.7054</v>
      </c>
      <c r="J477" s="24">
        <v>0.84079999999999999</v>
      </c>
      <c r="K477" s="24">
        <v>159</v>
      </c>
      <c r="L477" s="24" t="s">
        <v>4357</v>
      </c>
    </row>
    <row r="478" spans="1:12" x14ac:dyDescent="0.35">
      <c r="A478" s="24" t="s">
        <v>3242</v>
      </c>
      <c r="B478" s="24" t="str">
        <f>"002174"</f>
        <v>002174</v>
      </c>
      <c r="C478" s="24" t="str">
        <f t="shared" si="7"/>
        <v>'002174.SZ'</v>
      </c>
      <c r="D478" s="24" t="s">
        <v>4358</v>
      </c>
      <c r="E478" s="24" t="s">
        <v>3481</v>
      </c>
      <c r="F478" s="24">
        <v>1.8645</v>
      </c>
      <c r="G478" s="24">
        <v>9451790433.1200008</v>
      </c>
      <c r="H478" s="24">
        <v>2.8576999999999999</v>
      </c>
      <c r="I478" s="24">
        <v>2.7877000000000001</v>
      </c>
      <c r="J478" s="24">
        <v>1.7065999999999999</v>
      </c>
      <c r="K478" s="24">
        <v>734</v>
      </c>
      <c r="L478" s="24" t="s">
        <v>4359</v>
      </c>
    </row>
    <row r="479" spans="1:12" x14ac:dyDescent="0.35">
      <c r="A479" s="24" t="s">
        <v>3246</v>
      </c>
      <c r="B479" s="24" t="str">
        <f>"603339"</f>
        <v>603339</v>
      </c>
      <c r="C479" s="24" t="str">
        <f t="shared" si="7"/>
        <v>'603339.SS'</v>
      </c>
      <c r="D479" s="24" t="s">
        <v>4360</v>
      </c>
      <c r="E479" s="24" t="s">
        <v>4007</v>
      </c>
      <c r="F479" s="24">
        <v>1.8640000000000001</v>
      </c>
      <c r="G479" s="24">
        <v>3936091746</v>
      </c>
      <c r="H479" s="24">
        <v>2.4295</v>
      </c>
      <c r="I479" s="24">
        <v>1.1164000000000001</v>
      </c>
      <c r="J479" s="24">
        <v>0.85340000000000005</v>
      </c>
      <c r="K479" s="24">
        <v>179</v>
      </c>
      <c r="L479" s="24" t="s">
        <v>4361</v>
      </c>
    </row>
    <row r="480" spans="1:12" x14ac:dyDescent="0.35">
      <c r="A480" s="24" t="s">
        <v>3242</v>
      </c>
      <c r="B480" s="24" t="str">
        <f>"301106"</f>
        <v>301106</v>
      </c>
      <c r="C480" s="24" t="str">
        <f t="shared" si="7"/>
        <v>'301106.SZ'</v>
      </c>
      <c r="D480" s="24" t="s">
        <v>4362</v>
      </c>
      <c r="E480" s="24" t="s">
        <v>3568</v>
      </c>
      <c r="F480" s="24">
        <v>1.86</v>
      </c>
      <c r="G480" s="24">
        <v>2061461371.2</v>
      </c>
      <c r="H480" s="24">
        <v>5.0609000000000002</v>
      </c>
      <c r="I480" s="24">
        <v>4.468</v>
      </c>
      <c r="J480" s="24">
        <v>1.0111000000000001</v>
      </c>
      <c r="K480" s="24">
        <v>19</v>
      </c>
      <c r="L480" s="24" t="s">
        <v>4363</v>
      </c>
    </row>
    <row r="481" spans="1:12" x14ac:dyDescent="0.35">
      <c r="A481" s="24" t="s">
        <v>3246</v>
      </c>
      <c r="B481" s="24" t="str">
        <f>"603790"</f>
        <v>603790</v>
      </c>
      <c r="C481" s="24" t="str">
        <f t="shared" si="7"/>
        <v>'603790.SS'</v>
      </c>
      <c r="D481" s="24" t="s">
        <v>4364</v>
      </c>
      <c r="E481" s="24" t="s">
        <v>4036</v>
      </c>
      <c r="F481" s="24">
        <v>1.8548</v>
      </c>
      <c r="G481" s="24">
        <v>2242739200</v>
      </c>
      <c r="H481" s="24">
        <v>3.6341000000000001</v>
      </c>
      <c r="I481" s="24">
        <v>2.1343999999999999</v>
      </c>
      <c r="J481" s="24">
        <v>0.87019999999999997</v>
      </c>
      <c r="K481" s="24">
        <v>73</v>
      </c>
      <c r="L481" s="24" t="s">
        <v>4365</v>
      </c>
    </row>
    <row r="482" spans="1:12" x14ac:dyDescent="0.35">
      <c r="A482" s="24" t="s">
        <v>3246</v>
      </c>
      <c r="B482" s="24" t="str">
        <f>"688253"</f>
        <v>688253</v>
      </c>
      <c r="C482" s="24" t="str">
        <f t="shared" si="7"/>
        <v>'688253.SS'</v>
      </c>
      <c r="D482" s="24" t="s">
        <v>4366</v>
      </c>
      <c r="E482" s="24" t="s">
        <v>3432</v>
      </c>
      <c r="F482" s="24">
        <v>1.8534999999999999</v>
      </c>
      <c r="G482" s="24">
        <v>3088580523.1999998</v>
      </c>
      <c r="H482" s="24">
        <v>15.6744</v>
      </c>
      <c r="I482" s="24">
        <v>14.8331</v>
      </c>
      <c r="J482" s="24">
        <v>4.5548999999999999</v>
      </c>
      <c r="K482" s="24">
        <v>9</v>
      </c>
      <c r="L482" s="24" t="s">
        <v>4367</v>
      </c>
    </row>
    <row r="483" spans="1:12" x14ac:dyDescent="0.35">
      <c r="A483" s="24" t="s">
        <v>3246</v>
      </c>
      <c r="B483" s="24" t="str">
        <f>"601116"</f>
        <v>601116</v>
      </c>
      <c r="C483" s="24" t="str">
        <f t="shared" si="7"/>
        <v>'601116.SS'</v>
      </c>
      <c r="D483" s="24" t="s">
        <v>4368</v>
      </c>
      <c r="E483" s="24" t="s">
        <v>4369</v>
      </c>
      <c r="F483" s="24">
        <v>1.8517999999999999</v>
      </c>
      <c r="G483" s="24">
        <v>5734192848</v>
      </c>
      <c r="H483" s="24">
        <v>2.1758000000000002</v>
      </c>
      <c r="I483" s="24">
        <v>1.9613</v>
      </c>
      <c r="J483" s="24">
        <v>1.9015</v>
      </c>
      <c r="K483" s="24">
        <v>133</v>
      </c>
      <c r="L483" s="24" t="s">
        <v>4370</v>
      </c>
    </row>
    <row r="484" spans="1:12" x14ac:dyDescent="0.35">
      <c r="A484" s="24" t="s">
        <v>3246</v>
      </c>
      <c r="B484" s="24" t="str">
        <f>"605169"</f>
        <v>605169</v>
      </c>
      <c r="C484" s="24" t="str">
        <f t="shared" si="7"/>
        <v>'605169.SS'</v>
      </c>
      <c r="D484" s="24" t="s">
        <v>4371</v>
      </c>
      <c r="E484" s="24" t="s">
        <v>3933</v>
      </c>
      <c r="F484" s="24">
        <v>1.8517999999999999</v>
      </c>
      <c r="G484" s="24">
        <v>3185228800</v>
      </c>
      <c r="H484" s="24">
        <v>2.4586999999999999</v>
      </c>
      <c r="I484" s="24">
        <v>2.2498999999999998</v>
      </c>
      <c r="J484" s="24">
        <v>2.0693999999999999</v>
      </c>
      <c r="K484" s="24">
        <v>75</v>
      </c>
      <c r="L484" s="24" t="s">
        <v>4372</v>
      </c>
    </row>
    <row r="485" spans="1:12" x14ac:dyDescent="0.35">
      <c r="A485" s="24" t="s">
        <v>3242</v>
      </c>
      <c r="B485" s="24" t="str">
        <f>"301219"</f>
        <v>301219</v>
      </c>
      <c r="C485" s="24" t="str">
        <f t="shared" si="7"/>
        <v>'301219.SZ'</v>
      </c>
      <c r="D485" s="24" t="s">
        <v>4373</v>
      </c>
      <c r="E485" s="24" t="s">
        <v>4374</v>
      </c>
      <c r="F485" s="24">
        <v>1.8511</v>
      </c>
      <c r="G485" s="24">
        <v>16028080617.5</v>
      </c>
      <c r="H485" s="24">
        <v>7.3685999999999998</v>
      </c>
      <c r="I485" s="24">
        <v>4.6893000000000002</v>
      </c>
      <c r="J485" s="24">
        <v>4.0427</v>
      </c>
      <c r="K485" s="24">
        <v>28</v>
      </c>
      <c r="L485" s="24" t="s">
        <v>4375</v>
      </c>
    </row>
    <row r="486" spans="1:12" x14ac:dyDescent="0.35">
      <c r="A486" s="24" t="s">
        <v>3246</v>
      </c>
      <c r="B486" s="24" t="str">
        <f>"688275"</f>
        <v>688275</v>
      </c>
      <c r="C486" s="24" t="str">
        <f t="shared" si="7"/>
        <v>'688275.SS'</v>
      </c>
      <c r="D486" s="24" t="s">
        <v>4376</v>
      </c>
      <c r="E486" s="24" t="s">
        <v>3377</v>
      </c>
      <c r="F486" s="24">
        <v>1.8465</v>
      </c>
      <c r="G486" s="24">
        <v>15561143654.58</v>
      </c>
      <c r="H486" s="24">
        <v>2.0888</v>
      </c>
      <c r="I486" s="24">
        <v>1.6541999999999999</v>
      </c>
      <c r="J486" s="24">
        <v>1.2679</v>
      </c>
      <c r="K486" s="24">
        <v>10</v>
      </c>
      <c r="L486" s="24" t="s">
        <v>4377</v>
      </c>
    </row>
    <row r="487" spans="1:12" x14ac:dyDescent="0.35">
      <c r="A487" s="24" t="s">
        <v>3242</v>
      </c>
      <c r="B487" s="24" t="str">
        <f>"300818"</f>
        <v>300818</v>
      </c>
      <c r="C487" s="24" t="str">
        <f t="shared" si="7"/>
        <v>'300818.SZ'</v>
      </c>
      <c r="D487" s="24" t="s">
        <v>4378</v>
      </c>
      <c r="E487" s="24" t="s">
        <v>3690</v>
      </c>
      <c r="F487" s="24">
        <v>1.8432999999999999</v>
      </c>
      <c r="G487" s="24">
        <v>2160947508.9299998</v>
      </c>
      <c r="H487" s="24">
        <v>3.0169999999999999</v>
      </c>
      <c r="I487" s="24">
        <v>2.3681000000000001</v>
      </c>
      <c r="J487" s="24">
        <v>1.4188000000000001</v>
      </c>
      <c r="K487" s="24">
        <v>97</v>
      </c>
      <c r="L487" s="24" t="s">
        <v>4379</v>
      </c>
    </row>
    <row r="488" spans="1:12" x14ac:dyDescent="0.35">
      <c r="A488" s="24" t="s">
        <v>3242</v>
      </c>
      <c r="B488" s="24" t="str">
        <f>"300652"</f>
        <v>300652</v>
      </c>
      <c r="C488" s="24" t="str">
        <f t="shared" si="7"/>
        <v>'300652.SZ'</v>
      </c>
      <c r="D488" s="24" t="s">
        <v>4380</v>
      </c>
      <c r="E488" s="24" t="s">
        <v>3699</v>
      </c>
      <c r="F488" s="24">
        <v>1.8412999999999999</v>
      </c>
      <c r="G488" s="24">
        <v>2258405007.3299999</v>
      </c>
      <c r="H488" s="24">
        <v>4.2847</v>
      </c>
      <c r="I488" s="24">
        <v>3.3403999999999998</v>
      </c>
      <c r="J488" s="24">
        <v>1.01</v>
      </c>
      <c r="K488" s="24">
        <v>103</v>
      </c>
      <c r="L488" s="24" t="s">
        <v>4381</v>
      </c>
    </row>
    <row r="489" spans="1:12" x14ac:dyDescent="0.35">
      <c r="A489" s="24" t="s">
        <v>3242</v>
      </c>
      <c r="B489" s="24" t="str">
        <f>"300805"</f>
        <v>300805</v>
      </c>
      <c r="C489" s="24" t="str">
        <f t="shared" si="7"/>
        <v>'300805.SZ'</v>
      </c>
      <c r="D489" s="24" t="s">
        <v>4382</v>
      </c>
      <c r="E489" s="24" t="s">
        <v>3408</v>
      </c>
      <c r="F489" s="24">
        <v>1.8393999999999999</v>
      </c>
      <c r="G489" s="24">
        <v>2966842300</v>
      </c>
      <c r="H489" s="24">
        <v>2.9340999999999999</v>
      </c>
      <c r="I489" s="24">
        <v>2.6291000000000002</v>
      </c>
      <c r="J489" s="24">
        <v>1.3608</v>
      </c>
      <c r="K489" s="24">
        <v>72</v>
      </c>
      <c r="L489" s="24" t="s">
        <v>4383</v>
      </c>
    </row>
    <row r="490" spans="1:12" x14ac:dyDescent="0.35">
      <c r="A490" s="24" t="s">
        <v>3242</v>
      </c>
      <c r="B490" s="24" t="str">
        <f>"301318"</f>
        <v>301318</v>
      </c>
      <c r="C490" s="24" t="str">
        <f t="shared" si="7"/>
        <v>'301318.SZ'</v>
      </c>
      <c r="D490" s="24" t="s">
        <v>4384</v>
      </c>
      <c r="E490" s="24" t="s">
        <v>3565</v>
      </c>
      <c r="F490" s="24">
        <v>1.8371999999999999</v>
      </c>
      <c r="G490" s="24">
        <v>3065928040</v>
      </c>
      <c r="H490" s="24">
        <v>23.4649</v>
      </c>
      <c r="I490" s="24">
        <v>21.847200000000001</v>
      </c>
      <c r="J490" s="24">
        <v>16.091999999999999</v>
      </c>
      <c r="K490" s="24">
        <v>7</v>
      </c>
      <c r="L490" s="24" t="s">
        <v>4385</v>
      </c>
    </row>
    <row r="491" spans="1:12" x14ac:dyDescent="0.35">
      <c r="A491" s="24" t="s">
        <v>3246</v>
      </c>
      <c r="B491" s="24" t="str">
        <f>"600007"</f>
        <v>600007</v>
      </c>
      <c r="C491" s="24" t="str">
        <f t="shared" si="7"/>
        <v>'600007.SS'</v>
      </c>
      <c r="D491" s="24" t="s">
        <v>4386</v>
      </c>
      <c r="E491" s="24" t="s">
        <v>4387</v>
      </c>
      <c r="F491" s="24">
        <v>1.8304</v>
      </c>
      <c r="G491" s="24">
        <v>16287758574.780001</v>
      </c>
      <c r="H491" s="24">
        <v>2.2498999999999998</v>
      </c>
      <c r="I491" s="24">
        <v>2.2218</v>
      </c>
      <c r="J491" s="24">
        <v>1.9791000000000001</v>
      </c>
      <c r="K491" s="24">
        <v>341</v>
      </c>
      <c r="L491" s="24" t="s">
        <v>4388</v>
      </c>
    </row>
    <row r="492" spans="1:12" x14ac:dyDescent="0.35">
      <c r="A492" s="24" t="s">
        <v>3242</v>
      </c>
      <c r="B492" s="24" t="str">
        <f>"301110"</f>
        <v>301110</v>
      </c>
      <c r="C492" s="24" t="str">
        <f t="shared" si="7"/>
        <v>'301110.SZ'</v>
      </c>
      <c r="D492" s="24" t="s">
        <v>4389</v>
      </c>
      <c r="E492" s="24" t="s">
        <v>3755</v>
      </c>
      <c r="F492" s="24">
        <v>1.8291999999999999</v>
      </c>
      <c r="G492" s="24">
        <v>2520000012.5999999</v>
      </c>
      <c r="H492" s="24">
        <v>12.5251</v>
      </c>
      <c r="I492" s="24">
        <v>10.7996</v>
      </c>
      <c r="J492" s="24">
        <v>6.7427000000000001</v>
      </c>
      <c r="K492" s="24">
        <v>16</v>
      </c>
      <c r="L492" s="24" t="s">
        <v>4390</v>
      </c>
    </row>
    <row r="493" spans="1:12" x14ac:dyDescent="0.35">
      <c r="A493" s="24" t="s">
        <v>3246</v>
      </c>
      <c r="B493" s="24" t="str">
        <f>"688011"</f>
        <v>688011</v>
      </c>
      <c r="C493" s="24" t="str">
        <f t="shared" si="7"/>
        <v>'688011.SS'</v>
      </c>
      <c r="D493" s="24" t="s">
        <v>4391</v>
      </c>
      <c r="E493" s="24" t="s">
        <v>3383</v>
      </c>
      <c r="F493" s="24">
        <v>1.8278000000000001</v>
      </c>
      <c r="G493" s="24">
        <v>2249000000</v>
      </c>
      <c r="H493" s="24">
        <v>9.1448</v>
      </c>
      <c r="I493" s="24">
        <v>7.3380000000000001</v>
      </c>
      <c r="J493" s="24">
        <v>2.5388999999999999</v>
      </c>
      <c r="K493" s="24">
        <v>93</v>
      </c>
      <c r="L493" s="24" t="s">
        <v>4392</v>
      </c>
    </row>
    <row r="494" spans="1:12" x14ac:dyDescent="0.35">
      <c r="A494" s="24" t="s">
        <v>3246</v>
      </c>
      <c r="B494" s="24" t="str">
        <f>"688338"</f>
        <v>688338</v>
      </c>
      <c r="C494" s="24" t="str">
        <f t="shared" si="7"/>
        <v>'688338.SS'</v>
      </c>
      <c r="D494" s="24" t="s">
        <v>4393</v>
      </c>
      <c r="E494" s="24" t="s">
        <v>3432</v>
      </c>
      <c r="F494" s="24">
        <v>1.8277000000000001</v>
      </c>
      <c r="G494" s="24">
        <v>2702548800</v>
      </c>
      <c r="H494" s="24">
        <v>16.2195</v>
      </c>
      <c r="I494" s="24">
        <v>15.654999999999999</v>
      </c>
      <c r="J494" s="24">
        <v>15.2904</v>
      </c>
      <c r="K494" s="24">
        <v>53</v>
      </c>
      <c r="L494" s="24" t="s">
        <v>4394</v>
      </c>
    </row>
    <row r="495" spans="1:12" x14ac:dyDescent="0.35">
      <c r="A495" s="24" t="s">
        <v>3246</v>
      </c>
      <c r="B495" s="24" t="str">
        <f>"688073"</f>
        <v>688073</v>
      </c>
      <c r="C495" s="24" t="str">
        <f t="shared" si="7"/>
        <v>'688073.SS'</v>
      </c>
      <c r="D495" s="24" t="s">
        <v>4395</v>
      </c>
      <c r="E495" s="24" t="s">
        <v>3500</v>
      </c>
      <c r="F495" s="24">
        <v>1.8273999999999999</v>
      </c>
      <c r="G495" s="24">
        <v>6302083335.3599997</v>
      </c>
      <c r="H495" s="24">
        <v>10.111800000000001</v>
      </c>
      <c r="I495" s="24">
        <v>7.8642000000000003</v>
      </c>
      <c r="J495" s="24">
        <v>7.0129000000000001</v>
      </c>
      <c r="K495" s="24">
        <v>8</v>
      </c>
      <c r="L495" s="24" t="s">
        <v>4396</v>
      </c>
    </row>
    <row r="496" spans="1:12" x14ac:dyDescent="0.35">
      <c r="A496" s="24" t="s">
        <v>3246</v>
      </c>
      <c r="B496" s="24" t="str">
        <f>"688289"</f>
        <v>688289</v>
      </c>
      <c r="C496" s="24" t="str">
        <f t="shared" si="7"/>
        <v>'688289.SS'</v>
      </c>
      <c r="D496" s="24" t="s">
        <v>4397</v>
      </c>
      <c r="E496" s="24" t="s">
        <v>3432</v>
      </c>
      <c r="F496" s="24">
        <v>1.8264</v>
      </c>
      <c r="G496" s="24">
        <v>13175614989.17</v>
      </c>
      <c r="H496" s="24">
        <v>8.8940999999999999</v>
      </c>
      <c r="I496" s="24">
        <v>7.9759000000000002</v>
      </c>
      <c r="J496" s="24">
        <v>3.0792999999999999</v>
      </c>
      <c r="K496" s="24">
        <v>232</v>
      </c>
      <c r="L496" s="24" t="s">
        <v>4398</v>
      </c>
    </row>
    <row r="497" spans="1:12" x14ac:dyDescent="0.35">
      <c r="A497" s="24" t="s">
        <v>3246</v>
      </c>
      <c r="B497" s="24" t="str">
        <f>"600080"</f>
        <v>600080</v>
      </c>
      <c r="C497" s="24" t="str">
        <f t="shared" si="7"/>
        <v>'600080.SS'</v>
      </c>
      <c r="D497" s="24" t="s">
        <v>4399</v>
      </c>
      <c r="E497" s="24" t="s">
        <v>3311</v>
      </c>
      <c r="F497" s="24">
        <v>1.8234999999999999</v>
      </c>
      <c r="G497" s="24">
        <v>3072014445.5500002</v>
      </c>
      <c r="H497" s="24">
        <v>3.1049000000000002</v>
      </c>
      <c r="I497" s="24">
        <v>2.7513999999999998</v>
      </c>
      <c r="J497" s="24">
        <v>1.1970000000000001</v>
      </c>
      <c r="K497" s="24">
        <v>103</v>
      </c>
      <c r="L497" s="24" t="s">
        <v>4400</v>
      </c>
    </row>
    <row r="498" spans="1:12" x14ac:dyDescent="0.35">
      <c r="A498" s="24" t="s">
        <v>3242</v>
      </c>
      <c r="B498" s="24" t="str">
        <f>"301150"</f>
        <v>301150</v>
      </c>
      <c r="C498" s="24" t="str">
        <f t="shared" si="7"/>
        <v>'301150.SZ'</v>
      </c>
      <c r="D498" s="24" t="s">
        <v>4401</v>
      </c>
      <c r="E498" s="24" t="s">
        <v>3539</v>
      </c>
      <c r="F498" s="24">
        <v>1.8228</v>
      </c>
      <c r="G498" s="24">
        <v>6975483616.1000004</v>
      </c>
      <c r="H498" s="24">
        <v>4.9644000000000004</v>
      </c>
      <c r="I498" s="24">
        <v>4.5049999999999999</v>
      </c>
      <c r="J498" s="24">
        <v>1.8768</v>
      </c>
      <c r="K498" s="24">
        <v>26</v>
      </c>
      <c r="L498" s="24" t="s">
        <v>4402</v>
      </c>
    </row>
    <row r="499" spans="1:12" x14ac:dyDescent="0.35">
      <c r="A499" s="24" t="s">
        <v>3242</v>
      </c>
      <c r="B499" s="24" t="str">
        <f>"300771"</f>
        <v>300771</v>
      </c>
      <c r="C499" s="24" t="str">
        <f t="shared" si="7"/>
        <v>'300771.SZ'</v>
      </c>
      <c r="D499" s="24" t="s">
        <v>4403</v>
      </c>
      <c r="E499" s="24" t="s">
        <v>3257</v>
      </c>
      <c r="F499" s="24">
        <v>1.8212999999999999</v>
      </c>
      <c r="G499" s="24">
        <v>3676800000</v>
      </c>
      <c r="H499" s="24">
        <v>6.9248000000000003</v>
      </c>
      <c r="I499" s="24">
        <v>5.9884000000000004</v>
      </c>
      <c r="J499" s="24">
        <v>3.7469999999999999</v>
      </c>
      <c r="K499" s="24">
        <v>226</v>
      </c>
      <c r="L499" s="24" t="s">
        <v>4404</v>
      </c>
    </row>
    <row r="500" spans="1:12" x14ac:dyDescent="0.35">
      <c r="A500" s="24" t="s">
        <v>3242</v>
      </c>
      <c r="B500" s="24" t="str">
        <f>"003023"</f>
        <v>003023</v>
      </c>
      <c r="C500" s="24" t="str">
        <f t="shared" si="7"/>
        <v>'003023.SZ'</v>
      </c>
      <c r="D500" s="24" t="s">
        <v>4405</v>
      </c>
      <c r="E500" s="24" t="s">
        <v>3386</v>
      </c>
      <c r="F500" s="24">
        <v>1.82</v>
      </c>
      <c r="G500" s="24">
        <v>2502916416</v>
      </c>
      <c r="H500" s="24">
        <v>2.5718000000000001</v>
      </c>
      <c r="I500" s="24">
        <v>1.5679000000000001</v>
      </c>
      <c r="J500" s="24">
        <v>1.3992</v>
      </c>
      <c r="K500" s="24">
        <v>52</v>
      </c>
      <c r="L500" s="24" t="s">
        <v>4406</v>
      </c>
    </row>
    <row r="501" spans="1:12" x14ac:dyDescent="0.35">
      <c r="A501" s="24" t="s">
        <v>3246</v>
      </c>
      <c r="B501" s="24" t="str">
        <f>"688553"</f>
        <v>688553</v>
      </c>
      <c r="C501" s="24" t="str">
        <f t="shared" si="7"/>
        <v>'688553.SS'</v>
      </c>
      <c r="D501" s="24" t="s">
        <v>4407</v>
      </c>
      <c r="E501" s="24" t="s">
        <v>3696</v>
      </c>
      <c r="F501" s="24">
        <v>1.8199000000000001</v>
      </c>
      <c r="G501" s="24">
        <v>6743712000</v>
      </c>
      <c r="H501" s="24">
        <v>5.3433000000000002</v>
      </c>
      <c r="I501" s="24">
        <v>5.0114999999999998</v>
      </c>
      <c r="J501" s="24">
        <v>2.7288000000000001</v>
      </c>
      <c r="K501" s="24">
        <v>39</v>
      </c>
      <c r="L501" s="24" t="s">
        <v>4408</v>
      </c>
    </row>
    <row r="502" spans="1:12" x14ac:dyDescent="0.35">
      <c r="A502" s="24" t="s">
        <v>3242</v>
      </c>
      <c r="B502" s="24" t="str">
        <f>"002012"</f>
        <v>002012</v>
      </c>
      <c r="C502" s="24" t="str">
        <f t="shared" si="7"/>
        <v>'002012.SZ'</v>
      </c>
      <c r="D502" s="24" t="s">
        <v>4409</v>
      </c>
      <c r="E502" s="24" t="s">
        <v>3917</v>
      </c>
      <c r="F502" s="24">
        <v>1.8150999999999999</v>
      </c>
      <c r="G502" s="24">
        <v>2730932744.8000002</v>
      </c>
      <c r="H502" s="24">
        <v>3.5426000000000002</v>
      </c>
      <c r="I502" s="24">
        <v>2.7088000000000001</v>
      </c>
      <c r="J502" s="24">
        <v>1.0246999999999999</v>
      </c>
      <c r="K502" s="24">
        <v>139</v>
      </c>
      <c r="L502" s="24" t="s">
        <v>4410</v>
      </c>
    </row>
    <row r="503" spans="1:12" x14ac:dyDescent="0.35">
      <c r="A503" s="24" t="s">
        <v>3246</v>
      </c>
      <c r="B503" s="24" t="str">
        <f>"600679"</f>
        <v>600679</v>
      </c>
      <c r="C503" s="24" t="str">
        <f t="shared" si="7"/>
        <v>'600679.SS'</v>
      </c>
      <c r="D503" s="24" t="s">
        <v>4411</v>
      </c>
      <c r="E503" s="24" t="s">
        <v>4412</v>
      </c>
      <c r="F503" s="24">
        <v>1.8129999999999999</v>
      </c>
      <c r="G503" s="24">
        <v>4519130633.8900003</v>
      </c>
      <c r="H503" s="24">
        <v>2.3241000000000001</v>
      </c>
      <c r="I503" s="24">
        <v>1.9152</v>
      </c>
      <c r="J503" s="24">
        <v>0.83230000000000004</v>
      </c>
      <c r="K503" s="24">
        <v>84</v>
      </c>
      <c r="L503" s="24" t="s">
        <v>4413</v>
      </c>
    </row>
    <row r="504" spans="1:12" x14ac:dyDescent="0.35">
      <c r="A504" s="24" t="s">
        <v>3242</v>
      </c>
      <c r="B504" s="24" t="str">
        <f>"000429"</f>
        <v>000429</v>
      </c>
      <c r="C504" s="24" t="str">
        <f t="shared" si="7"/>
        <v>'000429.SZ'</v>
      </c>
      <c r="D504" s="24" t="s">
        <v>4414</v>
      </c>
      <c r="E504" s="24" t="s">
        <v>4415</v>
      </c>
      <c r="F504" s="24">
        <v>1.8122</v>
      </c>
      <c r="G504" s="24">
        <v>16203747476.5</v>
      </c>
      <c r="H504" s="24">
        <v>2.9403999999999999</v>
      </c>
      <c r="I504" s="24">
        <v>2.9369000000000001</v>
      </c>
      <c r="J504" s="24">
        <v>2.7726000000000002</v>
      </c>
      <c r="K504" s="24">
        <v>1067</v>
      </c>
      <c r="L504" s="24" t="s">
        <v>4416</v>
      </c>
    </row>
    <row r="505" spans="1:12" x14ac:dyDescent="0.35">
      <c r="A505" s="24" t="s">
        <v>3246</v>
      </c>
      <c r="B505" s="24" t="str">
        <f>"601225"</f>
        <v>601225</v>
      </c>
      <c r="C505" s="24" t="str">
        <f t="shared" si="7"/>
        <v>'601225.SS'</v>
      </c>
      <c r="D505" s="24" t="s">
        <v>4417</v>
      </c>
      <c r="E505" s="24" t="s">
        <v>4418</v>
      </c>
      <c r="F505" s="24">
        <v>1.8122</v>
      </c>
      <c r="G505" s="24">
        <v>183817200000</v>
      </c>
      <c r="H505" s="24">
        <v>2.0482</v>
      </c>
      <c r="I505" s="24">
        <v>1.839</v>
      </c>
      <c r="J505" s="24">
        <v>1.5330999999999999</v>
      </c>
      <c r="K505" s="24">
        <v>2951</v>
      </c>
      <c r="L505" s="24" t="s">
        <v>4419</v>
      </c>
    </row>
    <row r="506" spans="1:12" x14ac:dyDescent="0.35">
      <c r="A506" s="24" t="s">
        <v>3242</v>
      </c>
      <c r="B506" s="24" t="str">
        <f>"300968"</f>
        <v>300968</v>
      </c>
      <c r="C506" s="24" t="str">
        <f t="shared" si="7"/>
        <v>'300968.SZ'</v>
      </c>
      <c r="D506" s="24" t="s">
        <v>4420</v>
      </c>
      <c r="E506" s="24" t="s">
        <v>3327</v>
      </c>
      <c r="F506" s="24">
        <v>1.8120000000000001</v>
      </c>
      <c r="G506" s="24">
        <v>3447589200</v>
      </c>
      <c r="H506" s="24">
        <v>2.3037999999999998</v>
      </c>
      <c r="I506" s="24">
        <v>1.9772000000000001</v>
      </c>
      <c r="J506" s="24">
        <v>1.3959999999999999</v>
      </c>
      <c r="K506" s="24">
        <v>34</v>
      </c>
      <c r="L506" s="24" t="s">
        <v>4421</v>
      </c>
    </row>
    <row r="507" spans="1:12" x14ac:dyDescent="0.35">
      <c r="A507" s="24" t="s">
        <v>3242</v>
      </c>
      <c r="B507" s="24" t="str">
        <f>"301065"</f>
        <v>301065</v>
      </c>
      <c r="C507" s="24" t="str">
        <f t="shared" si="7"/>
        <v>'301065.SZ'</v>
      </c>
      <c r="D507" s="24" t="s">
        <v>4422</v>
      </c>
      <c r="E507" s="24" t="s">
        <v>3658</v>
      </c>
      <c r="F507" s="24">
        <v>1.8112999999999999</v>
      </c>
      <c r="G507" s="24">
        <v>2243383200</v>
      </c>
      <c r="H507" s="24">
        <v>8.5839999999999996</v>
      </c>
      <c r="I507" s="24">
        <v>7.3954000000000004</v>
      </c>
      <c r="J507" s="24">
        <v>5.8977000000000004</v>
      </c>
      <c r="K507" s="24">
        <v>19</v>
      </c>
      <c r="L507" s="24" t="s">
        <v>4423</v>
      </c>
    </row>
    <row r="508" spans="1:12" x14ac:dyDescent="0.35">
      <c r="A508" s="24" t="s">
        <v>3246</v>
      </c>
      <c r="B508" s="24" t="str">
        <f>"603168"</f>
        <v>603168</v>
      </c>
      <c r="C508" s="24" t="str">
        <f t="shared" si="7"/>
        <v>'603168.SS'</v>
      </c>
      <c r="D508" s="24" t="s">
        <v>4424</v>
      </c>
      <c r="E508" s="24" t="s">
        <v>3696</v>
      </c>
      <c r="F508" s="24">
        <v>1.8092999999999999</v>
      </c>
      <c r="G508" s="24">
        <v>3088141101.4499998</v>
      </c>
      <c r="H508" s="24">
        <v>3.2277</v>
      </c>
      <c r="I508" s="24">
        <v>2.6596000000000002</v>
      </c>
      <c r="J508" s="24">
        <v>1.4873000000000001</v>
      </c>
      <c r="K508" s="24">
        <v>530</v>
      </c>
      <c r="L508" s="24" t="s">
        <v>4425</v>
      </c>
    </row>
    <row r="509" spans="1:12" x14ac:dyDescent="0.35">
      <c r="A509" s="24" t="s">
        <v>3242</v>
      </c>
      <c r="B509" s="24" t="str">
        <f>"002461"</f>
        <v>002461</v>
      </c>
      <c r="C509" s="24" t="str">
        <f t="shared" si="7"/>
        <v>'002461.SZ'</v>
      </c>
      <c r="D509" s="24" t="s">
        <v>4426</v>
      </c>
      <c r="E509" s="24" t="s">
        <v>4086</v>
      </c>
      <c r="F509" s="24">
        <v>1.8077000000000001</v>
      </c>
      <c r="G509" s="24">
        <v>17330361998.400002</v>
      </c>
      <c r="H509" s="24">
        <v>3.0123000000000002</v>
      </c>
      <c r="I509" s="24">
        <v>2.4468000000000001</v>
      </c>
      <c r="J509" s="24">
        <v>2.2991999999999999</v>
      </c>
      <c r="K509" s="24">
        <v>481</v>
      </c>
      <c r="L509" s="24" t="s">
        <v>4427</v>
      </c>
    </row>
    <row r="510" spans="1:12" x14ac:dyDescent="0.35">
      <c r="A510" s="24" t="s">
        <v>3246</v>
      </c>
      <c r="B510" s="24" t="str">
        <f>"605003"</f>
        <v>605003</v>
      </c>
      <c r="C510" s="24" t="str">
        <f t="shared" si="7"/>
        <v>'605003.SS'</v>
      </c>
      <c r="D510" s="24" t="s">
        <v>4428</v>
      </c>
      <c r="E510" s="24" t="s">
        <v>4429</v>
      </c>
      <c r="F510" s="24">
        <v>1.8048999999999999</v>
      </c>
      <c r="G510" s="24">
        <v>2021800000</v>
      </c>
      <c r="H510" s="24">
        <v>9.1181000000000001</v>
      </c>
      <c r="I510" s="24">
        <v>7.6760000000000002</v>
      </c>
      <c r="J510" s="24">
        <v>3.3936999999999999</v>
      </c>
      <c r="K510" s="24">
        <v>89</v>
      </c>
      <c r="L510" s="24" t="s">
        <v>4430</v>
      </c>
    </row>
    <row r="511" spans="1:12" x14ac:dyDescent="0.35">
      <c r="A511" s="24" t="s">
        <v>3242</v>
      </c>
      <c r="B511" s="24" t="str">
        <f>"003018"</f>
        <v>003018</v>
      </c>
      <c r="C511" s="24" t="str">
        <f t="shared" si="7"/>
        <v>'003018.SZ'</v>
      </c>
      <c r="D511" s="24" t="s">
        <v>4431</v>
      </c>
      <c r="E511" s="24" t="s">
        <v>4432</v>
      </c>
      <c r="F511" s="24">
        <v>1.8038000000000001</v>
      </c>
      <c r="G511" s="24">
        <v>2496000000</v>
      </c>
      <c r="H511" s="24">
        <v>8.4373000000000005</v>
      </c>
      <c r="I511" s="24">
        <v>7.0717999999999996</v>
      </c>
      <c r="J511" s="24">
        <v>4.9513999999999996</v>
      </c>
      <c r="K511" s="24">
        <v>42</v>
      </c>
      <c r="L511" s="24" t="s">
        <v>4433</v>
      </c>
    </row>
    <row r="512" spans="1:12" x14ac:dyDescent="0.35">
      <c r="A512" s="24" t="s">
        <v>3242</v>
      </c>
      <c r="B512" s="24" t="str">
        <f>"301176"</f>
        <v>301176</v>
      </c>
      <c r="C512" s="24" t="str">
        <f t="shared" si="7"/>
        <v>'301176.SZ'</v>
      </c>
      <c r="D512" s="24" t="s">
        <v>4434</v>
      </c>
      <c r="F512" s="24">
        <v>1.8038000000000001</v>
      </c>
      <c r="G512" s="24">
        <v>3009386672.5999999</v>
      </c>
      <c r="H512" s="24">
        <v>2.4971999999999999</v>
      </c>
      <c r="I512" s="24">
        <v>2.1861000000000002</v>
      </c>
      <c r="J512" s="24">
        <v>1.3872</v>
      </c>
      <c r="K512" s="24">
        <v>6</v>
      </c>
      <c r="L512" s="24" t="s">
        <v>4435</v>
      </c>
    </row>
    <row r="513" spans="1:12" x14ac:dyDescent="0.35">
      <c r="A513" s="24" t="s">
        <v>3246</v>
      </c>
      <c r="B513" s="24" t="str">
        <f>"601388"</f>
        <v>601388</v>
      </c>
      <c r="C513" s="24" t="str">
        <f t="shared" si="7"/>
        <v>'601388.SS'</v>
      </c>
      <c r="D513" s="24" t="s">
        <v>4436</v>
      </c>
      <c r="E513" s="24" t="s">
        <v>1174</v>
      </c>
      <c r="F513" s="24">
        <v>1.8023</v>
      </c>
      <c r="G513" s="24">
        <v>7396844938.5600004</v>
      </c>
      <c r="H513" s="24">
        <v>2.8744999999999998</v>
      </c>
      <c r="I513" s="24">
        <v>1.5789</v>
      </c>
      <c r="J513" s="24">
        <v>0.82540000000000002</v>
      </c>
      <c r="K513" s="24">
        <v>231</v>
      </c>
      <c r="L513" s="24" t="s">
        <v>4437</v>
      </c>
    </row>
    <row r="514" spans="1:12" x14ac:dyDescent="0.35">
      <c r="A514" s="24" t="s">
        <v>3242</v>
      </c>
      <c r="B514" s="24" t="str">
        <f>"301115"</f>
        <v>301115</v>
      </c>
      <c r="C514" s="24" t="str">
        <f t="shared" si="7"/>
        <v>'301115.SZ'</v>
      </c>
      <c r="D514" s="24" t="s">
        <v>4438</v>
      </c>
      <c r="E514" s="24" t="s">
        <v>3342</v>
      </c>
      <c r="F514" s="24">
        <v>1.7870999999999999</v>
      </c>
      <c r="G514" s="24">
        <v>4708562400</v>
      </c>
      <c r="H514" s="24">
        <v>6.0099</v>
      </c>
      <c r="I514" s="24">
        <v>5.6973000000000003</v>
      </c>
      <c r="J514" s="24">
        <v>1.5341</v>
      </c>
      <c r="K514" s="24">
        <v>4</v>
      </c>
      <c r="L514" s="24" t="s">
        <v>4439</v>
      </c>
    </row>
    <row r="515" spans="1:12" x14ac:dyDescent="0.35">
      <c r="A515" s="24" t="s">
        <v>3242</v>
      </c>
      <c r="B515" s="24" t="str">
        <f>"301139"</f>
        <v>301139</v>
      </c>
      <c r="C515" s="24" t="str">
        <f t="shared" ref="C515:C578" si="8">CONCATENATE("'",B515,IF(A515="sh",".SS'",".SZ'"))</f>
        <v>'301139.SZ'</v>
      </c>
      <c r="D515" s="24" t="s">
        <v>4440</v>
      </c>
      <c r="E515" s="24" t="s">
        <v>4188</v>
      </c>
      <c r="F515" s="24">
        <v>1.7776000000000001</v>
      </c>
      <c r="G515" s="24">
        <v>3189064384</v>
      </c>
      <c r="H515" s="24">
        <v>3.1920999999999999</v>
      </c>
      <c r="I515" s="24">
        <v>2.5707</v>
      </c>
      <c r="J515" s="24">
        <v>1.3451</v>
      </c>
      <c r="K515" s="24">
        <v>6</v>
      </c>
      <c r="L515" s="24" t="s">
        <v>4441</v>
      </c>
    </row>
    <row r="516" spans="1:12" x14ac:dyDescent="0.35">
      <c r="A516" s="24" t="s">
        <v>3242</v>
      </c>
      <c r="B516" s="24" t="str">
        <f>"300326"</f>
        <v>300326</v>
      </c>
      <c r="C516" s="24" t="str">
        <f t="shared" si="8"/>
        <v>'300326.SZ'</v>
      </c>
      <c r="D516" s="24" t="s">
        <v>4442</v>
      </c>
      <c r="E516" s="24" t="s">
        <v>3319</v>
      </c>
      <c r="F516" s="24">
        <v>1.7674000000000001</v>
      </c>
      <c r="G516" s="24">
        <v>5248632757.5600004</v>
      </c>
      <c r="H516" s="24">
        <v>3.7181000000000002</v>
      </c>
      <c r="I516" s="24">
        <v>2.9698000000000002</v>
      </c>
      <c r="J516" s="24">
        <v>1.3632</v>
      </c>
      <c r="K516" s="24">
        <v>864</v>
      </c>
      <c r="L516" s="24" t="s">
        <v>4443</v>
      </c>
    </row>
    <row r="517" spans="1:12" x14ac:dyDescent="0.35">
      <c r="A517" s="24" t="s">
        <v>3246</v>
      </c>
      <c r="B517" s="24" t="str">
        <f>"688332"</f>
        <v>688332</v>
      </c>
      <c r="C517" s="24" t="str">
        <f t="shared" si="8"/>
        <v>'688332.SS'</v>
      </c>
      <c r="D517" s="24" t="s">
        <v>4444</v>
      </c>
      <c r="E517" s="24" t="s">
        <v>3277</v>
      </c>
      <c r="F517" s="24">
        <v>1.7649999999999999</v>
      </c>
      <c r="G517" s="24">
        <v>6216000000</v>
      </c>
      <c r="H517" s="24">
        <v>32.345999999999997</v>
      </c>
      <c r="I517" s="24">
        <v>28.223400000000002</v>
      </c>
      <c r="J517" s="24">
        <v>10.922599999999999</v>
      </c>
      <c r="K517" s="24">
        <v>15</v>
      </c>
      <c r="L517" s="24" t="s">
        <v>4445</v>
      </c>
    </row>
    <row r="518" spans="1:12" x14ac:dyDescent="0.35">
      <c r="A518" s="24" t="s">
        <v>3242</v>
      </c>
      <c r="B518" s="24" t="str">
        <f>"301265"</f>
        <v>301265</v>
      </c>
      <c r="C518" s="24" t="str">
        <f t="shared" si="8"/>
        <v>'301265.SZ'</v>
      </c>
      <c r="D518" s="24" t="s">
        <v>4446</v>
      </c>
      <c r="E518" s="24" t="s">
        <v>3422</v>
      </c>
      <c r="F518" s="24">
        <v>1.7644</v>
      </c>
      <c r="G518" s="24">
        <v>3681124161.3000002</v>
      </c>
      <c r="H518" s="24">
        <v>5.5918999999999999</v>
      </c>
      <c r="I518" s="24">
        <v>5.2667999999999999</v>
      </c>
      <c r="J518" s="24">
        <v>1.375</v>
      </c>
      <c r="K518" s="24">
        <v>0</v>
      </c>
      <c r="L518" s="24" t="s">
        <v>4447</v>
      </c>
    </row>
    <row r="519" spans="1:12" x14ac:dyDescent="0.35">
      <c r="A519" s="24" t="s">
        <v>3242</v>
      </c>
      <c r="B519" s="24" t="str">
        <f>"002519"</f>
        <v>002519</v>
      </c>
      <c r="C519" s="24" t="str">
        <f t="shared" si="8"/>
        <v>'002519.SZ'</v>
      </c>
      <c r="D519" s="24" t="s">
        <v>4448</v>
      </c>
      <c r="E519" s="24" t="s">
        <v>3402</v>
      </c>
      <c r="F519" s="24">
        <v>1.7643</v>
      </c>
      <c r="G519" s="24">
        <v>5350546765.5</v>
      </c>
      <c r="H519" s="24">
        <v>5.3453999999999997</v>
      </c>
      <c r="I519" s="24">
        <v>3.9344000000000001</v>
      </c>
      <c r="J519" s="24">
        <v>0.87170000000000003</v>
      </c>
      <c r="K519" s="24">
        <v>173</v>
      </c>
      <c r="L519" s="24" t="s">
        <v>4449</v>
      </c>
    </row>
    <row r="520" spans="1:12" x14ac:dyDescent="0.35">
      <c r="A520" s="24" t="s">
        <v>3242</v>
      </c>
      <c r="B520" s="24" t="str">
        <f>"000715"</f>
        <v>000715</v>
      </c>
      <c r="C520" s="24" t="str">
        <f t="shared" si="8"/>
        <v>'000715.SZ'</v>
      </c>
      <c r="D520" s="24" t="s">
        <v>4450</v>
      </c>
      <c r="E520" s="24" t="s">
        <v>3773</v>
      </c>
      <c r="F520" s="24">
        <v>1.7641</v>
      </c>
      <c r="G520" s="24">
        <v>2972390421</v>
      </c>
      <c r="H520" s="24">
        <v>2.1911</v>
      </c>
      <c r="I520" s="24">
        <v>2.0840000000000001</v>
      </c>
      <c r="J520" s="24">
        <v>2.0642</v>
      </c>
      <c r="K520" s="24">
        <v>107</v>
      </c>
      <c r="L520" s="24" t="s">
        <v>4451</v>
      </c>
    </row>
    <row r="521" spans="1:12" x14ac:dyDescent="0.35">
      <c r="A521" s="24" t="s">
        <v>3242</v>
      </c>
      <c r="B521" s="24" t="str">
        <f>"300306"</f>
        <v>300306</v>
      </c>
      <c r="C521" s="24" t="str">
        <f t="shared" si="8"/>
        <v>'300306.SZ'</v>
      </c>
      <c r="D521" s="24" t="s">
        <v>4452</v>
      </c>
      <c r="E521" s="24" t="s">
        <v>3476</v>
      </c>
      <c r="F521" s="24">
        <v>1.7638</v>
      </c>
      <c r="G521" s="24">
        <v>2598141795.48</v>
      </c>
      <c r="H521" s="24">
        <v>5.9695999999999998</v>
      </c>
      <c r="I521" s="24">
        <v>4.5029000000000003</v>
      </c>
      <c r="J521" s="24">
        <v>1.7381</v>
      </c>
      <c r="K521" s="24">
        <v>170</v>
      </c>
      <c r="L521" s="24" t="s">
        <v>4453</v>
      </c>
    </row>
    <row r="522" spans="1:12" x14ac:dyDescent="0.35">
      <c r="A522" s="24" t="s">
        <v>3246</v>
      </c>
      <c r="B522" s="24" t="str">
        <f>"603390"</f>
        <v>603390</v>
      </c>
      <c r="C522" s="24" t="str">
        <f t="shared" si="8"/>
        <v>'603390.SS'</v>
      </c>
      <c r="D522" s="24" t="s">
        <v>4454</v>
      </c>
      <c r="E522" s="24" t="s">
        <v>3274</v>
      </c>
      <c r="F522" s="24">
        <v>1.7536</v>
      </c>
      <c r="G522" s="24">
        <v>2831080221.1999998</v>
      </c>
      <c r="H522" s="24">
        <v>3.9285000000000001</v>
      </c>
      <c r="I522" s="24">
        <v>3.0083000000000002</v>
      </c>
      <c r="J522" s="24">
        <v>1.2059</v>
      </c>
      <c r="K522" s="24">
        <v>99</v>
      </c>
      <c r="L522" s="24" t="s">
        <v>4455</v>
      </c>
    </row>
    <row r="523" spans="1:12" x14ac:dyDescent="0.35">
      <c r="A523" s="24" t="s">
        <v>3242</v>
      </c>
      <c r="B523" s="24" t="str">
        <f>"300245"</f>
        <v>300245</v>
      </c>
      <c r="C523" s="24" t="str">
        <f t="shared" si="8"/>
        <v>'300245.SZ'</v>
      </c>
      <c r="D523" s="24" t="s">
        <v>4456</v>
      </c>
      <c r="E523" s="24" t="s">
        <v>3722</v>
      </c>
      <c r="F523" s="24">
        <v>1.7508999999999999</v>
      </c>
      <c r="G523" s="24">
        <v>2501390794.1399999</v>
      </c>
      <c r="H523" s="24">
        <v>5.1082999999999998</v>
      </c>
      <c r="I523" s="24">
        <v>3.5825</v>
      </c>
      <c r="J523" s="24">
        <v>2.9476</v>
      </c>
      <c r="K523" s="24">
        <v>130</v>
      </c>
      <c r="L523" s="24" t="s">
        <v>4457</v>
      </c>
    </row>
    <row r="524" spans="1:12" x14ac:dyDescent="0.35">
      <c r="A524" s="24" t="s">
        <v>3246</v>
      </c>
      <c r="B524" s="24" t="str">
        <f>"688336"</f>
        <v>688336</v>
      </c>
      <c r="C524" s="24" t="str">
        <f t="shared" si="8"/>
        <v>'688336.SS'</v>
      </c>
      <c r="D524" s="24" t="s">
        <v>4458</v>
      </c>
      <c r="E524" s="24" t="s">
        <v>3282</v>
      </c>
      <c r="F524" s="24">
        <v>1.7504999999999999</v>
      </c>
      <c r="G524" s="24">
        <v>7993543877.2799997</v>
      </c>
      <c r="H524" s="24">
        <v>8.2155000000000005</v>
      </c>
      <c r="I524" s="24">
        <v>7.4623999999999997</v>
      </c>
      <c r="J524" s="24">
        <v>4.1430999999999996</v>
      </c>
      <c r="K524" s="24">
        <v>49</v>
      </c>
      <c r="L524" s="24" t="s">
        <v>4459</v>
      </c>
    </row>
    <row r="525" spans="1:12" x14ac:dyDescent="0.35">
      <c r="A525" s="24" t="s">
        <v>3242</v>
      </c>
      <c r="B525" s="24" t="str">
        <f>"003041"</f>
        <v>003041</v>
      </c>
      <c r="C525" s="24" t="str">
        <f t="shared" si="8"/>
        <v>'003041.SZ'</v>
      </c>
      <c r="D525" s="24" t="s">
        <v>4460</v>
      </c>
      <c r="E525" s="24" t="s">
        <v>4429</v>
      </c>
      <c r="F525" s="24">
        <v>1.7450000000000001</v>
      </c>
      <c r="G525" s="24">
        <v>2106000000</v>
      </c>
      <c r="H525" s="24">
        <v>3.0651999999999999</v>
      </c>
      <c r="I525" s="24">
        <v>2.1362000000000001</v>
      </c>
      <c r="J525" s="24">
        <v>0.81920000000000004</v>
      </c>
      <c r="K525" s="24">
        <v>34</v>
      </c>
      <c r="L525" s="24" t="s">
        <v>4461</v>
      </c>
    </row>
    <row r="526" spans="1:12" x14ac:dyDescent="0.35">
      <c r="A526" s="24" t="s">
        <v>3242</v>
      </c>
      <c r="B526" s="24" t="str">
        <f>"002962"</f>
        <v>002962</v>
      </c>
      <c r="C526" s="24" t="str">
        <f t="shared" si="8"/>
        <v>'002962.SZ'</v>
      </c>
      <c r="D526" s="24" t="s">
        <v>4462</v>
      </c>
      <c r="E526" s="24" t="s">
        <v>3248</v>
      </c>
      <c r="F526" s="24">
        <v>1.7439</v>
      </c>
      <c r="G526" s="24">
        <v>3128487749.6599998</v>
      </c>
      <c r="H526" s="24">
        <v>8.9482999999999997</v>
      </c>
      <c r="I526" s="24">
        <v>8.2002000000000006</v>
      </c>
      <c r="J526" s="24">
        <v>7.1464999999999996</v>
      </c>
      <c r="K526" s="24">
        <v>151</v>
      </c>
      <c r="L526" s="24" t="s">
        <v>4463</v>
      </c>
    </row>
    <row r="527" spans="1:12" x14ac:dyDescent="0.35">
      <c r="A527" s="24" t="s">
        <v>3242</v>
      </c>
      <c r="B527" s="24" t="str">
        <f>"301279"</f>
        <v>301279</v>
      </c>
      <c r="C527" s="24" t="str">
        <f t="shared" si="8"/>
        <v>'301279.SZ'</v>
      </c>
      <c r="D527" s="24" t="s">
        <v>4464</v>
      </c>
      <c r="E527" s="24" t="s">
        <v>3416</v>
      </c>
      <c r="F527" s="24">
        <v>1.7381</v>
      </c>
      <c r="G527" s="24">
        <v>2252000000</v>
      </c>
      <c r="H527" s="24">
        <v>3.0884</v>
      </c>
      <c r="I527" s="24">
        <v>2.4264999999999999</v>
      </c>
      <c r="J527" s="24">
        <v>1.7236</v>
      </c>
      <c r="K527" s="24">
        <v>8</v>
      </c>
      <c r="L527" s="24" t="s">
        <v>4465</v>
      </c>
    </row>
    <row r="528" spans="1:12" x14ac:dyDescent="0.35">
      <c r="A528" s="24" t="s">
        <v>3246</v>
      </c>
      <c r="B528" s="24" t="str">
        <f>"603630"</f>
        <v>603630</v>
      </c>
      <c r="C528" s="24" t="str">
        <f t="shared" si="8"/>
        <v>'603630.SS'</v>
      </c>
      <c r="D528" s="24" t="s">
        <v>4466</v>
      </c>
      <c r="E528" s="24" t="s">
        <v>4467</v>
      </c>
      <c r="F528" s="24">
        <v>1.7343</v>
      </c>
      <c r="G528" s="24">
        <v>3355038240</v>
      </c>
      <c r="H528" s="24">
        <v>5.8823999999999996</v>
      </c>
      <c r="I528" s="24">
        <v>4.9668999999999999</v>
      </c>
      <c r="J528" s="24">
        <v>3.7471999999999999</v>
      </c>
      <c r="K528" s="24">
        <v>150</v>
      </c>
      <c r="L528" s="24" t="s">
        <v>4468</v>
      </c>
    </row>
    <row r="529" spans="1:12" x14ac:dyDescent="0.35">
      <c r="A529" s="24" t="s">
        <v>3242</v>
      </c>
      <c r="B529" s="24" t="str">
        <f>"300193"</f>
        <v>300193</v>
      </c>
      <c r="C529" s="24" t="str">
        <f t="shared" si="8"/>
        <v>'300193.SZ'</v>
      </c>
      <c r="D529" s="24" t="s">
        <v>4469</v>
      </c>
      <c r="E529" s="24" t="s">
        <v>3473</v>
      </c>
      <c r="F529" s="24">
        <v>1.7323999999999999</v>
      </c>
      <c r="G529" s="24">
        <v>3644799077.9200001</v>
      </c>
      <c r="H529" s="24">
        <v>3.4245000000000001</v>
      </c>
      <c r="I529" s="24">
        <v>3.0013000000000001</v>
      </c>
      <c r="J529" s="24">
        <v>2.36</v>
      </c>
      <c r="K529" s="24">
        <v>156</v>
      </c>
      <c r="L529" s="24" t="s">
        <v>4470</v>
      </c>
    </row>
    <row r="530" spans="1:12" x14ac:dyDescent="0.35">
      <c r="A530" s="24" t="s">
        <v>3246</v>
      </c>
      <c r="B530" s="24" t="str">
        <f>"603999"</f>
        <v>603999</v>
      </c>
      <c r="C530" s="24" t="str">
        <f t="shared" si="8"/>
        <v>'603999.SS'</v>
      </c>
      <c r="D530" s="24" t="s">
        <v>4471</v>
      </c>
      <c r="E530" s="24" t="s">
        <v>4352</v>
      </c>
      <c r="F530" s="24">
        <v>1.7263999999999999</v>
      </c>
      <c r="G530" s="24">
        <v>3277440000</v>
      </c>
      <c r="H530" s="24">
        <v>3.4668000000000001</v>
      </c>
      <c r="I530" s="24">
        <v>2.9923999999999999</v>
      </c>
      <c r="J530" s="24">
        <v>1.3068</v>
      </c>
      <c r="K530" s="24">
        <v>92</v>
      </c>
      <c r="L530" s="24" t="s">
        <v>4472</v>
      </c>
    </row>
    <row r="531" spans="1:12" x14ac:dyDescent="0.35">
      <c r="A531" s="24" t="s">
        <v>3246</v>
      </c>
      <c r="B531" s="24" t="str">
        <f>"688312"</f>
        <v>688312</v>
      </c>
      <c r="C531" s="24" t="str">
        <f t="shared" si="8"/>
        <v>'688312.SS'</v>
      </c>
      <c r="D531" s="24" t="s">
        <v>4473</v>
      </c>
      <c r="E531" s="24" t="s">
        <v>3244</v>
      </c>
      <c r="F531" s="24">
        <v>1.7242</v>
      </c>
      <c r="G531" s="24">
        <v>2295849295.5999999</v>
      </c>
      <c r="H531" s="24">
        <v>9.8620999999999999</v>
      </c>
      <c r="I531" s="24">
        <v>9.2364999999999995</v>
      </c>
      <c r="J531" s="24">
        <v>3.8075000000000001</v>
      </c>
      <c r="K531" s="24">
        <v>61</v>
      </c>
      <c r="L531" s="24" t="s">
        <v>4474</v>
      </c>
    </row>
    <row r="532" spans="1:12" x14ac:dyDescent="0.35">
      <c r="A532" s="24" t="s">
        <v>3246</v>
      </c>
      <c r="B532" s="24" t="str">
        <f>"600380"</f>
        <v>600380</v>
      </c>
      <c r="C532" s="24" t="str">
        <f t="shared" si="8"/>
        <v>'600380.SS'</v>
      </c>
      <c r="D532" s="24" t="s">
        <v>4475</v>
      </c>
      <c r="E532" s="24" t="s">
        <v>3696</v>
      </c>
      <c r="F532" s="24">
        <v>1.7226999999999999</v>
      </c>
      <c r="G532" s="24">
        <v>22243553482.220001</v>
      </c>
      <c r="H532" s="24">
        <v>2.3813</v>
      </c>
      <c r="I532" s="24">
        <v>2.0981000000000001</v>
      </c>
      <c r="J532" s="24">
        <v>1.5377000000000001</v>
      </c>
      <c r="K532" s="24">
        <v>964</v>
      </c>
      <c r="L532" s="24" t="s">
        <v>4476</v>
      </c>
    </row>
    <row r="533" spans="1:12" x14ac:dyDescent="0.35">
      <c r="A533" s="24" t="s">
        <v>3242</v>
      </c>
      <c r="B533" s="24" t="str">
        <f>"000859"</f>
        <v>000859</v>
      </c>
      <c r="C533" s="24" t="str">
        <f t="shared" si="8"/>
        <v>'000859.SZ'</v>
      </c>
      <c r="D533" s="24" t="s">
        <v>4477</v>
      </c>
      <c r="E533" s="24" t="s">
        <v>3888</v>
      </c>
      <c r="F533" s="24">
        <v>1.7152000000000001</v>
      </c>
      <c r="G533" s="24">
        <v>4900990202.3699999</v>
      </c>
      <c r="H533" s="24">
        <v>2.8142</v>
      </c>
      <c r="I533" s="24">
        <v>2.3822000000000001</v>
      </c>
      <c r="J533" s="24">
        <v>1.1574</v>
      </c>
      <c r="K533" s="24">
        <v>136</v>
      </c>
      <c r="L533" s="24" t="s">
        <v>4478</v>
      </c>
    </row>
    <row r="534" spans="1:12" x14ac:dyDescent="0.35">
      <c r="A534" s="24" t="s">
        <v>3242</v>
      </c>
      <c r="B534" s="24" t="str">
        <f>"300079"</f>
        <v>300079</v>
      </c>
      <c r="C534" s="24" t="str">
        <f t="shared" si="8"/>
        <v>'300079.SZ'</v>
      </c>
      <c r="D534" s="24" t="s">
        <v>4479</v>
      </c>
      <c r="E534" s="24" t="s">
        <v>3722</v>
      </c>
      <c r="F534" s="24">
        <v>1.712</v>
      </c>
      <c r="G534" s="24">
        <v>7145044310</v>
      </c>
      <c r="H534" s="24">
        <v>5.9074999999999998</v>
      </c>
      <c r="I534" s="24">
        <v>4.9642999999999997</v>
      </c>
      <c r="J534" s="24">
        <v>3.9498000000000002</v>
      </c>
      <c r="K534" s="24">
        <v>265</v>
      </c>
      <c r="L534" s="24" t="s">
        <v>4480</v>
      </c>
    </row>
    <row r="535" spans="1:12" x14ac:dyDescent="0.35">
      <c r="A535" s="24" t="s">
        <v>3242</v>
      </c>
      <c r="B535" s="24" t="str">
        <f>"301365"</f>
        <v>301365</v>
      </c>
      <c r="C535" s="24" t="str">
        <f t="shared" si="8"/>
        <v>'301365.SZ'</v>
      </c>
      <c r="D535" s="24" t="s">
        <v>4481</v>
      </c>
      <c r="E535" s="24" t="s">
        <v>3846</v>
      </c>
      <c r="F535" s="24">
        <v>1.7108000000000001</v>
      </c>
      <c r="G535" s="24">
        <v>3112800000</v>
      </c>
      <c r="H535" s="24">
        <v>3.3616999999999999</v>
      </c>
      <c r="I535" s="24">
        <v>2.7538999999999998</v>
      </c>
      <c r="J535" s="24">
        <v>1.5774999999999999</v>
      </c>
      <c r="K535" s="24">
        <v>3</v>
      </c>
      <c r="L535" s="24" t="s">
        <v>4482</v>
      </c>
    </row>
    <row r="536" spans="1:12" x14ac:dyDescent="0.35">
      <c r="A536" s="24" t="s">
        <v>4483</v>
      </c>
      <c r="B536" s="24" t="str">
        <f>"430139"</f>
        <v>430139</v>
      </c>
      <c r="C536" s="24" t="str">
        <f t="shared" si="8"/>
        <v>'430139.SZ'</v>
      </c>
      <c r="D536" s="24" t="s">
        <v>4484</v>
      </c>
      <c r="E536" s="24" t="s">
        <v>4485</v>
      </c>
      <c r="F536" s="24">
        <v>1.7102999999999999</v>
      </c>
      <c r="G536" s="24">
        <v>2654660000</v>
      </c>
      <c r="H536" s="24">
        <v>14.6744</v>
      </c>
      <c r="I536" s="24">
        <v>14.569599999999999</v>
      </c>
      <c r="J536" s="24">
        <v>11.781700000000001</v>
      </c>
      <c r="K536" s="24">
        <v>4</v>
      </c>
      <c r="L536" s="24" t="s">
        <v>4486</v>
      </c>
    </row>
    <row r="537" spans="1:12" x14ac:dyDescent="0.35">
      <c r="A537" s="24" t="s">
        <v>3246</v>
      </c>
      <c r="B537" s="24" t="str">
        <f>"600746"</f>
        <v>600746</v>
      </c>
      <c r="C537" s="24" t="str">
        <f t="shared" si="8"/>
        <v>'600746.SS'</v>
      </c>
      <c r="D537" s="24" t="s">
        <v>4487</v>
      </c>
      <c r="E537" s="24" t="s">
        <v>4488</v>
      </c>
      <c r="F537" s="24">
        <v>1.7092000000000001</v>
      </c>
      <c r="G537" s="24">
        <v>9739809652.5599995</v>
      </c>
      <c r="H537" s="24">
        <v>4.1161000000000003</v>
      </c>
      <c r="I537" s="24">
        <v>2.8841000000000001</v>
      </c>
      <c r="J537" s="24">
        <v>1.8745000000000001</v>
      </c>
      <c r="K537" s="24">
        <v>229</v>
      </c>
      <c r="L537" s="24" t="s">
        <v>4489</v>
      </c>
    </row>
    <row r="538" spans="1:12" x14ac:dyDescent="0.35">
      <c r="A538" s="24" t="s">
        <v>3242</v>
      </c>
      <c r="B538" s="24" t="str">
        <f>"301123"</f>
        <v>301123</v>
      </c>
      <c r="C538" s="24" t="str">
        <f t="shared" si="8"/>
        <v>'301123.SZ'</v>
      </c>
      <c r="D538" s="24" t="s">
        <v>4490</v>
      </c>
      <c r="E538" s="24" t="s">
        <v>3327</v>
      </c>
      <c r="F538" s="24">
        <v>1.7037</v>
      </c>
      <c r="G538" s="24">
        <v>5192928000</v>
      </c>
      <c r="H538" s="24">
        <v>6.0987999999999998</v>
      </c>
      <c r="I538" s="24">
        <v>5.5064000000000002</v>
      </c>
      <c r="J538" s="24">
        <v>3.0491000000000001</v>
      </c>
      <c r="K538" s="24">
        <v>21</v>
      </c>
      <c r="L538" s="24" t="s">
        <v>4491</v>
      </c>
    </row>
    <row r="539" spans="1:12" x14ac:dyDescent="0.35">
      <c r="A539" s="24" t="s">
        <v>3242</v>
      </c>
      <c r="B539" s="24" t="str">
        <f>"300289"</f>
        <v>300289</v>
      </c>
      <c r="C539" s="24" t="str">
        <f t="shared" si="8"/>
        <v>'300289.SZ'</v>
      </c>
      <c r="D539" s="24" t="s">
        <v>4492</v>
      </c>
      <c r="E539" s="24" t="s">
        <v>3432</v>
      </c>
      <c r="F539" s="24">
        <v>1.7035</v>
      </c>
      <c r="G539" s="24">
        <v>3166146854.3400002</v>
      </c>
      <c r="H539" s="24">
        <v>9.07</v>
      </c>
      <c r="I539" s="24">
        <v>8.3162000000000003</v>
      </c>
      <c r="J539" s="24">
        <v>4.5768000000000004</v>
      </c>
      <c r="K539" s="24">
        <v>132</v>
      </c>
      <c r="L539" s="24" t="s">
        <v>4493</v>
      </c>
    </row>
    <row r="540" spans="1:12" x14ac:dyDescent="0.35">
      <c r="A540" s="24" t="s">
        <v>3242</v>
      </c>
      <c r="B540" s="24" t="str">
        <f>"002649"</f>
        <v>002649</v>
      </c>
      <c r="C540" s="24" t="str">
        <f t="shared" si="8"/>
        <v>'002649.SZ'</v>
      </c>
      <c r="D540" s="24" t="s">
        <v>4494</v>
      </c>
      <c r="E540" s="24" t="s">
        <v>3722</v>
      </c>
      <c r="F540" s="24">
        <v>1.7032</v>
      </c>
      <c r="G540" s="24">
        <v>6567479812.8000002</v>
      </c>
      <c r="H540" s="24">
        <v>2.9093</v>
      </c>
      <c r="I540" s="24">
        <v>2.8452999999999999</v>
      </c>
      <c r="J540" s="24">
        <v>1.3543000000000001</v>
      </c>
      <c r="K540" s="24">
        <v>281</v>
      </c>
      <c r="L540" s="24" t="s">
        <v>4495</v>
      </c>
    </row>
    <row r="541" spans="1:12" x14ac:dyDescent="0.35">
      <c r="A541" s="24" t="s">
        <v>3242</v>
      </c>
      <c r="B541" s="24" t="str">
        <f>"300485"</f>
        <v>300485</v>
      </c>
      <c r="C541" s="24" t="str">
        <f t="shared" si="8"/>
        <v>'300485.SZ'</v>
      </c>
      <c r="D541" s="24" t="s">
        <v>4496</v>
      </c>
      <c r="E541" s="24" t="s">
        <v>3282</v>
      </c>
      <c r="F541" s="24">
        <v>1.7027000000000001</v>
      </c>
      <c r="G541" s="24">
        <v>5823346776</v>
      </c>
      <c r="H541" s="24">
        <v>23.322099999999999</v>
      </c>
      <c r="I541" s="24">
        <v>21.9438</v>
      </c>
      <c r="J541" s="24">
        <v>1.9043000000000001</v>
      </c>
      <c r="K541" s="24">
        <v>197</v>
      </c>
      <c r="L541" s="24" t="s">
        <v>4497</v>
      </c>
    </row>
    <row r="542" spans="1:12" x14ac:dyDescent="0.35">
      <c r="A542" s="24" t="s">
        <v>3246</v>
      </c>
      <c r="B542" s="24" t="str">
        <f>"688393"</f>
        <v>688393</v>
      </c>
      <c r="C542" s="24" t="str">
        <f t="shared" si="8"/>
        <v>'688393.SS'</v>
      </c>
      <c r="D542" s="24" t="s">
        <v>4498</v>
      </c>
      <c r="E542" s="24" t="s">
        <v>3432</v>
      </c>
      <c r="F542" s="24">
        <v>1.7027000000000001</v>
      </c>
      <c r="G542" s="24">
        <v>2090816000</v>
      </c>
      <c r="H542" s="24">
        <v>6.8148</v>
      </c>
      <c r="I542" s="24">
        <v>6.18</v>
      </c>
      <c r="J542" s="24">
        <v>1.0664</v>
      </c>
      <c r="K542" s="24">
        <v>73</v>
      </c>
      <c r="L542" s="24" t="s">
        <v>4499</v>
      </c>
    </row>
    <row r="543" spans="1:12" x14ac:dyDescent="0.35">
      <c r="A543" s="24" t="s">
        <v>3246</v>
      </c>
      <c r="B543" s="24" t="str">
        <f>"688737"</f>
        <v>688737</v>
      </c>
      <c r="C543" s="24" t="str">
        <f t="shared" si="8"/>
        <v>'688737.SS'</v>
      </c>
      <c r="D543" s="24" t="s">
        <v>4500</v>
      </c>
      <c r="E543" s="24" t="s">
        <v>3299</v>
      </c>
      <c r="F543" s="24">
        <v>1.6976</v>
      </c>
      <c r="G543" s="24">
        <v>3223730550.7199998</v>
      </c>
      <c r="H543" s="24">
        <v>9.8078000000000003</v>
      </c>
      <c r="I543" s="24">
        <v>8.0922000000000001</v>
      </c>
      <c r="J543" s="24">
        <v>2.6583000000000001</v>
      </c>
      <c r="K543" s="24">
        <v>18</v>
      </c>
      <c r="L543" s="24" t="s">
        <v>4501</v>
      </c>
    </row>
    <row r="544" spans="1:12" x14ac:dyDescent="0.35">
      <c r="A544" s="24" t="s">
        <v>3246</v>
      </c>
      <c r="B544" s="24" t="str">
        <f>"603508"</f>
        <v>603508</v>
      </c>
      <c r="C544" s="24" t="str">
        <f t="shared" si="8"/>
        <v>'603508.SS'</v>
      </c>
      <c r="D544" s="24" t="s">
        <v>4502</v>
      </c>
      <c r="E544" s="24" t="s">
        <v>3565</v>
      </c>
      <c r="F544" s="24">
        <v>1.6957</v>
      </c>
      <c r="G544" s="24">
        <v>7114579874.8199997</v>
      </c>
      <c r="H544" s="24">
        <v>10.14</v>
      </c>
      <c r="I544" s="24">
        <v>8.5335999999999999</v>
      </c>
      <c r="J544" s="24">
        <v>5.1459999999999999</v>
      </c>
      <c r="K544" s="24">
        <v>223</v>
      </c>
      <c r="L544" s="24" t="s">
        <v>4503</v>
      </c>
    </row>
    <row r="545" spans="1:12" x14ac:dyDescent="0.35">
      <c r="A545" s="24" t="s">
        <v>3246</v>
      </c>
      <c r="B545" s="24" t="str">
        <f>"603230"</f>
        <v>603230</v>
      </c>
      <c r="C545" s="24" t="str">
        <f t="shared" si="8"/>
        <v>'603230.SS'</v>
      </c>
      <c r="D545" s="24" t="s">
        <v>4504</v>
      </c>
      <c r="E545" s="24" t="s">
        <v>3505</v>
      </c>
      <c r="F545" s="24">
        <v>1.6950000000000001</v>
      </c>
      <c r="G545" s="24">
        <v>3962992830</v>
      </c>
      <c r="H545" s="24">
        <v>2.2195</v>
      </c>
      <c r="I545" s="24">
        <v>2.0819000000000001</v>
      </c>
      <c r="J545" s="24">
        <v>1.1887000000000001</v>
      </c>
      <c r="K545" s="24">
        <v>26</v>
      </c>
      <c r="L545" s="24" t="s">
        <v>4505</v>
      </c>
    </row>
    <row r="546" spans="1:12" x14ac:dyDescent="0.35">
      <c r="A546" s="24" t="s">
        <v>3242</v>
      </c>
      <c r="B546" s="24" t="str">
        <f>"002053"</f>
        <v>002053</v>
      </c>
      <c r="C546" s="24" t="str">
        <f t="shared" si="8"/>
        <v>'002053.SZ'</v>
      </c>
      <c r="D546" s="24" t="s">
        <v>4506</v>
      </c>
      <c r="E546" s="24" t="s">
        <v>4507</v>
      </c>
      <c r="F546" s="24">
        <v>1.6931</v>
      </c>
      <c r="G546" s="24">
        <v>10938266032.32</v>
      </c>
      <c r="H546" s="24">
        <v>2.8921999999999999</v>
      </c>
      <c r="I546" s="24">
        <v>2.766</v>
      </c>
      <c r="J546" s="24">
        <v>1.6694</v>
      </c>
      <c r="K546" s="24">
        <v>123</v>
      </c>
      <c r="L546" s="24" t="s">
        <v>4508</v>
      </c>
    </row>
    <row r="547" spans="1:12" x14ac:dyDescent="0.35">
      <c r="A547" s="24" t="s">
        <v>3242</v>
      </c>
      <c r="B547" s="24" t="str">
        <f>"300641"</f>
        <v>300641</v>
      </c>
      <c r="C547" s="24" t="str">
        <f t="shared" si="8"/>
        <v>'300641.SZ'</v>
      </c>
      <c r="D547" s="24" t="s">
        <v>4509</v>
      </c>
      <c r="E547" s="24" t="s">
        <v>3271</v>
      </c>
      <c r="F547" s="24">
        <v>1.6906000000000001</v>
      </c>
      <c r="G547" s="24">
        <v>2545943337.5999999</v>
      </c>
      <c r="H547" s="24">
        <v>3.121</v>
      </c>
      <c r="I547" s="24">
        <v>2.3620999999999999</v>
      </c>
      <c r="J547" s="24">
        <v>0.86909999999999998</v>
      </c>
      <c r="K547" s="24">
        <v>82</v>
      </c>
      <c r="L547" s="24" t="s">
        <v>4510</v>
      </c>
    </row>
    <row r="548" spans="1:12" x14ac:dyDescent="0.35">
      <c r="A548" s="24" t="s">
        <v>3246</v>
      </c>
      <c r="B548" s="24" t="str">
        <f>"603006"</f>
        <v>603006</v>
      </c>
      <c r="C548" s="24" t="str">
        <f t="shared" si="8"/>
        <v>'603006.SS'</v>
      </c>
      <c r="D548" s="24" t="s">
        <v>4511</v>
      </c>
      <c r="E548" s="24" t="s">
        <v>3299</v>
      </c>
      <c r="F548" s="24">
        <v>1.6895</v>
      </c>
      <c r="G548" s="24">
        <v>2344224185</v>
      </c>
      <c r="H548" s="24">
        <v>2.6086999999999998</v>
      </c>
      <c r="I548" s="24">
        <v>1.8248</v>
      </c>
      <c r="J548" s="24">
        <v>0.84740000000000004</v>
      </c>
      <c r="K548" s="24">
        <v>114</v>
      </c>
      <c r="L548" s="24" t="s">
        <v>4512</v>
      </c>
    </row>
    <row r="549" spans="1:12" x14ac:dyDescent="0.35">
      <c r="A549" s="24" t="s">
        <v>3242</v>
      </c>
      <c r="B549" s="24" t="str">
        <f>"002492"</f>
        <v>002492</v>
      </c>
      <c r="C549" s="24" t="str">
        <f t="shared" si="8"/>
        <v>'002492.SZ'</v>
      </c>
      <c r="D549" s="24" t="s">
        <v>4513</v>
      </c>
      <c r="E549" s="24" t="s">
        <v>4275</v>
      </c>
      <c r="F549" s="24">
        <v>1.6877</v>
      </c>
      <c r="G549" s="24">
        <v>2628450000</v>
      </c>
      <c r="H549" s="24">
        <v>4.2986000000000004</v>
      </c>
      <c r="I549" s="24">
        <v>4.2549000000000001</v>
      </c>
      <c r="J549" s="24">
        <v>1.2452000000000001</v>
      </c>
      <c r="K549" s="24">
        <v>92</v>
      </c>
      <c r="L549" s="24" t="s">
        <v>4514</v>
      </c>
    </row>
    <row r="550" spans="1:12" x14ac:dyDescent="0.35">
      <c r="A550" s="24" t="s">
        <v>3242</v>
      </c>
      <c r="B550" s="24" t="str">
        <f>"301330"</f>
        <v>301330</v>
      </c>
      <c r="C550" s="24" t="str">
        <f t="shared" si="8"/>
        <v>'301330.SZ'</v>
      </c>
      <c r="D550" s="24" t="s">
        <v>4515</v>
      </c>
      <c r="E550" s="24" t="s">
        <v>3565</v>
      </c>
      <c r="F550" s="24">
        <v>1.6848000000000001</v>
      </c>
      <c r="G550" s="24">
        <v>5047244813.4899998</v>
      </c>
      <c r="H550" s="24">
        <v>6.2298999999999998</v>
      </c>
      <c r="I550" s="24">
        <v>5.3182</v>
      </c>
      <c r="J550" s="24">
        <v>4.3556999999999997</v>
      </c>
      <c r="K550" s="24">
        <v>7</v>
      </c>
      <c r="L550" s="24" t="s">
        <v>4516</v>
      </c>
    </row>
    <row r="551" spans="1:12" x14ac:dyDescent="0.35">
      <c r="A551" s="24" t="s">
        <v>3242</v>
      </c>
      <c r="B551" s="24" t="str">
        <f>"000676"</f>
        <v>000676</v>
      </c>
      <c r="C551" s="24" t="str">
        <f t="shared" si="8"/>
        <v>'000676.SZ'</v>
      </c>
      <c r="D551" s="24" t="s">
        <v>4517</v>
      </c>
      <c r="E551" s="24" t="s">
        <v>3408</v>
      </c>
      <c r="F551" s="24">
        <v>1.6828000000000001</v>
      </c>
      <c r="G551" s="24">
        <v>6931432857.96</v>
      </c>
      <c r="H551" s="24">
        <v>3.282</v>
      </c>
      <c r="I551" s="24">
        <v>3.1198000000000001</v>
      </c>
      <c r="J551" s="24">
        <v>1.2758</v>
      </c>
      <c r="K551" s="24">
        <v>219</v>
      </c>
      <c r="L551" s="24" t="s">
        <v>4518</v>
      </c>
    </row>
    <row r="552" spans="1:12" x14ac:dyDescent="0.35">
      <c r="A552" s="24" t="s">
        <v>3242</v>
      </c>
      <c r="B552" s="24" t="str">
        <f>"301290"</f>
        <v>301290</v>
      </c>
      <c r="C552" s="24" t="str">
        <f t="shared" si="8"/>
        <v>'301290.SZ'</v>
      </c>
      <c r="D552" s="24" t="s">
        <v>4519</v>
      </c>
      <c r="E552" s="24" t="s">
        <v>3443</v>
      </c>
      <c r="F552" s="24">
        <v>1.6789000000000001</v>
      </c>
      <c r="G552" s="24">
        <v>3806586692</v>
      </c>
      <c r="H552" s="24">
        <v>4.0740999999999996</v>
      </c>
      <c r="I552" s="24">
        <v>2.9874000000000001</v>
      </c>
      <c r="J552" s="24">
        <v>1.0230999999999999</v>
      </c>
      <c r="K552" s="24">
        <v>1</v>
      </c>
      <c r="L552" s="24" t="s">
        <v>4520</v>
      </c>
    </row>
    <row r="553" spans="1:12" x14ac:dyDescent="0.35">
      <c r="A553" s="24" t="s">
        <v>3242</v>
      </c>
      <c r="B553" s="24" t="str">
        <f>"300729"</f>
        <v>300729</v>
      </c>
      <c r="C553" s="24" t="str">
        <f t="shared" si="8"/>
        <v>'300729.SZ'</v>
      </c>
      <c r="D553" s="24" t="s">
        <v>4521</v>
      </c>
      <c r="E553" s="24" t="s">
        <v>3636</v>
      </c>
      <c r="F553" s="24">
        <v>1.6767000000000001</v>
      </c>
      <c r="G553" s="24">
        <v>3984434405.1399999</v>
      </c>
      <c r="H553" s="24">
        <v>1.5933999999999999</v>
      </c>
      <c r="I553" s="24">
        <v>1.2539</v>
      </c>
      <c r="J553" s="24">
        <v>0.96030000000000004</v>
      </c>
      <c r="K553" s="24">
        <v>229</v>
      </c>
      <c r="L553" s="24" t="s">
        <v>4522</v>
      </c>
    </row>
    <row r="554" spans="1:12" x14ac:dyDescent="0.35">
      <c r="A554" s="24" t="s">
        <v>3242</v>
      </c>
      <c r="B554" s="24" t="str">
        <f>"301206"</f>
        <v>301206</v>
      </c>
      <c r="C554" s="24" t="str">
        <f t="shared" si="8"/>
        <v>'301206.SZ'</v>
      </c>
      <c r="D554" s="24" t="s">
        <v>4523</v>
      </c>
      <c r="E554" s="24" t="s">
        <v>3419</v>
      </c>
      <c r="F554" s="24">
        <v>1.6718999999999999</v>
      </c>
      <c r="G554" s="24">
        <v>7704562656</v>
      </c>
      <c r="H554" s="24">
        <v>4.2488999999999999</v>
      </c>
      <c r="I554" s="24">
        <v>3.7128999999999999</v>
      </c>
      <c r="J554" s="24">
        <v>3.1059000000000001</v>
      </c>
      <c r="K554" s="24">
        <v>48</v>
      </c>
      <c r="L554" s="24" t="s">
        <v>4524</v>
      </c>
    </row>
    <row r="555" spans="1:12" x14ac:dyDescent="0.35">
      <c r="A555" s="24" t="s">
        <v>3246</v>
      </c>
      <c r="B555" s="24" t="str">
        <f>"688571"</f>
        <v>688571</v>
      </c>
      <c r="C555" s="24" t="str">
        <f t="shared" si="8"/>
        <v>'688571.SS'</v>
      </c>
      <c r="D555" s="24" t="s">
        <v>4525</v>
      </c>
      <c r="E555" s="24" t="s">
        <v>4227</v>
      </c>
      <c r="F555" s="24">
        <v>1.6698</v>
      </c>
      <c r="G555" s="24">
        <v>2281600000</v>
      </c>
      <c r="H555" s="24">
        <v>4.0602999999999998</v>
      </c>
      <c r="I555" s="24">
        <v>3.6417000000000002</v>
      </c>
      <c r="J555" s="24">
        <v>2.0449000000000002</v>
      </c>
      <c r="K555" s="24">
        <v>34</v>
      </c>
      <c r="L555" s="24" t="s">
        <v>4526</v>
      </c>
    </row>
    <row r="556" spans="1:12" x14ac:dyDescent="0.35">
      <c r="A556" s="24" t="s">
        <v>3242</v>
      </c>
      <c r="B556" s="24" t="str">
        <f>"002951"</f>
        <v>002951</v>
      </c>
      <c r="C556" s="24" t="str">
        <f t="shared" si="8"/>
        <v>'002951.SZ'</v>
      </c>
      <c r="D556" s="24" t="s">
        <v>4527</v>
      </c>
      <c r="E556" s="24" t="s">
        <v>4294</v>
      </c>
      <c r="F556" s="24">
        <v>1.6693</v>
      </c>
      <c r="G556" s="24">
        <v>3786750000</v>
      </c>
      <c r="H556" s="24">
        <v>6.5401999999999996</v>
      </c>
      <c r="I556" s="24">
        <v>5.8337000000000003</v>
      </c>
      <c r="J556" s="24">
        <v>3.5905999999999998</v>
      </c>
      <c r="K556" s="24">
        <v>98</v>
      </c>
      <c r="L556" s="24" t="s">
        <v>4528</v>
      </c>
    </row>
    <row r="557" spans="1:12" x14ac:dyDescent="0.35">
      <c r="A557" s="24" t="s">
        <v>3246</v>
      </c>
      <c r="B557" s="24" t="str">
        <f>"601568"</f>
        <v>601568</v>
      </c>
      <c r="C557" s="24" t="str">
        <f t="shared" si="8"/>
        <v>'601568.SS'</v>
      </c>
      <c r="D557" s="24" t="s">
        <v>4529</v>
      </c>
      <c r="E557" s="24" t="s">
        <v>4530</v>
      </c>
      <c r="F557" s="24">
        <v>1.6693</v>
      </c>
      <c r="G557" s="24">
        <v>22681388899.040001</v>
      </c>
      <c r="H557" s="24">
        <v>3.1831999999999998</v>
      </c>
      <c r="I557" s="24">
        <v>2.8973</v>
      </c>
      <c r="J557" s="24">
        <v>2.5346000000000002</v>
      </c>
      <c r="K557" s="24">
        <v>137</v>
      </c>
      <c r="L557" s="24" t="s">
        <v>4531</v>
      </c>
    </row>
    <row r="558" spans="1:12" x14ac:dyDescent="0.35">
      <c r="A558" s="24" t="s">
        <v>3246</v>
      </c>
      <c r="B558" s="24" t="str">
        <f>"605336"</f>
        <v>605336</v>
      </c>
      <c r="C558" s="24" t="str">
        <f t="shared" si="8"/>
        <v>'605336.SS'</v>
      </c>
      <c r="D558" s="24" t="s">
        <v>4532</v>
      </c>
      <c r="E558" s="24" t="s">
        <v>4533</v>
      </c>
      <c r="F558" s="24">
        <v>1.6633</v>
      </c>
      <c r="G558" s="24">
        <v>3088515680.25</v>
      </c>
      <c r="H558" s="24">
        <v>4.1859000000000002</v>
      </c>
      <c r="I558" s="24">
        <v>3.8144999999999998</v>
      </c>
      <c r="J558" s="24">
        <v>1.6279999999999999</v>
      </c>
      <c r="K558" s="24">
        <v>154</v>
      </c>
      <c r="L558" s="24" t="s">
        <v>4534</v>
      </c>
    </row>
    <row r="559" spans="1:12" x14ac:dyDescent="0.35">
      <c r="A559" s="24" t="s">
        <v>3242</v>
      </c>
      <c r="B559" s="24" t="str">
        <f>"000096"</f>
        <v>000096</v>
      </c>
      <c r="C559" s="24" t="str">
        <f t="shared" si="8"/>
        <v>'000096.SZ'</v>
      </c>
      <c r="D559" s="24" t="s">
        <v>4535</v>
      </c>
      <c r="E559" s="24" t="s">
        <v>3251</v>
      </c>
      <c r="F559" s="24">
        <v>1.6587000000000001</v>
      </c>
      <c r="G559" s="24">
        <v>4287360000</v>
      </c>
      <c r="H559" s="24">
        <v>14.1838</v>
      </c>
      <c r="I559" s="24">
        <v>13.3666</v>
      </c>
      <c r="J559" s="24">
        <v>11.471299999999999</v>
      </c>
      <c r="K559" s="24">
        <v>90</v>
      </c>
      <c r="L559" s="24" t="s">
        <v>4536</v>
      </c>
    </row>
    <row r="560" spans="1:12" x14ac:dyDescent="0.35">
      <c r="A560" s="24" t="s">
        <v>3242</v>
      </c>
      <c r="B560" s="24" t="str">
        <f>"000529"</f>
        <v>000529</v>
      </c>
      <c r="C560" s="24" t="str">
        <f t="shared" si="8"/>
        <v>'000529.SZ'</v>
      </c>
      <c r="D560" s="24" t="s">
        <v>4537</v>
      </c>
      <c r="E560" s="24" t="s">
        <v>3505</v>
      </c>
      <c r="F560" s="24">
        <v>1.6577999999999999</v>
      </c>
      <c r="G560" s="24">
        <v>4915514578.6000004</v>
      </c>
      <c r="H560" s="24">
        <v>2.2155</v>
      </c>
      <c r="I560" s="24">
        <v>1.8198000000000001</v>
      </c>
      <c r="J560" s="24">
        <v>1.7378</v>
      </c>
      <c r="K560" s="24">
        <v>318</v>
      </c>
      <c r="L560" s="24" t="s">
        <v>4538</v>
      </c>
    </row>
    <row r="561" spans="1:12" x14ac:dyDescent="0.35">
      <c r="A561" s="24" t="s">
        <v>3246</v>
      </c>
      <c r="B561" s="24" t="str">
        <f>"603950"</f>
        <v>603950</v>
      </c>
      <c r="C561" s="24" t="str">
        <f t="shared" si="8"/>
        <v>'603950.SS'</v>
      </c>
      <c r="D561" s="24" t="s">
        <v>4539</v>
      </c>
      <c r="E561" s="24" t="s">
        <v>3405</v>
      </c>
      <c r="F561" s="24">
        <v>1.6556999999999999</v>
      </c>
      <c r="G561" s="24">
        <v>3713612880</v>
      </c>
      <c r="H561" s="24">
        <v>2.8250000000000002</v>
      </c>
      <c r="I561" s="24">
        <v>2.2408999999999999</v>
      </c>
      <c r="J561" s="24">
        <v>1.1020000000000001</v>
      </c>
      <c r="K561" s="24">
        <v>105</v>
      </c>
      <c r="L561" s="24" t="s">
        <v>4540</v>
      </c>
    </row>
    <row r="562" spans="1:12" x14ac:dyDescent="0.35">
      <c r="A562" s="24" t="s">
        <v>3242</v>
      </c>
      <c r="B562" s="24" t="str">
        <f>"300834"</f>
        <v>300834</v>
      </c>
      <c r="C562" s="24" t="str">
        <f t="shared" si="8"/>
        <v>'300834.SZ'</v>
      </c>
      <c r="D562" s="24" t="s">
        <v>4541</v>
      </c>
      <c r="E562" s="24" t="s">
        <v>3896</v>
      </c>
      <c r="F562" s="24">
        <v>1.6543000000000001</v>
      </c>
      <c r="G562" s="24">
        <v>4883488419.1300001</v>
      </c>
      <c r="H562" s="24">
        <v>3.879</v>
      </c>
      <c r="I562" s="24">
        <v>3.3818000000000001</v>
      </c>
      <c r="J562" s="24">
        <v>1.1577</v>
      </c>
      <c r="K562" s="24">
        <v>29</v>
      </c>
      <c r="L562" s="24" t="s">
        <v>4542</v>
      </c>
    </row>
    <row r="563" spans="1:12" x14ac:dyDescent="0.35">
      <c r="A563" s="24" t="s">
        <v>3242</v>
      </c>
      <c r="B563" s="24" t="str">
        <f>"301237"</f>
        <v>301237</v>
      </c>
      <c r="C563" s="24" t="str">
        <f t="shared" si="8"/>
        <v>'301237.SZ'</v>
      </c>
      <c r="D563" s="24" t="s">
        <v>4543</v>
      </c>
      <c r="E563" s="24" t="s">
        <v>3888</v>
      </c>
      <c r="F563" s="24">
        <v>1.6501999999999999</v>
      </c>
      <c r="G563" s="24">
        <v>2464000000</v>
      </c>
      <c r="H563" s="24">
        <v>13.7728</v>
      </c>
      <c r="I563" s="24">
        <v>11.9076</v>
      </c>
      <c r="J563" s="24">
        <v>4.3375000000000004</v>
      </c>
      <c r="K563" s="24">
        <v>13</v>
      </c>
      <c r="L563" s="24" t="s">
        <v>4544</v>
      </c>
    </row>
    <row r="564" spans="1:12" x14ac:dyDescent="0.35">
      <c r="A564" s="24" t="s">
        <v>3246</v>
      </c>
      <c r="B564" s="24" t="str">
        <f>"600866"</f>
        <v>600866</v>
      </c>
      <c r="C564" s="24" t="str">
        <f t="shared" si="8"/>
        <v>'600866.SS'</v>
      </c>
      <c r="D564" s="24" t="s">
        <v>4545</v>
      </c>
      <c r="E564" s="24" t="s">
        <v>3419</v>
      </c>
      <c r="F564" s="24">
        <v>1.6466000000000001</v>
      </c>
      <c r="G564" s="24">
        <v>10616810016.24</v>
      </c>
      <c r="H564" s="24">
        <v>2.5922000000000001</v>
      </c>
      <c r="I564" s="24">
        <v>1.5669999999999999</v>
      </c>
      <c r="J564" s="24">
        <v>0.81230000000000002</v>
      </c>
      <c r="K564" s="24">
        <v>147</v>
      </c>
      <c r="L564" s="24" t="s">
        <v>4546</v>
      </c>
    </row>
    <row r="565" spans="1:12" x14ac:dyDescent="0.35">
      <c r="A565" s="24" t="s">
        <v>3246</v>
      </c>
      <c r="B565" s="24" t="str">
        <f>"688550"</f>
        <v>688550</v>
      </c>
      <c r="C565" s="24" t="str">
        <f t="shared" si="8"/>
        <v>'688550.SS'</v>
      </c>
      <c r="D565" s="24" t="s">
        <v>4547</v>
      </c>
      <c r="E565" s="24" t="s">
        <v>3907</v>
      </c>
      <c r="F565" s="24">
        <v>1.6443000000000001</v>
      </c>
      <c r="G565" s="24">
        <v>4797920416.96</v>
      </c>
      <c r="H565" s="24">
        <v>4.3960999999999997</v>
      </c>
      <c r="I565" s="24">
        <v>2.9979</v>
      </c>
      <c r="J565" s="24">
        <v>1.6751</v>
      </c>
      <c r="K565" s="24">
        <v>66</v>
      </c>
      <c r="L565" s="24" t="s">
        <v>4548</v>
      </c>
    </row>
    <row r="566" spans="1:12" x14ac:dyDescent="0.35">
      <c r="A566" s="24" t="s">
        <v>3246</v>
      </c>
      <c r="B566" s="24" t="str">
        <f>"600135"</f>
        <v>600135</v>
      </c>
      <c r="C566" s="24" t="str">
        <f t="shared" si="8"/>
        <v>'600135.SS'</v>
      </c>
      <c r="D566" s="24" t="s">
        <v>4549</v>
      </c>
      <c r="E566" s="24" t="s">
        <v>3888</v>
      </c>
      <c r="F566" s="24">
        <v>1.6397999999999999</v>
      </c>
      <c r="G566" s="24">
        <v>4315795372.1999998</v>
      </c>
      <c r="H566" s="24">
        <v>4.4127999999999998</v>
      </c>
      <c r="I566" s="24">
        <v>3.4977</v>
      </c>
      <c r="J566" s="24">
        <v>0.88100000000000001</v>
      </c>
      <c r="K566" s="24">
        <v>123</v>
      </c>
      <c r="L566" s="24" t="s">
        <v>4550</v>
      </c>
    </row>
    <row r="567" spans="1:12" x14ac:dyDescent="0.35">
      <c r="A567" s="24" t="s">
        <v>3246</v>
      </c>
      <c r="B567" s="24" t="str">
        <f>"603079"</f>
        <v>603079</v>
      </c>
      <c r="C567" s="24" t="str">
        <f t="shared" si="8"/>
        <v>'603079.SS'</v>
      </c>
      <c r="D567" s="24" t="s">
        <v>4551</v>
      </c>
      <c r="E567" s="24" t="s">
        <v>3658</v>
      </c>
      <c r="F567" s="24">
        <v>1.6386000000000001</v>
      </c>
      <c r="G567" s="24">
        <v>2199778110.3000002</v>
      </c>
      <c r="H567" s="24">
        <v>2.6530999999999998</v>
      </c>
      <c r="I567" s="24">
        <v>1.6640999999999999</v>
      </c>
      <c r="J567" s="24">
        <v>1.0542</v>
      </c>
      <c r="K567" s="24">
        <v>237</v>
      </c>
      <c r="L567" s="24" t="s">
        <v>4552</v>
      </c>
    </row>
    <row r="568" spans="1:12" x14ac:dyDescent="0.35">
      <c r="A568" s="24" t="s">
        <v>3246</v>
      </c>
      <c r="B568" s="24" t="str">
        <f>"600398"</f>
        <v>600398</v>
      </c>
      <c r="C568" s="24" t="str">
        <f t="shared" si="8"/>
        <v>'600398.SS'</v>
      </c>
      <c r="D568" s="24" t="s">
        <v>4553</v>
      </c>
      <c r="E568" s="24" t="s">
        <v>4121</v>
      </c>
      <c r="F568" s="24">
        <v>1.6378999999999999</v>
      </c>
      <c r="G568" s="24">
        <v>22980310724.279999</v>
      </c>
      <c r="H568" s="24">
        <v>1.7641</v>
      </c>
      <c r="I568" s="24">
        <v>1.0276000000000001</v>
      </c>
      <c r="J568" s="24">
        <v>0.86819999999999997</v>
      </c>
      <c r="K568" s="24">
        <v>2687</v>
      </c>
      <c r="L568" s="24" t="s">
        <v>4554</v>
      </c>
    </row>
    <row r="569" spans="1:12" x14ac:dyDescent="0.35">
      <c r="A569" s="24" t="s">
        <v>3246</v>
      </c>
      <c r="B569" s="24" t="str">
        <f>"600859"</f>
        <v>600859</v>
      </c>
      <c r="C569" s="24" t="str">
        <f t="shared" si="8"/>
        <v>'600859.SS'</v>
      </c>
      <c r="D569" s="24" t="s">
        <v>4555</v>
      </c>
      <c r="E569" s="24" t="s">
        <v>3773</v>
      </c>
      <c r="F569" s="24">
        <v>1.6372</v>
      </c>
      <c r="G569" s="24">
        <v>31667879682.900002</v>
      </c>
      <c r="H569" s="24">
        <v>1.6738999999999999</v>
      </c>
      <c r="I569" s="24">
        <v>1.4484999999999999</v>
      </c>
      <c r="J569" s="24">
        <v>1.3676999999999999</v>
      </c>
      <c r="K569" s="24">
        <v>569</v>
      </c>
      <c r="L569" s="24" t="s">
        <v>4556</v>
      </c>
    </row>
    <row r="570" spans="1:12" x14ac:dyDescent="0.35">
      <c r="A570" s="24" t="s">
        <v>3242</v>
      </c>
      <c r="B570" s="24" t="str">
        <f>"000886"</f>
        <v>000886</v>
      </c>
      <c r="C570" s="24" t="str">
        <f t="shared" si="8"/>
        <v>'000886.SZ'</v>
      </c>
      <c r="D570" s="24" t="s">
        <v>4557</v>
      </c>
      <c r="E570" s="24" t="s">
        <v>3988</v>
      </c>
      <c r="F570" s="24">
        <v>1.6354</v>
      </c>
      <c r="G570" s="24">
        <v>4746375840</v>
      </c>
      <c r="H570" s="24">
        <v>7.7697000000000003</v>
      </c>
      <c r="I570" s="24">
        <v>6.5282999999999998</v>
      </c>
      <c r="J570" s="24">
        <v>3.2879999999999998</v>
      </c>
      <c r="K570" s="24">
        <v>141</v>
      </c>
      <c r="L570" s="24" t="s">
        <v>4558</v>
      </c>
    </row>
    <row r="571" spans="1:12" x14ac:dyDescent="0.35">
      <c r="A571" s="24" t="s">
        <v>3246</v>
      </c>
      <c r="B571" s="24" t="str">
        <f>"688062"</f>
        <v>688062</v>
      </c>
      <c r="C571" s="24" t="str">
        <f t="shared" si="8"/>
        <v>'688062.SS'</v>
      </c>
      <c r="D571" s="24" t="s">
        <v>4559</v>
      </c>
      <c r="E571" s="24" t="s">
        <v>3696</v>
      </c>
      <c r="F571" s="24">
        <v>1.6347</v>
      </c>
      <c r="G571" s="24">
        <v>6129864000</v>
      </c>
      <c r="H571" s="24">
        <v>7.7967000000000004</v>
      </c>
      <c r="I571" s="24">
        <v>7.5228999999999999</v>
      </c>
      <c r="J571" s="24">
        <v>7.2115</v>
      </c>
      <c r="K571" s="24">
        <v>19</v>
      </c>
      <c r="L571" s="24" t="s">
        <v>4560</v>
      </c>
    </row>
    <row r="572" spans="1:12" x14ac:dyDescent="0.35">
      <c r="A572" s="24" t="s">
        <v>3242</v>
      </c>
      <c r="B572" s="24" t="str">
        <f>"001209"</f>
        <v>001209</v>
      </c>
      <c r="C572" s="24" t="str">
        <f t="shared" si="8"/>
        <v>'001209.SZ'</v>
      </c>
      <c r="D572" s="24" t="s">
        <v>4561</v>
      </c>
      <c r="E572" s="24" t="s">
        <v>4121</v>
      </c>
      <c r="F572" s="24">
        <v>1.633</v>
      </c>
      <c r="G572" s="24">
        <v>2043863068.8</v>
      </c>
      <c r="H572" s="24">
        <v>4.4297000000000004</v>
      </c>
      <c r="I572" s="24">
        <v>2.4459</v>
      </c>
      <c r="J572" s="24">
        <v>1.0782</v>
      </c>
      <c r="K572" s="24">
        <v>25</v>
      </c>
      <c r="L572" s="24" t="s">
        <v>4562</v>
      </c>
    </row>
    <row r="573" spans="1:12" x14ac:dyDescent="0.35">
      <c r="A573" s="24" t="s">
        <v>3246</v>
      </c>
      <c r="B573" s="24" t="str">
        <f>"688184"</f>
        <v>688184</v>
      </c>
      <c r="C573" s="24" t="str">
        <f t="shared" si="8"/>
        <v>'688184.SS'</v>
      </c>
      <c r="D573" s="24" t="s">
        <v>4563</v>
      </c>
      <c r="E573" s="24" t="s">
        <v>3377</v>
      </c>
      <c r="F573" s="24">
        <v>1.6315</v>
      </c>
      <c r="G573" s="24">
        <v>5027089509.4799995</v>
      </c>
      <c r="H573" s="24">
        <v>3.1688999999999998</v>
      </c>
      <c r="I573" s="24">
        <v>2.4316</v>
      </c>
      <c r="J573" s="24">
        <v>1.8120000000000001</v>
      </c>
      <c r="K573" s="24">
        <v>4</v>
      </c>
      <c r="L573" s="24" t="s">
        <v>4564</v>
      </c>
    </row>
    <row r="574" spans="1:12" x14ac:dyDescent="0.35">
      <c r="A574" s="24" t="s">
        <v>3246</v>
      </c>
      <c r="B574" s="24" t="str">
        <f>"688095"</f>
        <v>688095</v>
      </c>
      <c r="C574" s="24" t="str">
        <f t="shared" si="8"/>
        <v>'688095.SS'</v>
      </c>
      <c r="D574" s="24" t="s">
        <v>4565</v>
      </c>
      <c r="E574" s="24" t="s">
        <v>3285</v>
      </c>
      <c r="F574" s="24">
        <v>1.6298999999999999</v>
      </c>
      <c r="G574" s="24">
        <v>4364055747.8400002</v>
      </c>
      <c r="H574" s="24">
        <v>10.0078</v>
      </c>
      <c r="I574" s="24">
        <v>9.9509000000000007</v>
      </c>
      <c r="J574" s="24">
        <v>2.5619999999999998</v>
      </c>
      <c r="K574" s="24">
        <v>149</v>
      </c>
      <c r="L574" s="24" t="s">
        <v>4566</v>
      </c>
    </row>
    <row r="575" spans="1:12" x14ac:dyDescent="0.35">
      <c r="A575" s="24" t="s">
        <v>3246</v>
      </c>
      <c r="B575" s="24" t="str">
        <f>"603096"</f>
        <v>603096</v>
      </c>
      <c r="C575" s="24" t="str">
        <f t="shared" si="8"/>
        <v>'603096.SS'</v>
      </c>
      <c r="D575" s="24" t="s">
        <v>4567</v>
      </c>
      <c r="E575" s="24" t="s">
        <v>4352</v>
      </c>
      <c r="F575" s="24">
        <v>1.6288</v>
      </c>
      <c r="G575" s="24">
        <v>3212695875.4499998</v>
      </c>
      <c r="H575" s="24">
        <v>9.6632999999999996</v>
      </c>
      <c r="I575" s="24">
        <v>6.8639999999999999</v>
      </c>
      <c r="J575" s="24">
        <v>3.5684</v>
      </c>
      <c r="K575" s="24">
        <v>222</v>
      </c>
      <c r="L575" s="24" t="s">
        <v>4568</v>
      </c>
    </row>
    <row r="576" spans="1:12" x14ac:dyDescent="0.35">
      <c r="A576" s="24" t="s">
        <v>3246</v>
      </c>
      <c r="B576" s="24" t="str">
        <f>"603165"</f>
        <v>603165</v>
      </c>
      <c r="C576" s="24" t="str">
        <f t="shared" si="8"/>
        <v>'603165.SS'</v>
      </c>
      <c r="D576" s="24" t="s">
        <v>4569</v>
      </c>
      <c r="E576" s="24" t="s">
        <v>4570</v>
      </c>
      <c r="F576" s="24">
        <v>1.6209</v>
      </c>
      <c r="G576" s="24">
        <v>3174116546.4000001</v>
      </c>
      <c r="H576" s="24">
        <v>2.8782000000000001</v>
      </c>
      <c r="I576" s="24">
        <v>2.6865000000000001</v>
      </c>
      <c r="J576" s="24">
        <v>1.2146999999999999</v>
      </c>
      <c r="K576" s="24">
        <v>789</v>
      </c>
      <c r="L576" s="24" t="s">
        <v>4571</v>
      </c>
    </row>
    <row r="577" spans="1:12" x14ac:dyDescent="0.35">
      <c r="A577" s="24" t="s">
        <v>3246</v>
      </c>
      <c r="B577" s="24" t="str">
        <f>"600636"</f>
        <v>600636</v>
      </c>
      <c r="C577" s="24" t="str">
        <f t="shared" si="8"/>
        <v>'600636.SS'</v>
      </c>
      <c r="D577" s="24" t="s">
        <v>4572</v>
      </c>
      <c r="E577" s="24" t="s">
        <v>4247</v>
      </c>
      <c r="F577" s="24">
        <v>1.6198999999999999</v>
      </c>
      <c r="G577" s="24">
        <v>4245928697.4000001</v>
      </c>
      <c r="H577" s="24">
        <v>13.9602</v>
      </c>
      <c r="I577" s="24">
        <v>12.7928</v>
      </c>
      <c r="J577" s="24">
        <v>7.6481000000000003</v>
      </c>
      <c r="K577" s="24">
        <v>139</v>
      </c>
      <c r="L577" s="24" t="s">
        <v>4573</v>
      </c>
    </row>
    <row r="578" spans="1:12" x14ac:dyDescent="0.35">
      <c r="A578" s="24" t="s">
        <v>3242</v>
      </c>
      <c r="B578" s="24" t="str">
        <f>"301199"</f>
        <v>301199</v>
      </c>
      <c r="C578" s="24" t="str">
        <f t="shared" si="8"/>
        <v>'301199.SZ'</v>
      </c>
      <c r="D578" s="24" t="s">
        <v>4574</v>
      </c>
      <c r="E578" s="24" t="s">
        <v>4575</v>
      </c>
      <c r="F578" s="24">
        <v>1.6192</v>
      </c>
      <c r="G578" s="24">
        <v>2813474000</v>
      </c>
      <c r="H578" s="24">
        <v>2.4392999999999998</v>
      </c>
      <c r="I578" s="24">
        <v>1.2606999999999999</v>
      </c>
      <c r="J578" s="24">
        <v>0.82340000000000002</v>
      </c>
      <c r="K578" s="24">
        <v>17</v>
      </c>
      <c r="L578" s="24" t="s">
        <v>4576</v>
      </c>
    </row>
    <row r="579" spans="1:12" x14ac:dyDescent="0.35">
      <c r="A579" s="24" t="s">
        <v>3246</v>
      </c>
      <c r="B579" s="24" t="str">
        <f>"603579"</f>
        <v>603579</v>
      </c>
      <c r="C579" s="24" t="str">
        <f t="shared" ref="C579:C642" si="9">CONCATENATE("'",B579,IF(A579="sh",".SS'",".SZ'"))</f>
        <v>'603579.SS'</v>
      </c>
      <c r="D579" s="24" t="s">
        <v>4577</v>
      </c>
      <c r="E579" s="24" t="s">
        <v>4578</v>
      </c>
      <c r="F579" s="24">
        <v>1.6174999999999999</v>
      </c>
      <c r="G579" s="24">
        <v>2869455376.5</v>
      </c>
      <c r="H579" s="24">
        <v>2.3041999999999998</v>
      </c>
      <c r="I579" s="24">
        <v>2.0146000000000002</v>
      </c>
      <c r="J579" s="24">
        <v>1.3398000000000001</v>
      </c>
      <c r="K579" s="24">
        <v>603</v>
      </c>
      <c r="L579" s="24" t="s">
        <v>4579</v>
      </c>
    </row>
    <row r="580" spans="1:12" x14ac:dyDescent="0.35">
      <c r="A580" s="24" t="s">
        <v>3246</v>
      </c>
      <c r="B580" s="24" t="str">
        <f>"688317"</f>
        <v>688317</v>
      </c>
      <c r="C580" s="24" t="str">
        <f t="shared" si="9"/>
        <v>'688317.SS'</v>
      </c>
      <c r="D580" s="24" t="s">
        <v>4580</v>
      </c>
      <c r="E580" s="24" t="s">
        <v>3432</v>
      </c>
      <c r="F580" s="24">
        <v>1.6153</v>
      </c>
      <c r="G580" s="24">
        <v>6581007030</v>
      </c>
      <c r="H580" s="24">
        <v>6.6426999999999996</v>
      </c>
      <c r="I580" s="24">
        <v>5.7891000000000004</v>
      </c>
      <c r="J580" s="24">
        <v>5.1471</v>
      </c>
      <c r="K580" s="24">
        <v>137</v>
      </c>
      <c r="L580" s="24" t="s">
        <v>4581</v>
      </c>
    </row>
    <row r="581" spans="1:12" x14ac:dyDescent="0.35">
      <c r="A581" s="24" t="s">
        <v>3242</v>
      </c>
      <c r="B581" s="24" t="str">
        <f>"301356"</f>
        <v>301356</v>
      </c>
      <c r="C581" s="24" t="str">
        <f t="shared" si="9"/>
        <v>'301356.SZ'</v>
      </c>
      <c r="D581" s="24" t="s">
        <v>4582</v>
      </c>
      <c r="E581" s="24" t="s">
        <v>4583</v>
      </c>
      <c r="F581" s="24">
        <v>1.6137999999999999</v>
      </c>
      <c r="G581" s="24">
        <v>5600400000</v>
      </c>
      <c r="H581" s="24">
        <v>1.9380999999999999</v>
      </c>
      <c r="I581" s="24">
        <v>1.5722</v>
      </c>
      <c r="J581" s="24">
        <v>0.83679999999999999</v>
      </c>
      <c r="K581" s="24">
        <v>3</v>
      </c>
      <c r="L581" s="24" t="s">
        <v>4584</v>
      </c>
    </row>
    <row r="582" spans="1:12" x14ac:dyDescent="0.35">
      <c r="A582" s="24" t="s">
        <v>3246</v>
      </c>
      <c r="B582" s="24" t="str">
        <f>"600059"</f>
        <v>600059</v>
      </c>
      <c r="C582" s="24" t="str">
        <f t="shared" si="9"/>
        <v>'600059.SS'</v>
      </c>
      <c r="D582" s="24" t="s">
        <v>4585</v>
      </c>
      <c r="E582" s="24" t="s">
        <v>3854</v>
      </c>
      <c r="F582" s="24">
        <v>1.6031</v>
      </c>
      <c r="G582" s="24">
        <v>8686999195.8899994</v>
      </c>
      <c r="H582" s="24">
        <v>7.6679000000000004</v>
      </c>
      <c r="I582" s="24">
        <v>3.6827999999999999</v>
      </c>
      <c r="J582" s="24">
        <v>2.6175999999999999</v>
      </c>
      <c r="K582" s="24">
        <v>342</v>
      </c>
      <c r="L582" s="24" t="s">
        <v>4586</v>
      </c>
    </row>
    <row r="583" spans="1:12" x14ac:dyDescent="0.35">
      <c r="A583" s="24" t="s">
        <v>3242</v>
      </c>
      <c r="B583" s="24" t="str">
        <f>"002331"</f>
        <v>002331</v>
      </c>
      <c r="C583" s="24" t="str">
        <f t="shared" si="9"/>
        <v>'002331.SZ'</v>
      </c>
      <c r="D583" s="24" t="s">
        <v>4587</v>
      </c>
      <c r="E583" s="24" t="s">
        <v>3722</v>
      </c>
      <c r="F583" s="24">
        <v>1.6012</v>
      </c>
      <c r="G583" s="24">
        <v>2801979831.6700001</v>
      </c>
      <c r="H583" s="24">
        <v>2.8464999999999998</v>
      </c>
      <c r="I583" s="24">
        <v>1.8694999999999999</v>
      </c>
      <c r="J583" s="24">
        <v>0.82679999999999998</v>
      </c>
      <c r="K583" s="24">
        <v>131</v>
      </c>
      <c r="L583" s="24" t="s">
        <v>4588</v>
      </c>
    </row>
    <row r="584" spans="1:12" x14ac:dyDescent="0.35">
      <c r="A584" s="24" t="s">
        <v>3246</v>
      </c>
      <c r="B584" s="24" t="str">
        <f>"605566"</f>
        <v>605566</v>
      </c>
      <c r="C584" s="24" t="str">
        <f t="shared" si="9"/>
        <v>'605566.SS'</v>
      </c>
      <c r="D584" s="24" t="s">
        <v>4589</v>
      </c>
      <c r="E584" s="24" t="s">
        <v>4036</v>
      </c>
      <c r="F584" s="24">
        <v>1.5961000000000001</v>
      </c>
      <c r="G584" s="24">
        <v>3214827400</v>
      </c>
      <c r="H584" s="24">
        <v>3.5579000000000001</v>
      </c>
      <c r="I584" s="24">
        <v>2.6387</v>
      </c>
      <c r="J584" s="24">
        <v>1.8120000000000001</v>
      </c>
      <c r="K584" s="24">
        <v>31</v>
      </c>
      <c r="L584" s="24" t="s">
        <v>4590</v>
      </c>
    </row>
    <row r="585" spans="1:12" x14ac:dyDescent="0.35">
      <c r="A585" s="24" t="s">
        <v>3242</v>
      </c>
      <c r="B585" s="24" t="str">
        <f>"300735"</f>
        <v>300735</v>
      </c>
      <c r="C585" s="24" t="str">
        <f t="shared" si="9"/>
        <v>'300735.SZ'</v>
      </c>
      <c r="D585" s="24" t="s">
        <v>4591</v>
      </c>
      <c r="E585" s="24" t="s">
        <v>3327</v>
      </c>
      <c r="F585" s="24">
        <v>1.5952</v>
      </c>
      <c r="G585" s="24">
        <v>7146891553.2799997</v>
      </c>
      <c r="H585" s="24">
        <v>3.4293999999999998</v>
      </c>
      <c r="I585" s="24">
        <v>3.1707999999999998</v>
      </c>
      <c r="J585" s="24">
        <v>1.4573</v>
      </c>
      <c r="K585" s="24">
        <v>455</v>
      </c>
      <c r="L585" s="24" t="s">
        <v>4592</v>
      </c>
    </row>
    <row r="586" spans="1:12" x14ac:dyDescent="0.35">
      <c r="A586" s="24" t="s">
        <v>3242</v>
      </c>
      <c r="B586" s="24" t="str">
        <f>"300154"</f>
        <v>300154</v>
      </c>
      <c r="C586" s="24" t="str">
        <f t="shared" si="9"/>
        <v>'300154.SZ'</v>
      </c>
      <c r="D586" s="24" t="s">
        <v>4593</v>
      </c>
      <c r="E586" s="24" t="s">
        <v>3473</v>
      </c>
      <c r="F586" s="24">
        <v>1.5939000000000001</v>
      </c>
      <c r="G586" s="24">
        <v>2617952000</v>
      </c>
      <c r="H586" s="24">
        <v>4.3544</v>
      </c>
      <c r="I586" s="24">
        <v>3.6629999999999998</v>
      </c>
      <c r="J586" s="24">
        <v>2.2749999999999999</v>
      </c>
      <c r="K586" s="24">
        <v>87</v>
      </c>
      <c r="L586" s="24" t="s">
        <v>4594</v>
      </c>
    </row>
    <row r="587" spans="1:12" x14ac:dyDescent="0.35">
      <c r="A587" s="24" t="s">
        <v>3242</v>
      </c>
      <c r="B587" s="24" t="str">
        <f>"000537"</f>
        <v>000537</v>
      </c>
      <c r="C587" s="24" t="str">
        <f t="shared" si="9"/>
        <v>'000537.SZ'</v>
      </c>
      <c r="D587" s="24" t="s">
        <v>4595</v>
      </c>
      <c r="E587" s="24" t="s">
        <v>4596</v>
      </c>
      <c r="F587" s="24">
        <v>1.5901000000000001</v>
      </c>
      <c r="G587" s="24">
        <v>26075290080</v>
      </c>
      <c r="H587" s="24">
        <v>3.7222</v>
      </c>
      <c r="I587" s="24">
        <v>3.5266999999999999</v>
      </c>
      <c r="J587" s="24">
        <v>1.4157</v>
      </c>
      <c r="K587" s="24">
        <v>626</v>
      </c>
      <c r="L587" s="24" t="s">
        <v>4597</v>
      </c>
    </row>
    <row r="588" spans="1:12" x14ac:dyDescent="0.35">
      <c r="A588" s="24" t="s">
        <v>3242</v>
      </c>
      <c r="B588" s="24" t="str">
        <f>"301108"</f>
        <v>301108</v>
      </c>
      <c r="C588" s="24" t="str">
        <f t="shared" si="9"/>
        <v>'301108.SZ'</v>
      </c>
      <c r="D588" s="24" t="s">
        <v>4598</v>
      </c>
      <c r="E588" s="24" t="s">
        <v>3571</v>
      </c>
      <c r="F588" s="24">
        <v>1.589</v>
      </c>
      <c r="G588" s="24">
        <v>2802550819.1799998</v>
      </c>
      <c r="H588" s="24">
        <v>6.6106999999999996</v>
      </c>
      <c r="I588" s="24">
        <v>6.2721999999999998</v>
      </c>
      <c r="J588" s="24">
        <v>4.4211999999999998</v>
      </c>
      <c r="K588" s="24">
        <v>38</v>
      </c>
      <c r="L588" s="24" t="s">
        <v>4599</v>
      </c>
    </row>
    <row r="589" spans="1:12" x14ac:dyDescent="0.35">
      <c r="A589" s="24" t="s">
        <v>3246</v>
      </c>
      <c r="B589" s="24" t="str">
        <f>"603163"</f>
        <v>603163</v>
      </c>
      <c r="C589" s="24" t="str">
        <f t="shared" si="9"/>
        <v>'603163.SS'</v>
      </c>
      <c r="D589" s="24" t="s">
        <v>4600</v>
      </c>
      <c r="E589" s="24" t="s">
        <v>4264</v>
      </c>
      <c r="F589" s="24">
        <v>1.5884</v>
      </c>
      <c r="G589" s="24">
        <v>2417600000</v>
      </c>
      <c r="H589" s="24">
        <v>2.1663999999999999</v>
      </c>
      <c r="I589" s="24">
        <v>1.5158</v>
      </c>
      <c r="J589" s="24">
        <v>0.88019999999999998</v>
      </c>
      <c r="K589" s="24">
        <v>5</v>
      </c>
      <c r="L589" s="24" t="s">
        <v>4601</v>
      </c>
    </row>
    <row r="590" spans="1:12" x14ac:dyDescent="0.35">
      <c r="A590" s="24" t="s">
        <v>3246</v>
      </c>
      <c r="B590" s="24" t="str">
        <f>"600229"</f>
        <v>600229</v>
      </c>
      <c r="C590" s="24" t="str">
        <f t="shared" si="9"/>
        <v>'600229.SS'</v>
      </c>
      <c r="D590" s="24" t="s">
        <v>4602</v>
      </c>
      <c r="E590" s="24" t="s">
        <v>4352</v>
      </c>
      <c r="F590" s="24">
        <v>1.5867</v>
      </c>
      <c r="G590" s="24">
        <v>4611198960</v>
      </c>
      <c r="H590" s="24">
        <v>2.2006000000000001</v>
      </c>
      <c r="I590" s="24">
        <v>1.5138</v>
      </c>
      <c r="J590" s="24">
        <v>0.89410000000000001</v>
      </c>
      <c r="K590" s="24">
        <v>186</v>
      </c>
      <c r="L590" s="24" t="s">
        <v>4603</v>
      </c>
    </row>
    <row r="591" spans="1:12" x14ac:dyDescent="0.35">
      <c r="A591" s="24" t="s">
        <v>3246</v>
      </c>
      <c r="B591" s="24" t="str">
        <f>"688172"</f>
        <v>688172</v>
      </c>
      <c r="C591" s="24" t="str">
        <f t="shared" si="9"/>
        <v>'688172.SS'</v>
      </c>
      <c r="D591" s="24" t="s">
        <v>4604</v>
      </c>
      <c r="E591" s="24" t="s">
        <v>3508</v>
      </c>
      <c r="F591" s="24">
        <v>1.5838000000000001</v>
      </c>
      <c r="G591" s="24">
        <v>22998816848.98</v>
      </c>
      <c r="H591" s="24">
        <v>4.4566999999999997</v>
      </c>
      <c r="I591" s="24">
        <v>3.9003999999999999</v>
      </c>
      <c r="J591" s="24">
        <v>3.0817000000000001</v>
      </c>
      <c r="K591" s="24">
        <v>1</v>
      </c>
      <c r="L591" s="24" t="s">
        <v>4605</v>
      </c>
    </row>
    <row r="592" spans="1:12" x14ac:dyDescent="0.35">
      <c r="A592" s="24" t="s">
        <v>3246</v>
      </c>
      <c r="B592" s="24" t="str">
        <f>"600179"</f>
        <v>600179</v>
      </c>
      <c r="C592" s="24" t="str">
        <f t="shared" si="9"/>
        <v>'600179.SS'</v>
      </c>
      <c r="D592" s="24" t="s">
        <v>4606</v>
      </c>
      <c r="E592" s="24" t="s">
        <v>3371</v>
      </c>
      <c r="F592" s="24">
        <v>1.5826</v>
      </c>
      <c r="G592" s="24">
        <v>13879408491.120001</v>
      </c>
      <c r="H592" s="24">
        <v>2.1606999999999998</v>
      </c>
      <c r="I592" s="24">
        <v>2.1202000000000001</v>
      </c>
      <c r="J592" s="24">
        <v>0.88</v>
      </c>
      <c r="K592" s="24">
        <v>160</v>
      </c>
      <c r="L592" s="24" t="s">
        <v>4607</v>
      </c>
    </row>
    <row r="593" spans="1:12" x14ac:dyDescent="0.35">
      <c r="A593" s="24" t="s">
        <v>3242</v>
      </c>
      <c r="B593" s="24" t="str">
        <f>"002038"</f>
        <v>002038</v>
      </c>
      <c r="C593" s="24" t="str">
        <f t="shared" si="9"/>
        <v>'002038.SZ'</v>
      </c>
      <c r="D593" s="24" t="s">
        <v>4608</v>
      </c>
      <c r="E593" s="24" t="s">
        <v>3282</v>
      </c>
      <c r="F593" s="24">
        <v>1.5821000000000001</v>
      </c>
      <c r="G593" s="24">
        <v>8619466500</v>
      </c>
      <c r="H593" s="24">
        <v>7.4337999999999997</v>
      </c>
      <c r="I593" s="24">
        <v>6.4652000000000003</v>
      </c>
      <c r="J593" s="24">
        <v>2.8614000000000002</v>
      </c>
      <c r="K593" s="24">
        <v>5163</v>
      </c>
      <c r="L593" s="24" t="s">
        <v>4609</v>
      </c>
    </row>
    <row r="594" spans="1:12" x14ac:dyDescent="0.35">
      <c r="A594" s="24" t="s">
        <v>3246</v>
      </c>
      <c r="B594" s="24" t="str">
        <f>"688151"</f>
        <v>688151</v>
      </c>
      <c r="C594" s="24" t="str">
        <f t="shared" si="9"/>
        <v>'688151.SS'</v>
      </c>
      <c r="D594" s="24" t="s">
        <v>4610</v>
      </c>
      <c r="E594" s="24" t="s">
        <v>3319</v>
      </c>
      <c r="F594" s="24">
        <v>1.579</v>
      </c>
      <c r="G594" s="24">
        <v>6662630000</v>
      </c>
      <c r="H594" s="24">
        <v>9.0454000000000008</v>
      </c>
      <c r="I594" s="24">
        <v>8.4267000000000003</v>
      </c>
      <c r="J594" s="24">
        <v>6.9358000000000004</v>
      </c>
      <c r="K594" s="24">
        <v>20</v>
      </c>
      <c r="L594" s="24" t="s">
        <v>4611</v>
      </c>
    </row>
    <row r="595" spans="1:12" x14ac:dyDescent="0.35">
      <c r="A595" s="24" t="s">
        <v>3246</v>
      </c>
      <c r="B595" s="24" t="str">
        <f>"688068"</f>
        <v>688068</v>
      </c>
      <c r="C595" s="24" t="str">
        <f t="shared" si="9"/>
        <v>'688068.SS'</v>
      </c>
      <c r="D595" s="24" t="s">
        <v>4612</v>
      </c>
      <c r="E595" s="24" t="s">
        <v>3432</v>
      </c>
      <c r="F595" s="24">
        <v>1.5744</v>
      </c>
      <c r="G595" s="24">
        <v>5572742415.8999996</v>
      </c>
      <c r="H595" s="24">
        <v>7.1120999999999999</v>
      </c>
      <c r="I595" s="24">
        <v>6.1044</v>
      </c>
      <c r="J595" s="24">
        <v>2.0122</v>
      </c>
      <c r="K595" s="24">
        <v>273</v>
      </c>
      <c r="L595" s="24" t="s">
        <v>4613</v>
      </c>
    </row>
    <row r="596" spans="1:12" x14ac:dyDescent="0.35">
      <c r="A596" s="24" t="s">
        <v>3242</v>
      </c>
      <c r="B596" s="24" t="str">
        <f>"301087"</f>
        <v>301087</v>
      </c>
      <c r="C596" s="24" t="str">
        <f t="shared" si="9"/>
        <v>'301087.SZ'</v>
      </c>
      <c r="D596" s="24" t="s">
        <v>4614</v>
      </c>
      <c r="E596" s="24" t="s">
        <v>3319</v>
      </c>
      <c r="F596" s="24">
        <v>1.5741000000000001</v>
      </c>
      <c r="G596" s="24">
        <v>7680679500</v>
      </c>
      <c r="H596" s="24">
        <v>4.016</v>
      </c>
      <c r="I596" s="24">
        <v>3.3866000000000001</v>
      </c>
      <c r="J596" s="24">
        <v>1.3090999999999999</v>
      </c>
      <c r="K596" s="24">
        <v>45</v>
      </c>
      <c r="L596" s="24" t="s">
        <v>4615</v>
      </c>
    </row>
    <row r="597" spans="1:12" x14ac:dyDescent="0.35">
      <c r="A597" s="24" t="s">
        <v>3242</v>
      </c>
      <c r="B597" s="24" t="str">
        <f>"002064"</f>
        <v>002064</v>
      </c>
      <c r="C597" s="24" t="str">
        <f t="shared" si="9"/>
        <v>'002064.SZ'</v>
      </c>
      <c r="D597" s="24" t="s">
        <v>4616</v>
      </c>
      <c r="E597" s="24" t="s">
        <v>4617</v>
      </c>
      <c r="F597" s="24">
        <v>1.5731999999999999</v>
      </c>
      <c r="G597" s="24">
        <v>35730316058.400002</v>
      </c>
      <c r="H597" s="24">
        <v>2.2534000000000001</v>
      </c>
      <c r="I597" s="24">
        <v>1.8436999999999999</v>
      </c>
      <c r="J597" s="24">
        <v>1.2408999999999999</v>
      </c>
      <c r="K597" s="24">
        <v>762</v>
      </c>
      <c r="L597" s="24" t="s">
        <v>4618</v>
      </c>
    </row>
    <row r="598" spans="1:12" x14ac:dyDescent="0.35">
      <c r="A598" s="24" t="s">
        <v>3242</v>
      </c>
      <c r="B598" s="24" t="str">
        <f>"301088"</f>
        <v>301088</v>
      </c>
      <c r="C598" s="24" t="str">
        <f t="shared" si="9"/>
        <v>'301088.SZ'</v>
      </c>
      <c r="D598" s="24" t="s">
        <v>4619</v>
      </c>
      <c r="E598" s="24" t="s">
        <v>4121</v>
      </c>
      <c r="F598" s="24">
        <v>1.5723</v>
      </c>
      <c r="G598" s="24">
        <v>3951240000</v>
      </c>
      <c r="H598" s="24">
        <v>21.913</v>
      </c>
      <c r="I598" s="24">
        <v>17.9359</v>
      </c>
      <c r="J598" s="24">
        <v>7.5106999999999999</v>
      </c>
      <c r="K598" s="24">
        <v>31</v>
      </c>
      <c r="L598" s="24" t="s">
        <v>4620</v>
      </c>
    </row>
    <row r="599" spans="1:12" x14ac:dyDescent="0.35">
      <c r="A599" s="24" t="s">
        <v>3242</v>
      </c>
      <c r="B599" s="24" t="str">
        <f>"002469"</f>
        <v>002469</v>
      </c>
      <c r="C599" s="24" t="str">
        <f t="shared" si="9"/>
        <v>'002469.SZ'</v>
      </c>
      <c r="D599" s="24" t="s">
        <v>4621</v>
      </c>
      <c r="E599" s="24" t="s">
        <v>4622</v>
      </c>
      <c r="F599" s="24">
        <v>1.5699000000000001</v>
      </c>
      <c r="G599" s="24">
        <v>3958062043</v>
      </c>
      <c r="H599" s="24">
        <v>5.1783000000000001</v>
      </c>
      <c r="I599" s="24">
        <v>4.4499000000000004</v>
      </c>
      <c r="J599" s="24">
        <v>2.5167000000000002</v>
      </c>
      <c r="K599" s="24">
        <v>121</v>
      </c>
      <c r="L599" s="24" t="s">
        <v>4623</v>
      </c>
    </row>
    <row r="600" spans="1:12" x14ac:dyDescent="0.35">
      <c r="A600" s="24" t="s">
        <v>3246</v>
      </c>
      <c r="B600" s="24" t="str">
        <f>"603767"</f>
        <v>603767</v>
      </c>
      <c r="C600" s="24" t="str">
        <f t="shared" si="9"/>
        <v>'603767.SS'</v>
      </c>
      <c r="D600" s="24" t="s">
        <v>4624</v>
      </c>
      <c r="E600" s="24" t="s">
        <v>3405</v>
      </c>
      <c r="F600" s="24">
        <v>1.5603</v>
      </c>
      <c r="G600" s="24">
        <v>2278167450</v>
      </c>
      <c r="H600" s="24">
        <v>2.7324000000000002</v>
      </c>
      <c r="I600" s="24">
        <v>2.1349999999999998</v>
      </c>
      <c r="J600" s="24">
        <v>1.0823</v>
      </c>
      <c r="K600" s="24">
        <v>91</v>
      </c>
      <c r="L600" s="24" t="s">
        <v>4625</v>
      </c>
    </row>
    <row r="601" spans="1:12" x14ac:dyDescent="0.35">
      <c r="A601" s="24" t="s">
        <v>3246</v>
      </c>
      <c r="B601" s="24" t="str">
        <f>"600527"</f>
        <v>600527</v>
      </c>
      <c r="C601" s="24" t="str">
        <f t="shared" si="9"/>
        <v>'600527.SS'</v>
      </c>
      <c r="D601" s="24" t="s">
        <v>4626</v>
      </c>
      <c r="E601" s="24" t="s">
        <v>3357</v>
      </c>
      <c r="F601" s="24">
        <v>1.5584</v>
      </c>
      <c r="G601" s="24">
        <v>3619380285.1799998</v>
      </c>
      <c r="H601" s="24">
        <v>18.8995</v>
      </c>
      <c r="I601" s="24">
        <v>13.996700000000001</v>
      </c>
      <c r="J601" s="24">
        <v>3.7147000000000001</v>
      </c>
      <c r="K601" s="24">
        <v>121</v>
      </c>
      <c r="L601" s="24" t="s">
        <v>4627</v>
      </c>
    </row>
    <row r="602" spans="1:12" x14ac:dyDescent="0.35">
      <c r="A602" s="24" t="s">
        <v>3246</v>
      </c>
      <c r="B602" s="24" t="str">
        <f>"688569"</f>
        <v>688569</v>
      </c>
      <c r="C602" s="24" t="str">
        <f t="shared" si="9"/>
        <v>'688569.SS'</v>
      </c>
      <c r="D602" s="24" t="s">
        <v>4628</v>
      </c>
      <c r="E602" s="24" t="s">
        <v>3522</v>
      </c>
      <c r="F602" s="24">
        <v>1.5584</v>
      </c>
      <c r="G602" s="24">
        <v>3834133940</v>
      </c>
      <c r="H602" s="24">
        <v>4.6257999999999999</v>
      </c>
      <c r="I602" s="24">
        <v>3.8197000000000001</v>
      </c>
      <c r="J602" s="24">
        <v>2.2464</v>
      </c>
      <c r="K602" s="24">
        <v>51</v>
      </c>
      <c r="L602" s="24" t="s">
        <v>4629</v>
      </c>
    </row>
    <row r="603" spans="1:12" x14ac:dyDescent="0.35">
      <c r="A603" s="24" t="s">
        <v>3246</v>
      </c>
      <c r="B603" s="24" t="str">
        <f>"600516"</f>
        <v>600516</v>
      </c>
      <c r="C603" s="24" t="str">
        <f t="shared" si="9"/>
        <v>'600516.SS'</v>
      </c>
      <c r="D603" s="24" t="s">
        <v>4630</v>
      </c>
      <c r="E603" s="24" t="s">
        <v>4631</v>
      </c>
      <c r="F603" s="24">
        <v>1.5561</v>
      </c>
      <c r="G603" s="24">
        <v>23749255096.32</v>
      </c>
      <c r="H603" s="24">
        <v>3.2850999999999999</v>
      </c>
      <c r="I603" s="24">
        <v>2.3969</v>
      </c>
      <c r="J603" s="24">
        <v>1.4347000000000001</v>
      </c>
      <c r="K603" s="24">
        <v>1180</v>
      </c>
      <c r="L603" s="24" t="s">
        <v>4632</v>
      </c>
    </row>
    <row r="604" spans="1:12" x14ac:dyDescent="0.35">
      <c r="A604" s="24" t="s">
        <v>3242</v>
      </c>
      <c r="B604" s="24" t="str">
        <f>"300004"</f>
        <v>300004</v>
      </c>
      <c r="C604" s="24" t="str">
        <f t="shared" si="9"/>
        <v>'300004.SZ'</v>
      </c>
      <c r="D604" s="24" t="s">
        <v>4633</v>
      </c>
      <c r="E604" s="24" t="s">
        <v>3244</v>
      </c>
      <c r="F604" s="24">
        <v>1.5556000000000001</v>
      </c>
      <c r="G604" s="24">
        <v>2639964789</v>
      </c>
      <c r="H604" s="24">
        <v>9.7339000000000002</v>
      </c>
      <c r="I604" s="24">
        <v>7.8829000000000002</v>
      </c>
      <c r="J604" s="24">
        <v>2.9407000000000001</v>
      </c>
      <c r="K604" s="24">
        <v>85</v>
      </c>
      <c r="L604" s="24" t="s">
        <v>4634</v>
      </c>
    </row>
    <row r="605" spans="1:12" x14ac:dyDescent="0.35">
      <c r="A605" s="24" t="s">
        <v>3246</v>
      </c>
      <c r="B605" s="24" t="str">
        <f>"603556"</f>
        <v>603556</v>
      </c>
      <c r="C605" s="24" t="str">
        <f t="shared" si="9"/>
        <v>'603556.SS'</v>
      </c>
      <c r="D605" s="24" t="s">
        <v>4635</v>
      </c>
      <c r="E605" s="24" t="s">
        <v>3670</v>
      </c>
      <c r="F605" s="24">
        <v>1.5551999999999999</v>
      </c>
      <c r="G605" s="24">
        <v>8991786336</v>
      </c>
      <c r="H605" s="24">
        <v>3.99</v>
      </c>
      <c r="I605" s="24">
        <v>3.4933999999999998</v>
      </c>
      <c r="J605" s="24">
        <v>2.0017</v>
      </c>
      <c r="K605" s="24">
        <v>244</v>
      </c>
      <c r="L605" s="24" t="s">
        <v>4636</v>
      </c>
    </row>
    <row r="606" spans="1:12" x14ac:dyDescent="0.35">
      <c r="A606" s="24" t="s">
        <v>3246</v>
      </c>
      <c r="B606" s="24" t="str">
        <f>"600825"</f>
        <v>600825</v>
      </c>
      <c r="C606" s="24" t="str">
        <f t="shared" si="9"/>
        <v>'600825.SS'</v>
      </c>
      <c r="D606" s="24" t="s">
        <v>4637</v>
      </c>
      <c r="E606" s="24" t="s">
        <v>4352</v>
      </c>
      <c r="F606" s="24">
        <v>1.5516000000000001</v>
      </c>
      <c r="G606" s="24">
        <v>4022818222.5</v>
      </c>
      <c r="H606" s="24">
        <v>1.7727999999999999</v>
      </c>
      <c r="I606" s="24">
        <v>1.4031</v>
      </c>
      <c r="J606" s="24">
        <v>0.85460000000000003</v>
      </c>
      <c r="K606" s="24">
        <v>91</v>
      </c>
      <c r="L606" s="24" t="s">
        <v>4638</v>
      </c>
    </row>
    <row r="607" spans="1:12" x14ac:dyDescent="0.35">
      <c r="A607" s="24" t="s">
        <v>3242</v>
      </c>
      <c r="B607" s="24" t="str">
        <f>"002108"</f>
        <v>002108</v>
      </c>
      <c r="C607" s="24" t="str">
        <f t="shared" si="9"/>
        <v>'002108.SZ'</v>
      </c>
      <c r="D607" s="24" t="s">
        <v>4639</v>
      </c>
      <c r="E607" s="24" t="s">
        <v>3733</v>
      </c>
      <c r="F607" s="24">
        <v>1.5501</v>
      </c>
      <c r="G607" s="24">
        <v>7895133455.5200005</v>
      </c>
      <c r="H607" s="24">
        <v>3.0518000000000001</v>
      </c>
      <c r="I607" s="24">
        <v>2.4742999999999999</v>
      </c>
      <c r="J607" s="24">
        <v>1.3313999999999999</v>
      </c>
      <c r="K607" s="24">
        <v>349</v>
      </c>
      <c r="L607" s="24" t="s">
        <v>4640</v>
      </c>
    </row>
    <row r="608" spans="1:12" x14ac:dyDescent="0.35">
      <c r="A608" s="24" t="s">
        <v>3246</v>
      </c>
      <c r="B608" s="24" t="str">
        <f>"601360"</f>
        <v>601360</v>
      </c>
      <c r="C608" s="24" t="str">
        <f t="shared" si="9"/>
        <v>'601360.SS'</v>
      </c>
      <c r="D608" s="24" t="s">
        <v>4641</v>
      </c>
      <c r="E608" s="24" t="s">
        <v>3285</v>
      </c>
      <c r="F608" s="24">
        <v>1.5434000000000001</v>
      </c>
      <c r="G608" s="24">
        <v>48088294315.809998</v>
      </c>
      <c r="H608" s="24">
        <v>4.7991000000000001</v>
      </c>
      <c r="I608" s="24">
        <v>4.6292</v>
      </c>
      <c r="J608" s="24">
        <v>4.0507</v>
      </c>
      <c r="K608" s="24">
        <v>1031</v>
      </c>
      <c r="L608" s="24" t="s">
        <v>4642</v>
      </c>
    </row>
    <row r="609" spans="1:12" x14ac:dyDescent="0.35">
      <c r="A609" s="24" t="s">
        <v>3242</v>
      </c>
      <c r="B609" s="24" t="str">
        <f>"300017"</f>
        <v>300017</v>
      </c>
      <c r="C609" s="24" t="str">
        <f t="shared" si="9"/>
        <v>'300017.SZ'</v>
      </c>
      <c r="D609" s="24" t="s">
        <v>4643</v>
      </c>
      <c r="E609" s="24" t="s">
        <v>3722</v>
      </c>
      <c r="F609" s="24">
        <v>1.5402</v>
      </c>
      <c r="G609" s="24">
        <v>13721608700.25</v>
      </c>
      <c r="H609" s="24">
        <v>5.8417000000000003</v>
      </c>
      <c r="I609" s="24">
        <v>5.7972000000000001</v>
      </c>
      <c r="J609" s="24">
        <v>1.8717999999999999</v>
      </c>
      <c r="K609" s="24">
        <v>759</v>
      </c>
      <c r="L609" s="24" t="s">
        <v>4644</v>
      </c>
    </row>
    <row r="610" spans="1:12" x14ac:dyDescent="0.35">
      <c r="A610" s="24" t="s">
        <v>3242</v>
      </c>
      <c r="B610" s="24" t="str">
        <f>"002763"</f>
        <v>002763</v>
      </c>
      <c r="C610" s="24" t="str">
        <f t="shared" si="9"/>
        <v>'002763.SZ'</v>
      </c>
      <c r="D610" s="24" t="s">
        <v>4645</v>
      </c>
      <c r="E610" s="24" t="s">
        <v>4646</v>
      </c>
      <c r="F610" s="24">
        <v>1.5401</v>
      </c>
      <c r="G610" s="24">
        <v>3181010240</v>
      </c>
      <c r="H610" s="24">
        <v>4.1452999999999998</v>
      </c>
      <c r="I610" s="24">
        <v>2.5558999999999998</v>
      </c>
      <c r="J610" s="24">
        <v>2.0968</v>
      </c>
      <c r="K610" s="24">
        <v>284</v>
      </c>
      <c r="L610" s="24" t="s">
        <v>4647</v>
      </c>
    </row>
    <row r="611" spans="1:12" x14ac:dyDescent="0.35">
      <c r="A611" s="24" t="s">
        <v>3246</v>
      </c>
      <c r="B611" s="24" t="str">
        <f>"600814"</f>
        <v>600814</v>
      </c>
      <c r="C611" s="24" t="str">
        <f t="shared" si="9"/>
        <v>'600814.SS'</v>
      </c>
      <c r="D611" s="24" t="s">
        <v>4648</v>
      </c>
      <c r="E611" s="24" t="s">
        <v>3773</v>
      </c>
      <c r="F611" s="24">
        <v>1.5399</v>
      </c>
      <c r="G611" s="24">
        <v>4989626133.2399998</v>
      </c>
      <c r="H611" s="24">
        <v>2.1217000000000001</v>
      </c>
      <c r="I611" s="24">
        <v>2.0703</v>
      </c>
      <c r="J611" s="24">
        <v>1.9247000000000001</v>
      </c>
      <c r="K611" s="24">
        <v>167</v>
      </c>
      <c r="L611" s="24" t="s">
        <v>4649</v>
      </c>
    </row>
    <row r="612" spans="1:12" x14ac:dyDescent="0.35">
      <c r="A612" s="24" t="s">
        <v>3246</v>
      </c>
      <c r="B612" s="24" t="str">
        <f>"603758"</f>
        <v>603758</v>
      </c>
      <c r="C612" s="24" t="str">
        <f t="shared" si="9"/>
        <v>'603758.SS'</v>
      </c>
      <c r="D612" s="24" t="s">
        <v>4650</v>
      </c>
      <c r="E612" s="24" t="s">
        <v>3405</v>
      </c>
      <c r="F612" s="24">
        <v>1.5353000000000001</v>
      </c>
      <c r="G612" s="24">
        <v>3979889234.4299998</v>
      </c>
      <c r="H612" s="24">
        <v>4.2979000000000003</v>
      </c>
      <c r="I612" s="24">
        <v>3.5945999999999998</v>
      </c>
      <c r="J612" s="24">
        <v>2.2101999999999999</v>
      </c>
      <c r="K612" s="24">
        <v>140</v>
      </c>
      <c r="L612" s="24" t="s">
        <v>4651</v>
      </c>
    </row>
    <row r="613" spans="1:12" x14ac:dyDescent="0.35">
      <c r="A613" s="24" t="s">
        <v>3246</v>
      </c>
      <c r="B613" s="24" t="str">
        <f>"600618"</f>
        <v>600618</v>
      </c>
      <c r="C613" s="24" t="str">
        <f t="shared" si="9"/>
        <v>'600618.SS'</v>
      </c>
      <c r="D613" s="24" t="s">
        <v>4652</v>
      </c>
      <c r="E613" s="24" t="s">
        <v>4530</v>
      </c>
      <c r="F613" s="24">
        <v>1.5303</v>
      </c>
      <c r="G613" s="24">
        <v>11529307760.719999</v>
      </c>
      <c r="H613" s="24">
        <v>3.0133999999999999</v>
      </c>
      <c r="I613" s="24">
        <v>2.7881999999999998</v>
      </c>
      <c r="J613" s="24">
        <v>2.3557000000000001</v>
      </c>
      <c r="K613" s="24">
        <v>280</v>
      </c>
      <c r="L613" s="24" t="s">
        <v>4653</v>
      </c>
    </row>
    <row r="614" spans="1:12" x14ac:dyDescent="0.35">
      <c r="A614" s="24" t="s">
        <v>3246</v>
      </c>
      <c r="B614" s="24" t="str">
        <f>"688069"</f>
        <v>688069</v>
      </c>
      <c r="C614" s="24" t="str">
        <f t="shared" si="9"/>
        <v>'688069.SS'</v>
      </c>
      <c r="D614" s="24" t="s">
        <v>4654</v>
      </c>
      <c r="E614" s="24" t="s">
        <v>4197</v>
      </c>
      <c r="F614" s="24">
        <v>1.5286999999999999</v>
      </c>
      <c r="G614" s="24">
        <v>2270626244</v>
      </c>
      <c r="H614" s="24">
        <v>6.0480999999999998</v>
      </c>
      <c r="I614" s="24">
        <v>5.0801999999999996</v>
      </c>
      <c r="J614" s="24">
        <v>0.872</v>
      </c>
      <c r="K614" s="24">
        <v>82</v>
      </c>
      <c r="L614" s="24" t="s">
        <v>4655</v>
      </c>
    </row>
    <row r="615" spans="1:12" x14ac:dyDescent="0.35">
      <c r="A615" s="24" t="s">
        <v>3242</v>
      </c>
      <c r="B615" s="24" t="str">
        <f>"002173"</f>
        <v>002173</v>
      </c>
      <c r="C615" s="24" t="str">
        <f t="shared" si="9"/>
        <v>'002173.SZ'</v>
      </c>
      <c r="D615" s="24" t="s">
        <v>4656</v>
      </c>
      <c r="E615" s="24" t="s">
        <v>3796</v>
      </c>
      <c r="F615" s="24">
        <v>1.5286</v>
      </c>
      <c r="G615" s="24">
        <v>3022040818.6100001</v>
      </c>
      <c r="H615" s="24">
        <v>2.9304999999999999</v>
      </c>
      <c r="I615" s="24">
        <v>2.7639999999999998</v>
      </c>
      <c r="J615" s="24">
        <v>2.3561999999999999</v>
      </c>
      <c r="K615" s="24">
        <v>126</v>
      </c>
      <c r="L615" s="24" t="s">
        <v>4657</v>
      </c>
    </row>
    <row r="616" spans="1:12" x14ac:dyDescent="0.35">
      <c r="A616" s="24" t="s">
        <v>3242</v>
      </c>
      <c r="B616" s="24" t="str">
        <f>"301093"</f>
        <v>301093</v>
      </c>
      <c r="C616" s="24" t="str">
        <f t="shared" si="9"/>
        <v>'301093.SZ'</v>
      </c>
      <c r="D616" s="24" t="s">
        <v>4658</v>
      </c>
      <c r="E616" s="24" t="s">
        <v>3319</v>
      </c>
      <c r="F616" s="24">
        <v>1.5286</v>
      </c>
      <c r="G616" s="24">
        <v>3666973342.4099998</v>
      </c>
      <c r="H616" s="24">
        <v>17.175799999999999</v>
      </c>
      <c r="I616" s="24">
        <v>15.922599999999999</v>
      </c>
      <c r="J616" s="24">
        <v>0.93740000000000001</v>
      </c>
      <c r="K616" s="24">
        <v>38</v>
      </c>
      <c r="L616" s="24" t="s">
        <v>4659</v>
      </c>
    </row>
    <row r="617" spans="1:12" x14ac:dyDescent="0.35">
      <c r="A617" s="24" t="s">
        <v>3246</v>
      </c>
      <c r="B617" s="24" t="str">
        <f>"600187"</f>
        <v>600187</v>
      </c>
      <c r="C617" s="24" t="str">
        <f t="shared" si="9"/>
        <v>'600187.SS'</v>
      </c>
      <c r="D617" s="24" t="s">
        <v>4660</v>
      </c>
      <c r="E617" s="24" t="s">
        <v>4197</v>
      </c>
      <c r="F617" s="24">
        <v>1.5195000000000001</v>
      </c>
      <c r="G617" s="24">
        <v>4776792064.8800001</v>
      </c>
      <c r="H617" s="24">
        <v>2.9975000000000001</v>
      </c>
      <c r="I617" s="24">
        <v>2.7746</v>
      </c>
      <c r="J617" s="24">
        <v>1.6189</v>
      </c>
      <c r="K617" s="24">
        <v>118</v>
      </c>
      <c r="L617" s="24" t="s">
        <v>4661</v>
      </c>
    </row>
    <row r="618" spans="1:12" x14ac:dyDescent="0.35">
      <c r="A618" s="24" t="s">
        <v>3242</v>
      </c>
      <c r="B618" s="24" t="str">
        <f>"300137"</f>
        <v>300137</v>
      </c>
      <c r="C618" s="24" t="str">
        <f t="shared" si="9"/>
        <v>'300137.SZ'</v>
      </c>
      <c r="D618" s="24" t="s">
        <v>4662</v>
      </c>
      <c r="E618" s="24" t="s">
        <v>3843</v>
      </c>
      <c r="F618" s="24">
        <v>1.5188999999999999</v>
      </c>
      <c r="G618" s="24">
        <v>3130446817.4000001</v>
      </c>
      <c r="H618" s="24">
        <v>5.6287000000000003</v>
      </c>
      <c r="I618" s="24">
        <v>4.1765999999999996</v>
      </c>
      <c r="J618" s="24">
        <v>1.5713999999999999</v>
      </c>
      <c r="K618" s="24">
        <v>250</v>
      </c>
      <c r="L618" s="24" t="s">
        <v>4663</v>
      </c>
    </row>
    <row r="619" spans="1:12" x14ac:dyDescent="0.35">
      <c r="A619" s="24" t="s">
        <v>3246</v>
      </c>
      <c r="B619" s="24" t="str">
        <f>"603041"</f>
        <v>603041</v>
      </c>
      <c r="C619" s="24" t="str">
        <f t="shared" si="9"/>
        <v>'603041.SS'</v>
      </c>
      <c r="D619" s="24" t="s">
        <v>4664</v>
      </c>
      <c r="E619" s="24" t="s">
        <v>4665</v>
      </c>
      <c r="F619" s="24">
        <v>1.5188999999999999</v>
      </c>
      <c r="G619" s="24">
        <v>2084220734.96</v>
      </c>
      <c r="H619" s="24">
        <v>5.2674000000000003</v>
      </c>
      <c r="I619" s="24">
        <v>4.9753999999999996</v>
      </c>
      <c r="J619" s="24">
        <v>2.0687000000000002</v>
      </c>
      <c r="K619" s="24">
        <v>106</v>
      </c>
      <c r="L619" s="24" t="s">
        <v>4666</v>
      </c>
    </row>
    <row r="620" spans="1:12" x14ac:dyDescent="0.35">
      <c r="A620" s="24" t="s">
        <v>3242</v>
      </c>
      <c r="B620" s="24" t="str">
        <f>"002181"</f>
        <v>002181</v>
      </c>
      <c r="C620" s="24" t="str">
        <f t="shared" si="9"/>
        <v>'002181.SZ'</v>
      </c>
      <c r="D620" s="24" t="s">
        <v>4667</v>
      </c>
      <c r="E620" s="24" t="s">
        <v>4352</v>
      </c>
      <c r="F620" s="24">
        <v>1.5158</v>
      </c>
      <c r="G620" s="24">
        <v>6455483447.4399996</v>
      </c>
      <c r="H620" s="24">
        <v>4.3734999999999999</v>
      </c>
      <c r="I620" s="24">
        <v>4.2168999999999999</v>
      </c>
      <c r="J620" s="24">
        <v>1.5088999999999999</v>
      </c>
      <c r="K620" s="24">
        <v>117</v>
      </c>
      <c r="L620" s="24" t="s">
        <v>4668</v>
      </c>
    </row>
    <row r="621" spans="1:12" x14ac:dyDescent="0.35">
      <c r="A621" s="24" t="s">
        <v>3242</v>
      </c>
      <c r="B621" s="24" t="str">
        <f>"300196"</f>
        <v>300196</v>
      </c>
      <c r="C621" s="24" t="str">
        <f t="shared" si="9"/>
        <v>'300196.SZ'</v>
      </c>
      <c r="D621" s="24" t="s">
        <v>4669</v>
      </c>
      <c r="E621" s="24" t="s">
        <v>4670</v>
      </c>
      <c r="F621" s="24">
        <v>1.5067999999999999</v>
      </c>
      <c r="G621" s="24">
        <v>5930469798.4399996</v>
      </c>
      <c r="H621" s="24">
        <v>4.1212999999999997</v>
      </c>
      <c r="I621" s="24">
        <v>3.5796999999999999</v>
      </c>
      <c r="J621" s="24">
        <v>1.4103000000000001</v>
      </c>
      <c r="K621" s="24">
        <v>251</v>
      </c>
      <c r="L621" s="24" t="s">
        <v>4671</v>
      </c>
    </row>
    <row r="622" spans="1:12" x14ac:dyDescent="0.35">
      <c r="A622" s="24" t="s">
        <v>3246</v>
      </c>
      <c r="B622" s="24" t="str">
        <f>"600650"</f>
        <v>600650</v>
      </c>
      <c r="C622" s="24" t="str">
        <f t="shared" si="9"/>
        <v>'600650.SS'</v>
      </c>
      <c r="D622" s="24" t="s">
        <v>4672</v>
      </c>
      <c r="E622" s="24" t="s">
        <v>4673</v>
      </c>
      <c r="F622" s="24">
        <v>1.5043</v>
      </c>
      <c r="G622" s="24">
        <v>5797422224.5699997</v>
      </c>
      <c r="H622" s="24">
        <v>2.4016999999999999</v>
      </c>
      <c r="I622" s="24">
        <v>2.2282999999999999</v>
      </c>
      <c r="J622" s="24">
        <v>1.8977999999999999</v>
      </c>
      <c r="K622" s="24">
        <v>118</v>
      </c>
      <c r="L622" s="24" t="s">
        <v>4674</v>
      </c>
    </row>
    <row r="623" spans="1:12" x14ac:dyDescent="0.35">
      <c r="A623" s="24" t="s">
        <v>3242</v>
      </c>
      <c r="B623" s="24" t="str">
        <f>"002932"</f>
        <v>002932</v>
      </c>
      <c r="C623" s="24" t="str">
        <f t="shared" si="9"/>
        <v>'002932.SZ'</v>
      </c>
      <c r="D623" s="24" t="s">
        <v>4675</v>
      </c>
      <c r="E623" s="24" t="s">
        <v>3432</v>
      </c>
      <c r="F623" s="24">
        <v>1.4937</v>
      </c>
      <c r="G623" s="24">
        <v>9113862775.3500004</v>
      </c>
      <c r="H623" s="24">
        <v>6.1506999999999996</v>
      </c>
      <c r="I623" s="24">
        <v>5.4249000000000001</v>
      </c>
      <c r="J623" s="24">
        <v>1.1822999999999999</v>
      </c>
      <c r="K623" s="24">
        <v>477</v>
      </c>
      <c r="L623" s="24" t="s">
        <v>4676</v>
      </c>
    </row>
    <row r="624" spans="1:12" x14ac:dyDescent="0.35">
      <c r="A624" s="24" t="s">
        <v>3242</v>
      </c>
      <c r="B624" s="24" t="str">
        <f>"301148"</f>
        <v>301148</v>
      </c>
      <c r="C624" s="24" t="str">
        <f t="shared" si="9"/>
        <v>'301148.SZ'</v>
      </c>
      <c r="D624" s="24" t="s">
        <v>4677</v>
      </c>
      <c r="E624" s="24" t="s">
        <v>4197</v>
      </c>
      <c r="F624" s="24">
        <v>1.4935</v>
      </c>
      <c r="G624" s="24">
        <v>2530316577.5999999</v>
      </c>
      <c r="H624" s="24">
        <v>4.55</v>
      </c>
      <c r="I624" s="24">
        <v>3.8565</v>
      </c>
      <c r="J624" s="24">
        <v>1.8069</v>
      </c>
      <c r="K624" s="24">
        <v>12</v>
      </c>
      <c r="L624" s="24" t="s">
        <v>4678</v>
      </c>
    </row>
    <row r="625" spans="1:12" x14ac:dyDescent="0.35">
      <c r="A625" s="24" t="s">
        <v>3242</v>
      </c>
      <c r="B625" s="24" t="str">
        <f>"000813"</f>
        <v>000813</v>
      </c>
      <c r="C625" s="24" t="str">
        <f t="shared" si="9"/>
        <v>'000813.SZ'</v>
      </c>
      <c r="D625" s="24" t="s">
        <v>4679</v>
      </c>
      <c r="E625" s="24" t="s">
        <v>3696</v>
      </c>
      <c r="F625" s="24">
        <v>1.4932000000000001</v>
      </c>
      <c r="G625" s="24">
        <v>8081811904.3199997</v>
      </c>
      <c r="H625" s="24">
        <v>21.733799999999999</v>
      </c>
      <c r="I625" s="24">
        <v>19.903600000000001</v>
      </c>
      <c r="J625" s="24">
        <v>12.678699999999999</v>
      </c>
      <c r="K625" s="24">
        <v>269</v>
      </c>
      <c r="L625" s="24" t="s">
        <v>4680</v>
      </c>
    </row>
    <row r="626" spans="1:12" x14ac:dyDescent="0.35">
      <c r="A626" s="24" t="s">
        <v>3242</v>
      </c>
      <c r="B626" s="24" t="str">
        <f>"300133"</f>
        <v>300133</v>
      </c>
      <c r="C626" s="24" t="str">
        <f t="shared" si="9"/>
        <v>'300133.SZ'</v>
      </c>
      <c r="D626" s="24" t="s">
        <v>4681</v>
      </c>
      <c r="E626" s="24" t="s">
        <v>3305</v>
      </c>
      <c r="F626" s="24">
        <v>1.4856</v>
      </c>
      <c r="G626" s="24">
        <v>9999647667.2600002</v>
      </c>
      <c r="H626" s="24">
        <v>3.3239000000000001</v>
      </c>
      <c r="I626" s="24">
        <v>2.3022999999999998</v>
      </c>
      <c r="J626" s="24">
        <v>1.0626</v>
      </c>
      <c r="K626" s="24">
        <v>359</v>
      </c>
      <c r="L626" s="24" t="s">
        <v>4682</v>
      </c>
    </row>
    <row r="627" spans="1:12" x14ac:dyDescent="0.35">
      <c r="A627" s="24" t="s">
        <v>3246</v>
      </c>
      <c r="B627" s="24" t="str">
        <f>"600271"</f>
        <v>600271</v>
      </c>
      <c r="C627" s="24" t="str">
        <f t="shared" si="9"/>
        <v>'600271.SS'</v>
      </c>
      <c r="D627" s="24" t="s">
        <v>4683</v>
      </c>
      <c r="E627" s="24" t="s">
        <v>3722</v>
      </c>
      <c r="F627" s="24">
        <v>1.4834000000000001</v>
      </c>
      <c r="G627" s="24">
        <v>19937038704.880001</v>
      </c>
      <c r="H627" s="24">
        <v>2.8346</v>
      </c>
      <c r="I627" s="24">
        <v>1.9827999999999999</v>
      </c>
      <c r="J627" s="24">
        <v>1.0616000000000001</v>
      </c>
      <c r="K627" s="24">
        <v>16685</v>
      </c>
      <c r="L627" s="24" t="s">
        <v>4684</v>
      </c>
    </row>
    <row r="628" spans="1:12" x14ac:dyDescent="0.35">
      <c r="A628" s="24" t="s">
        <v>3242</v>
      </c>
      <c r="B628" s="24" t="str">
        <f>"002252"</f>
        <v>002252</v>
      </c>
      <c r="C628" s="24" t="str">
        <f t="shared" si="9"/>
        <v>'002252.SZ'</v>
      </c>
      <c r="D628" s="24" t="s">
        <v>4685</v>
      </c>
      <c r="E628" s="24" t="s">
        <v>3711</v>
      </c>
      <c r="F628" s="24">
        <v>1.4823</v>
      </c>
      <c r="G628" s="24">
        <v>42669187451.309998</v>
      </c>
      <c r="H628" s="24">
        <v>5.5827</v>
      </c>
      <c r="I628" s="24">
        <v>3.3854000000000002</v>
      </c>
      <c r="J628" s="24">
        <v>2.2280000000000002</v>
      </c>
      <c r="K628" s="24">
        <v>627</v>
      </c>
      <c r="L628" s="24" t="s">
        <v>4686</v>
      </c>
    </row>
    <row r="629" spans="1:12" x14ac:dyDescent="0.35">
      <c r="A629" s="24" t="s">
        <v>3246</v>
      </c>
      <c r="B629" s="24" t="str">
        <f>"601872"</f>
        <v>601872</v>
      </c>
      <c r="C629" s="24" t="str">
        <f t="shared" si="9"/>
        <v>'601872.SS'</v>
      </c>
      <c r="D629" s="24" t="s">
        <v>4687</v>
      </c>
      <c r="E629" s="24" t="s">
        <v>3371</v>
      </c>
      <c r="F629" s="24">
        <v>1.4807999999999999</v>
      </c>
      <c r="G629" s="24">
        <v>47538562599.449997</v>
      </c>
      <c r="H629" s="24">
        <v>1.8514999999999999</v>
      </c>
      <c r="I629" s="24">
        <v>1.4646999999999999</v>
      </c>
      <c r="J629" s="24">
        <v>1.0531999999999999</v>
      </c>
      <c r="K629" s="24">
        <v>640</v>
      </c>
      <c r="L629" s="24" t="s">
        <v>4688</v>
      </c>
    </row>
    <row r="630" spans="1:12" x14ac:dyDescent="0.35">
      <c r="A630" s="24" t="s">
        <v>3242</v>
      </c>
      <c r="B630" s="24" t="str">
        <f>"002243"</f>
        <v>002243</v>
      </c>
      <c r="C630" s="24" t="str">
        <f t="shared" si="9"/>
        <v>'002243.SZ'</v>
      </c>
      <c r="D630" s="24" t="s">
        <v>4689</v>
      </c>
      <c r="E630" s="24" t="s">
        <v>4690</v>
      </c>
      <c r="F630" s="24">
        <v>1.4792000000000001</v>
      </c>
      <c r="G630" s="24">
        <v>9672727709.8099995</v>
      </c>
      <c r="H630" s="24">
        <v>3.5941000000000001</v>
      </c>
      <c r="I630" s="24">
        <v>1.6047</v>
      </c>
      <c r="J630" s="24">
        <v>0.90839999999999999</v>
      </c>
      <c r="K630" s="24">
        <v>169</v>
      </c>
      <c r="L630" s="24" t="s">
        <v>4691</v>
      </c>
    </row>
    <row r="631" spans="1:12" x14ac:dyDescent="0.35">
      <c r="A631" s="24" t="s">
        <v>3246</v>
      </c>
      <c r="B631" s="24" t="str">
        <f>"600106"</f>
        <v>600106</v>
      </c>
      <c r="C631" s="24" t="str">
        <f t="shared" si="9"/>
        <v>'600106.SS'</v>
      </c>
      <c r="D631" s="24" t="s">
        <v>4692</v>
      </c>
      <c r="E631" s="24" t="s">
        <v>4415</v>
      </c>
      <c r="F631" s="24">
        <v>1.4787999999999999</v>
      </c>
      <c r="G631" s="24">
        <v>6498932553.1800003</v>
      </c>
      <c r="H631" s="24">
        <v>2.3620999999999999</v>
      </c>
      <c r="I631" s="24">
        <v>1.9901</v>
      </c>
      <c r="J631" s="24">
        <v>1.9008</v>
      </c>
      <c r="K631" s="24">
        <v>155</v>
      </c>
      <c r="L631" s="24" t="s">
        <v>4693</v>
      </c>
    </row>
    <row r="632" spans="1:12" x14ac:dyDescent="0.35">
      <c r="A632" s="24" t="s">
        <v>3242</v>
      </c>
      <c r="B632" s="24" t="str">
        <f>"000636"</f>
        <v>000636</v>
      </c>
      <c r="C632" s="24" t="str">
        <f t="shared" si="9"/>
        <v>'000636.SZ'</v>
      </c>
      <c r="D632" s="24" t="s">
        <v>4694</v>
      </c>
      <c r="E632" s="24" t="s">
        <v>4695</v>
      </c>
      <c r="F632" s="24">
        <v>1.4666999999999999</v>
      </c>
      <c r="G632" s="24">
        <v>17598170939.310001</v>
      </c>
      <c r="H632" s="24">
        <v>3.2945000000000002</v>
      </c>
      <c r="I632" s="24">
        <v>2.9878</v>
      </c>
      <c r="J632" s="24">
        <v>2.4860000000000002</v>
      </c>
      <c r="K632" s="24">
        <v>923</v>
      </c>
      <c r="L632" s="24" t="s">
        <v>4696</v>
      </c>
    </row>
    <row r="633" spans="1:12" x14ac:dyDescent="0.35">
      <c r="A633" s="24" t="s">
        <v>3242</v>
      </c>
      <c r="B633" s="24" t="str">
        <f>"301196"</f>
        <v>301196</v>
      </c>
      <c r="C633" s="24" t="str">
        <f t="shared" si="9"/>
        <v>'301196.SZ'</v>
      </c>
      <c r="D633" s="24" t="s">
        <v>4697</v>
      </c>
      <c r="E633" s="24" t="s">
        <v>3733</v>
      </c>
      <c r="F633" s="24">
        <v>1.4666999999999999</v>
      </c>
      <c r="G633" s="24">
        <v>4274400000</v>
      </c>
      <c r="H633" s="24">
        <v>10.308299999999999</v>
      </c>
      <c r="I633" s="24">
        <v>9.2462999999999997</v>
      </c>
      <c r="J633" s="24">
        <v>1.5358000000000001</v>
      </c>
      <c r="K633" s="24">
        <v>17</v>
      </c>
      <c r="L633" s="24" t="s">
        <v>4698</v>
      </c>
    </row>
    <row r="634" spans="1:12" x14ac:dyDescent="0.35">
      <c r="A634" s="24" t="s">
        <v>3242</v>
      </c>
      <c r="B634" s="24" t="str">
        <f>"300883"</f>
        <v>300883</v>
      </c>
      <c r="C634" s="24" t="str">
        <f t="shared" si="9"/>
        <v>'300883.SZ'</v>
      </c>
      <c r="D634" s="24" t="s">
        <v>4699</v>
      </c>
      <c r="E634" s="24" t="s">
        <v>4294</v>
      </c>
      <c r="F634" s="24">
        <v>1.4635</v>
      </c>
      <c r="G634" s="24">
        <v>2103680000</v>
      </c>
      <c r="H634" s="24">
        <v>3.2930999999999999</v>
      </c>
      <c r="I634" s="24">
        <v>1.9935</v>
      </c>
      <c r="J634" s="24">
        <v>1.4844999999999999</v>
      </c>
      <c r="K634" s="24">
        <v>42</v>
      </c>
      <c r="L634" s="24" t="s">
        <v>4700</v>
      </c>
    </row>
    <row r="635" spans="1:12" x14ac:dyDescent="0.35">
      <c r="A635" s="24" t="s">
        <v>3246</v>
      </c>
      <c r="B635" s="24" t="str">
        <f>"688788"</f>
        <v>688788</v>
      </c>
      <c r="C635" s="24" t="str">
        <f t="shared" si="9"/>
        <v>'688788.SS'</v>
      </c>
      <c r="D635" s="24" t="s">
        <v>4701</v>
      </c>
      <c r="E635" s="24" t="s">
        <v>3383</v>
      </c>
      <c r="F635" s="24">
        <v>1.4616</v>
      </c>
      <c r="G635" s="24">
        <v>4103019490</v>
      </c>
      <c r="H635" s="24">
        <v>30.5152</v>
      </c>
      <c r="I635" s="24">
        <v>26.976500000000001</v>
      </c>
      <c r="J635" s="24">
        <v>17.2121</v>
      </c>
      <c r="K635" s="24">
        <v>57</v>
      </c>
      <c r="L635" s="24" t="s">
        <v>4702</v>
      </c>
    </row>
    <row r="636" spans="1:12" x14ac:dyDescent="0.35">
      <c r="A636" s="24" t="s">
        <v>3242</v>
      </c>
      <c r="B636" s="24" t="str">
        <f>"301151"</f>
        <v>301151</v>
      </c>
      <c r="C636" s="24" t="str">
        <f t="shared" si="9"/>
        <v>'301151.SZ'</v>
      </c>
      <c r="D636" s="24" t="s">
        <v>4703</v>
      </c>
      <c r="E636" s="24" t="s">
        <v>3351</v>
      </c>
      <c r="F636" s="24">
        <v>1.4603999999999999</v>
      </c>
      <c r="G636" s="24">
        <v>2900765217</v>
      </c>
      <c r="H636" s="24">
        <v>3.2294999999999998</v>
      </c>
      <c r="I636" s="24">
        <v>2.7193000000000001</v>
      </c>
      <c r="J636" s="24">
        <v>1.4703999999999999</v>
      </c>
      <c r="K636" s="24">
        <v>17</v>
      </c>
      <c r="L636" s="24" t="s">
        <v>4704</v>
      </c>
    </row>
    <row r="637" spans="1:12" x14ac:dyDescent="0.35">
      <c r="A637" s="24" t="s">
        <v>3246</v>
      </c>
      <c r="B637" s="24" t="str">
        <f>"601218"</f>
        <v>601218</v>
      </c>
      <c r="C637" s="24" t="str">
        <f t="shared" si="9"/>
        <v>'601218.SS'</v>
      </c>
      <c r="D637" s="24" t="s">
        <v>4705</v>
      </c>
      <c r="E637" s="24" t="s">
        <v>4067</v>
      </c>
      <c r="F637" s="24">
        <v>1.4589000000000001</v>
      </c>
      <c r="G637" s="24">
        <v>4007176000</v>
      </c>
      <c r="H637" s="24">
        <v>3.3248000000000002</v>
      </c>
      <c r="I637" s="24">
        <v>2.7505999999999999</v>
      </c>
      <c r="J637" s="24">
        <v>0.83699999999999997</v>
      </c>
      <c r="K637" s="24">
        <v>157</v>
      </c>
      <c r="L637" s="24" t="s">
        <v>4706</v>
      </c>
    </row>
    <row r="638" spans="1:12" x14ac:dyDescent="0.35">
      <c r="A638" s="24" t="s">
        <v>3246</v>
      </c>
      <c r="B638" s="24" t="str">
        <f>"601515"</f>
        <v>601515</v>
      </c>
      <c r="C638" s="24" t="str">
        <f t="shared" si="9"/>
        <v>'601515.SS'</v>
      </c>
      <c r="D638" s="24" t="s">
        <v>4707</v>
      </c>
      <c r="E638" s="24" t="s">
        <v>4294</v>
      </c>
      <c r="F638" s="24">
        <v>1.4567000000000001</v>
      </c>
      <c r="G638" s="24">
        <v>8035290697.5200005</v>
      </c>
      <c r="H638" s="24">
        <v>2.8980999999999999</v>
      </c>
      <c r="I638" s="24">
        <v>2.3056000000000001</v>
      </c>
      <c r="J638" s="24">
        <v>1.4316</v>
      </c>
      <c r="K638" s="24">
        <v>28110</v>
      </c>
      <c r="L638" s="24" t="s">
        <v>4708</v>
      </c>
    </row>
    <row r="639" spans="1:12" x14ac:dyDescent="0.35">
      <c r="A639" s="24" t="s">
        <v>3246</v>
      </c>
      <c r="B639" s="24" t="str">
        <f>"603077"</f>
        <v>603077</v>
      </c>
      <c r="C639" s="24" t="str">
        <f t="shared" si="9"/>
        <v>'603077.SS'</v>
      </c>
      <c r="D639" s="24" t="s">
        <v>4709</v>
      </c>
      <c r="E639" s="24" t="s">
        <v>3975</v>
      </c>
      <c r="F639" s="24">
        <v>1.4519</v>
      </c>
      <c r="G639" s="24">
        <v>27023625697.68</v>
      </c>
      <c r="H639" s="24">
        <v>2.4860000000000002</v>
      </c>
      <c r="I639" s="24">
        <v>2.0325000000000002</v>
      </c>
      <c r="J639" s="24">
        <v>1.0741000000000001</v>
      </c>
      <c r="K639" s="24">
        <v>296</v>
      </c>
      <c r="L639" s="24" t="s">
        <v>4710</v>
      </c>
    </row>
    <row r="640" spans="1:12" x14ac:dyDescent="0.35">
      <c r="A640" s="24" t="s">
        <v>3242</v>
      </c>
      <c r="B640" s="24" t="str">
        <f>"301061"</f>
        <v>301061</v>
      </c>
      <c r="C640" s="24" t="str">
        <f t="shared" si="9"/>
        <v>'301061.SZ'</v>
      </c>
      <c r="D640" s="24" t="s">
        <v>4711</v>
      </c>
      <c r="E640" s="24" t="s">
        <v>4712</v>
      </c>
      <c r="F640" s="24">
        <v>1.4510000000000001</v>
      </c>
      <c r="G640" s="24">
        <v>3809280000</v>
      </c>
      <c r="H640" s="24">
        <v>8.9224999999999994</v>
      </c>
      <c r="I640" s="24">
        <v>7.7958999999999996</v>
      </c>
      <c r="J640" s="24">
        <v>1.8355999999999999</v>
      </c>
      <c r="K640" s="24">
        <v>36</v>
      </c>
      <c r="L640" s="24" t="s">
        <v>4713</v>
      </c>
    </row>
    <row r="641" spans="1:12" x14ac:dyDescent="0.35">
      <c r="A641" s="24" t="s">
        <v>3246</v>
      </c>
      <c r="B641" s="24" t="str">
        <f>"688399"</f>
        <v>688399</v>
      </c>
      <c r="C641" s="24" t="str">
        <f t="shared" si="9"/>
        <v>'688399.SS'</v>
      </c>
      <c r="D641" s="24" t="s">
        <v>4714</v>
      </c>
      <c r="E641" s="24" t="s">
        <v>3432</v>
      </c>
      <c r="F641" s="24">
        <v>1.4466000000000001</v>
      </c>
      <c r="G641" s="24">
        <v>5170870200</v>
      </c>
      <c r="H641" s="24">
        <v>3.6775000000000002</v>
      </c>
      <c r="I641" s="24">
        <v>3.1257000000000001</v>
      </c>
      <c r="J641" s="24">
        <v>1.7485999999999999</v>
      </c>
      <c r="K641" s="24">
        <v>418</v>
      </c>
      <c r="L641" s="24" t="s">
        <v>4715</v>
      </c>
    </row>
    <row r="642" spans="1:12" x14ac:dyDescent="0.35">
      <c r="A642" s="24" t="s">
        <v>3246</v>
      </c>
      <c r="B642" s="24" t="str">
        <f>"600167"</f>
        <v>600167</v>
      </c>
      <c r="C642" s="24" t="str">
        <f t="shared" si="9"/>
        <v>'600167.SS'</v>
      </c>
      <c r="D642" s="24" t="s">
        <v>4716</v>
      </c>
      <c r="E642" s="24" t="s">
        <v>3332</v>
      </c>
      <c r="F642" s="24">
        <v>1.4453</v>
      </c>
      <c r="G642" s="24">
        <v>14827014198</v>
      </c>
      <c r="H642" s="24">
        <v>3.4144000000000001</v>
      </c>
      <c r="I642" s="24">
        <v>3.1983000000000001</v>
      </c>
      <c r="J642" s="24">
        <v>2.6555</v>
      </c>
      <c r="K642" s="24">
        <v>39681</v>
      </c>
      <c r="L642" s="24" t="s">
        <v>4717</v>
      </c>
    </row>
    <row r="643" spans="1:12" x14ac:dyDescent="0.35">
      <c r="A643" s="24" t="s">
        <v>3246</v>
      </c>
      <c r="B643" s="24" t="str">
        <f>"605189"</f>
        <v>605189</v>
      </c>
      <c r="C643" s="24" t="str">
        <f t="shared" ref="C643:C706" si="10">CONCATENATE("'",B643,IF(A643="sh",".SS'",".SZ'"))</f>
        <v>'605189.SS'</v>
      </c>
      <c r="D643" s="24" t="s">
        <v>4718</v>
      </c>
      <c r="E643" s="24" t="s">
        <v>4719</v>
      </c>
      <c r="F643" s="24">
        <v>1.4442999999999999</v>
      </c>
      <c r="G643" s="24">
        <v>2328768951.6599998</v>
      </c>
      <c r="H643" s="24">
        <v>2.7082000000000002</v>
      </c>
      <c r="I643" s="24">
        <v>1.8655999999999999</v>
      </c>
      <c r="J643" s="24">
        <v>1.2472000000000001</v>
      </c>
      <c r="K643" s="24">
        <v>50</v>
      </c>
      <c r="L643" s="24" t="s">
        <v>4720</v>
      </c>
    </row>
    <row r="644" spans="1:12" x14ac:dyDescent="0.35">
      <c r="A644" s="24" t="s">
        <v>3246</v>
      </c>
      <c r="B644" s="24" t="str">
        <f>"600987"</f>
        <v>600987</v>
      </c>
      <c r="C644" s="24" t="str">
        <f t="shared" si="10"/>
        <v>'600987.SS'</v>
      </c>
      <c r="D644" s="24" t="s">
        <v>4721</v>
      </c>
      <c r="E644" s="24" t="s">
        <v>4719</v>
      </c>
      <c r="F644" s="24">
        <v>1.4308000000000001</v>
      </c>
      <c r="G644" s="24">
        <v>7996731516.9899998</v>
      </c>
      <c r="H644" s="24">
        <v>3.3498000000000001</v>
      </c>
      <c r="I644" s="24">
        <v>2.3405</v>
      </c>
      <c r="J644" s="24">
        <v>0.98099999999999998</v>
      </c>
      <c r="K644" s="24">
        <v>4850</v>
      </c>
      <c r="L644" s="24" t="s">
        <v>4722</v>
      </c>
    </row>
    <row r="645" spans="1:12" x14ac:dyDescent="0.35">
      <c r="A645" s="24" t="s">
        <v>3242</v>
      </c>
      <c r="B645" s="24" t="str">
        <f>"301276"</f>
        <v>301276</v>
      </c>
      <c r="C645" s="24" t="str">
        <f t="shared" si="10"/>
        <v>'301276.SZ'</v>
      </c>
      <c r="D645" s="24" t="s">
        <v>4723</v>
      </c>
      <c r="E645" s="24" t="s">
        <v>4121</v>
      </c>
      <c r="F645" s="24">
        <v>1.4279999999999999</v>
      </c>
      <c r="G645" s="24">
        <v>2572560000</v>
      </c>
      <c r="H645" s="24">
        <v>4.7328999999999999</v>
      </c>
      <c r="I645" s="24">
        <v>3.5733000000000001</v>
      </c>
      <c r="J645" s="24">
        <v>2.6314000000000002</v>
      </c>
      <c r="K645" s="24">
        <v>4</v>
      </c>
      <c r="L645" s="24" t="s">
        <v>4724</v>
      </c>
    </row>
    <row r="646" spans="1:12" x14ac:dyDescent="0.35">
      <c r="A646" s="24" t="s">
        <v>3242</v>
      </c>
      <c r="B646" s="24" t="str">
        <f>"002177"</f>
        <v>002177</v>
      </c>
      <c r="C646" s="24" t="str">
        <f t="shared" si="10"/>
        <v>'002177.SZ'</v>
      </c>
      <c r="D646" s="24" t="s">
        <v>4725</v>
      </c>
      <c r="E646" s="24" t="s">
        <v>3257</v>
      </c>
      <c r="F646" s="24">
        <v>1.4221999999999999</v>
      </c>
      <c r="G646" s="24">
        <v>2390140663.1599998</v>
      </c>
      <c r="H646" s="24">
        <v>8.1190999999999995</v>
      </c>
      <c r="I646" s="24">
        <v>8.0511999999999997</v>
      </c>
      <c r="J646" s="24">
        <v>1.2512000000000001</v>
      </c>
      <c r="K646" s="24">
        <v>3026</v>
      </c>
      <c r="L646" s="24" t="s">
        <v>4726</v>
      </c>
    </row>
    <row r="647" spans="1:12" x14ac:dyDescent="0.35">
      <c r="A647" s="24" t="s">
        <v>3246</v>
      </c>
      <c r="B647" s="24" t="str">
        <f>"603590"</f>
        <v>603590</v>
      </c>
      <c r="C647" s="24" t="str">
        <f t="shared" si="10"/>
        <v>'603590.SS'</v>
      </c>
      <c r="D647" s="24" t="s">
        <v>4727</v>
      </c>
      <c r="E647" s="24" t="s">
        <v>3282</v>
      </c>
      <c r="F647" s="24">
        <v>1.4151</v>
      </c>
      <c r="G647" s="24">
        <v>4094400000</v>
      </c>
      <c r="H647" s="24">
        <v>6.3540999999999999</v>
      </c>
      <c r="I647" s="24">
        <v>5.8686999999999996</v>
      </c>
      <c r="J647" s="24">
        <v>3.8094000000000001</v>
      </c>
      <c r="K647" s="24">
        <v>155</v>
      </c>
      <c r="L647" s="24" t="s">
        <v>4728</v>
      </c>
    </row>
    <row r="648" spans="1:12" x14ac:dyDescent="0.35">
      <c r="A648" s="24" t="s">
        <v>3246</v>
      </c>
      <c r="B648" s="24" t="str">
        <f>"688075"</f>
        <v>688075</v>
      </c>
      <c r="C648" s="24" t="str">
        <f t="shared" si="10"/>
        <v>'688075.SS'</v>
      </c>
      <c r="D648" s="24" t="s">
        <v>4729</v>
      </c>
      <c r="E648" s="24" t="s">
        <v>3432</v>
      </c>
      <c r="F648" s="24">
        <v>1.4142999999999999</v>
      </c>
      <c r="G648" s="24">
        <v>7851901868</v>
      </c>
      <c r="H648" s="24">
        <v>3.4739</v>
      </c>
      <c r="I648" s="24">
        <v>3.1377000000000002</v>
      </c>
      <c r="J648" s="24">
        <v>1.4409000000000001</v>
      </c>
      <c r="K648" s="24">
        <v>96</v>
      </c>
      <c r="L648" s="24" t="s">
        <v>4730</v>
      </c>
    </row>
    <row r="649" spans="1:12" x14ac:dyDescent="0.35">
      <c r="A649" s="24" t="s">
        <v>3242</v>
      </c>
      <c r="B649" s="24" t="str">
        <f>"002100"</f>
        <v>002100</v>
      </c>
      <c r="C649" s="24" t="str">
        <f t="shared" si="10"/>
        <v>'002100.SZ'</v>
      </c>
      <c r="D649" s="24" t="s">
        <v>4731</v>
      </c>
      <c r="E649" s="24" t="s">
        <v>4732</v>
      </c>
      <c r="F649" s="24">
        <v>1.4074</v>
      </c>
      <c r="G649" s="24">
        <v>11105581235</v>
      </c>
      <c r="H649" s="24">
        <v>2.0640000000000001</v>
      </c>
      <c r="I649" s="24">
        <v>1.262</v>
      </c>
      <c r="J649" s="24">
        <v>1.0063</v>
      </c>
      <c r="K649" s="24">
        <v>752</v>
      </c>
      <c r="L649" s="24" t="s">
        <v>4733</v>
      </c>
    </row>
    <row r="650" spans="1:12" x14ac:dyDescent="0.35">
      <c r="A650" s="24" t="s">
        <v>3246</v>
      </c>
      <c r="B650" s="24" t="str">
        <f>"601088"</f>
        <v>601088</v>
      </c>
      <c r="C650" s="24" t="str">
        <f t="shared" si="10"/>
        <v>'601088.SS'</v>
      </c>
      <c r="D650" s="24" t="s">
        <v>903</v>
      </c>
      <c r="E650" s="24" t="s">
        <v>4418</v>
      </c>
      <c r="F650" s="24">
        <v>1.4073</v>
      </c>
      <c r="G650" s="24">
        <v>548768521157.09998</v>
      </c>
      <c r="H650" s="24">
        <v>2.3995000000000002</v>
      </c>
      <c r="I650" s="24">
        <v>2.1804999999999999</v>
      </c>
      <c r="J650" s="24">
        <v>1.9309000000000001</v>
      </c>
      <c r="K650" s="24">
        <v>4136</v>
      </c>
      <c r="L650" s="24" t="s">
        <v>4734</v>
      </c>
    </row>
    <row r="651" spans="1:12" x14ac:dyDescent="0.35">
      <c r="A651" s="24" t="s">
        <v>3242</v>
      </c>
      <c r="B651" s="24" t="str">
        <f>"300259"</f>
        <v>300259</v>
      </c>
      <c r="C651" s="24" t="str">
        <f t="shared" si="10"/>
        <v>'300259.SZ'</v>
      </c>
      <c r="D651" s="24" t="s">
        <v>4735</v>
      </c>
      <c r="E651" s="24" t="s">
        <v>3476</v>
      </c>
      <c r="F651" s="24">
        <v>1.4073</v>
      </c>
      <c r="G651" s="24">
        <v>3965627139.2399998</v>
      </c>
      <c r="H651" s="24">
        <v>4.9353999999999996</v>
      </c>
      <c r="I651" s="24">
        <v>4.1801000000000004</v>
      </c>
      <c r="J651" s="24">
        <v>1.0789</v>
      </c>
      <c r="K651" s="24">
        <v>366</v>
      </c>
      <c r="L651" s="24" t="s">
        <v>4736</v>
      </c>
    </row>
    <row r="652" spans="1:12" x14ac:dyDescent="0.35">
      <c r="A652" s="24" t="s">
        <v>3242</v>
      </c>
      <c r="B652" s="24" t="str">
        <f>"300381"</f>
        <v>300381</v>
      </c>
      <c r="C652" s="24" t="str">
        <f t="shared" si="10"/>
        <v>'300381.SZ'</v>
      </c>
      <c r="D652" s="24" t="s">
        <v>4737</v>
      </c>
      <c r="E652" s="24" t="s">
        <v>3658</v>
      </c>
      <c r="F652" s="24">
        <v>1.4061999999999999</v>
      </c>
      <c r="G652" s="24">
        <v>3822622401</v>
      </c>
      <c r="H652" s="24">
        <v>13.3047</v>
      </c>
      <c r="I652" s="24">
        <v>12.0832</v>
      </c>
      <c r="J652" s="24">
        <v>6.1417999999999999</v>
      </c>
      <c r="K652" s="24">
        <v>153</v>
      </c>
      <c r="L652" s="24" t="s">
        <v>4738</v>
      </c>
    </row>
    <row r="653" spans="1:12" x14ac:dyDescent="0.35">
      <c r="A653" s="24" t="s">
        <v>3246</v>
      </c>
      <c r="B653" s="24" t="str">
        <f>"688298"</f>
        <v>688298</v>
      </c>
      <c r="C653" s="24" t="str">
        <f t="shared" si="10"/>
        <v>'688298.SS'</v>
      </c>
      <c r="D653" s="24" t="s">
        <v>4739</v>
      </c>
      <c r="E653" s="24" t="s">
        <v>3432</v>
      </c>
      <c r="F653" s="24">
        <v>1.4059999999999999</v>
      </c>
      <c r="G653" s="24">
        <v>12991440000</v>
      </c>
      <c r="H653" s="24">
        <v>5.8531000000000004</v>
      </c>
      <c r="I653" s="24">
        <v>5.0484</v>
      </c>
      <c r="J653" s="24">
        <v>4.4355000000000002</v>
      </c>
      <c r="K653" s="24">
        <v>509</v>
      </c>
      <c r="L653" s="24" t="s">
        <v>4740</v>
      </c>
    </row>
    <row r="654" spans="1:12" x14ac:dyDescent="0.35">
      <c r="A654" s="24" t="s">
        <v>3246</v>
      </c>
      <c r="B654" s="24" t="str">
        <f>"600252"</f>
        <v>600252</v>
      </c>
      <c r="C654" s="24" t="str">
        <f t="shared" si="10"/>
        <v>'600252.SS'</v>
      </c>
      <c r="D654" s="24" t="s">
        <v>4741</v>
      </c>
      <c r="E654" s="24" t="s">
        <v>3311</v>
      </c>
      <c r="F654" s="24">
        <v>1.4057999999999999</v>
      </c>
      <c r="G654" s="24">
        <v>9209033939.5499992</v>
      </c>
      <c r="H654" s="24">
        <v>2.6151</v>
      </c>
      <c r="I654" s="24">
        <v>2.3431000000000002</v>
      </c>
      <c r="J654" s="24">
        <v>1.3268</v>
      </c>
      <c r="K654" s="24">
        <v>359</v>
      </c>
      <c r="L654" s="24" t="s">
        <v>4742</v>
      </c>
    </row>
    <row r="655" spans="1:12" x14ac:dyDescent="0.35">
      <c r="A655" s="24" t="s">
        <v>3246</v>
      </c>
      <c r="B655" s="24" t="str">
        <f>"605577"</f>
        <v>605577</v>
      </c>
      <c r="C655" s="24" t="str">
        <f t="shared" si="10"/>
        <v>'605577.SS'</v>
      </c>
      <c r="D655" s="24" t="s">
        <v>4743</v>
      </c>
      <c r="E655" s="24" t="s">
        <v>3505</v>
      </c>
      <c r="F655" s="24">
        <v>1.4000999999999999</v>
      </c>
      <c r="G655" s="24">
        <v>4493333338.9499998</v>
      </c>
      <c r="H655" s="24">
        <v>3.5853999999999999</v>
      </c>
      <c r="I655" s="24">
        <v>3.3553000000000002</v>
      </c>
      <c r="J655" s="24">
        <v>2.1272000000000002</v>
      </c>
      <c r="K655" s="24">
        <v>29</v>
      </c>
      <c r="L655" s="24" t="s">
        <v>4744</v>
      </c>
    </row>
    <row r="656" spans="1:12" x14ac:dyDescent="0.35">
      <c r="A656" s="24" t="s">
        <v>3246</v>
      </c>
      <c r="B656" s="24" t="str">
        <f>"603511"</f>
        <v>603511</v>
      </c>
      <c r="C656" s="24" t="str">
        <f t="shared" si="10"/>
        <v>'603511.SS'</v>
      </c>
      <c r="D656" s="24" t="s">
        <v>4745</v>
      </c>
      <c r="E656" s="24" t="s">
        <v>4646</v>
      </c>
      <c r="F656" s="24">
        <v>1.3993</v>
      </c>
      <c r="G656" s="24">
        <v>6224155600</v>
      </c>
      <c r="H656" s="24">
        <v>5.6684000000000001</v>
      </c>
      <c r="I656" s="24">
        <v>3.5594000000000001</v>
      </c>
      <c r="J656" s="24">
        <v>1.0880000000000001</v>
      </c>
      <c r="K656" s="24">
        <v>50</v>
      </c>
      <c r="L656" s="24" t="s">
        <v>4746</v>
      </c>
    </row>
    <row r="657" spans="1:12" x14ac:dyDescent="0.35">
      <c r="A657" s="24" t="s">
        <v>3242</v>
      </c>
      <c r="B657" s="24" t="str">
        <f>"000631"</f>
        <v>000631</v>
      </c>
      <c r="C657" s="24" t="str">
        <f t="shared" si="10"/>
        <v>'000631.SZ'</v>
      </c>
      <c r="D657" s="24" t="s">
        <v>4747</v>
      </c>
      <c r="E657" s="24" t="s">
        <v>3988</v>
      </c>
      <c r="F657" s="24">
        <v>1.3954</v>
      </c>
      <c r="G657" s="24">
        <v>8513817088</v>
      </c>
      <c r="H657" s="24">
        <v>2.8311999999999999</v>
      </c>
      <c r="I657" s="24">
        <v>1.9407000000000001</v>
      </c>
      <c r="J657" s="24">
        <v>1.8531</v>
      </c>
      <c r="K657" s="24">
        <v>358</v>
      </c>
      <c r="L657" s="24" t="s">
        <v>4748</v>
      </c>
    </row>
    <row r="658" spans="1:12" x14ac:dyDescent="0.35">
      <c r="A658" s="24" t="s">
        <v>3246</v>
      </c>
      <c r="B658" s="24" t="str">
        <f>"600052"</f>
        <v>600052</v>
      </c>
      <c r="C658" s="24" t="str">
        <f t="shared" si="10"/>
        <v>'600052.SS'</v>
      </c>
      <c r="D658" s="24" t="s">
        <v>4749</v>
      </c>
      <c r="E658" s="24" t="s">
        <v>3305</v>
      </c>
      <c r="F658" s="24">
        <v>1.3923000000000001</v>
      </c>
      <c r="G658" s="24">
        <v>4499557969.5299997</v>
      </c>
      <c r="H658" s="24">
        <v>15.036199999999999</v>
      </c>
      <c r="I658" s="24">
        <v>14.661099999999999</v>
      </c>
      <c r="J658" s="24">
        <v>10.9953</v>
      </c>
      <c r="K658" s="24">
        <v>139</v>
      </c>
      <c r="L658" s="24" t="s">
        <v>4750</v>
      </c>
    </row>
    <row r="659" spans="1:12" x14ac:dyDescent="0.35">
      <c r="A659" s="24" t="s">
        <v>3242</v>
      </c>
      <c r="B659" s="24" t="str">
        <f>"000833"</f>
        <v>000833</v>
      </c>
      <c r="C659" s="24" t="str">
        <f t="shared" si="10"/>
        <v>'000833.SZ'</v>
      </c>
      <c r="D659" s="24" t="s">
        <v>4751</v>
      </c>
      <c r="E659" s="24" t="s">
        <v>3457</v>
      </c>
      <c r="F659" s="24">
        <v>1.3898999999999999</v>
      </c>
      <c r="G659" s="24">
        <v>4645392864.4499998</v>
      </c>
      <c r="H659" s="24">
        <v>1.5004</v>
      </c>
      <c r="I659" s="24">
        <v>1.1223000000000001</v>
      </c>
      <c r="J659" s="24">
        <v>0.90720000000000001</v>
      </c>
      <c r="K659" s="24">
        <v>108</v>
      </c>
      <c r="L659" s="24" t="s">
        <v>4752</v>
      </c>
    </row>
    <row r="660" spans="1:12" x14ac:dyDescent="0.35">
      <c r="A660" s="24" t="s">
        <v>3246</v>
      </c>
      <c r="B660" s="24" t="str">
        <f>"688739"</f>
        <v>688739</v>
      </c>
      <c r="C660" s="24" t="str">
        <f t="shared" si="10"/>
        <v>'688739.SS'</v>
      </c>
      <c r="D660" s="24" t="s">
        <v>4753</v>
      </c>
      <c r="E660" s="24" t="s">
        <v>4754</v>
      </c>
      <c r="F660" s="24">
        <v>1.3821000000000001</v>
      </c>
      <c r="G660" s="24">
        <v>13163984500</v>
      </c>
      <c r="H660" s="24">
        <v>29.266500000000001</v>
      </c>
      <c r="I660" s="24">
        <v>27.266200000000001</v>
      </c>
      <c r="J660" s="24">
        <v>16.4238</v>
      </c>
      <c r="K660" s="24">
        <v>51</v>
      </c>
      <c r="L660" s="24" t="s">
        <v>4755</v>
      </c>
    </row>
    <row r="661" spans="1:12" x14ac:dyDescent="0.35">
      <c r="A661" s="24" t="s">
        <v>3246</v>
      </c>
      <c r="B661" s="24" t="str">
        <f>"605288"</f>
        <v>605288</v>
      </c>
      <c r="C661" s="24" t="str">
        <f t="shared" si="10"/>
        <v>'605288.SS'</v>
      </c>
      <c r="D661" s="24" t="s">
        <v>4756</v>
      </c>
      <c r="E661" s="24" t="s">
        <v>3268</v>
      </c>
      <c r="F661" s="24">
        <v>1.3818999999999999</v>
      </c>
      <c r="G661" s="24">
        <v>2864960518</v>
      </c>
      <c r="H661" s="24">
        <v>3.5954000000000002</v>
      </c>
      <c r="I661" s="24">
        <v>2.7774999999999999</v>
      </c>
      <c r="J661" s="24">
        <v>1.6958</v>
      </c>
      <c r="K661" s="24">
        <v>95</v>
      </c>
      <c r="L661" s="24" t="s">
        <v>4757</v>
      </c>
    </row>
    <row r="662" spans="1:12" x14ac:dyDescent="0.35">
      <c r="A662" s="24" t="s">
        <v>3246</v>
      </c>
      <c r="B662" s="24" t="str">
        <f>"600535"</f>
        <v>600535</v>
      </c>
      <c r="C662" s="24" t="str">
        <f t="shared" si="10"/>
        <v>'600535.SS'</v>
      </c>
      <c r="D662" s="24" t="s">
        <v>4758</v>
      </c>
      <c r="E662" s="24" t="s">
        <v>3311</v>
      </c>
      <c r="F662" s="24">
        <v>1.3814</v>
      </c>
      <c r="G662" s="24">
        <v>16871626462.5</v>
      </c>
      <c r="H662" s="24">
        <v>4.0587</v>
      </c>
      <c r="I662" s="24">
        <v>3.2256</v>
      </c>
      <c r="J662" s="24">
        <v>0.82569999999999999</v>
      </c>
      <c r="K662" s="24">
        <v>12570</v>
      </c>
      <c r="L662" s="24" t="s">
        <v>4759</v>
      </c>
    </row>
    <row r="663" spans="1:12" x14ac:dyDescent="0.35">
      <c r="A663" s="24" t="s">
        <v>3246</v>
      </c>
      <c r="B663" s="24" t="str">
        <f>"603585"</f>
        <v>603585</v>
      </c>
      <c r="C663" s="24" t="str">
        <f t="shared" si="10"/>
        <v>'603585.SS'</v>
      </c>
      <c r="D663" s="24" t="s">
        <v>4760</v>
      </c>
      <c r="E663" s="24" t="s">
        <v>3492</v>
      </c>
      <c r="F663" s="24">
        <v>1.3813</v>
      </c>
      <c r="G663" s="24">
        <v>3330035483</v>
      </c>
      <c r="H663" s="24">
        <v>3.0630999999999999</v>
      </c>
      <c r="I663" s="24">
        <v>2.6987999999999999</v>
      </c>
      <c r="J663" s="24">
        <v>1.7948</v>
      </c>
      <c r="K663" s="24">
        <v>555</v>
      </c>
      <c r="L663" s="24" t="s">
        <v>4761</v>
      </c>
    </row>
    <row r="664" spans="1:12" x14ac:dyDescent="0.35">
      <c r="A664" s="24" t="s">
        <v>3242</v>
      </c>
      <c r="B664" s="24" t="str">
        <f>"002381"</f>
        <v>002381</v>
      </c>
      <c r="C664" s="24" t="str">
        <f t="shared" si="10"/>
        <v>'002381.SZ'</v>
      </c>
      <c r="D664" s="24" t="s">
        <v>4762</v>
      </c>
      <c r="E664" s="24" t="s">
        <v>4763</v>
      </c>
      <c r="F664" s="24">
        <v>1.3774999999999999</v>
      </c>
      <c r="G664" s="24">
        <v>2634073337.5999999</v>
      </c>
      <c r="H664" s="24">
        <v>2.452</v>
      </c>
      <c r="I664" s="24">
        <v>1.8677999999999999</v>
      </c>
      <c r="J664" s="24">
        <v>0.93679999999999997</v>
      </c>
      <c r="K664" s="24">
        <v>271</v>
      </c>
      <c r="L664" s="24" t="s">
        <v>4764</v>
      </c>
    </row>
    <row r="665" spans="1:12" x14ac:dyDescent="0.35">
      <c r="A665" s="24" t="s">
        <v>3242</v>
      </c>
      <c r="B665" s="24" t="str">
        <f>"003016"</f>
        <v>003016</v>
      </c>
      <c r="C665" s="24" t="str">
        <f t="shared" si="10"/>
        <v>'003016.SZ'</v>
      </c>
      <c r="D665" s="24" t="s">
        <v>4765</v>
      </c>
      <c r="E665" s="24" t="s">
        <v>4121</v>
      </c>
      <c r="F665" s="24">
        <v>1.3769</v>
      </c>
      <c r="G665" s="24">
        <v>3919378259.04</v>
      </c>
      <c r="H665" s="24">
        <v>3.5167000000000002</v>
      </c>
      <c r="I665" s="24">
        <v>2.4293999999999998</v>
      </c>
      <c r="J665" s="24">
        <v>1.6886000000000001</v>
      </c>
      <c r="K665" s="24">
        <v>61</v>
      </c>
      <c r="L665" s="24" t="s">
        <v>4766</v>
      </c>
    </row>
    <row r="666" spans="1:12" x14ac:dyDescent="0.35">
      <c r="A666" s="24" t="s">
        <v>3246</v>
      </c>
      <c r="B666" s="24" t="str">
        <f>"600249"</f>
        <v>600249</v>
      </c>
      <c r="C666" s="24" t="str">
        <f t="shared" si="10"/>
        <v>'600249.SS'</v>
      </c>
      <c r="D666" s="24" t="s">
        <v>4767</v>
      </c>
      <c r="E666" s="24" t="s">
        <v>4768</v>
      </c>
      <c r="F666" s="24">
        <v>1.375</v>
      </c>
      <c r="G666" s="24">
        <v>2876500000</v>
      </c>
      <c r="H666" s="24">
        <v>5.2439999999999998</v>
      </c>
      <c r="I666" s="24">
        <v>4.5358999999999998</v>
      </c>
      <c r="J666" s="24">
        <v>3.5972</v>
      </c>
      <c r="K666" s="24">
        <v>97</v>
      </c>
      <c r="L666" s="24" t="s">
        <v>4769</v>
      </c>
    </row>
    <row r="667" spans="1:12" x14ac:dyDescent="0.35">
      <c r="A667" s="24" t="s">
        <v>3246</v>
      </c>
      <c r="B667" s="24" t="str">
        <f>"600955"</f>
        <v>600955</v>
      </c>
      <c r="C667" s="24" t="str">
        <f t="shared" si="10"/>
        <v>'600955.SS'</v>
      </c>
      <c r="D667" s="24" t="s">
        <v>4770</v>
      </c>
      <c r="E667" s="24" t="s">
        <v>3994</v>
      </c>
      <c r="F667" s="24">
        <v>1.3749</v>
      </c>
      <c r="G667" s="24">
        <v>11726000000</v>
      </c>
      <c r="H667" s="24">
        <v>4.4977999999999998</v>
      </c>
      <c r="I667" s="24">
        <v>4.0007000000000001</v>
      </c>
      <c r="J667" s="24">
        <v>1.2809999999999999</v>
      </c>
      <c r="K667" s="24">
        <v>69</v>
      </c>
      <c r="L667" s="24" t="s">
        <v>4771</v>
      </c>
    </row>
    <row r="668" spans="1:12" x14ac:dyDescent="0.35">
      <c r="A668" s="24" t="s">
        <v>3242</v>
      </c>
      <c r="B668" s="24" t="str">
        <f>"001296"</f>
        <v>001296</v>
      </c>
      <c r="C668" s="24" t="str">
        <f t="shared" si="10"/>
        <v>'001296.SZ'</v>
      </c>
      <c r="D668" s="24" t="s">
        <v>4772</v>
      </c>
      <c r="E668" s="24" t="s">
        <v>3910</v>
      </c>
      <c r="F668" s="24">
        <v>1.371</v>
      </c>
      <c r="G668" s="24">
        <v>2117949998.0599999</v>
      </c>
      <c r="H668" s="24">
        <v>5.3715000000000002</v>
      </c>
      <c r="I668" s="24">
        <v>4.6018999999999997</v>
      </c>
      <c r="J668" s="24">
        <v>1.3439000000000001</v>
      </c>
      <c r="K668" s="24">
        <v>21</v>
      </c>
      <c r="L668" s="24" t="s">
        <v>4773</v>
      </c>
    </row>
    <row r="669" spans="1:12" x14ac:dyDescent="0.35">
      <c r="A669" s="24" t="s">
        <v>3242</v>
      </c>
      <c r="B669" s="24" t="str">
        <f>"300800"</f>
        <v>300800</v>
      </c>
      <c r="C669" s="24" t="str">
        <f t="shared" si="10"/>
        <v>'300800.SZ'</v>
      </c>
      <c r="D669" s="24" t="s">
        <v>4774</v>
      </c>
      <c r="E669" s="24" t="s">
        <v>3843</v>
      </c>
      <c r="F669" s="24">
        <v>1.3697999999999999</v>
      </c>
      <c r="G669" s="24">
        <v>2836960000</v>
      </c>
      <c r="H669" s="24">
        <v>9.3011999999999997</v>
      </c>
      <c r="I669" s="24">
        <v>8.0974000000000004</v>
      </c>
      <c r="J669" s="24">
        <v>3.278</v>
      </c>
      <c r="K669" s="24">
        <v>358</v>
      </c>
      <c r="L669" s="24" t="s">
        <v>4775</v>
      </c>
    </row>
    <row r="670" spans="1:12" x14ac:dyDescent="0.35">
      <c r="A670" s="24" t="s">
        <v>3242</v>
      </c>
      <c r="B670" s="24" t="str">
        <f>"300695"</f>
        <v>300695</v>
      </c>
      <c r="C670" s="24" t="str">
        <f t="shared" si="10"/>
        <v>'300695.SZ'</v>
      </c>
      <c r="D670" s="24" t="s">
        <v>4776</v>
      </c>
      <c r="E670" s="24" t="s">
        <v>3699</v>
      </c>
      <c r="F670" s="24">
        <v>1.3655999999999999</v>
      </c>
      <c r="G670" s="24">
        <v>3135100342.4000001</v>
      </c>
      <c r="H670" s="24">
        <v>5.1199000000000003</v>
      </c>
      <c r="I670" s="24">
        <v>4.7112999999999996</v>
      </c>
      <c r="J670" s="24">
        <v>4.0735999999999999</v>
      </c>
      <c r="K670" s="24">
        <v>128</v>
      </c>
      <c r="L670" s="24" t="s">
        <v>4777</v>
      </c>
    </row>
    <row r="671" spans="1:12" x14ac:dyDescent="0.35">
      <c r="A671" s="24" t="s">
        <v>3242</v>
      </c>
      <c r="B671" s="24" t="str">
        <f>"300970"</f>
        <v>300970</v>
      </c>
      <c r="C671" s="24" t="str">
        <f t="shared" si="10"/>
        <v>'300970.SZ'</v>
      </c>
      <c r="D671" s="24" t="s">
        <v>4778</v>
      </c>
      <c r="E671" s="24" t="s">
        <v>4779</v>
      </c>
      <c r="F671" s="24">
        <v>1.3629</v>
      </c>
      <c r="G671" s="24">
        <v>2038749000</v>
      </c>
      <c r="H671" s="24">
        <v>5.9058000000000002</v>
      </c>
      <c r="I671" s="24">
        <v>4.8423999999999996</v>
      </c>
      <c r="J671" s="24">
        <v>2.3694000000000002</v>
      </c>
      <c r="K671" s="24">
        <v>29</v>
      </c>
      <c r="L671" s="24" t="s">
        <v>4780</v>
      </c>
    </row>
    <row r="672" spans="1:12" x14ac:dyDescent="0.35">
      <c r="A672" s="24" t="s">
        <v>3246</v>
      </c>
      <c r="B672" s="24" t="str">
        <f>"688370"</f>
        <v>688370</v>
      </c>
      <c r="C672" s="24" t="str">
        <f t="shared" si="10"/>
        <v>'688370.SS'</v>
      </c>
      <c r="D672" s="24" t="s">
        <v>4781</v>
      </c>
      <c r="E672" s="24" t="s">
        <v>3422</v>
      </c>
      <c r="F672" s="24">
        <v>1.3614999999999999</v>
      </c>
      <c r="G672" s="24">
        <v>3825080000</v>
      </c>
      <c r="H672" s="24">
        <v>5.0327000000000002</v>
      </c>
      <c r="I672" s="24">
        <v>4.8402000000000003</v>
      </c>
      <c r="J672" s="24">
        <v>2.0379</v>
      </c>
      <c r="K672" s="24">
        <v>3</v>
      </c>
      <c r="L672" s="24" t="s">
        <v>4782</v>
      </c>
    </row>
    <row r="673" spans="1:12" x14ac:dyDescent="0.35">
      <c r="A673" s="24" t="s">
        <v>3246</v>
      </c>
      <c r="B673" s="24" t="str">
        <f>"601921"</f>
        <v>601921</v>
      </c>
      <c r="C673" s="24" t="str">
        <f t="shared" si="10"/>
        <v>'601921.SS'</v>
      </c>
      <c r="D673" s="24" t="s">
        <v>4783</v>
      </c>
      <c r="E673" s="24" t="s">
        <v>3505</v>
      </c>
      <c r="F673" s="24">
        <v>1.3605</v>
      </c>
      <c r="G673" s="24">
        <v>16466666672.43</v>
      </c>
      <c r="H673" s="24">
        <v>1.8514999999999999</v>
      </c>
      <c r="I673" s="24">
        <v>1.3478000000000001</v>
      </c>
      <c r="J673" s="24">
        <v>1.1773</v>
      </c>
      <c r="K673" s="24">
        <v>47</v>
      </c>
      <c r="L673" s="24" t="s">
        <v>4784</v>
      </c>
    </row>
    <row r="674" spans="1:12" x14ac:dyDescent="0.35">
      <c r="A674" s="24" t="s">
        <v>3246</v>
      </c>
      <c r="B674" s="24" t="str">
        <f>"601001"</f>
        <v>601001</v>
      </c>
      <c r="C674" s="24" t="str">
        <f t="shared" si="10"/>
        <v>'601001.SS'</v>
      </c>
      <c r="D674" s="24" t="s">
        <v>4785</v>
      </c>
      <c r="E674" s="24" t="s">
        <v>4418</v>
      </c>
      <c r="F674" s="24">
        <v>1.3517999999999999</v>
      </c>
      <c r="G674" s="24">
        <v>20301981000</v>
      </c>
      <c r="H674" s="24">
        <v>1.7533000000000001</v>
      </c>
      <c r="I674" s="24">
        <v>1.7119</v>
      </c>
      <c r="J674" s="24">
        <v>1.4955000000000001</v>
      </c>
      <c r="K674" s="24">
        <v>323</v>
      </c>
      <c r="L674" s="24" t="s">
        <v>4786</v>
      </c>
    </row>
    <row r="675" spans="1:12" x14ac:dyDescent="0.35">
      <c r="A675" s="24" t="s">
        <v>3246</v>
      </c>
      <c r="B675" s="24" t="str">
        <f>"603610"</f>
        <v>603610</v>
      </c>
      <c r="C675" s="24" t="str">
        <f t="shared" si="10"/>
        <v>'603610.SS'</v>
      </c>
      <c r="D675" s="24" t="s">
        <v>4787</v>
      </c>
      <c r="E675" s="24" t="s">
        <v>4712</v>
      </c>
      <c r="F675" s="24">
        <v>1.3489</v>
      </c>
      <c r="G675" s="24">
        <v>4423757357.3400002</v>
      </c>
      <c r="H675" s="24">
        <v>4.1109</v>
      </c>
      <c r="I675" s="24">
        <v>3.1911999999999998</v>
      </c>
      <c r="J675" s="24">
        <v>2.2791999999999999</v>
      </c>
      <c r="K675" s="24">
        <v>241</v>
      </c>
      <c r="L675" s="24" t="s">
        <v>4788</v>
      </c>
    </row>
    <row r="676" spans="1:12" x14ac:dyDescent="0.35">
      <c r="A676" s="24" t="s">
        <v>3246</v>
      </c>
      <c r="B676" s="24" t="str">
        <f>"605500"</f>
        <v>605500</v>
      </c>
      <c r="C676" s="24" t="str">
        <f t="shared" si="10"/>
        <v>'605500.SS'</v>
      </c>
      <c r="D676" s="24" t="s">
        <v>4789</v>
      </c>
      <c r="E676" s="24" t="s">
        <v>4570</v>
      </c>
      <c r="F676" s="24">
        <v>1.3452</v>
      </c>
      <c r="G676" s="24">
        <v>3113920000</v>
      </c>
      <c r="H676" s="24">
        <v>6.5579000000000001</v>
      </c>
      <c r="I676" s="24">
        <v>5.0464000000000002</v>
      </c>
      <c r="J676" s="24">
        <v>1.7403</v>
      </c>
      <c r="K676" s="24">
        <v>47</v>
      </c>
      <c r="L676" s="24" t="s">
        <v>4790</v>
      </c>
    </row>
    <row r="677" spans="1:12" x14ac:dyDescent="0.35">
      <c r="A677" s="24" t="s">
        <v>3242</v>
      </c>
      <c r="B677" s="24" t="str">
        <f>"002558"</f>
        <v>002558</v>
      </c>
      <c r="C677" s="24" t="str">
        <f t="shared" si="10"/>
        <v>'002558.SZ'</v>
      </c>
      <c r="D677" s="24" t="s">
        <v>4791</v>
      </c>
      <c r="E677" s="24" t="s">
        <v>3481</v>
      </c>
      <c r="F677" s="24">
        <v>1.3366</v>
      </c>
      <c r="G677" s="24">
        <v>16219940394.719999</v>
      </c>
      <c r="H677" s="24">
        <v>2.1271</v>
      </c>
      <c r="I677" s="24">
        <v>2.1067</v>
      </c>
      <c r="J677" s="24">
        <v>1.5322</v>
      </c>
      <c r="K677" s="24">
        <v>473</v>
      </c>
      <c r="L677" s="24" t="s">
        <v>4792</v>
      </c>
    </row>
    <row r="678" spans="1:12" x14ac:dyDescent="0.35">
      <c r="A678" s="24" t="s">
        <v>3242</v>
      </c>
      <c r="B678" s="24" t="str">
        <f>"300976"</f>
        <v>300976</v>
      </c>
      <c r="C678" s="24" t="str">
        <f t="shared" si="10"/>
        <v>'300976.SZ'</v>
      </c>
      <c r="D678" s="24" t="s">
        <v>4793</v>
      </c>
      <c r="E678" s="24" t="s">
        <v>3327</v>
      </c>
      <c r="F678" s="24">
        <v>1.3343</v>
      </c>
      <c r="G678" s="24">
        <v>4107691386</v>
      </c>
      <c r="H678" s="24">
        <v>6.8015999999999996</v>
      </c>
      <c r="I678" s="24">
        <v>6.0682999999999998</v>
      </c>
      <c r="J678" s="24">
        <v>2.5596999999999999</v>
      </c>
      <c r="K678" s="24">
        <v>41</v>
      </c>
      <c r="L678" s="24" t="s">
        <v>4794</v>
      </c>
    </row>
    <row r="679" spans="1:12" x14ac:dyDescent="0.35">
      <c r="A679" s="24" t="s">
        <v>3242</v>
      </c>
      <c r="B679" s="24" t="str">
        <f>"000919"</f>
        <v>000919</v>
      </c>
      <c r="C679" s="24" t="str">
        <f t="shared" si="10"/>
        <v>'000919.SZ'</v>
      </c>
      <c r="D679" s="24" t="s">
        <v>4795</v>
      </c>
      <c r="E679" s="24" t="s">
        <v>3696</v>
      </c>
      <c r="F679" s="24">
        <v>1.3340000000000001</v>
      </c>
      <c r="G679" s="24">
        <v>4011744000</v>
      </c>
      <c r="H679" s="24">
        <v>2.8026</v>
      </c>
      <c r="I679" s="24">
        <v>2.5198</v>
      </c>
      <c r="J679" s="24">
        <v>1.3348</v>
      </c>
      <c r="K679" s="24">
        <v>187</v>
      </c>
      <c r="L679" s="24" t="s">
        <v>4796</v>
      </c>
    </row>
    <row r="680" spans="1:12" x14ac:dyDescent="0.35">
      <c r="A680" s="24" t="s">
        <v>3242</v>
      </c>
      <c r="B680" s="24" t="str">
        <f>"002026"</f>
        <v>002026</v>
      </c>
      <c r="C680" s="24" t="str">
        <f t="shared" si="10"/>
        <v>'002026.SZ'</v>
      </c>
      <c r="D680" s="24" t="s">
        <v>4797</v>
      </c>
      <c r="E680" s="24" t="s">
        <v>3351</v>
      </c>
      <c r="F680" s="24">
        <v>1.3329</v>
      </c>
      <c r="G680" s="24">
        <v>4382114895.8500004</v>
      </c>
      <c r="H680" s="24">
        <v>2.177</v>
      </c>
      <c r="I680" s="24">
        <v>1.7245999999999999</v>
      </c>
      <c r="J680" s="24">
        <v>0.83620000000000005</v>
      </c>
      <c r="K680" s="24">
        <v>231</v>
      </c>
      <c r="L680" s="24" t="s">
        <v>4798</v>
      </c>
    </row>
    <row r="681" spans="1:12" x14ac:dyDescent="0.35">
      <c r="A681" s="24" t="s">
        <v>3246</v>
      </c>
      <c r="B681" s="24" t="str">
        <f>"601616"</f>
        <v>601616</v>
      </c>
      <c r="C681" s="24" t="str">
        <f t="shared" si="10"/>
        <v>'601616.SS'</v>
      </c>
      <c r="D681" s="24" t="s">
        <v>4799</v>
      </c>
      <c r="E681" s="24" t="s">
        <v>4800</v>
      </c>
      <c r="F681" s="24">
        <v>1.3288</v>
      </c>
      <c r="G681" s="24">
        <v>3265156750</v>
      </c>
      <c r="H681" s="24">
        <v>3.8706999999999998</v>
      </c>
      <c r="I681" s="24">
        <v>3.4981</v>
      </c>
      <c r="J681" s="24">
        <v>2.2639999999999998</v>
      </c>
      <c r="K681" s="24">
        <v>81</v>
      </c>
      <c r="L681" s="24" t="s">
        <v>4801</v>
      </c>
    </row>
    <row r="682" spans="1:12" x14ac:dyDescent="0.35">
      <c r="A682" s="24" t="s">
        <v>3246</v>
      </c>
      <c r="B682" s="24" t="str">
        <f>"605177"</f>
        <v>605177</v>
      </c>
      <c r="C682" s="24" t="str">
        <f t="shared" si="10"/>
        <v>'605177.SS'</v>
      </c>
      <c r="D682" s="24" t="s">
        <v>4802</v>
      </c>
      <c r="E682" s="24" t="s">
        <v>3658</v>
      </c>
      <c r="F682" s="24">
        <v>1.3272999999999999</v>
      </c>
      <c r="G682" s="24">
        <v>2384464000</v>
      </c>
      <c r="H682" s="24">
        <v>2.3323999999999998</v>
      </c>
      <c r="I682" s="24">
        <v>1.4293</v>
      </c>
      <c r="J682" s="24">
        <v>0.82399999999999995</v>
      </c>
      <c r="K682" s="24">
        <v>44</v>
      </c>
      <c r="L682" s="24" t="s">
        <v>4803</v>
      </c>
    </row>
    <row r="683" spans="1:12" x14ac:dyDescent="0.35">
      <c r="A683" s="24" t="s">
        <v>3242</v>
      </c>
      <c r="B683" s="24" t="str">
        <f>"001218"</f>
        <v>001218</v>
      </c>
      <c r="C683" s="24" t="str">
        <f t="shared" si="10"/>
        <v>'001218.SZ'</v>
      </c>
      <c r="D683" s="24" t="s">
        <v>4804</v>
      </c>
      <c r="E683" s="24" t="s">
        <v>3271</v>
      </c>
      <c r="F683" s="24">
        <v>1.3245</v>
      </c>
      <c r="G683" s="24">
        <v>2673586314</v>
      </c>
      <c r="H683" s="24">
        <v>3.3033000000000001</v>
      </c>
      <c r="I683" s="24">
        <v>2.6993</v>
      </c>
      <c r="J683" s="24">
        <v>1.2238</v>
      </c>
      <c r="K683" s="24">
        <v>22</v>
      </c>
      <c r="L683" s="24" t="s">
        <v>4805</v>
      </c>
    </row>
    <row r="684" spans="1:12" x14ac:dyDescent="0.35">
      <c r="A684" s="24" t="s">
        <v>3242</v>
      </c>
      <c r="B684" s="24" t="str">
        <f>"002224"</f>
        <v>002224</v>
      </c>
      <c r="C684" s="24" t="str">
        <f t="shared" si="10"/>
        <v>'002224.SZ'</v>
      </c>
      <c r="D684" s="24" t="s">
        <v>4806</v>
      </c>
      <c r="E684" s="24" t="s">
        <v>4763</v>
      </c>
      <c r="F684" s="24">
        <v>1.3203</v>
      </c>
      <c r="G684" s="24">
        <v>3246704309.3000002</v>
      </c>
      <c r="H684" s="24">
        <v>8.5381</v>
      </c>
      <c r="I684" s="24">
        <v>6.8601000000000001</v>
      </c>
      <c r="J684" s="24">
        <v>5.5397999999999996</v>
      </c>
      <c r="K684" s="24">
        <v>189</v>
      </c>
      <c r="L684" s="24" t="s">
        <v>4807</v>
      </c>
    </row>
    <row r="685" spans="1:12" x14ac:dyDescent="0.35">
      <c r="A685" s="24" t="s">
        <v>3242</v>
      </c>
      <c r="B685" s="24" t="str">
        <f>"001288"</f>
        <v>001288</v>
      </c>
      <c r="C685" s="24" t="str">
        <f t="shared" si="10"/>
        <v>'001288.SZ'</v>
      </c>
      <c r="D685" s="24" t="s">
        <v>4808</v>
      </c>
      <c r="E685" s="24" t="s">
        <v>3840</v>
      </c>
      <c r="F685" s="24">
        <v>1.3196000000000001</v>
      </c>
      <c r="G685" s="24">
        <v>2385600000</v>
      </c>
      <c r="H685" s="24">
        <v>3.1053999999999999</v>
      </c>
      <c r="I685" s="24">
        <v>2.8460999999999999</v>
      </c>
      <c r="J685" s="24">
        <v>1.2779</v>
      </c>
      <c r="K685" s="24">
        <v>23</v>
      </c>
      <c r="L685" s="24" t="s">
        <v>4809</v>
      </c>
    </row>
    <row r="686" spans="1:12" x14ac:dyDescent="0.35">
      <c r="A686" s="24" t="s">
        <v>3246</v>
      </c>
      <c r="B686" s="24" t="str">
        <f>"688606"</f>
        <v>688606</v>
      </c>
      <c r="C686" s="24" t="str">
        <f t="shared" si="10"/>
        <v>'688606.SS'</v>
      </c>
      <c r="D686" s="24" t="s">
        <v>4810</v>
      </c>
      <c r="E686" s="24" t="s">
        <v>3432</v>
      </c>
      <c r="F686" s="24">
        <v>1.3168</v>
      </c>
      <c r="G686" s="24">
        <v>5710605121.3000002</v>
      </c>
      <c r="H686" s="24">
        <v>12.5869</v>
      </c>
      <c r="I686" s="24">
        <v>11.237299999999999</v>
      </c>
      <c r="J686" s="24">
        <v>5.7415000000000003</v>
      </c>
      <c r="K686" s="24">
        <v>148</v>
      </c>
      <c r="L686" s="24" t="s">
        <v>4811</v>
      </c>
    </row>
    <row r="687" spans="1:12" x14ac:dyDescent="0.35">
      <c r="A687" s="24" t="s">
        <v>3242</v>
      </c>
      <c r="B687" s="24" t="str">
        <f>"000655"</f>
        <v>000655</v>
      </c>
      <c r="C687" s="24" t="str">
        <f t="shared" si="10"/>
        <v>'000655.SZ'</v>
      </c>
      <c r="D687" s="24" t="s">
        <v>4812</v>
      </c>
      <c r="E687" s="24" t="s">
        <v>3891</v>
      </c>
      <c r="F687" s="24">
        <v>1.3089</v>
      </c>
      <c r="G687" s="24">
        <v>4006639747.9000001</v>
      </c>
      <c r="H687" s="24">
        <v>8.0451999999999995</v>
      </c>
      <c r="I687" s="24">
        <v>7.7289000000000003</v>
      </c>
      <c r="J687" s="24">
        <v>6.8898999999999999</v>
      </c>
      <c r="K687" s="24">
        <v>151</v>
      </c>
      <c r="L687" s="24" t="s">
        <v>4813</v>
      </c>
    </row>
    <row r="688" spans="1:12" x14ac:dyDescent="0.35">
      <c r="A688" s="24" t="s">
        <v>3242</v>
      </c>
      <c r="B688" s="24" t="str">
        <f>"002022"</f>
        <v>002022</v>
      </c>
      <c r="C688" s="24" t="str">
        <f t="shared" si="10"/>
        <v>'002022.SZ'</v>
      </c>
      <c r="D688" s="24" t="s">
        <v>4814</v>
      </c>
      <c r="E688" s="24" t="s">
        <v>3432</v>
      </c>
      <c r="F688" s="24">
        <v>1.3038000000000001</v>
      </c>
      <c r="G688" s="24">
        <v>6372137463.5100002</v>
      </c>
      <c r="H688" s="24">
        <v>5.3509000000000002</v>
      </c>
      <c r="I688" s="24">
        <v>4.1874000000000002</v>
      </c>
      <c r="J688" s="24">
        <v>2.9860000000000002</v>
      </c>
      <c r="K688" s="24">
        <v>1003</v>
      </c>
      <c r="L688" s="24" t="s">
        <v>4815</v>
      </c>
    </row>
    <row r="689" spans="1:12" x14ac:dyDescent="0.35">
      <c r="A689" s="24" t="s">
        <v>3246</v>
      </c>
      <c r="B689" s="24" t="str">
        <f>"601222"</f>
        <v>601222</v>
      </c>
      <c r="C689" s="24" t="str">
        <f t="shared" si="10"/>
        <v>'601222.SS'</v>
      </c>
      <c r="D689" s="24" t="s">
        <v>4816</v>
      </c>
      <c r="E689" s="24" t="s">
        <v>3254</v>
      </c>
      <c r="F689" s="24">
        <v>1.3026</v>
      </c>
      <c r="G689" s="24">
        <v>19365590066.400002</v>
      </c>
      <c r="H689" s="24">
        <v>3.0693999999999999</v>
      </c>
      <c r="I689" s="24">
        <v>2.6549999999999998</v>
      </c>
      <c r="J689" s="24">
        <v>0.84450000000000003</v>
      </c>
      <c r="K689" s="24">
        <v>570</v>
      </c>
      <c r="L689" s="24" t="s">
        <v>4817</v>
      </c>
    </row>
    <row r="690" spans="1:12" x14ac:dyDescent="0.35">
      <c r="A690" s="24" t="s">
        <v>3242</v>
      </c>
      <c r="B690" s="24" t="str">
        <f>"002588"</f>
        <v>002588</v>
      </c>
      <c r="C690" s="24" t="str">
        <f t="shared" si="10"/>
        <v>'002588.SZ'</v>
      </c>
      <c r="D690" s="24" t="s">
        <v>4818</v>
      </c>
      <c r="E690" s="24" t="s">
        <v>4819</v>
      </c>
      <c r="F690" s="24">
        <v>1.2988999999999999</v>
      </c>
      <c r="G690" s="24">
        <v>7022285880</v>
      </c>
      <c r="H690" s="24">
        <v>1.6041000000000001</v>
      </c>
      <c r="I690" s="24">
        <v>1.1181000000000001</v>
      </c>
      <c r="J690" s="24">
        <v>0.97799999999999998</v>
      </c>
      <c r="K690" s="24">
        <v>178</v>
      </c>
      <c r="L690" s="24" t="s">
        <v>4820</v>
      </c>
    </row>
    <row r="691" spans="1:12" x14ac:dyDescent="0.35">
      <c r="A691" s="24" t="s">
        <v>3246</v>
      </c>
      <c r="B691" s="24" t="str">
        <f>"600830"</f>
        <v>600830</v>
      </c>
      <c r="C691" s="24" t="str">
        <f t="shared" si="10"/>
        <v>'600830.SS'</v>
      </c>
      <c r="D691" s="24" t="s">
        <v>4821</v>
      </c>
      <c r="E691" s="24" t="s">
        <v>3902</v>
      </c>
      <c r="F691" s="24">
        <v>1.2896000000000001</v>
      </c>
      <c r="G691" s="24">
        <v>2725936482</v>
      </c>
      <c r="H691" s="24">
        <v>3.1248</v>
      </c>
      <c r="I691" s="24">
        <v>3.1229</v>
      </c>
      <c r="J691" s="24">
        <v>2.3365999999999998</v>
      </c>
      <c r="K691" s="24">
        <v>83</v>
      </c>
      <c r="L691" s="24" t="s">
        <v>4822</v>
      </c>
    </row>
    <row r="692" spans="1:12" x14ac:dyDescent="0.35">
      <c r="A692" s="24" t="s">
        <v>3242</v>
      </c>
      <c r="B692" s="24" t="str">
        <f>"000557"</f>
        <v>000557</v>
      </c>
      <c r="C692" s="24" t="str">
        <f t="shared" si="10"/>
        <v>'000557.SZ'</v>
      </c>
      <c r="D692" s="24" t="s">
        <v>4823</v>
      </c>
      <c r="E692" s="24" t="s">
        <v>4824</v>
      </c>
      <c r="F692" s="24">
        <v>1.2894000000000001</v>
      </c>
      <c r="G692" s="24">
        <v>7233538685.6000004</v>
      </c>
      <c r="H692" s="24">
        <v>4.9893000000000001</v>
      </c>
      <c r="I692" s="24">
        <v>4.8121999999999998</v>
      </c>
      <c r="J692" s="24">
        <v>3.5259</v>
      </c>
      <c r="K692" s="24">
        <v>111</v>
      </c>
      <c r="L692" s="24" t="s">
        <v>4825</v>
      </c>
    </row>
    <row r="693" spans="1:12" x14ac:dyDescent="0.35">
      <c r="A693" s="24" t="s">
        <v>3246</v>
      </c>
      <c r="B693" s="24" t="str">
        <f>"605100"</f>
        <v>605100</v>
      </c>
      <c r="C693" s="24" t="str">
        <f t="shared" si="10"/>
        <v>'605100.SS'</v>
      </c>
      <c r="D693" s="24" t="s">
        <v>4826</v>
      </c>
      <c r="E693" s="24" t="s">
        <v>3351</v>
      </c>
      <c r="F693" s="24">
        <v>1.2878000000000001</v>
      </c>
      <c r="G693" s="24">
        <v>2290683360</v>
      </c>
      <c r="H693" s="24">
        <v>3.4998999999999998</v>
      </c>
      <c r="I693" s="24">
        <v>3.077</v>
      </c>
      <c r="J693" s="24">
        <v>1.5246999999999999</v>
      </c>
      <c r="K693" s="24">
        <v>71</v>
      </c>
      <c r="L693" s="24" t="s">
        <v>4827</v>
      </c>
    </row>
    <row r="694" spans="1:12" x14ac:dyDescent="0.35">
      <c r="A694" s="24" t="s">
        <v>3246</v>
      </c>
      <c r="B694" s="24" t="str">
        <f>"600395"</f>
        <v>600395</v>
      </c>
      <c r="C694" s="24" t="str">
        <f t="shared" si="10"/>
        <v>'600395.SS'</v>
      </c>
      <c r="D694" s="24" t="s">
        <v>4828</v>
      </c>
      <c r="E694" s="24" t="s">
        <v>4829</v>
      </c>
      <c r="F694" s="24">
        <v>1.2849999999999999</v>
      </c>
      <c r="G694" s="24">
        <v>14511184283.440001</v>
      </c>
      <c r="H694" s="24">
        <v>1.6617</v>
      </c>
      <c r="I694" s="24">
        <v>1.5119</v>
      </c>
      <c r="J694" s="24">
        <v>0.91400000000000003</v>
      </c>
      <c r="K694" s="24">
        <v>559</v>
      </c>
      <c r="L694" s="24" t="s">
        <v>4830</v>
      </c>
    </row>
    <row r="695" spans="1:12" x14ac:dyDescent="0.35">
      <c r="A695" s="24" t="s">
        <v>3242</v>
      </c>
      <c r="B695" s="24" t="str">
        <f>"002659"</f>
        <v>002659</v>
      </c>
      <c r="C695" s="24" t="str">
        <f t="shared" si="10"/>
        <v>'002659.SZ'</v>
      </c>
      <c r="D695" s="24" t="s">
        <v>4831</v>
      </c>
      <c r="E695" s="24" t="s">
        <v>4832</v>
      </c>
      <c r="F695" s="24">
        <v>1.2846</v>
      </c>
      <c r="G695" s="24">
        <v>2937556685.4400001</v>
      </c>
      <c r="H695" s="24">
        <v>2.3515000000000001</v>
      </c>
      <c r="I695" s="24">
        <v>2.2841</v>
      </c>
      <c r="J695" s="24">
        <v>1.6942999999999999</v>
      </c>
      <c r="K695" s="24">
        <v>98</v>
      </c>
      <c r="L695" s="24" t="s">
        <v>4833</v>
      </c>
    </row>
    <row r="696" spans="1:12" x14ac:dyDescent="0.35">
      <c r="A696" s="24" t="s">
        <v>3246</v>
      </c>
      <c r="B696" s="24" t="str">
        <f>"603766"</f>
        <v>603766</v>
      </c>
      <c r="C696" s="24" t="str">
        <f t="shared" si="10"/>
        <v>'603766.SS'</v>
      </c>
      <c r="D696" s="24" t="s">
        <v>4834</v>
      </c>
      <c r="E696" s="24" t="s">
        <v>3411</v>
      </c>
      <c r="F696" s="24">
        <v>1.2837000000000001</v>
      </c>
      <c r="G696" s="24">
        <v>10370386342.5</v>
      </c>
      <c r="H696" s="24">
        <v>1.9521999999999999</v>
      </c>
      <c r="I696" s="24">
        <v>1.7353000000000001</v>
      </c>
      <c r="J696" s="24">
        <v>0.86419999999999997</v>
      </c>
      <c r="K696" s="24">
        <v>470</v>
      </c>
      <c r="L696" s="24" t="s">
        <v>4835</v>
      </c>
    </row>
    <row r="697" spans="1:12" x14ac:dyDescent="0.35">
      <c r="A697" s="24" t="s">
        <v>3246</v>
      </c>
      <c r="B697" s="24" t="str">
        <f>"600938"</f>
        <v>600938</v>
      </c>
      <c r="C697" s="24" t="str">
        <f t="shared" si="10"/>
        <v>'600938.SS'</v>
      </c>
      <c r="D697" s="24" t="s">
        <v>4836</v>
      </c>
      <c r="E697" s="24" t="s">
        <v>4837</v>
      </c>
      <c r="F697" s="24">
        <v>1.2837000000000001</v>
      </c>
      <c r="G697" s="24">
        <v>728722824234.88</v>
      </c>
      <c r="H697" s="24">
        <v>1.9596</v>
      </c>
      <c r="I697" s="24">
        <v>1.8898999999999999</v>
      </c>
      <c r="J697" s="24">
        <v>0.97360000000000002</v>
      </c>
      <c r="K697" s="24">
        <v>166</v>
      </c>
      <c r="L697" s="24" t="s">
        <v>4838</v>
      </c>
    </row>
    <row r="698" spans="1:12" x14ac:dyDescent="0.35">
      <c r="A698" s="24" t="s">
        <v>3242</v>
      </c>
      <c r="B698" s="24" t="str">
        <f>"002627"</f>
        <v>002627</v>
      </c>
      <c r="C698" s="24" t="str">
        <f t="shared" si="10"/>
        <v>'002627.SZ'</v>
      </c>
      <c r="D698" s="24" t="s">
        <v>4839</v>
      </c>
      <c r="E698" s="24" t="s">
        <v>4673</v>
      </c>
      <c r="F698" s="24">
        <v>1.2817000000000001</v>
      </c>
      <c r="G698" s="24">
        <v>3926947982.4400001</v>
      </c>
      <c r="H698" s="24">
        <v>3.5966</v>
      </c>
      <c r="I698" s="24">
        <v>3.0402999999999998</v>
      </c>
      <c r="J698" s="24">
        <v>2.0200999999999998</v>
      </c>
      <c r="K698" s="24">
        <v>109</v>
      </c>
      <c r="L698" s="24" t="s">
        <v>4840</v>
      </c>
    </row>
    <row r="699" spans="1:12" x14ac:dyDescent="0.35">
      <c r="A699" s="24" t="s">
        <v>3242</v>
      </c>
      <c r="B699" s="24" t="str">
        <f>"000690"</f>
        <v>000690</v>
      </c>
      <c r="C699" s="24" t="str">
        <f t="shared" si="10"/>
        <v>'000690.SZ'</v>
      </c>
      <c r="D699" s="24" t="s">
        <v>4841</v>
      </c>
      <c r="E699" s="24" t="s">
        <v>4842</v>
      </c>
      <c r="F699" s="24">
        <v>1.28</v>
      </c>
      <c r="G699" s="24">
        <v>14404377646.440001</v>
      </c>
      <c r="H699" s="24">
        <v>1.863</v>
      </c>
      <c r="I699" s="24">
        <v>1.7632000000000001</v>
      </c>
      <c r="J699" s="24">
        <v>1.4039999999999999</v>
      </c>
      <c r="K699" s="24">
        <v>642</v>
      </c>
      <c r="L699" s="24" t="s">
        <v>4843</v>
      </c>
    </row>
    <row r="700" spans="1:12" x14ac:dyDescent="0.35">
      <c r="A700" s="24" t="s">
        <v>3246</v>
      </c>
      <c r="B700" s="24" t="str">
        <f>"603788"</f>
        <v>603788</v>
      </c>
      <c r="C700" s="24" t="str">
        <f t="shared" si="10"/>
        <v>'603788.SS'</v>
      </c>
      <c r="D700" s="24" t="s">
        <v>4844</v>
      </c>
      <c r="E700" s="24" t="s">
        <v>3405</v>
      </c>
      <c r="F700" s="24">
        <v>1.2710999999999999</v>
      </c>
      <c r="G700" s="24">
        <v>2455946398.6799998</v>
      </c>
      <c r="H700" s="24">
        <v>6.6554000000000002</v>
      </c>
      <c r="I700" s="24">
        <v>5.9546000000000001</v>
      </c>
      <c r="J700" s="24">
        <v>2.5571000000000002</v>
      </c>
      <c r="K700" s="24">
        <v>336</v>
      </c>
      <c r="L700" s="24" t="s">
        <v>4845</v>
      </c>
    </row>
    <row r="701" spans="1:12" x14ac:dyDescent="0.35">
      <c r="A701" s="24" t="s">
        <v>3246</v>
      </c>
      <c r="B701" s="24" t="str">
        <f>"688057"</f>
        <v>688057</v>
      </c>
      <c r="C701" s="24" t="str">
        <f t="shared" si="10"/>
        <v>'688057.SS'</v>
      </c>
      <c r="D701" s="24" t="s">
        <v>4846</v>
      </c>
      <c r="E701" s="24" t="s">
        <v>4197</v>
      </c>
      <c r="F701" s="24">
        <v>1.2632000000000001</v>
      </c>
      <c r="G701" s="24">
        <v>3919200000</v>
      </c>
      <c r="H701" s="24">
        <v>10.414199999999999</v>
      </c>
      <c r="I701" s="24">
        <v>9.8969000000000005</v>
      </c>
      <c r="J701" s="24">
        <v>5.3630000000000004</v>
      </c>
      <c r="K701" s="24">
        <v>117</v>
      </c>
      <c r="L701" s="24" t="s">
        <v>4847</v>
      </c>
    </row>
    <row r="702" spans="1:12" x14ac:dyDescent="0.35">
      <c r="A702" s="24" t="s">
        <v>3242</v>
      </c>
      <c r="B702" s="24" t="str">
        <f>"300572"</f>
        <v>300572</v>
      </c>
      <c r="C702" s="24" t="str">
        <f t="shared" si="10"/>
        <v>'300572.SZ'</v>
      </c>
      <c r="D702" s="24" t="s">
        <v>4848</v>
      </c>
      <c r="E702" s="24" t="s">
        <v>3342</v>
      </c>
      <c r="F702" s="24">
        <v>1.2621</v>
      </c>
      <c r="G702" s="24">
        <v>2757025296.48</v>
      </c>
      <c r="H702" s="24">
        <v>4.0117000000000003</v>
      </c>
      <c r="I702" s="24">
        <v>3.2976999999999999</v>
      </c>
      <c r="J702" s="24">
        <v>2.6854</v>
      </c>
      <c r="K702" s="24">
        <v>451</v>
      </c>
      <c r="L702" s="24" t="s">
        <v>4849</v>
      </c>
    </row>
    <row r="703" spans="1:12" x14ac:dyDescent="0.35">
      <c r="A703" s="24" t="s">
        <v>3242</v>
      </c>
      <c r="B703" s="24" t="str">
        <f>"002435"</f>
        <v>002435</v>
      </c>
      <c r="C703" s="24" t="str">
        <f t="shared" si="10"/>
        <v>'002435.SZ'</v>
      </c>
      <c r="D703" s="24" t="s">
        <v>4850</v>
      </c>
      <c r="E703" s="24" t="s">
        <v>3696</v>
      </c>
      <c r="F703" s="24">
        <v>1.2578</v>
      </c>
      <c r="G703" s="24">
        <v>5796760363.8000002</v>
      </c>
      <c r="H703" s="24">
        <v>2.0343</v>
      </c>
      <c r="I703" s="24">
        <v>1.4443999999999999</v>
      </c>
      <c r="J703" s="24">
        <v>1.0563</v>
      </c>
      <c r="K703" s="24">
        <v>144</v>
      </c>
      <c r="L703" s="24" t="s">
        <v>4851</v>
      </c>
    </row>
    <row r="704" spans="1:12" x14ac:dyDescent="0.35">
      <c r="A704" s="24" t="s">
        <v>3242</v>
      </c>
      <c r="B704" s="24" t="str">
        <f>"000731"</f>
        <v>000731</v>
      </c>
      <c r="C704" s="24" t="str">
        <f t="shared" si="10"/>
        <v>'000731.SZ'</v>
      </c>
      <c r="D704" s="24" t="s">
        <v>4852</v>
      </c>
      <c r="E704" s="24" t="s">
        <v>3580</v>
      </c>
      <c r="F704" s="24">
        <v>1.2546999999999999</v>
      </c>
      <c r="G704" s="24">
        <v>4826363716.4799995</v>
      </c>
      <c r="H704" s="24">
        <v>3.8399000000000001</v>
      </c>
      <c r="I704" s="24">
        <v>3.0836000000000001</v>
      </c>
      <c r="J704" s="24">
        <v>1.7431000000000001</v>
      </c>
      <c r="K704" s="24">
        <v>150</v>
      </c>
      <c r="L704" s="24" t="s">
        <v>4853</v>
      </c>
    </row>
    <row r="705" spans="1:12" x14ac:dyDescent="0.35">
      <c r="A705" s="24" t="s">
        <v>3246</v>
      </c>
      <c r="B705" s="24" t="str">
        <f>"601098"</f>
        <v>601098</v>
      </c>
      <c r="C705" s="24" t="str">
        <f t="shared" si="10"/>
        <v>'601098.SS'</v>
      </c>
      <c r="D705" s="24" t="s">
        <v>4854</v>
      </c>
      <c r="E705" s="24" t="s">
        <v>3505</v>
      </c>
      <c r="F705" s="24">
        <v>1.2542</v>
      </c>
      <c r="G705" s="24">
        <v>17942040000</v>
      </c>
      <c r="H705" s="24">
        <v>2.4112</v>
      </c>
      <c r="I705" s="24">
        <v>2.0766</v>
      </c>
      <c r="J705" s="24">
        <v>1.0769</v>
      </c>
      <c r="K705" s="24">
        <v>904</v>
      </c>
      <c r="L705" s="24" t="s">
        <v>4855</v>
      </c>
    </row>
    <row r="706" spans="1:12" x14ac:dyDescent="0.35">
      <c r="A706" s="24" t="s">
        <v>3242</v>
      </c>
      <c r="B706" s="24" t="str">
        <f>"000639"</f>
        <v>000639</v>
      </c>
      <c r="C706" s="24" t="str">
        <f t="shared" si="10"/>
        <v>'000639.SZ'</v>
      </c>
      <c r="D706" s="24" t="s">
        <v>4856</v>
      </c>
      <c r="E706" s="24" t="s">
        <v>4857</v>
      </c>
      <c r="F706" s="24">
        <v>1.2512000000000001</v>
      </c>
      <c r="G706" s="24">
        <v>4943780675.1000004</v>
      </c>
      <c r="H706" s="24">
        <v>1.6235999999999999</v>
      </c>
      <c r="I706" s="24">
        <v>1.0239</v>
      </c>
      <c r="J706" s="24">
        <v>0.80249999999999999</v>
      </c>
      <c r="K706" s="24">
        <v>322</v>
      </c>
      <c r="L706" s="24" t="s">
        <v>4858</v>
      </c>
    </row>
    <row r="707" spans="1:12" x14ac:dyDescent="0.35">
      <c r="A707" s="24" t="s">
        <v>3242</v>
      </c>
      <c r="B707" s="24" t="str">
        <f>"002195"</f>
        <v>002195</v>
      </c>
      <c r="C707" s="24" t="str">
        <f t="shared" ref="C707:C770" si="11">CONCATENATE("'",B707,IF(A707="sh",".SS'",".SZ'"))</f>
        <v>'002195.SZ'</v>
      </c>
      <c r="D707" s="24" t="s">
        <v>4859</v>
      </c>
      <c r="E707" s="24" t="s">
        <v>3722</v>
      </c>
      <c r="F707" s="24">
        <v>1.2508999999999999</v>
      </c>
      <c r="G707" s="24">
        <v>11907683139.040001</v>
      </c>
      <c r="H707" s="24">
        <v>16.984200000000001</v>
      </c>
      <c r="I707" s="24">
        <v>16.976299999999998</v>
      </c>
      <c r="J707" s="24">
        <v>6.1401000000000003</v>
      </c>
      <c r="K707" s="24">
        <v>572</v>
      </c>
      <c r="L707" s="24" t="s">
        <v>4860</v>
      </c>
    </row>
    <row r="708" spans="1:12" x14ac:dyDescent="0.35">
      <c r="A708" s="24" t="s">
        <v>3246</v>
      </c>
      <c r="B708" s="24" t="str">
        <f>"603586"</f>
        <v>603586</v>
      </c>
      <c r="C708" s="24" t="str">
        <f t="shared" si="11"/>
        <v>'603586.SS'</v>
      </c>
      <c r="D708" s="24" t="s">
        <v>4861</v>
      </c>
      <c r="E708" s="24" t="s">
        <v>3405</v>
      </c>
      <c r="F708" s="24">
        <v>1.2492000000000001</v>
      </c>
      <c r="G708" s="24">
        <v>2676120447</v>
      </c>
      <c r="H708" s="24">
        <v>2.6084000000000001</v>
      </c>
      <c r="I708" s="24">
        <v>2.1101000000000001</v>
      </c>
      <c r="J708" s="24">
        <v>1.1996</v>
      </c>
      <c r="K708" s="24">
        <v>121</v>
      </c>
      <c r="L708" s="24" t="s">
        <v>4862</v>
      </c>
    </row>
    <row r="709" spans="1:12" x14ac:dyDescent="0.35">
      <c r="A709" s="24" t="s">
        <v>3246</v>
      </c>
      <c r="B709" s="24" t="str">
        <f>"603095"</f>
        <v>603095</v>
      </c>
      <c r="C709" s="24" t="str">
        <f t="shared" si="11"/>
        <v>'603095.SS'</v>
      </c>
      <c r="D709" s="24" t="s">
        <v>4863</v>
      </c>
      <c r="E709" s="24" t="s">
        <v>4864</v>
      </c>
      <c r="F709" s="24">
        <v>1.2455000000000001</v>
      </c>
      <c r="G709" s="24">
        <v>3152160000</v>
      </c>
      <c r="H709" s="24">
        <v>2.8855</v>
      </c>
      <c r="I709" s="24">
        <v>2.4226999999999999</v>
      </c>
      <c r="J709" s="24">
        <v>1.8762000000000001</v>
      </c>
      <c r="K709" s="24">
        <v>73</v>
      </c>
      <c r="L709" s="24" t="s">
        <v>4865</v>
      </c>
    </row>
    <row r="710" spans="1:12" x14ac:dyDescent="0.35">
      <c r="A710" s="24" t="s">
        <v>3242</v>
      </c>
      <c r="B710" s="24" t="str">
        <f>"002432"</f>
        <v>002432</v>
      </c>
      <c r="C710" s="24" t="str">
        <f t="shared" si="11"/>
        <v>'002432.SZ'</v>
      </c>
      <c r="D710" s="24" t="s">
        <v>4866</v>
      </c>
      <c r="E710" s="24" t="s">
        <v>3432</v>
      </c>
      <c r="F710" s="24">
        <v>1.2405999999999999</v>
      </c>
      <c r="G710" s="24">
        <v>24650241126.400002</v>
      </c>
      <c r="H710" s="24">
        <v>9.8926999999999996</v>
      </c>
      <c r="I710" s="24">
        <v>9.0680999999999994</v>
      </c>
      <c r="J710" s="24">
        <v>6.6783999999999999</v>
      </c>
      <c r="K710" s="24">
        <v>364</v>
      </c>
      <c r="L710" s="24" t="s">
        <v>4867</v>
      </c>
    </row>
    <row r="711" spans="1:12" x14ac:dyDescent="0.35">
      <c r="A711" s="24" t="s">
        <v>3242</v>
      </c>
      <c r="B711" s="24" t="str">
        <f>"000912"</f>
        <v>000912</v>
      </c>
      <c r="C711" s="24" t="str">
        <f t="shared" si="11"/>
        <v>'000912.SZ'</v>
      </c>
      <c r="D711" s="24" t="s">
        <v>4868</v>
      </c>
      <c r="E711" s="24" t="s">
        <v>3580</v>
      </c>
      <c r="F711" s="24">
        <v>1.2324999999999999</v>
      </c>
      <c r="G711" s="24">
        <v>7667520000</v>
      </c>
      <c r="H711" s="24">
        <v>1.6529</v>
      </c>
      <c r="I711" s="24">
        <v>1.3027</v>
      </c>
      <c r="J711" s="24">
        <v>0.86439999999999995</v>
      </c>
      <c r="K711" s="24">
        <v>114</v>
      </c>
      <c r="L711" s="24" t="s">
        <v>4869</v>
      </c>
    </row>
    <row r="712" spans="1:12" x14ac:dyDescent="0.35">
      <c r="A712" s="24" t="s">
        <v>3246</v>
      </c>
      <c r="B712" s="24" t="str">
        <f>"601228"</f>
        <v>601228</v>
      </c>
      <c r="C712" s="24" t="str">
        <f t="shared" si="11"/>
        <v>'601228.SS'</v>
      </c>
      <c r="D712" s="24" t="s">
        <v>4870</v>
      </c>
      <c r="E712" s="24" t="s">
        <v>4871</v>
      </c>
      <c r="F712" s="24">
        <v>1.2290000000000001</v>
      </c>
      <c r="G712" s="24">
        <v>23689828442.139999</v>
      </c>
      <c r="H712" s="24">
        <v>1.5835999999999999</v>
      </c>
      <c r="I712" s="24">
        <v>1.4725999999999999</v>
      </c>
      <c r="J712" s="24">
        <v>1.2481</v>
      </c>
      <c r="K712" s="24">
        <v>210</v>
      </c>
      <c r="L712" s="24" t="s">
        <v>4872</v>
      </c>
    </row>
    <row r="713" spans="1:12" x14ac:dyDescent="0.35">
      <c r="A713" s="24" t="s">
        <v>3246</v>
      </c>
      <c r="B713" s="24" t="str">
        <f>"600097"</f>
        <v>600097</v>
      </c>
      <c r="C713" s="24" t="str">
        <f t="shared" si="11"/>
        <v>'600097.SS'</v>
      </c>
      <c r="D713" s="24" t="s">
        <v>4873</v>
      </c>
      <c r="E713" s="24" t="s">
        <v>4874</v>
      </c>
      <c r="F713" s="24">
        <v>1.2282999999999999</v>
      </c>
      <c r="G713" s="24">
        <v>2472009095.3400002</v>
      </c>
      <c r="H713" s="24">
        <v>2.5516000000000001</v>
      </c>
      <c r="I713" s="24">
        <v>1.3802000000000001</v>
      </c>
      <c r="J713" s="24">
        <v>1.0944</v>
      </c>
      <c r="K713" s="24">
        <v>128</v>
      </c>
      <c r="L713" s="24" t="s">
        <v>4875</v>
      </c>
    </row>
    <row r="714" spans="1:12" x14ac:dyDescent="0.35">
      <c r="A714" s="24" t="s">
        <v>3242</v>
      </c>
      <c r="B714" s="24" t="str">
        <f>"300230"</f>
        <v>300230</v>
      </c>
      <c r="C714" s="24" t="str">
        <f t="shared" si="11"/>
        <v>'300230.SZ'</v>
      </c>
      <c r="D714" s="24" t="s">
        <v>4876</v>
      </c>
      <c r="E714" s="24" t="s">
        <v>3733</v>
      </c>
      <c r="F714" s="24">
        <v>1.2262999999999999</v>
      </c>
      <c r="G714" s="24">
        <v>3191365620.3099999</v>
      </c>
      <c r="H714" s="24">
        <v>2.9472999999999998</v>
      </c>
      <c r="I714" s="24">
        <v>2.4765000000000001</v>
      </c>
      <c r="J714" s="24">
        <v>1.5764</v>
      </c>
      <c r="K714" s="24">
        <v>174</v>
      </c>
      <c r="L714" s="24" t="s">
        <v>4877</v>
      </c>
    </row>
    <row r="715" spans="1:12" x14ac:dyDescent="0.35">
      <c r="A715" s="24" t="s">
        <v>3242</v>
      </c>
      <c r="B715" s="24" t="str">
        <f>"000036"</f>
        <v>000036</v>
      </c>
      <c r="C715" s="24" t="str">
        <f t="shared" si="11"/>
        <v>'000036.SZ'</v>
      </c>
      <c r="D715" s="24" t="s">
        <v>4878</v>
      </c>
      <c r="E715" s="24" t="s">
        <v>3988</v>
      </c>
      <c r="F715" s="24">
        <v>1.2222</v>
      </c>
      <c r="G715" s="24">
        <v>6039611481.75</v>
      </c>
      <c r="H715" s="24">
        <v>2.8927999999999998</v>
      </c>
      <c r="I715" s="24">
        <v>1.5374000000000001</v>
      </c>
      <c r="J715" s="24">
        <v>0.98350000000000004</v>
      </c>
      <c r="K715" s="24">
        <v>882</v>
      </c>
      <c r="L715" s="24" t="s">
        <v>4879</v>
      </c>
    </row>
    <row r="716" spans="1:12" x14ac:dyDescent="0.35">
      <c r="A716" s="24" t="s">
        <v>3242</v>
      </c>
      <c r="B716" s="24" t="str">
        <f>"002887"</f>
        <v>002887</v>
      </c>
      <c r="C716" s="24" t="str">
        <f t="shared" si="11"/>
        <v>'002887.SZ'</v>
      </c>
      <c r="D716" s="24" t="s">
        <v>4880</v>
      </c>
      <c r="E716" s="24" t="s">
        <v>4881</v>
      </c>
      <c r="F716" s="24">
        <v>1.2188000000000001</v>
      </c>
      <c r="G716" s="24">
        <v>2720640000</v>
      </c>
      <c r="H716" s="24">
        <v>4.2225000000000001</v>
      </c>
      <c r="I716" s="24">
        <v>3.7187000000000001</v>
      </c>
      <c r="J716" s="24">
        <v>2.3733</v>
      </c>
      <c r="K716" s="24">
        <v>168</v>
      </c>
      <c r="L716" s="24" t="s">
        <v>4882</v>
      </c>
    </row>
    <row r="717" spans="1:12" x14ac:dyDescent="0.35">
      <c r="A717" s="24" t="s">
        <v>3242</v>
      </c>
      <c r="B717" s="24" t="str">
        <f>"002638"</f>
        <v>002638</v>
      </c>
      <c r="C717" s="24" t="str">
        <f t="shared" si="11"/>
        <v>'002638.SZ'</v>
      </c>
      <c r="D717" s="24" t="s">
        <v>4883</v>
      </c>
      <c r="E717" s="24" t="s">
        <v>4222</v>
      </c>
      <c r="F717" s="24">
        <v>1.2084999999999999</v>
      </c>
      <c r="G717" s="24">
        <v>3373790976.6399999</v>
      </c>
      <c r="H717" s="24">
        <v>7.8178999999999998</v>
      </c>
      <c r="I717" s="24">
        <v>6.0772000000000004</v>
      </c>
      <c r="J717" s="24">
        <v>1.7269000000000001</v>
      </c>
      <c r="K717" s="24">
        <v>83</v>
      </c>
      <c r="L717" s="24" t="s">
        <v>4884</v>
      </c>
    </row>
    <row r="718" spans="1:12" x14ac:dyDescent="0.35">
      <c r="A718" s="24" t="s">
        <v>3242</v>
      </c>
      <c r="B718" s="24" t="str">
        <f>"000088"</f>
        <v>000088</v>
      </c>
      <c r="C718" s="24" t="str">
        <f t="shared" si="11"/>
        <v>'000088.SZ'</v>
      </c>
      <c r="D718" s="24" t="s">
        <v>4885</v>
      </c>
      <c r="E718" s="24" t="s">
        <v>4871</v>
      </c>
      <c r="F718" s="24">
        <v>1.2071000000000001</v>
      </c>
      <c r="G718" s="24">
        <v>11290791969.940001</v>
      </c>
      <c r="H718" s="24">
        <v>3.3879999999999999</v>
      </c>
      <c r="I718" s="24">
        <v>3.359</v>
      </c>
      <c r="J718" s="24">
        <v>2.8092999999999999</v>
      </c>
      <c r="K718" s="24">
        <v>177</v>
      </c>
      <c r="L718" s="24" t="s">
        <v>4886</v>
      </c>
    </row>
    <row r="719" spans="1:12" x14ac:dyDescent="0.35">
      <c r="A719" s="24" t="s">
        <v>3242</v>
      </c>
      <c r="B719" s="24" t="str">
        <f>"000419"</f>
        <v>000419</v>
      </c>
      <c r="C719" s="24" t="str">
        <f t="shared" si="11"/>
        <v>'000419.SZ'</v>
      </c>
      <c r="D719" s="24" t="s">
        <v>4887</v>
      </c>
      <c r="E719" s="24" t="s">
        <v>4147</v>
      </c>
      <c r="F719" s="24">
        <v>1.206</v>
      </c>
      <c r="G719" s="24">
        <v>3598517176.0999999</v>
      </c>
      <c r="H719" s="24">
        <v>2.1564000000000001</v>
      </c>
      <c r="I719" s="24">
        <v>1.96</v>
      </c>
      <c r="J719" s="24">
        <v>1.0761000000000001</v>
      </c>
      <c r="K719" s="24">
        <v>118</v>
      </c>
      <c r="L719" s="24" t="s">
        <v>4888</v>
      </c>
    </row>
    <row r="720" spans="1:12" x14ac:dyDescent="0.35">
      <c r="A720" s="24" t="s">
        <v>3242</v>
      </c>
      <c r="B720" s="24" t="str">
        <f>"002282"</f>
        <v>002282</v>
      </c>
      <c r="C720" s="24" t="str">
        <f t="shared" si="11"/>
        <v>'002282.SZ'</v>
      </c>
      <c r="D720" s="24" t="s">
        <v>4889</v>
      </c>
      <c r="E720" s="24" t="s">
        <v>3690</v>
      </c>
      <c r="F720" s="24">
        <v>1.2034</v>
      </c>
      <c r="G720" s="24">
        <v>4085022173.6399999</v>
      </c>
      <c r="H720" s="24">
        <v>5.3451000000000004</v>
      </c>
      <c r="I720" s="24">
        <v>3.7073</v>
      </c>
      <c r="J720" s="24">
        <v>1.4176</v>
      </c>
      <c r="K720" s="24">
        <v>103</v>
      </c>
      <c r="L720" s="24" t="s">
        <v>4890</v>
      </c>
    </row>
    <row r="721" spans="1:12" x14ac:dyDescent="0.35">
      <c r="A721" s="24" t="s">
        <v>3246</v>
      </c>
      <c r="B721" s="24" t="str">
        <f>"600633"</f>
        <v>600633</v>
      </c>
      <c r="C721" s="24" t="str">
        <f t="shared" si="11"/>
        <v>'600633.SS'</v>
      </c>
      <c r="D721" s="24" t="s">
        <v>4891</v>
      </c>
      <c r="E721" s="24" t="s">
        <v>3481</v>
      </c>
      <c r="F721" s="24">
        <v>1.1874</v>
      </c>
      <c r="G721" s="24">
        <v>10859967887.34</v>
      </c>
      <c r="H721" s="24">
        <v>1.8529</v>
      </c>
      <c r="I721" s="24">
        <v>1.7156</v>
      </c>
      <c r="J721" s="24">
        <v>0.90939999999999999</v>
      </c>
      <c r="K721" s="24">
        <v>335</v>
      </c>
      <c r="L721" s="24" t="s">
        <v>4892</v>
      </c>
    </row>
    <row r="722" spans="1:12" x14ac:dyDescent="0.35">
      <c r="A722" s="24" t="s">
        <v>3242</v>
      </c>
      <c r="B722" s="24" t="str">
        <f>"300983"</f>
        <v>300983</v>
      </c>
      <c r="C722" s="24" t="str">
        <f t="shared" si="11"/>
        <v>'300983.SZ'</v>
      </c>
      <c r="D722" s="24" t="s">
        <v>4893</v>
      </c>
      <c r="E722" s="24" t="s">
        <v>3846</v>
      </c>
      <c r="F722" s="24">
        <v>1.1874</v>
      </c>
      <c r="G722" s="24">
        <v>3628800000</v>
      </c>
      <c r="H722" s="24">
        <v>15.878399999999999</v>
      </c>
      <c r="I722" s="24">
        <v>15.8765</v>
      </c>
      <c r="J722" s="24">
        <v>11.9712</v>
      </c>
      <c r="K722" s="24">
        <v>38</v>
      </c>
      <c r="L722" s="24" t="s">
        <v>4894</v>
      </c>
    </row>
    <row r="723" spans="1:12" x14ac:dyDescent="0.35">
      <c r="A723" s="24" t="s">
        <v>3242</v>
      </c>
      <c r="B723" s="24" t="str">
        <f>"002322"</f>
        <v>002322</v>
      </c>
      <c r="C723" s="24" t="str">
        <f t="shared" si="11"/>
        <v>'002322.SZ'</v>
      </c>
      <c r="D723" s="24" t="s">
        <v>4895</v>
      </c>
      <c r="E723" s="24" t="s">
        <v>3368</v>
      </c>
      <c r="F723" s="24">
        <v>1.1845000000000001</v>
      </c>
      <c r="G723" s="24">
        <v>3548824999.1999998</v>
      </c>
      <c r="H723" s="24">
        <v>3.6368</v>
      </c>
      <c r="I723" s="24">
        <v>2.7633999999999999</v>
      </c>
      <c r="J723" s="24">
        <v>1.2287999999999999</v>
      </c>
      <c r="K723" s="24">
        <v>179</v>
      </c>
      <c r="L723" s="24" t="s">
        <v>4896</v>
      </c>
    </row>
    <row r="724" spans="1:12" x14ac:dyDescent="0.35">
      <c r="A724" s="24" t="s">
        <v>3242</v>
      </c>
      <c r="B724" s="24" t="str">
        <f>"300599"</f>
        <v>300599</v>
      </c>
      <c r="C724" s="24" t="str">
        <f t="shared" si="11"/>
        <v>'300599.SZ'</v>
      </c>
      <c r="D724" s="24" t="s">
        <v>4897</v>
      </c>
      <c r="E724" s="24" t="s">
        <v>4898</v>
      </c>
      <c r="F724" s="24">
        <v>1.1780999999999999</v>
      </c>
      <c r="G724" s="24">
        <v>2664498858.48</v>
      </c>
      <c r="H724" s="24">
        <v>3.6480999999999999</v>
      </c>
      <c r="I724" s="24">
        <v>2.6617000000000002</v>
      </c>
      <c r="J724" s="24">
        <v>1.8647</v>
      </c>
      <c r="K724" s="24">
        <v>98</v>
      </c>
      <c r="L724" s="24" t="s">
        <v>4899</v>
      </c>
    </row>
    <row r="725" spans="1:12" x14ac:dyDescent="0.35">
      <c r="A725" s="24" t="s">
        <v>3242</v>
      </c>
      <c r="B725" s="24" t="str">
        <f>"000099"</f>
        <v>000099</v>
      </c>
      <c r="C725" s="24" t="str">
        <f t="shared" si="11"/>
        <v>'000099.SZ'</v>
      </c>
      <c r="D725" s="24" t="s">
        <v>4900</v>
      </c>
      <c r="E725" s="24" t="s">
        <v>4901</v>
      </c>
      <c r="F725" s="24">
        <v>1.1732</v>
      </c>
      <c r="G725" s="24">
        <v>5670879701.4700003</v>
      </c>
      <c r="H725" s="24">
        <v>5.0324</v>
      </c>
      <c r="I725" s="24">
        <v>4.3380000000000001</v>
      </c>
      <c r="J725" s="24">
        <v>2.7193000000000001</v>
      </c>
      <c r="K725" s="24">
        <v>178</v>
      </c>
      <c r="L725" s="24" t="s">
        <v>4902</v>
      </c>
    </row>
    <row r="726" spans="1:12" x14ac:dyDescent="0.35">
      <c r="A726" s="24" t="s">
        <v>3246</v>
      </c>
      <c r="B726" s="24" t="str">
        <f>"600503"</f>
        <v>600503</v>
      </c>
      <c r="C726" s="24" t="str">
        <f t="shared" si="11"/>
        <v>'600503.SS'</v>
      </c>
      <c r="D726" s="24" t="s">
        <v>4903</v>
      </c>
      <c r="E726" s="24" t="s">
        <v>3988</v>
      </c>
      <c r="F726" s="24">
        <v>1.1583000000000001</v>
      </c>
      <c r="G726" s="24">
        <v>4374251700</v>
      </c>
      <c r="H726" s="24">
        <v>2.9870999999999999</v>
      </c>
      <c r="I726" s="24">
        <v>1.4084000000000001</v>
      </c>
      <c r="J726" s="24">
        <v>1.2040999999999999</v>
      </c>
      <c r="K726" s="24">
        <v>207</v>
      </c>
      <c r="L726" s="24" t="s">
        <v>4904</v>
      </c>
    </row>
    <row r="727" spans="1:12" x14ac:dyDescent="0.35">
      <c r="A727" s="24" t="s">
        <v>3246</v>
      </c>
      <c r="B727" s="24" t="str">
        <f>"600874"</f>
        <v>600874</v>
      </c>
      <c r="C727" s="24" t="str">
        <f t="shared" si="11"/>
        <v>'600874.SS'</v>
      </c>
      <c r="D727" s="24" t="s">
        <v>4905</v>
      </c>
      <c r="E727" s="24" t="s">
        <v>4197</v>
      </c>
      <c r="F727" s="24">
        <v>1.1497999999999999</v>
      </c>
      <c r="G727" s="24">
        <v>9610958680.2000008</v>
      </c>
      <c r="H727" s="24">
        <v>2.3319999999999999</v>
      </c>
      <c r="I727" s="24">
        <v>2.2953999999999999</v>
      </c>
      <c r="J727" s="24">
        <v>1.1516999999999999</v>
      </c>
      <c r="K727" s="24">
        <v>211</v>
      </c>
      <c r="L727" s="24" t="s">
        <v>4906</v>
      </c>
    </row>
    <row r="728" spans="1:12" x14ac:dyDescent="0.35">
      <c r="A728" s="24" t="s">
        <v>3242</v>
      </c>
      <c r="B728" s="24" t="str">
        <f>"300291"</f>
        <v>300291</v>
      </c>
      <c r="C728" s="24" t="str">
        <f t="shared" si="11"/>
        <v>'300291.SZ'</v>
      </c>
      <c r="D728" s="24" t="s">
        <v>4907</v>
      </c>
      <c r="E728" s="24" t="s">
        <v>3305</v>
      </c>
      <c r="F728" s="24">
        <v>1.1446000000000001</v>
      </c>
      <c r="G728" s="24">
        <v>4244955413.1599998</v>
      </c>
      <c r="H728" s="24">
        <v>12.973000000000001</v>
      </c>
      <c r="I728" s="24">
        <v>9.1570999999999998</v>
      </c>
      <c r="J728" s="24">
        <v>2.0581999999999998</v>
      </c>
      <c r="K728" s="24">
        <v>98</v>
      </c>
      <c r="L728" s="24" t="s">
        <v>4908</v>
      </c>
    </row>
    <row r="729" spans="1:12" x14ac:dyDescent="0.35">
      <c r="A729" s="24" t="s">
        <v>3242</v>
      </c>
      <c r="B729" s="24" t="str">
        <f>"002106"</f>
        <v>002106</v>
      </c>
      <c r="C729" s="24" t="str">
        <f t="shared" si="11"/>
        <v>'002106.SZ'</v>
      </c>
      <c r="D729" s="24" t="s">
        <v>4909</v>
      </c>
      <c r="E729" s="24" t="s">
        <v>3568</v>
      </c>
      <c r="F729" s="24">
        <v>1.1318999999999999</v>
      </c>
      <c r="G729" s="24">
        <v>5625354795.1999998</v>
      </c>
      <c r="H729" s="24">
        <v>4.6970000000000001</v>
      </c>
      <c r="I729" s="24">
        <v>3.8881000000000001</v>
      </c>
      <c r="J729" s="24">
        <v>2.4868999999999999</v>
      </c>
      <c r="K729" s="24">
        <v>317</v>
      </c>
      <c r="L729" s="24" t="s">
        <v>4910</v>
      </c>
    </row>
    <row r="730" spans="1:12" x14ac:dyDescent="0.35">
      <c r="A730" s="24" t="s">
        <v>3246</v>
      </c>
      <c r="B730" s="24" t="str">
        <f>"600018"</f>
        <v>600018</v>
      </c>
      <c r="C730" s="24" t="str">
        <f t="shared" si="11"/>
        <v>'600018.SS'</v>
      </c>
      <c r="D730" s="24" t="s">
        <v>4911</v>
      </c>
      <c r="E730" s="24" t="s">
        <v>4871</v>
      </c>
      <c r="F730" s="24">
        <v>1.1223000000000001</v>
      </c>
      <c r="G730" s="24">
        <v>124104491517.5</v>
      </c>
      <c r="H730" s="24">
        <v>2.4083999999999999</v>
      </c>
      <c r="I730" s="24">
        <v>1.7512000000000001</v>
      </c>
      <c r="J730" s="24">
        <v>1.2121</v>
      </c>
      <c r="K730" s="24">
        <v>929</v>
      </c>
      <c r="L730" s="24" t="s">
        <v>4912</v>
      </c>
    </row>
    <row r="731" spans="1:12" x14ac:dyDescent="0.35">
      <c r="A731" s="24" t="s">
        <v>3242</v>
      </c>
      <c r="B731" s="24" t="str">
        <f>"002109"</f>
        <v>002109</v>
      </c>
      <c r="C731" s="24" t="str">
        <f t="shared" si="11"/>
        <v>'002109.SZ'</v>
      </c>
      <c r="D731" s="24" t="s">
        <v>4913</v>
      </c>
      <c r="E731" s="24" t="s">
        <v>3994</v>
      </c>
      <c r="F731" s="24">
        <v>1.1148</v>
      </c>
      <c r="G731" s="24">
        <v>5338430080.2299995</v>
      </c>
      <c r="H731" s="24">
        <v>8.1365999999999996</v>
      </c>
      <c r="I731" s="24">
        <v>7.4241000000000001</v>
      </c>
      <c r="J731" s="24">
        <v>5.6966999999999999</v>
      </c>
      <c r="K731" s="24">
        <v>155</v>
      </c>
      <c r="L731" s="24" t="s">
        <v>4914</v>
      </c>
    </row>
    <row r="732" spans="1:12" x14ac:dyDescent="0.35">
      <c r="A732" s="24" t="s">
        <v>3246</v>
      </c>
      <c r="B732" s="24" t="str">
        <f>"601996"</f>
        <v>601996</v>
      </c>
      <c r="C732" s="24" t="str">
        <f t="shared" si="11"/>
        <v>'601996.SS'</v>
      </c>
      <c r="D732" s="24" t="s">
        <v>4915</v>
      </c>
      <c r="E732" s="24" t="s">
        <v>3636</v>
      </c>
      <c r="F732" s="24">
        <v>1.1104000000000001</v>
      </c>
      <c r="G732" s="24">
        <v>3116094016</v>
      </c>
      <c r="H732" s="24">
        <v>2.7343000000000002</v>
      </c>
      <c r="I732" s="24">
        <v>1.6944999999999999</v>
      </c>
      <c r="J732" s="24">
        <v>1.0685</v>
      </c>
      <c r="K732" s="24">
        <v>149</v>
      </c>
      <c r="L732" s="24" t="s">
        <v>4916</v>
      </c>
    </row>
    <row r="733" spans="1:12" x14ac:dyDescent="0.35">
      <c r="A733" s="24" t="s">
        <v>3246</v>
      </c>
      <c r="B733" s="24" t="str">
        <f>"600420"</f>
        <v>600420</v>
      </c>
      <c r="C733" s="24" t="str">
        <f t="shared" si="11"/>
        <v>'600420.SS'</v>
      </c>
      <c r="D733" s="24" t="s">
        <v>4917</v>
      </c>
      <c r="E733" s="24" t="s">
        <v>3696</v>
      </c>
      <c r="F733" s="24">
        <v>1.1055999999999999</v>
      </c>
      <c r="G733" s="24">
        <v>9571483908.6399994</v>
      </c>
      <c r="H733" s="24">
        <v>2.3125</v>
      </c>
      <c r="I733" s="24">
        <v>1.6579999999999999</v>
      </c>
      <c r="J733" s="24">
        <v>0.95679999999999998</v>
      </c>
      <c r="K733" s="24">
        <v>393</v>
      </c>
      <c r="L733" s="24" t="s">
        <v>4918</v>
      </c>
    </row>
    <row r="734" spans="1:12" x14ac:dyDescent="0.35">
      <c r="A734" s="24" t="s">
        <v>3242</v>
      </c>
      <c r="B734" s="24" t="str">
        <f>"000725"</f>
        <v>000725</v>
      </c>
      <c r="C734" s="24" t="str">
        <f t="shared" si="11"/>
        <v>'000725.SZ'</v>
      </c>
      <c r="D734" s="24" t="s">
        <v>4919</v>
      </c>
      <c r="E734" s="24" t="s">
        <v>3568</v>
      </c>
      <c r="F734" s="24">
        <v>1.1044</v>
      </c>
      <c r="G734" s="24">
        <v>138270835584.01999</v>
      </c>
      <c r="H734" s="24">
        <v>1.6075999999999999</v>
      </c>
      <c r="I734" s="24">
        <v>1.2978000000000001</v>
      </c>
      <c r="J734" s="24">
        <v>0.8115</v>
      </c>
      <c r="K734" s="24">
        <v>4642</v>
      </c>
      <c r="L734" s="24" t="s">
        <v>4920</v>
      </c>
    </row>
    <row r="735" spans="1:12" x14ac:dyDescent="0.35">
      <c r="A735" s="24" t="s">
        <v>3246</v>
      </c>
      <c r="B735" s="24" t="str">
        <f>"600854"</f>
        <v>600854</v>
      </c>
      <c r="C735" s="24" t="str">
        <f t="shared" si="11"/>
        <v>'600854.SS'</v>
      </c>
      <c r="D735" s="24" t="s">
        <v>4921</v>
      </c>
      <c r="E735" s="24" t="s">
        <v>4922</v>
      </c>
      <c r="F735" s="24">
        <v>1.0958000000000001</v>
      </c>
      <c r="G735" s="24">
        <v>2405093030.9400001</v>
      </c>
      <c r="H735" s="24">
        <v>4.2209000000000003</v>
      </c>
      <c r="I735" s="24">
        <v>3.4860000000000002</v>
      </c>
      <c r="J735" s="24">
        <v>3.2442000000000002</v>
      </c>
      <c r="K735" s="24">
        <v>153</v>
      </c>
      <c r="L735" s="24" t="s">
        <v>4923</v>
      </c>
    </row>
    <row r="736" spans="1:12" x14ac:dyDescent="0.35">
      <c r="A736" s="24" t="s">
        <v>3246</v>
      </c>
      <c r="B736" s="24" t="str">
        <f>"603869"</f>
        <v>603869</v>
      </c>
      <c r="C736" s="24" t="str">
        <f t="shared" si="11"/>
        <v>'603869.SS'</v>
      </c>
      <c r="D736" s="24" t="s">
        <v>4924</v>
      </c>
      <c r="E736" s="24" t="s">
        <v>3722</v>
      </c>
      <c r="F736" s="24">
        <v>1.0860000000000001</v>
      </c>
      <c r="G736" s="24">
        <v>4338704368.8000002</v>
      </c>
      <c r="H736" s="24">
        <v>4.0039999999999996</v>
      </c>
      <c r="I736" s="24">
        <v>3.21</v>
      </c>
      <c r="J736" s="24">
        <v>1.5566</v>
      </c>
      <c r="K736" s="24">
        <v>147</v>
      </c>
      <c r="L736" s="24" t="s">
        <v>4925</v>
      </c>
    </row>
    <row r="737" spans="1:12" x14ac:dyDescent="0.35">
      <c r="A737" s="24" t="s">
        <v>3246</v>
      </c>
      <c r="B737" s="24" t="str">
        <f>"600628"</f>
        <v>600628</v>
      </c>
      <c r="C737" s="24" t="str">
        <f t="shared" si="11"/>
        <v>'600628.SS'</v>
      </c>
      <c r="D737" s="24" t="s">
        <v>4926</v>
      </c>
      <c r="E737" s="24" t="s">
        <v>3773</v>
      </c>
      <c r="F737" s="24">
        <v>1.0752999999999999</v>
      </c>
      <c r="G737" s="24">
        <v>4605752734.0799999</v>
      </c>
      <c r="H737" s="24">
        <v>1.5659000000000001</v>
      </c>
      <c r="I737" s="24">
        <v>1.4473</v>
      </c>
      <c r="J737" s="24">
        <v>0.93149999999999999</v>
      </c>
      <c r="K737" s="24">
        <v>117</v>
      </c>
      <c r="L737" s="24" t="s">
        <v>4927</v>
      </c>
    </row>
    <row r="738" spans="1:12" x14ac:dyDescent="0.35">
      <c r="A738" s="24" t="s">
        <v>3246</v>
      </c>
      <c r="B738" s="24" t="str">
        <f>"600125"</f>
        <v>600125</v>
      </c>
      <c r="C738" s="24" t="str">
        <f t="shared" si="11"/>
        <v>'600125.SS'</v>
      </c>
      <c r="D738" s="24" t="s">
        <v>4928</v>
      </c>
      <c r="E738" s="24" t="s">
        <v>4824</v>
      </c>
      <c r="F738" s="24">
        <v>1.0686</v>
      </c>
      <c r="G738" s="24">
        <v>7180370307</v>
      </c>
      <c r="H738" s="24">
        <v>3.6341999999999999</v>
      </c>
      <c r="I738" s="24">
        <v>2.2565</v>
      </c>
      <c r="J738" s="24">
        <v>1.6434</v>
      </c>
      <c r="K738" s="24">
        <v>222</v>
      </c>
      <c r="L738" s="24" t="s">
        <v>4929</v>
      </c>
    </row>
    <row r="739" spans="1:12" x14ac:dyDescent="0.35">
      <c r="A739" s="24" t="s">
        <v>3242</v>
      </c>
      <c r="B739" s="24" t="str">
        <f>"000635"</f>
        <v>000635</v>
      </c>
      <c r="C739" s="24" t="str">
        <f t="shared" si="11"/>
        <v>'000635.SZ'</v>
      </c>
      <c r="D739" s="24" t="s">
        <v>4930</v>
      </c>
      <c r="E739" s="24" t="s">
        <v>4530</v>
      </c>
      <c r="F739" s="24">
        <v>1.0677000000000001</v>
      </c>
      <c r="G739" s="24">
        <v>2686664627.6399999</v>
      </c>
      <c r="H739" s="24">
        <v>2.7772000000000001</v>
      </c>
      <c r="I739" s="24">
        <v>2.1698</v>
      </c>
      <c r="J739" s="24">
        <v>1.2091000000000001</v>
      </c>
      <c r="K739" s="24">
        <v>137</v>
      </c>
      <c r="L739" s="24" t="s">
        <v>4931</v>
      </c>
    </row>
    <row r="740" spans="1:12" x14ac:dyDescent="0.35">
      <c r="A740" s="24" t="s">
        <v>3246</v>
      </c>
      <c r="B740" s="24" t="str">
        <f>"600568"</f>
        <v>600568</v>
      </c>
      <c r="C740" s="24" t="str">
        <f t="shared" si="11"/>
        <v>'600568.SS'</v>
      </c>
      <c r="D740" s="24" t="s">
        <v>4932</v>
      </c>
      <c r="E740" s="24" t="s">
        <v>3796</v>
      </c>
      <c r="F740" s="24">
        <v>1.0661</v>
      </c>
      <c r="G740" s="24">
        <v>3786452393.9000001</v>
      </c>
      <c r="H740" s="24">
        <v>5.117</v>
      </c>
      <c r="I740" s="24">
        <v>3.2991000000000001</v>
      </c>
      <c r="J740" s="24">
        <v>1.514</v>
      </c>
      <c r="K740" s="24">
        <v>97</v>
      </c>
      <c r="L740" s="24" t="s">
        <v>4933</v>
      </c>
    </row>
    <row r="741" spans="1:12" x14ac:dyDescent="0.35">
      <c r="A741" s="24" t="s">
        <v>3242</v>
      </c>
      <c r="B741" s="24" t="str">
        <f>"000828"</f>
        <v>000828</v>
      </c>
      <c r="C741" s="24" t="str">
        <f t="shared" si="11"/>
        <v>'000828.SZ'</v>
      </c>
      <c r="D741" s="24" t="s">
        <v>4934</v>
      </c>
      <c r="E741" s="24" t="s">
        <v>4415</v>
      </c>
      <c r="F741" s="24">
        <v>1.0565</v>
      </c>
      <c r="G741" s="24">
        <v>9376443267.8400002</v>
      </c>
      <c r="H741" s="24">
        <v>1.6967000000000001</v>
      </c>
      <c r="I741" s="24">
        <v>1.6964999999999999</v>
      </c>
      <c r="J741" s="24">
        <v>1.5491999999999999</v>
      </c>
      <c r="K741" s="24">
        <v>967</v>
      </c>
      <c r="L741" s="24" t="s">
        <v>4935</v>
      </c>
    </row>
    <row r="742" spans="1:12" x14ac:dyDescent="0.35">
      <c r="A742" s="24" t="s">
        <v>3242</v>
      </c>
      <c r="B742" s="24" t="str">
        <f>"001213"</f>
        <v>001213</v>
      </c>
      <c r="C742" s="24" t="str">
        <f t="shared" si="11"/>
        <v>'001213.SZ'</v>
      </c>
      <c r="D742" s="24" t="s">
        <v>4936</v>
      </c>
      <c r="E742" s="24" t="s">
        <v>4824</v>
      </c>
      <c r="F742" s="24">
        <v>1.0504</v>
      </c>
      <c r="G742" s="24">
        <v>19333333331.400002</v>
      </c>
      <c r="H742" s="24">
        <v>6.8765999999999998</v>
      </c>
      <c r="I742" s="24">
        <v>6.5056000000000003</v>
      </c>
      <c r="J742" s="24">
        <v>4.1749000000000001</v>
      </c>
      <c r="K742" s="24">
        <v>42</v>
      </c>
      <c r="L742" s="24" t="s">
        <v>4937</v>
      </c>
    </row>
    <row r="743" spans="1:12" x14ac:dyDescent="0.35">
      <c r="A743" s="24" t="s">
        <v>3242</v>
      </c>
      <c r="B743" s="24" t="str">
        <f>"002091"</f>
        <v>002091</v>
      </c>
      <c r="C743" s="24" t="str">
        <f t="shared" si="11"/>
        <v>'002091.SZ'</v>
      </c>
      <c r="D743" s="24" t="s">
        <v>4938</v>
      </c>
      <c r="E743" s="24" t="s">
        <v>4939</v>
      </c>
      <c r="F743" s="24">
        <v>1.0479000000000001</v>
      </c>
      <c r="G743" s="24">
        <v>13915958727.6</v>
      </c>
      <c r="H743" s="24">
        <v>2.149</v>
      </c>
      <c r="I743" s="24">
        <v>1.8741000000000001</v>
      </c>
      <c r="J743" s="24">
        <v>1.0331999999999999</v>
      </c>
      <c r="K743" s="24">
        <v>552</v>
      </c>
      <c r="L743" s="24" t="s">
        <v>4940</v>
      </c>
    </row>
    <row r="744" spans="1:12" x14ac:dyDescent="0.35">
      <c r="A744" s="24" t="s">
        <v>3242</v>
      </c>
      <c r="B744" s="24" t="str">
        <f>"002772"</f>
        <v>002772</v>
      </c>
      <c r="C744" s="24" t="str">
        <f t="shared" si="11"/>
        <v>'002772.SZ'</v>
      </c>
      <c r="D744" s="24" t="s">
        <v>4941</v>
      </c>
      <c r="E744" s="24" t="s">
        <v>4779</v>
      </c>
      <c r="F744" s="24">
        <v>1.0472999999999999</v>
      </c>
      <c r="G744" s="24">
        <v>3406343270.4400001</v>
      </c>
      <c r="H744" s="24">
        <v>3.3605</v>
      </c>
      <c r="I744" s="24">
        <v>2.0973999999999999</v>
      </c>
      <c r="J744" s="24">
        <v>1.3565</v>
      </c>
      <c r="K744" s="24">
        <v>216</v>
      </c>
      <c r="L744" s="24" t="s">
        <v>4942</v>
      </c>
    </row>
    <row r="745" spans="1:12" x14ac:dyDescent="0.35">
      <c r="A745" s="24" t="s">
        <v>3246</v>
      </c>
      <c r="B745" s="24" t="str">
        <f>"600012"</f>
        <v>600012</v>
      </c>
      <c r="C745" s="24" t="str">
        <f t="shared" si="11"/>
        <v>'600012.SS'</v>
      </c>
      <c r="D745" s="24" t="s">
        <v>4943</v>
      </c>
      <c r="E745" s="24" t="s">
        <v>4415</v>
      </c>
      <c r="F745" s="24">
        <v>1.0448999999999999</v>
      </c>
      <c r="G745" s="24">
        <v>12174197400</v>
      </c>
      <c r="H745" s="24">
        <v>3.1877</v>
      </c>
      <c r="I745" s="24">
        <v>3.1776</v>
      </c>
      <c r="J745" s="24">
        <v>2.6038000000000001</v>
      </c>
      <c r="K745" s="24">
        <v>838</v>
      </c>
      <c r="L745" s="24" t="s">
        <v>4944</v>
      </c>
    </row>
    <row r="746" spans="1:12" x14ac:dyDescent="0.35">
      <c r="A746" s="24" t="s">
        <v>3246</v>
      </c>
      <c r="B746" s="24" t="str">
        <f>"601811"</f>
        <v>601811</v>
      </c>
      <c r="C746" s="24" t="str">
        <f t="shared" si="11"/>
        <v>'601811.SS'</v>
      </c>
      <c r="D746" s="24" t="s">
        <v>2057</v>
      </c>
      <c r="E746" s="24" t="s">
        <v>3505</v>
      </c>
      <c r="F746" s="24">
        <v>1.0336000000000001</v>
      </c>
      <c r="G746" s="24">
        <v>12264379540</v>
      </c>
      <c r="H746" s="24">
        <v>1.5592999999999999</v>
      </c>
      <c r="I746" s="24">
        <v>1.1758</v>
      </c>
      <c r="J746" s="24">
        <v>0.81499999999999995</v>
      </c>
      <c r="K746" s="24">
        <v>286</v>
      </c>
      <c r="L746" s="24" t="s">
        <v>4945</v>
      </c>
    </row>
    <row r="747" spans="1:12" x14ac:dyDescent="0.35">
      <c r="A747" s="24" t="s">
        <v>3246</v>
      </c>
      <c r="B747" s="24" t="str">
        <f>"601019"</f>
        <v>601019</v>
      </c>
      <c r="C747" s="24" t="str">
        <f t="shared" si="11"/>
        <v>'601019.SS'</v>
      </c>
      <c r="D747" s="24" t="s">
        <v>4946</v>
      </c>
      <c r="E747" s="24" t="s">
        <v>3505</v>
      </c>
      <c r="F747" s="24">
        <v>1.0258</v>
      </c>
      <c r="G747" s="24">
        <v>13105732000</v>
      </c>
      <c r="H747" s="24">
        <v>2.3117999999999999</v>
      </c>
      <c r="I747" s="24">
        <v>1.8752</v>
      </c>
      <c r="J747" s="24">
        <v>1.0158</v>
      </c>
      <c r="K747" s="24">
        <v>419</v>
      </c>
      <c r="L747" s="24" t="s">
        <v>4947</v>
      </c>
    </row>
    <row r="748" spans="1:12" x14ac:dyDescent="0.35">
      <c r="A748" s="24" t="s">
        <v>3242</v>
      </c>
      <c r="B748" s="24" t="str">
        <f>"000789"</f>
        <v>000789</v>
      </c>
      <c r="C748" s="24" t="str">
        <f t="shared" si="11"/>
        <v>'000789.SZ'</v>
      </c>
      <c r="D748" s="24" t="s">
        <v>4948</v>
      </c>
      <c r="E748" s="24" t="s">
        <v>3549</v>
      </c>
      <c r="F748" s="24">
        <v>0.99429999999999996</v>
      </c>
      <c r="G748" s="24">
        <v>6937402428.6000004</v>
      </c>
      <c r="H748" s="24">
        <v>1.6635</v>
      </c>
      <c r="I748" s="24">
        <v>1.3176000000000001</v>
      </c>
      <c r="J748" s="24">
        <v>0.84050000000000002</v>
      </c>
      <c r="K748" s="24">
        <v>1156</v>
      </c>
      <c r="L748" s="24" t="s">
        <v>4949</v>
      </c>
    </row>
    <row r="749" spans="1:12" x14ac:dyDescent="0.35">
      <c r="A749" s="24" t="s">
        <v>3242</v>
      </c>
      <c r="B749" s="24" t="str">
        <f>"000719"</f>
        <v>000719</v>
      </c>
      <c r="C749" s="24" t="str">
        <f t="shared" si="11"/>
        <v>'000719.SZ'</v>
      </c>
      <c r="D749" s="24" t="s">
        <v>4950</v>
      </c>
      <c r="E749" s="24" t="s">
        <v>4352</v>
      </c>
      <c r="F749" s="24">
        <v>0.99350000000000005</v>
      </c>
      <c r="G749" s="24">
        <v>9740899690.4799995</v>
      </c>
      <c r="H749" s="24">
        <v>1.6565000000000001</v>
      </c>
      <c r="I749" s="24">
        <v>1.2786999999999999</v>
      </c>
      <c r="J749" s="24">
        <v>0.81730000000000003</v>
      </c>
      <c r="K749" s="24">
        <v>723</v>
      </c>
      <c r="L749" s="24" t="s">
        <v>4951</v>
      </c>
    </row>
    <row r="750" spans="1:12" x14ac:dyDescent="0.35">
      <c r="A750" s="24" t="s">
        <v>3242</v>
      </c>
      <c r="B750" s="24" t="str">
        <f>"000923"</f>
        <v>000923</v>
      </c>
      <c r="C750" s="24" t="str">
        <f t="shared" si="11"/>
        <v>'000923.SZ'</v>
      </c>
      <c r="D750" s="24" t="s">
        <v>4952</v>
      </c>
      <c r="E750" s="24" t="s">
        <v>3891</v>
      </c>
      <c r="F750" s="24">
        <v>0.99050000000000005</v>
      </c>
      <c r="G750" s="24">
        <v>8315766963.1400003</v>
      </c>
      <c r="H750" s="24">
        <v>6.1639999999999997</v>
      </c>
      <c r="I750" s="24">
        <v>5.5716000000000001</v>
      </c>
      <c r="J750" s="24">
        <v>5.1912000000000003</v>
      </c>
      <c r="K750" s="24">
        <v>238</v>
      </c>
      <c r="L750" s="24" t="s">
        <v>4953</v>
      </c>
    </row>
    <row r="751" spans="1:12" x14ac:dyDescent="0.35">
      <c r="A751" s="24" t="s">
        <v>3246</v>
      </c>
      <c r="B751" s="24" t="str">
        <f>"603727"</f>
        <v>603727</v>
      </c>
      <c r="C751" s="24" t="str">
        <f t="shared" si="11"/>
        <v>'603727.SS'</v>
      </c>
      <c r="D751" s="24" t="s">
        <v>4954</v>
      </c>
      <c r="E751" s="24" t="s">
        <v>4955</v>
      </c>
      <c r="F751" s="24">
        <v>0.98399999999999999</v>
      </c>
      <c r="G751" s="24">
        <v>3276395191.5100002</v>
      </c>
      <c r="H751" s="24">
        <v>2.194</v>
      </c>
      <c r="I751" s="24">
        <v>1.5940000000000001</v>
      </c>
      <c r="J751" s="24">
        <v>1.2565</v>
      </c>
      <c r="K751" s="24">
        <v>127</v>
      </c>
      <c r="L751" s="24" t="s">
        <v>4956</v>
      </c>
    </row>
    <row r="752" spans="1:12" x14ac:dyDescent="0.35">
      <c r="A752" s="24" t="s">
        <v>3246</v>
      </c>
      <c r="B752" s="24" t="str">
        <f>"603900"</f>
        <v>603900</v>
      </c>
      <c r="C752" s="24" t="str">
        <f t="shared" si="11"/>
        <v>'603900.SS'</v>
      </c>
      <c r="D752" s="24" t="s">
        <v>4957</v>
      </c>
      <c r="E752" s="24" t="s">
        <v>3859</v>
      </c>
      <c r="F752" s="24">
        <v>0.98329999999999995</v>
      </c>
      <c r="G752" s="24">
        <v>2206270483.1999998</v>
      </c>
      <c r="H752" s="24">
        <v>8.5649999999999995</v>
      </c>
      <c r="I752" s="24">
        <v>3.0133999999999999</v>
      </c>
      <c r="J752" s="24">
        <v>1.4319</v>
      </c>
      <c r="K752" s="24">
        <v>151</v>
      </c>
      <c r="L752" s="24" t="s">
        <v>4958</v>
      </c>
    </row>
    <row r="753" spans="1:12" x14ac:dyDescent="0.35">
      <c r="A753" s="24" t="s">
        <v>3246</v>
      </c>
      <c r="B753" s="24" t="str">
        <f>"601018"</f>
        <v>601018</v>
      </c>
      <c r="C753" s="24" t="str">
        <f t="shared" si="11"/>
        <v>'601018.SS'</v>
      </c>
      <c r="D753" s="24" t="s">
        <v>4959</v>
      </c>
      <c r="E753" s="24" t="s">
        <v>4871</v>
      </c>
      <c r="F753" s="24">
        <v>0.97789999999999999</v>
      </c>
      <c r="G753" s="24">
        <v>69257622700.440002</v>
      </c>
      <c r="H753" s="24">
        <v>1.8039000000000001</v>
      </c>
      <c r="I753" s="24">
        <v>1.7062999999999999</v>
      </c>
      <c r="J753" s="24">
        <v>1.1672</v>
      </c>
      <c r="K753" s="24">
        <v>350</v>
      </c>
      <c r="L753" s="24" t="s">
        <v>4960</v>
      </c>
    </row>
    <row r="754" spans="1:12" x14ac:dyDescent="0.35">
      <c r="A754" s="24" t="s">
        <v>3242</v>
      </c>
      <c r="B754" s="24" t="str">
        <f>"002574"</f>
        <v>002574</v>
      </c>
      <c r="C754" s="24" t="str">
        <f t="shared" si="11"/>
        <v>'002574.SZ'</v>
      </c>
      <c r="D754" s="24" t="s">
        <v>4961</v>
      </c>
      <c r="E754" s="24" t="s">
        <v>3859</v>
      </c>
      <c r="F754" s="24">
        <v>0.97399999999999998</v>
      </c>
      <c r="G754" s="24">
        <v>3072960000</v>
      </c>
      <c r="H754" s="24">
        <v>3.0190000000000001</v>
      </c>
      <c r="I754" s="24">
        <v>1.4792000000000001</v>
      </c>
      <c r="J754" s="24">
        <v>0.97950000000000004</v>
      </c>
      <c r="K754" s="24">
        <v>109</v>
      </c>
      <c r="L754" s="24" t="s">
        <v>4962</v>
      </c>
    </row>
    <row r="755" spans="1:12" x14ac:dyDescent="0.35">
      <c r="A755" s="24" t="s">
        <v>3246</v>
      </c>
      <c r="B755" s="24" t="str">
        <f>"601989"</f>
        <v>601989</v>
      </c>
      <c r="C755" s="24" t="str">
        <f t="shared" si="11"/>
        <v>'601989.SS'</v>
      </c>
      <c r="D755" s="24" t="s">
        <v>4963</v>
      </c>
      <c r="E755" s="24" t="s">
        <v>3560</v>
      </c>
      <c r="F755" s="24">
        <v>0.95309999999999995</v>
      </c>
      <c r="G755" s="24">
        <v>80263164340.479996</v>
      </c>
      <c r="H755" s="24">
        <v>1.7607999999999999</v>
      </c>
      <c r="I755" s="24">
        <v>1.0927</v>
      </c>
      <c r="J755" s="24">
        <v>0.91310000000000002</v>
      </c>
      <c r="K755" s="24">
        <v>700</v>
      </c>
      <c r="L755" s="24" t="s">
        <v>4964</v>
      </c>
    </row>
    <row r="756" spans="1:12" x14ac:dyDescent="0.35">
      <c r="A756" s="24" t="s">
        <v>3246</v>
      </c>
      <c r="B756" s="24" t="str">
        <f>"600751"</f>
        <v>600751</v>
      </c>
      <c r="C756" s="24" t="str">
        <f t="shared" si="11"/>
        <v>'600751.SS'</v>
      </c>
      <c r="D756" s="24" t="s">
        <v>4965</v>
      </c>
      <c r="E756" s="24" t="s">
        <v>4054</v>
      </c>
      <c r="F756" s="24">
        <v>0.94110000000000005</v>
      </c>
      <c r="G756" s="24">
        <v>6726463656.5600004</v>
      </c>
      <c r="H756" s="24">
        <v>2.1427</v>
      </c>
      <c r="I756" s="24">
        <v>2.1372</v>
      </c>
      <c r="J756" s="24">
        <v>2.1137000000000001</v>
      </c>
      <c r="K756" s="24">
        <v>231</v>
      </c>
      <c r="L756" s="24" t="s">
        <v>4966</v>
      </c>
    </row>
    <row r="757" spans="1:12" x14ac:dyDescent="0.35">
      <c r="A757" s="24" t="s">
        <v>3242</v>
      </c>
      <c r="B757" s="24" t="str">
        <f>"300271"</f>
        <v>300271</v>
      </c>
      <c r="C757" s="24" t="str">
        <f t="shared" si="11"/>
        <v>'300271.SZ'</v>
      </c>
      <c r="D757" s="24" t="s">
        <v>4967</v>
      </c>
      <c r="E757" s="24" t="s">
        <v>3722</v>
      </c>
      <c r="F757" s="24">
        <v>0.93740000000000001</v>
      </c>
      <c r="G757" s="24">
        <v>6085260349.7399998</v>
      </c>
      <c r="H757" s="24">
        <v>3.2860999999999998</v>
      </c>
      <c r="I757" s="24">
        <v>2.3548</v>
      </c>
      <c r="J757" s="24">
        <v>1.2176</v>
      </c>
      <c r="K757" s="24">
        <v>589</v>
      </c>
      <c r="L757" s="24" t="s">
        <v>4968</v>
      </c>
    </row>
    <row r="758" spans="1:12" x14ac:dyDescent="0.35">
      <c r="A758" s="24" t="s">
        <v>3246</v>
      </c>
      <c r="B758" s="24" t="str">
        <f>"601188"</f>
        <v>601188</v>
      </c>
      <c r="C758" s="24" t="str">
        <f t="shared" si="11"/>
        <v>'601188.SS'</v>
      </c>
      <c r="D758" s="24" t="s">
        <v>4969</v>
      </c>
      <c r="E758" s="24" t="s">
        <v>4415</v>
      </c>
      <c r="F758" s="24">
        <v>0.93130000000000002</v>
      </c>
      <c r="G758" s="24">
        <v>4237128998.6199999</v>
      </c>
      <c r="H758" s="24">
        <v>6.7267999999999999</v>
      </c>
      <c r="I758" s="24">
        <v>5.2507000000000001</v>
      </c>
      <c r="J758" s="24">
        <v>2.0918000000000001</v>
      </c>
      <c r="K758" s="24">
        <v>130</v>
      </c>
      <c r="L758" s="24" t="s">
        <v>4970</v>
      </c>
    </row>
    <row r="759" spans="1:12" x14ac:dyDescent="0.35">
      <c r="A759" s="24" t="s">
        <v>3242</v>
      </c>
      <c r="B759" s="24" t="str">
        <f>"300981"</f>
        <v>300981</v>
      </c>
      <c r="C759" s="24" t="str">
        <f t="shared" si="11"/>
        <v>'300981.SZ'</v>
      </c>
      <c r="D759" s="24" t="s">
        <v>4971</v>
      </c>
      <c r="E759" s="24" t="s">
        <v>3319</v>
      </c>
      <c r="F759" s="24">
        <v>0.92600000000000005</v>
      </c>
      <c r="G759" s="24">
        <v>5646112920</v>
      </c>
      <c r="H759" s="24">
        <v>9.6087000000000007</v>
      </c>
      <c r="I759" s="24">
        <v>8.7335999999999991</v>
      </c>
      <c r="J759" s="24">
        <v>1.8348</v>
      </c>
      <c r="K759" s="24">
        <v>130</v>
      </c>
      <c r="L759" s="24" t="s">
        <v>4972</v>
      </c>
    </row>
    <row r="760" spans="1:12" x14ac:dyDescent="0.35">
      <c r="A760" s="24" t="s">
        <v>3242</v>
      </c>
      <c r="B760" s="24" t="str">
        <f>"002406"</f>
        <v>002406</v>
      </c>
      <c r="C760" s="24" t="str">
        <f t="shared" si="11"/>
        <v>'002406.SZ'</v>
      </c>
      <c r="D760" s="24" t="s">
        <v>4973</v>
      </c>
      <c r="E760" s="24" t="s">
        <v>3405</v>
      </c>
      <c r="F760" s="24">
        <v>0.91910000000000003</v>
      </c>
      <c r="G760" s="24">
        <v>3039698973.29</v>
      </c>
      <c r="H760" s="24">
        <v>5.9316000000000004</v>
      </c>
      <c r="I760" s="24">
        <v>4.78</v>
      </c>
      <c r="J760" s="24">
        <v>1.8604000000000001</v>
      </c>
      <c r="K760" s="24">
        <v>273</v>
      </c>
      <c r="L760" s="24" t="s">
        <v>4974</v>
      </c>
    </row>
    <row r="761" spans="1:12" x14ac:dyDescent="0.35">
      <c r="A761" s="24" t="s">
        <v>3246</v>
      </c>
      <c r="B761" s="24" t="str">
        <f>"600075"</f>
        <v>600075</v>
      </c>
      <c r="C761" s="24" t="str">
        <f t="shared" si="11"/>
        <v>'600075.SS'</v>
      </c>
      <c r="D761" s="24" t="s">
        <v>4975</v>
      </c>
      <c r="E761" s="24" t="s">
        <v>4530</v>
      </c>
      <c r="F761" s="24">
        <v>0.91200000000000003</v>
      </c>
      <c r="G761" s="24">
        <v>9390472278</v>
      </c>
      <c r="H761" s="24">
        <v>1.7979000000000001</v>
      </c>
      <c r="I761" s="24">
        <v>1.4158999999999999</v>
      </c>
      <c r="J761" s="24">
        <v>0.82730000000000004</v>
      </c>
      <c r="K761" s="24">
        <v>216</v>
      </c>
      <c r="L761" s="24" t="s">
        <v>4976</v>
      </c>
    </row>
    <row r="762" spans="1:12" x14ac:dyDescent="0.35">
      <c r="A762" s="24" t="s">
        <v>3246</v>
      </c>
      <c r="B762" s="24" t="str">
        <f>"601801"</f>
        <v>601801</v>
      </c>
      <c r="C762" s="24" t="str">
        <f t="shared" si="11"/>
        <v>'601801.SS'</v>
      </c>
      <c r="D762" s="24" t="s">
        <v>4977</v>
      </c>
      <c r="E762" s="24" t="s">
        <v>4352</v>
      </c>
      <c r="F762" s="24">
        <v>0.90990000000000004</v>
      </c>
      <c r="G762" s="24">
        <v>10343864632.4</v>
      </c>
      <c r="H762" s="24">
        <v>2.3431000000000002</v>
      </c>
      <c r="I762" s="24">
        <v>1.9280999999999999</v>
      </c>
      <c r="J762" s="24">
        <v>1.4041999999999999</v>
      </c>
      <c r="K762" s="24">
        <v>282</v>
      </c>
      <c r="L762" s="24" t="s">
        <v>4978</v>
      </c>
    </row>
    <row r="763" spans="1:12" x14ac:dyDescent="0.35">
      <c r="A763" s="24" t="s">
        <v>3242</v>
      </c>
      <c r="B763" s="24" t="str">
        <f>"300677"</f>
        <v>300677</v>
      </c>
      <c r="C763" s="24" t="str">
        <f t="shared" si="11"/>
        <v>'300677.SZ'</v>
      </c>
      <c r="D763" s="24" t="s">
        <v>4979</v>
      </c>
      <c r="E763" s="24" t="s">
        <v>3319</v>
      </c>
      <c r="F763" s="24">
        <v>0.90649999999999997</v>
      </c>
      <c r="G763" s="24">
        <v>14424425968.950001</v>
      </c>
      <c r="H763" s="24">
        <v>5.1096000000000004</v>
      </c>
      <c r="I763" s="24">
        <v>4.5370999999999997</v>
      </c>
      <c r="J763" s="24">
        <v>3.4855999999999998</v>
      </c>
      <c r="K763" s="24">
        <v>1809</v>
      </c>
      <c r="L763" s="24" t="s">
        <v>4980</v>
      </c>
    </row>
    <row r="764" spans="1:12" x14ac:dyDescent="0.35">
      <c r="A764" s="24" t="s">
        <v>3246</v>
      </c>
      <c r="B764" s="24" t="str">
        <f>"603116"</f>
        <v>603116</v>
      </c>
      <c r="C764" s="24" t="str">
        <f t="shared" si="11"/>
        <v>'603116.SS'</v>
      </c>
      <c r="D764" s="24" t="s">
        <v>4981</v>
      </c>
      <c r="E764" s="24" t="s">
        <v>4646</v>
      </c>
      <c r="F764" s="24">
        <v>0.90510000000000002</v>
      </c>
      <c r="G764" s="24">
        <v>2927100064</v>
      </c>
      <c r="H764" s="24">
        <v>2.6112000000000002</v>
      </c>
      <c r="I764" s="24">
        <v>2.1274000000000002</v>
      </c>
      <c r="J764" s="24">
        <v>1.0835999999999999</v>
      </c>
      <c r="K764" s="24">
        <v>106</v>
      </c>
      <c r="L764" s="24" t="s">
        <v>4982</v>
      </c>
    </row>
    <row r="765" spans="1:12" x14ac:dyDescent="0.35">
      <c r="A765" s="24" t="s">
        <v>3246</v>
      </c>
      <c r="B765" s="24" t="str">
        <f>"688459"</f>
        <v>688459</v>
      </c>
      <c r="C765" s="24" t="str">
        <f t="shared" si="11"/>
        <v>'688459.SS'</v>
      </c>
      <c r="D765" s="24" t="s">
        <v>4983</v>
      </c>
      <c r="E765" s="24" t="s">
        <v>3522</v>
      </c>
      <c r="F765" s="24">
        <v>0.89939999999999998</v>
      </c>
      <c r="G765" s="24">
        <v>4348800000</v>
      </c>
      <c r="H765" s="24">
        <v>10.718400000000001</v>
      </c>
      <c r="I765" s="24">
        <v>9.4085999999999999</v>
      </c>
      <c r="J765" s="24">
        <v>8.0795999999999992</v>
      </c>
      <c r="K765" s="24">
        <v>2</v>
      </c>
      <c r="L765" s="24" t="s">
        <v>4984</v>
      </c>
    </row>
    <row r="766" spans="1:12" x14ac:dyDescent="0.35">
      <c r="A766" s="24" t="s">
        <v>3246</v>
      </c>
      <c r="B766" s="24" t="str">
        <f>"601326"</f>
        <v>601326</v>
      </c>
      <c r="C766" s="24" t="str">
        <f t="shared" si="11"/>
        <v>'601326.SS'</v>
      </c>
      <c r="D766" s="24" t="s">
        <v>2095</v>
      </c>
      <c r="E766" s="24" t="s">
        <v>4871</v>
      </c>
      <c r="F766" s="24">
        <v>0.89159999999999995</v>
      </c>
      <c r="G766" s="24">
        <v>15253634760</v>
      </c>
      <c r="H766" s="24">
        <v>1.6681999999999999</v>
      </c>
      <c r="I766" s="24">
        <v>1.6122000000000001</v>
      </c>
      <c r="J766" s="24">
        <v>1.5303</v>
      </c>
      <c r="K766" s="24">
        <v>143</v>
      </c>
      <c r="L766" s="24" t="s">
        <v>4985</v>
      </c>
    </row>
    <row r="767" spans="1:12" x14ac:dyDescent="0.35">
      <c r="A767" s="24" t="s">
        <v>3242</v>
      </c>
      <c r="B767" s="24" t="str">
        <f>"002393"</f>
        <v>002393</v>
      </c>
      <c r="C767" s="24" t="str">
        <f t="shared" si="11"/>
        <v>'002393.SZ'</v>
      </c>
      <c r="D767" s="24" t="s">
        <v>4986</v>
      </c>
      <c r="E767" s="24" t="s">
        <v>3696</v>
      </c>
      <c r="F767" s="24">
        <v>0.89119999999999999</v>
      </c>
      <c r="G767" s="24">
        <v>4003687505.9200001</v>
      </c>
      <c r="H767" s="24">
        <v>3.1442999999999999</v>
      </c>
      <c r="I767" s="24">
        <v>2.7719999999999998</v>
      </c>
      <c r="J767" s="24">
        <v>2.0684</v>
      </c>
      <c r="K767" s="24">
        <v>158</v>
      </c>
      <c r="L767" s="24" t="s">
        <v>4987</v>
      </c>
    </row>
    <row r="768" spans="1:12" x14ac:dyDescent="0.35">
      <c r="A768" s="24" t="s">
        <v>3242</v>
      </c>
      <c r="B768" s="24" t="str">
        <f>"000552"</f>
        <v>000552</v>
      </c>
      <c r="C768" s="24" t="str">
        <f t="shared" si="11"/>
        <v>'000552.SZ'</v>
      </c>
      <c r="D768" s="24" t="s">
        <v>4988</v>
      </c>
      <c r="E768" s="24" t="s">
        <v>4418</v>
      </c>
      <c r="F768" s="24">
        <v>0.87409999999999999</v>
      </c>
      <c r="G768" s="24">
        <v>7974888177.7799997</v>
      </c>
      <c r="H768" s="24">
        <v>2.4222000000000001</v>
      </c>
      <c r="I768" s="24">
        <v>2.1656</v>
      </c>
      <c r="J768" s="24">
        <v>1.0857000000000001</v>
      </c>
      <c r="K768" s="24">
        <v>287</v>
      </c>
      <c r="L768" s="24" t="s">
        <v>4989</v>
      </c>
    </row>
    <row r="769" spans="1:12" x14ac:dyDescent="0.35">
      <c r="A769" s="24" t="s">
        <v>3246</v>
      </c>
      <c r="B769" s="24" t="str">
        <f>"601919"</f>
        <v>601919</v>
      </c>
      <c r="C769" s="24" t="str">
        <f t="shared" si="11"/>
        <v>'601919.SS'</v>
      </c>
      <c r="D769" s="24" t="s">
        <v>1046</v>
      </c>
      <c r="E769" s="24" t="s">
        <v>3371</v>
      </c>
      <c r="F769" s="24">
        <v>0.87239999999999995</v>
      </c>
      <c r="G769" s="24">
        <v>165133280385.35999</v>
      </c>
      <c r="H769" s="24">
        <v>1.8332999999999999</v>
      </c>
      <c r="I769" s="24">
        <v>1.7753000000000001</v>
      </c>
      <c r="J769" s="24">
        <v>1.6783999999999999</v>
      </c>
      <c r="K769" s="24">
        <v>1577</v>
      </c>
      <c r="L769" s="24" t="s">
        <v>4990</v>
      </c>
    </row>
    <row r="770" spans="1:12" x14ac:dyDescent="0.35">
      <c r="A770" s="24" t="s">
        <v>3242</v>
      </c>
      <c r="B770" s="24" t="str">
        <f>"002440"</f>
        <v>002440</v>
      </c>
      <c r="C770" s="24" t="str">
        <f t="shared" si="11"/>
        <v>'002440.SZ'</v>
      </c>
      <c r="D770" s="24" t="s">
        <v>4991</v>
      </c>
      <c r="E770" s="24" t="s">
        <v>4036</v>
      </c>
      <c r="F770" s="24">
        <v>0.87070000000000003</v>
      </c>
      <c r="G770" s="24">
        <v>8364135000</v>
      </c>
      <c r="H770" s="24">
        <v>3.3834</v>
      </c>
      <c r="I770" s="24">
        <v>2.6427</v>
      </c>
      <c r="J770" s="24">
        <v>0.92720000000000002</v>
      </c>
      <c r="K770" s="24">
        <v>544</v>
      </c>
      <c r="L770" s="24" t="s">
        <v>4992</v>
      </c>
    </row>
    <row r="771" spans="1:12" x14ac:dyDescent="0.35">
      <c r="A771" s="24" t="s">
        <v>3246</v>
      </c>
      <c r="B771" s="24" t="str">
        <f>"600037"</f>
        <v>600037</v>
      </c>
      <c r="C771" s="24" t="str">
        <f t="shared" ref="C771:C834" si="12">CONCATENATE("'",B771,IF(A771="sh",".SS'",".SZ'"))</f>
        <v>'600037.SS'</v>
      </c>
      <c r="D771" s="24" t="s">
        <v>4993</v>
      </c>
      <c r="E771" s="24" t="s">
        <v>2859</v>
      </c>
      <c r="F771" s="24">
        <v>0.86729999999999996</v>
      </c>
      <c r="G771" s="24">
        <v>11356907533.440001</v>
      </c>
      <c r="H771" s="24">
        <v>5.2161</v>
      </c>
      <c r="I771" s="24">
        <v>4.9272</v>
      </c>
      <c r="J771" s="24">
        <v>3.9843000000000002</v>
      </c>
      <c r="K771" s="24">
        <v>323</v>
      </c>
      <c r="L771" s="24" t="s">
        <v>4994</v>
      </c>
    </row>
    <row r="772" spans="1:12" x14ac:dyDescent="0.35">
      <c r="A772" s="24" t="s">
        <v>3246</v>
      </c>
      <c r="B772" s="24" t="str">
        <f>"600219"</f>
        <v>600219</v>
      </c>
      <c r="C772" s="24" t="str">
        <f t="shared" si="12"/>
        <v>'600219.SS'</v>
      </c>
      <c r="D772" s="24" t="s">
        <v>4995</v>
      </c>
      <c r="E772" s="24" t="s">
        <v>1174</v>
      </c>
      <c r="F772" s="24">
        <v>0.86439999999999995</v>
      </c>
      <c r="G772" s="24">
        <v>38989480983.839996</v>
      </c>
      <c r="H772" s="24">
        <v>2.1291000000000002</v>
      </c>
      <c r="I772" s="24">
        <v>1.6191</v>
      </c>
      <c r="J772" s="24">
        <v>1.2868999999999999</v>
      </c>
      <c r="K772" s="24">
        <v>650</v>
      </c>
      <c r="L772" s="24" t="s">
        <v>4996</v>
      </c>
    </row>
    <row r="773" spans="1:12" x14ac:dyDescent="0.35">
      <c r="A773" s="24" t="s">
        <v>3246</v>
      </c>
      <c r="B773" s="24" t="str">
        <f>"601000"</f>
        <v>601000</v>
      </c>
      <c r="C773" s="24" t="str">
        <f t="shared" si="12"/>
        <v>'601000.SS'</v>
      </c>
      <c r="D773" s="24" t="s">
        <v>4997</v>
      </c>
      <c r="E773" s="24" t="s">
        <v>4871</v>
      </c>
      <c r="F773" s="24">
        <v>0.86050000000000004</v>
      </c>
      <c r="G773" s="24">
        <v>16177785116.219999</v>
      </c>
      <c r="H773" s="24">
        <v>2.8262</v>
      </c>
      <c r="I773" s="24">
        <v>2.7559</v>
      </c>
      <c r="J773" s="24">
        <v>1.7681</v>
      </c>
      <c r="K773" s="24">
        <v>933</v>
      </c>
      <c r="L773" s="24" t="s">
        <v>4998</v>
      </c>
    </row>
    <row r="774" spans="1:12" x14ac:dyDescent="0.35">
      <c r="A774" s="24" t="s">
        <v>3246</v>
      </c>
      <c r="B774" s="24" t="str">
        <f>"603003"</f>
        <v>603003</v>
      </c>
      <c r="C774" s="24" t="str">
        <f t="shared" si="12"/>
        <v>'603003.SS'</v>
      </c>
      <c r="D774" s="24" t="s">
        <v>4999</v>
      </c>
      <c r="E774" s="24" t="s">
        <v>3722</v>
      </c>
      <c r="F774" s="24">
        <v>0.85619999999999996</v>
      </c>
      <c r="G774" s="24">
        <v>3090766033.9200001</v>
      </c>
      <c r="H774" s="24">
        <v>4.101</v>
      </c>
      <c r="I774" s="24">
        <v>2.5108000000000001</v>
      </c>
      <c r="J774" s="24">
        <v>1.0072000000000001</v>
      </c>
      <c r="K774" s="24">
        <v>93</v>
      </c>
      <c r="L774" s="24" t="s">
        <v>5000</v>
      </c>
    </row>
    <row r="775" spans="1:12" x14ac:dyDescent="0.35">
      <c r="A775" s="24" t="s">
        <v>3246</v>
      </c>
      <c r="B775" s="24" t="str">
        <f>"601101"</f>
        <v>601101</v>
      </c>
      <c r="C775" s="24" t="str">
        <f t="shared" si="12"/>
        <v>'601101.SS'</v>
      </c>
      <c r="D775" s="24" t="s">
        <v>5001</v>
      </c>
      <c r="E775" s="24" t="s">
        <v>4418</v>
      </c>
      <c r="F775" s="24">
        <v>0.84330000000000005</v>
      </c>
      <c r="G775" s="24">
        <v>8942387120.4599991</v>
      </c>
      <c r="H775" s="24">
        <v>1.5961000000000001</v>
      </c>
      <c r="I775" s="24">
        <v>1.5365</v>
      </c>
      <c r="J775" s="24">
        <v>1.3048999999999999</v>
      </c>
      <c r="K775" s="24">
        <v>304</v>
      </c>
      <c r="L775" s="24" t="s">
        <v>5002</v>
      </c>
    </row>
    <row r="776" spans="1:12" x14ac:dyDescent="0.35">
      <c r="A776" s="24" t="s">
        <v>3246</v>
      </c>
      <c r="B776" s="24" t="str">
        <f>"600585"</f>
        <v>600585</v>
      </c>
      <c r="C776" s="24" t="str">
        <f t="shared" si="12"/>
        <v>'600585.SS'</v>
      </c>
      <c r="D776" s="24" t="s">
        <v>1015</v>
      </c>
      <c r="E776" s="24" t="s">
        <v>3549</v>
      </c>
      <c r="F776" s="24">
        <v>0.83850000000000002</v>
      </c>
      <c r="G776" s="24">
        <v>151454067707.82001</v>
      </c>
      <c r="H776" s="24">
        <v>3.0525000000000002</v>
      </c>
      <c r="I776" s="24">
        <v>2.6829999999999998</v>
      </c>
      <c r="J776" s="24">
        <v>1.9119999999999999</v>
      </c>
      <c r="K776" s="24">
        <v>8537</v>
      </c>
      <c r="L776" s="24" t="s">
        <v>5003</v>
      </c>
    </row>
    <row r="777" spans="1:12" x14ac:dyDescent="0.35">
      <c r="A777" s="24" t="s">
        <v>3242</v>
      </c>
      <c r="B777" s="24" t="str">
        <f>"002582"</f>
        <v>002582</v>
      </c>
      <c r="C777" s="24" t="str">
        <f t="shared" si="12"/>
        <v>'002582.SZ'</v>
      </c>
      <c r="D777" s="24" t="s">
        <v>5004</v>
      </c>
      <c r="E777" s="24" t="s">
        <v>5005</v>
      </c>
      <c r="F777" s="24">
        <v>0.83430000000000004</v>
      </c>
      <c r="G777" s="24">
        <v>3630098040.6599998</v>
      </c>
      <c r="H777" s="24">
        <v>4.1467000000000001</v>
      </c>
      <c r="I777" s="24">
        <v>3.0516999999999999</v>
      </c>
      <c r="J777" s="24">
        <v>1.8183</v>
      </c>
      <c r="K777" s="24">
        <v>440</v>
      </c>
      <c r="L777" s="24" t="s">
        <v>5006</v>
      </c>
    </row>
    <row r="778" spans="1:12" x14ac:dyDescent="0.35">
      <c r="A778" s="24" t="s">
        <v>3246</v>
      </c>
      <c r="B778" s="24" t="str">
        <f>"600971"</f>
        <v>600971</v>
      </c>
      <c r="C778" s="24" t="str">
        <f t="shared" si="12"/>
        <v>'600971.SS'</v>
      </c>
      <c r="D778" s="24" t="s">
        <v>5007</v>
      </c>
      <c r="E778" s="24" t="s">
        <v>4418</v>
      </c>
      <c r="F778" s="24">
        <v>0.78620000000000001</v>
      </c>
      <c r="G778" s="24">
        <v>8712035457.8400002</v>
      </c>
      <c r="H778" s="24">
        <v>1.7081</v>
      </c>
      <c r="I778" s="24">
        <v>1.6373</v>
      </c>
      <c r="J778" s="24">
        <v>1.1171</v>
      </c>
      <c r="K778" s="24">
        <v>1573</v>
      </c>
      <c r="L778" s="24" t="s">
        <v>5008</v>
      </c>
    </row>
    <row r="779" spans="1:12" x14ac:dyDescent="0.35">
      <c r="A779" s="24" t="s">
        <v>3246</v>
      </c>
      <c r="B779" s="24" t="str">
        <f>"601006"</f>
        <v>601006</v>
      </c>
      <c r="C779" s="24" t="str">
        <f t="shared" si="12"/>
        <v>'601006.SS'</v>
      </c>
      <c r="D779" s="24" t="s">
        <v>5009</v>
      </c>
      <c r="E779" s="24" t="s">
        <v>4824</v>
      </c>
      <c r="F779" s="24">
        <v>0.78380000000000005</v>
      </c>
      <c r="G779" s="24">
        <v>97824504068.059998</v>
      </c>
      <c r="H779" s="24">
        <v>4.2131999999999996</v>
      </c>
      <c r="I779" s="24">
        <v>4.0949999999999998</v>
      </c>
      <c r="J779" s="24">
        <v>3.5981000000000001</v>
      </c>
      <c r="K779" s="24">
        <v>4286</v>
      </c>
      <c r="L779" s="24" t="s">
        <v>5010</v>
      </c>
    </row>
    <row r="780" spans="1:12" x14ac:dyDescent="0.35">
      <c r="A780" s="24" t="s">
        <v>3242</v>
      </c>
      <c r="B780" s="24" t="str">
        <f>"002067"</f>
        <v>002067</v>
      </c>
      <c r="C780" s="24" t="str">
        <f t="shared" si="12"/>
        <v>'002067.SZ'</v>
      </c>
      <c r="D780" s="24" t="s">
        <v>5011</v>
      </c>
      <c r="E780" s="24" t="s">
        <v>4570</v>
      </c>
      <c r="F780" s="24">
        <v>0.78029999999999999</v>
      </c>
      <c r="G780" s="24">
        <v>4214627120.8000002</v>
      </c>
      <c r="H780" s="24">
        <v>2.1793999999999998</v>
      </c>
      <c r="I780" s="24">
        <v>1.6612</v>
      </c>
      <c r="J780" s="24">
        <v>0.88029999999999997</v>
      </c>
      <c r="K780" s="24">
        <v>174</v>
      </c>
      <c r="L780" s="24" t="s">
        <v>5012</v>
      </c>
    </row>
    <row r="781" spans="1:12" x14ac:dyDescent="0.35">
      <c r="A781" s="24" t="s">
        <v>3246</v>
      </c>
      <c r="B781" s="24" t="str">
        <f>"600637"</f>
        <v>600637</v>
      </c>
      <c r="C781" s="24" t="str">
        <f t="shared" si="12"/>
        <v>'600637.SS'</v>
      </c>
      <c r="D781" s="24" t="s">
        <v>5013</v>
      </c>
      <c r="E781" s="24" t="s">
        <v>2859</v>
      </c>
      <c r="F781" s="24">
        <v>0.77549999999999997</v>
      </c>
      <c r="G781" s="24">
        <v>22774716340.669998</v>
      </c>
      <c r="H781" s="24">
        <v>3.3683999999999998</v>
      </c>
      <c r="I781" s="24">
        <v>2.9060999999999999</v>
      </c>
      <c r="J781" s="24">
        <v>1.1886000000000001</v>
      </c>
      <c r="K781" s="24">
        <v>463</v>
      </c>
      <c r="L781" s="24" t="s">
        <v>5014</v>
      </c>
    </row>
    <row r="782" spans="1:12" x14ac:dyDescent="0.35">
      <c r="A782" s="24" t="s">
        <v>3242</v>
      </c>
      <c r="B782" s="24" t="str">
        <f>"002233"</f>
        <v>002233</v>
      </c>
      <c r="C782" s="24" t="str">
        <f t="shared" si="12"/>
        <v>'002233.SZ'</v>
      </c>
      <c r="D782" s="24" t="s">
        <v>5015</v>
      </c>
      <c r="E782" s="24" t="s">
        <v>3549</v>
      </c>
      <c r="F782" s="24">
        <v>0.7712</v>
      </c>
      <c r="G782" s="24">
        <v>8643993866</v>
      </c>
      <c r="H782" s="24">
        <v>4.1466000000000003</v>
      </c>
      <c r="I782" s="24">
        <v>3.3498999999999999</v>
      </c>
      <c r="J782" s="24">
        <v>1.1757</v>
      </c>
      <c r="K782" s="24">
        <v>1387</v>
      </c>
      <c r="L782" s="24" t="s">
        <v>5016</v>
      </c>
    </row>
    <row r="783" spans="1:12" x14ac:dyDescent="0.35">
      <c r="A783" s="24" t="s">
        <v>3246</v>
      </c>
      <c r="B783" s="24" t="str">
        <f>"600373"</f>
        <v>600373</v>
      </c>
      <c r="C783" s="24" t="str">
        <f t="shared" si="12"/>
        <v>'600373.SS'</v>
      </c>
      <c r="D783" s="24" t="s">
        <v>5017</v>
      </c>
      <c r="E783" s="24" t="s">
        <v>4352</v>
      </c>
      <c r="F783" s="24">
        <v>0.76380000000000003</v>
      </c>
      <c r="G783" s="24">
        <v>12805352144.549999</v>
      </c>
      <c r="H783" s="24">
        <v>2.0975000000000001</v>
      </c>
      <c r="I783" s="24">
        <v>1.8832</v>
      </c>
      <c r="J783" s="24">
        <v>1.4450000000000001</v>
      </c>
      <c r="K783" s="24">
        <v>816</v>
      </c>
      <c r="L783" s="24" t="s">
        <v>5018</v>
      </c>
    </row>
    <row r="784" spans="1:12" x14ac:dyDescent="0.35">
      <c r="A784" s="24" t="s">
        <v>3246</v>
      </c>
      <c r="B784" s="24" t="str">
        <f>"600997"</f>
        <v>600997</v>
      </c>
      <c r="C784" s="24" t="str">
        <f t="shared" si="12"/>
        <v>'600997.SS'</v>
      </c>
      <c r="D784" s="24" t="s">
        <v>5019</v>
      </c>
      <c r="E784" s="24" t="s">
        <v>5020</v>
      </c>
      <c r="F784" s="24">
        <v>0.76200000000000001</v>
      </c>
      <c r="G784" s="24">
        <v>10733526992.76</v>
      </c>
      <c r="H784" s="24">
        <v>1.7092000000000001</v>
      </c>
      <c r="I784" s="24">
        <v>1.5302</v>
      </c>
      <c r="J784" s="24">
        <v>0.91620000000000001</v>
      </c>
      <c r="K784" s="24">
        <v>751</v>
      </c>
      <c r="L784" s="24" t="s">
        <v>5021</v>
      </c>
    </row>
    <row r="785" spans="1:12" x14ac:dyDescent="0.35">
      <c r="A785" s="24" t="s">
        <v>3246</v>
      </c>
      <c r="B785" s="24" t="str">
        <f>"600676"</f>
        <v>600676</v>
      </c>
      <c r="C785" s="24" t="str">
        <f t="shared" si="12"/>
        <v>'600676.SS'</v>
      </c>
      <c r="D785" s="24" t="s">
        <v>5022</v>
      </c>
      <c r="E785" s="24" t="s">
        <v>3457</v>
      </c>
      <c r="F785" s="24">
        <v>0.75529999999999997</v>
      </c>
      <c r="G785" s="24">
        <v>3959697834.4000001</v>
      </c>
      <c r="H785" s="24">
        <v>2.2429000000000001</v>
      </c>
      <c r="I785" s="24">
        <v>1.7038</v>
      </c>
      <c r="J785" s="24">
        <v>0.82130000000000003</v>
      </c>
      <c r="K785" s="24">
        <v>93</v>
      </c>
      <c r="L785" s="24" t="s">
        <v>5023</v>
      </c>
    </row>
    <row r="786" spans="1:12" x14ac:dyDescent="0.35">
      <c r="A786" s="24" t="s">
        <v>3242</v>
      </c>
      <c r="B786" s="24" t="str">
        <f>"002382"</f>
        <v>002382</v>
      </c>
      <c r="C786" s="24" t="str">
        <f t="shared" si="12"/>
        <v>'002382.SZ'</v>
      </c>
      <c r="D786" s="24" t="s">
        <v>5024</v>
      </c>
      <c r="E786" s="24" t="s">
        <v>3319</v>
      </c>
      <c r="F786" s="24">
        <v>0.75119999999999998</v>
      </c>
      <c r="G786" s="24">
        <v>8036618483.04</v>
      </c>
      <c r="H786" s="24">
        <v>2.1227999999999998</v>
      </c>
      <c r="I786" s="24">
        <v>1.5880000000000001</v>
      </c>
      <c r="J786" s="24">
        <v>1.0605</v>
      </c>
      <c r="K786" s="24">
        <v>854</v>
      </c>
      <c r="L786" s="24" t="s">
        <v>5025</v>
      </c>
    </row>
    <row r="787" spans="1:12" x14ac:dyDescent="0.35">
      <c r="A787" s="24" t="s">
        <v>3242</v>
      </c>
      <c r="B787" s="24" t="str">
        <f>"000726"</f>
        <v>000726</v>
      </c>
      <c r="C787" s="24" t="str">
        <f t="shared" si="12"/>
        <v>'000726.SZ'</v>
      </c>
      <c r="D787" s="24" t="s">
        <v>5026</v>
      </c>
      <c r="E787" s="24" t="s">
        <v>5027</v>
      </c>
      <c r="F787" s="24">
        <v>0.74950000000000006</v>
      </c>
      <c r="G787" s="24">
        <v>6541856322.8699999</v>
      </c>
      <c r="H787" s="24">
        <v>2.8197999999999999</v>
      </c>
      <c r="I787" s="24">
        <v>1.575</v>
      </c>
      <c r="J787" s="24">
        <v>0.9375</v>
      </c>
      <c r="K787" s="24">
        <v>989</v>
      </c>
      <c r="L787" s="24" t="s">
        <v>5028</v>
      </c>
    </row>
    <row r="788" spans="1:12" x14ac:dyDescent="0.35">
      <c r="A788" s="24" t="s">
        <v>3242</v>
      </c>
      <c r="B788" s="24" t="str">
        <f>"000627"</f>
        <v>000627</v>
      </c>
      <c r="C788" s="24" t="str">
        <f t="shared" si="12"/>
        <v>'000627.SZ'</v>
      </c>
      <c r="D788" s="24" t="s">
        <v>5029</v>
      </c>
      <c r="E788" s="24" t="s">
        <v>870</v>
      </c>
      <c r="F788" s="24">
        <v>0.74490000000000001</v>
      </c>
      <c r="G788" s="24">
        <v>15810013328</v>
      </c>
      <c r="H788" s="24">
        <v>2.1848000000000001</v>
      </c>
      <c r="I788" s="24">
        <v>1.7275</v>
      </c>
      <c r="J788" s="24">
        <v>1.044</v>
      </c>
      <c r="K788" s="24">
        <v>297</v>
      </c>
      <c r="L788" s="24" t="s">
        <v>5030</v>
      </c>
    </row>
    <row r="789" spans="1:12" x14ac:dyDescent="0.35">
      <c r="A789" s="24" t="s">
        <v>3246</v>
      </c>
      <c r="B789" s="24" t="str">
        <f>"600126"</f>
        <v>600126</v>
      </c>
      <c r="C789" s="24" t="str">
        <f t="shared" si="12"/>
        <v>'600126.SS'</v>
      </c>
      <c r="D789" s="24" t="s">
        <v>5031</v>
      </c>
      <c r="E789" s="24" t="s">
        <v>5032</v>
      </c>
      <c r="F789" s="24">
        <v>0.71199999999999997</v>
      </c>
      <c r="G789" s="24">
        <v>14386825493.58</v>
      </c>
      <c r="H789" s="24">
        <v>1.5714999999999999</v>
      </c>
      <c r="I789" s="24">
        <v>1.1908000000000001</v>
      </c>
      <c r="J789" s="24">
        <v>1.0583</v>
      </c>
      <c r="K789" s="24">
        <v>251</v>
      </c>
      <c r="L789" s="24" t="s">
        <v>5033</v>
      </c>
    </row>
    <row r="790" spans="1:12" x14ac:dyDescent="0.35">
      <c r="A790" s="24" t="s">
        <v>3242</v>
      </c>
      <c r="B790" s="24" t="str">
        <f>"000623"</f>
        <v>000623</v>
      </c>
      <c r="C790" s="24" t="str">
        <f t="shared" si="12"/>
        <v>'000623.SZ'</v>
      </c>
      <c r="D790" s="24" t="s">
        <v>5034</v>
      </c>
      <c r="E790" s="24" t="s">
        <v>3311</v>
      </c>
      <c r="F790" s="24">
        <v>0.69679999999999997</v>
      </c>
      <c r="G790" s="24">
        <v>17225525365.700001</v>
      </c>
      <c r="H790" s="24">
        <v>3.3447</v>
      </c>
      <c r="I790" s="24">
        <v>2.8285</v>
      </c>
      <c r="J790" s="24">
        <v>0.86219999999999997</v>
      </c>
      <c r="K790" s="24">
        <v>692</v>
      </c>
      <c r="L790" s="24" t="s">
        <v>5035</v>
      </c>
    </row>
    <row r="791" spans="1:12" x14ac:dyDescent="0.35">
      <c r="A791" s="24" t="s">
        <v>3246</v>
      </c>
      <c r="B791" s="24" t="str">
        <f>"600716"</f>
        <v>600716</v>
      </c>
      <c r="C791" s="24" t="str">
        <f t="shared" si="12"/>
        <v>'600716.SS'</v>
      </c>
      <c r="D791" s="24" t="s">
        <v>5036</v>
      </c>
      <c r="E791" s="24" t="s">
        <v>3988</v>
      </c>
      <c r="F791" s="24">
        <v>0.67579999999999996</v>
      </c>
      <c r="G791" s="24">
        <v>3725521148.1999998</v>
      </c>
      <c r="H791" s="24">
        <v>4.6231</v>
      </c>
      <c r="I791" s="24">
        <v>1.3254999999999999</v>
      </c>
      <c r="J791" s="24">
        <v>1.0642</v>
      </c>
      <c r="K791" s="24">
        <v>102</v>
      </c>
      <c r="L791" s="24" t="s">
        <v>5037</v>
      </c>
    </row>
    <row r="792" spans="1:12" x14ac:dyDescent="0.35">
      <c r="A792" s="24" t="s">
        <v>3246</v>
      </c>
      <c r="B792" s="24" t="str">
        <f>"601107"</f>
        <v>601107</v>
      </c>
      <c r="C792" s="24" t="str">
        <f t="shared" si="12"/>
        <v>'601107.SS'</v>
      </c>
      <c r="D792" s="24" t="s">
        <v>5038</v>
      </c>
      <c r="E792" s="24" t="s">
        <v>4415</v>
      </c>
      <c r="F792" s="24">
        <v>0.65200000000000002</v>
      </c>
      <c r="G792" s="24">
        <v>11528886200</v>
      </c>
      <c r="H792" s="24">
        <v>1.5212000000000001</v>
      </c>
      <c r="I792" s="24">
        <v>1.284</v>
      </c>
      <c r="J792" s="24">
        <v>0.80159999999999998</v>
      </c>
      <c r="K792" s="24">
        <v>240</v>
      </c>
      <c r="L792" s="24" t="s">
        <v>5039</v>
      </c>
    </row>
    <row r="793" spans="1:12" x14ac:dyDescent="0.35">
      <c r="A793" s="24" t="s">
        <v>3246</v>
      </c>
      <c r="B793" s="24" t="str">
        <f>"600894"</f>
        <v>600894</v>
      </c>
      <c r="C793" s="24" t="str">
        <f t="shared" si="12"/>
        <v>'600894.SS'</v>
      </c>
      <c r="D793" s="24" t="s">
        <v>5040</v>
      </c>
      <c r="E793" s="24" t="s">
        <v>3427</v>
      </c>
      <c r="F793" s="24">
        <v>0.6502</v>
      </c>
      <c r="G793" s="24">
        <v>5624052693.3000002</v>
      </c>
      <c r="H793" s="24">
        <v>1.9525999999999999</v>
      </c>
      <c r="I793" s="24">
        <v>1.6026</v>
      </c>
      <c r="J793" s="24">
        <v>1.0387999999999999</v>
      </c>
      <c r="K793" s="24">
        <v>401</v>
      </c>
      <c r="L793" s="24" t="s">
        <v>5041</v>
      </c>
    </row>
    <row r="794" spans="1:12" x14ac:dyDescent="0.35">
      <c r="A794" s="24" t="s">
        <v>3246</v>
      </c>
      <c r="B794" s="24" t="s">
        <v>5079</v>
      </c>
      <c r="C794" s="24" t="str">
        <f t="shared" si="12"/>
        <v>'600507.SS'</v>
      </c>
      <c r="D794" s="24" t="s">
        <v>5080</v>
      </c>
      <c r="E794" s="24" t="s">
        <v>5081</v>
      </c>
    </row>
    <row r="795" spans="1:12" x14ac:dyDescent="0.35">
      <c r="A795" s="25" t="s">
        <v>3246</v>
      </c>
      <c r="B795" s="24" t="s">
        <v>5082</v>
      </c>
      <c r="C795" s="24" t="str">
        <f t="shared" si="12"/>
        <v>'600662.SS'</v>
      </c>
      <c r="D795" s="24" t="s">
        <v>5083</v>
      </c>
      <c r="E795" s="24" t="s">
        <v>5084</v>
      </c>
    </row>
    <row r="796" spans="1:12" x14ac:dyDescent="0.35">
      <c r="A796" s="25" t="s">
        <v>3242</v>
      </c>
      <c r="B796" s="24" t="s">
        <v>5085</v>
      </c>
      <c r="C796" s="24" t="str">
        <f t="shared" si="12"/>
        <v>'000651.SZ'</v>
      </c>
      <c r="D796" s="24" t="s">
        <v>5086</v>
      </c>
      <c r="E796" s="24" t="s">
        <v>4922</v>
      </c>
    </row>
    <row r="797" spans="1:12" x14ac:dyDescent="0.35">
      <c r="A797" s="25" t="s">
        <v>3246</v>
      </c>
      <c r="B797" s="24" t="s">
        <v>5087</v>
      </c>
      <c r="C797" s="24" t="str">
        <f t="shared" si="12"/>
        <v>'600782.SS'</v>
      </c>
      <c r="D797" s="24" t="s">
        <v>5088</v>
      </c>
      <c r="E797" s="24" t="s">
        <v>5089</v>
      </c>
    </row>
    <row r="798" spans="1:12" x14ac:dyDescent="0.35">
      <c r="A798" s="25" t="s">
        <v>3242</v>
      </c>
      <c r="B798" s="24" t="s">
        <v>5090</v>
      </c>
      <c r="C798" s="24" t="str">
        <f t="shared" si="12"/>
        <v>'000550.SZ'</v>
      </c>
      <c r="D798" s="24" t="s">
        <v>5091</v>
      </c>
      <c r="E798" s="25" t="s">
        <v>5092</v>
      </c>
    </row>
    <row r="799" spans="1:12" x14ac:dyDescent="0.35">
      <c r="A799" s="25" t="s">
        <v>3242</v>
      </c>
      <c r="B799" s="24" t="s">
        <v>5093</v>
      </c>
      <c r="C799" s="24" t="str">
        <f t="shared" si="12"/>
        <v>'000523.SZ'</v>
      </c>
    </row>
    <row r="800" spans="1:12" x14ac:dyDescent="0.35">
      <c r="A800" s="25" t="s">
        <v>3242</v>
      </c>
      <c r="B800" s="24" t="s">
        <v>5094</v>
      </c>
      <c r="C800" s="24" t="str">
        <f t="shared" si="12"/>
        <v>'002116.SZ'</v>
      </c>
    </row>
    <row r="801" spans="1:3" x14ac:dyDescent="0.35">
      <c r="A801" s="25" t="s">
        <v>3246</v>
      </c>
      <c r="B801" s="24" t="s">
        <v>5095</v>
      </c>
      <c r="C801" s="24" t="str">
        <f t="shared" si="12"/>
        <v>'600546.SS'</v>
      </c>
    </row>
    <row r="802" spans="1:3" x14ac:dyDescent="0.35">
      <c r="A802" s="25" t="s">
        <v>3242</v>
      </c>
      <c r="B802" s="24" t="s">
        <v>5096</v>
      </c>
      <c r="C802" s="24" t="str">
        <f t="shared" si="12"/>
        <v>'002668.SZ'</v>
      </c>
    </row>
    <row r="803" spans="1:3" x14ac:dyDescent="0.35">
      <c r="A803" s="25" t="s">
        <v>3242</v>
      </c>
      <c r="B803" s="24" t="s">
        <v>5097</v>
      </c>
      <c r="C803" s="24" t="str">
        <f t="shared" si="12"/>
        <v>'000928.SZ'</v>
      </c>
    </row>
    <row r="804" spans="1:3" x14ac:dyDescent="0.35">
      <c r="A804" s="25" t="s">
        <v>3242</v>
      </c>
      <c r="B804" s="24" t="s">
        <v>5098</v>
      </c>
      <c r="C804" s="24" t="str">
        <f t="shared" si="12"/>
        <v>'000921.SZ'</v>
      </c>
    </row>
    <row r="805" spans="1:3" x14ac:dyDescent="0.35">
      <c r="A805" s="25" t="s">
        <v>3246</v>
      </c>
      <c r="B805" s="24" t="s">
        <v>5099</v>
      </c>
      <c r="C805" s="24" t="str">
        <f t="shared" si="12"/>
        <v>'601699.SS'</v>
      </c>
    </row>
    <row r="806" spans="1:3" x14ac:dyDescent="0.35">
      <c r="A806" s="24" t="str">
        <f>IF(LEFT(B806,1)="6","sh","sz")</f>
        <v>sz</v>
      </c>
      <c r="B806" s="24" t="s">
        <v>5100</v>
      </c>
      <c r="C806" s="24" t="str">
        <f t="shared" si="12"/>
        <v>'002356.SZ'</v>
      </c>
    </row>
    <row r="807" spans="1:3" x14ac:dyDescent="0.35">
      <c r="A807" s="24" t="str">
        <f t="shared" ref="A807:A856" si="13">IF(LEFT(B807,1)="6","sh","sz")</f>
        <v>sz</v>
      </c>
      <c r="B807" s="24" t="s">
        <v>5101</v>
      </c>
      <c r="C807" s="24" t="str">
        <f t="shared" si="12"/>
        <v>'002030.SZ'</v>
      </c>
    </row>
    <row r="808" spans="1:3" x14ac:dyDescent="0.35">
      <c r="A808" s="24" t="str">
        <f t="shared" si="13"/>
        <v>sz</v>
      </c>
      <c r="B808" s="24" t="s">
        <v>5102</v>
      </c>
      <c r="C808" s="24" t="str">
        <f t="shared" si="12"/>
        <v>'300390.SZ'</v>
      </c>
    </row>
    <row r="809" spans="1:3" x14ac:dyDescent="0.35">
      <c r="A809" s="24" t="str">
        <f t="shared" si="13"/>
        <v>sh</v>
      </c>
      <c r="B809" s="24" t="s">
        <v>5103</v>
      </c>
      <c r="C809" s="24" t="str">
        <f t="shared" si="12"/>
        <v>'605166.SS'</v>
      </c>
    </row>
    <row r="810" spans="1:3" x14ac:dyDescent="0.35">
      <c r="A810" s="24" t="str">
        <f t="shared" si="13"/>
        <v>sh</v>
      </c>
      <c r="B810" s="24" t="s">
        <v>5104</v>
      </c>
      <c r="C810" s="24" t="str">
        <f t="shared" si="12"/>
        <v>'600777.SS'</v>
      </c>
    </row>
    <row r="811" spans="1:3" x14ac:dyDescent="0.35">
      <c r="A811" s="24" t="str">
        <f t="shared" si="13"/>
        <v>sz</v>
      </c>
      <c r="B811" s="24" t="s">
        <v>5105</v>
      </c>
      <c r="C811" s="24" t="str">
        <f t="shared" si="12"/>
        <v>'000626.SZ'</v>
      </c>
    </row>
    <row r="812" spans="1:3" x14ac:dyDescent="0.35">
      <c r="A812" s="24" t="str">
        <f t="shared" si="13"/>
        <v>sh</v>
      </c>
      <c r="B812" s="24" t="s">
        <v>5106</v>
      </c>
      <c r="C812" s="24" t="str">
        <f t="shared" si="12"/>
        <v>'600511.SS'</v>
      </c>
    </row>
    <row r="813" spans="1:3" x14ac:dyDescent="0.35">
      <c r="A813" s="24" t="str">
        <f t="shared" si="13"/>
        <v>sz</v>
      </c>
      <c r="B813" s="24" t="s">
        <v>5107</v>
      </c>
      <c r="C813" s="24" t="str">
        <f t="shared" si="12"/>
        <v>'300158.SZ'</v>
      </c>
    </row>
    <row r="814" spans="1:3" x14ac:dyDescent="0.35">
      <c r="A814" s="24" t="str">
        <f t="shared" si="13"/>
        <v>sz</v>
      </c>
      <c r="B814" s="24" t="s">
        <v>5108</v>
      </c>
      <c r="C814" s="24" t="str">
        <f t="shared" si="12"/>
        <v>'000822.SZ'</v>
      </c>
    </row>
    <row r="815" spans="1:3" x14ac:dyDescent="0.35">
      <c r="A815" s="24" t="str">
        <f t="shared" si="13"/>
        <v>sh</v>
      </c>
      <c r="B815" s="24" t="s">
        <v>5109</v>
      </c>
      <c r="C815" s="24" t="str">
        <f t="shared" si="12"/>
        <v>'600078.SS'</v>
      </c>
    </row>
    <row r="816" spans="1:3" x14ac:dyDescent="0.35">
      <c r="A816" s="24" t="str">
        <f t="shared" si="13"/>
        <v>sz</v>
      </c>
      <c r="B816" s="24" t="s">
        <v>5110</v>
      </c>
      <c r="C816" s="24" t="str">
        <f t="shared" si="12"/>
        <v>'002758.SZ'</v>
      </c>
    </row>
    <row r="817" spans="1:3" x14ac:dyDescent="0.35">
      <c r="A817" s="24" t="str">
        <f t="shared" si="13"/>
        <v>sh</v>
      </c>
      <c r="B817" s="24" t="s">
        <v>5111</v>
      </c>
      <c r="C817" s="24" t="str">
        <f t="shared" si="12"/>
        <v>'601117.SS'</v>
      </c>
    </row>
    <row r="818" spans="1:3" x14ac:dyDescent="0.35">
      <c r="A818" s="24" t="str">
        <f t="shared" si="13"/>
        <v>sz</v>
      </c>
      <c r="B818" s="24" t="s">
        <v>5112</v>
      </c>
      <c r="C818" s="24" t="str">
        <f t="shared" si="12"/>
        <v>'000707.SZ'</v>
      </c>
    </row>
    <row r="819" spans="1:3" x14ac:dyDescent="0.35">
      <c r="A819" s="24" t="str">
        <f t="shared" si="13"/>
        <v>sh</v>
      </c>
      <c r="B819" s="24" t="s">
        <v>5113</v>
      </c>
      <c r="C819" s="24" t="str">
        <f t="shared" si="12"/>
        <v>'600846.SS'</v>
      </c>
    </row>
    <row r="820" spans="1:3" x14ac:dyDescent="0.35">
      <c r="A820" s="24" t="str">
        <f t="shared" si="13"/>
        <v>sz</v>
      </c>
      <c r="B820" s="24" t="s">
        <v>5114</v>
      </c>
      <c r="C820" s="24" t="str">
        <f t="shared" si="12"/>
        <v>'002756.SZ'</v>
      </c>
    </row>
    <row r="821" spans="1:3" x14ac:dyDescent="0.35">
      <c r="A821" s="24" t="str">
        <f t="shared" si="13"/>
        <v>sz</v>
      </c>
      <c r="B821" s="24" t="s">
        <v>5115</v>
      </c>
      <c r="C821" s="24" t="str">
        <f t="shared" si="12"/>
        <v>'002164.SZ'</v>
      </c>
    </row>
    <row r="822" spans="1:3" x14ac:dyDescent="0.35">
      <c r="A822" s="24" t="str">
        <f t="shared" si="13"/>
        <v>sh</v>
      </c>
      <c r="B822" s="24" t="s">
        <v>5116</v>
      </c>
      <c r="C822" s="24" t="str">
        <f t="shared" si="12"/>
        <v>'600389.SS'</v>
      </c>
    </row>
    <row r="823" spans="1:3" x14ac:dyDescent="0.35">
      <c r="A823" s="24" t="str">
        <f t="shared" si="13"/>
        <v>sz</v>
      </c>
      <c r="B823" s="24" t="s">
        <v>5117</v>
      </c>
      <c r="C823" s="24" t="str">
        <f t="shared" si="12"/>
        <v>'002240.SZ'</v>
      </c>
    </row>
    <row r="824" spans="1:3" x14ac:dyDescent="0.35">
      <c r="A824" s="24" t="str">
        <f t="shared" si="13"/>
        <v>sh</v>
      </c>
      <c r="B824" s="24" t="s">
        <v>5118</v>
      </c>
      <c r="C824" s="24" t="str">
        <f t="shared" si="12"/>
        <v>'600820.SS'</v>
      </c>
    </row>
    <row r="825" spans="1:3" x14ac:dyDescent="0.35">
      <c r="A825" s="24" t="str">
        <f t="shared" si="13"/>
        <v>sz</v>
      </c>
      <c r="B825" s="24" t="s">
        <v>5119</v>
      </c>
      <c r="C825" s="24" t="str">
        <f t="shared" si="12"/>
        <v>'000404.SZ'</v>
      </c>
    </row>
    <row r="826" spans="1:3" x14ac:dyDescent="0.35">
      <c r="A826" s="24" t="str">
        <f t="shared" si="13"/>
        <v>sz</v>
      </c>
      <c r="B826" s="24" t="s">
        <v>5120</v>
      </c>
      <c r="C826" s="24" t="str">
        <f t="shared" si="12"/>
        <v>'000792.SZ'</v>
      </c>
    </row>
    <row r="827" spans="1:3" x14ac:dyDescent="0.35">
      <c r="A827" s="24" t="str">
        <f t="shared" si="13"/>
        <v>sz</v>
      </c>
      <c r="B827" s="24" t="s">
        <v>5121</v>
      </c>
      <c r="C827" s="24" t="str">
        <f t="shared" si="12"/>
        <v>'002460.SZ'</v>
      </c>
    </row>
    <row r="828" spans="1:3" x14ac:dyDescent="0.35">
      <c r="A828" s="24" t="str">
        <f t="shared" si="13"/>
        <v>sh</v>
      </c>
      <c r="B828" s="24" t="s">
        <v>5122</v>
      </c>
      <c r="C828" s="24" t="str">
        <f t="shared" si="12"/>
        <v>'600438.SS'</v>
      </c>
    </row>
    <row r="829" spans="1:3" x14ac:dyDescent="0.35">
      <c r="A829" s="24" t="str">
        <f t="shared" si="13"/>
        <v>sh</v>
      </c>
      <c r="B829" s="24" t="s">
        <v>5123</v>
      </c>
      <c r="C829" s="24" t="str">
        <f t="shared" si="12"/>
        <v>'600113.SS'</v>
      </c>
    </row>
    <row r="830" spans="1:3" x14ac:dyDescent="0.35">
      <c r="A830" s="24" t="str">
        <f t="shared" si="13"/>
        <v>sz</v>
      </c>
      <c r="B830" s="24" t="s">
        <v>5124</v>
      </c>
      <c r="C830" s="24" t="str">
        <f t="shared" si="12"/>
        <v>'300639.SZ'</v>
      </c>
    </row>
    <row r="831" spans="1:3" x14ac:dyDescent="0.35">
      <c r="A831" s="24" t="str">
        <f t="shared" si="13"/>
        <v>sh</v>
      </c>
      <c r="B831" s="24" t="s">
        <v>5125</v>
      </c>
      <c r="C831" s="24" t="str">
        <f t="shared" si="12"/>
        <v>'603565.SS'</v>
      </c>
    </row>
    <row r="832" spans="1:3" x14ac:dyDescent="0.35">
      <c r="A832" s="24" t="str">
        <f t="shared" si="13"/>
        <v>sz</v>
      </c>
      <c r="B832" s="24" t="s">
        <v>5126</v>
      </c>
      <c r="C832" s="24" t="str">
        <f t="shared" si="12"/>
        <v>'002466.SZ'</v>
      </c>
    </row>
    <row r="833" spans="1:3" x14ac:dyDescent="0.35">
      <c r="A833" s="24" t="str">
        <f t="shared" si="13"/>
        <v>sh</v>
      </c>
      <c r="B833" s="24" t="s">
        <v>5127</v>
      </c>
      <c r="C833" s="24" t="str">
        <f t="shared" si="12"/>
        <v>'605399.SS'</v>
      </c>
    </row>
    <row r="834" spans="1:3" x14ac:dyDescent="0.35">
      <c r="A834" s="24" t="str">
        <f t="shared" si="13"/>
        <v>sh</v>
      </c>
      <c r="B834" s="24" t="s">
        <v>5128</v>
      </c>
      <c r="C834" s="24" t="str">
        <f t="shared" si="12"/>
        <v>'601928.SS'</v>
      </c>
    </row>
    <row r="835" spans="1:3" x14ac:dyDescent="0.35">
      <c r="A835" s="24" t="str">
        <f t="shared" si="13"/>
        <v>sh</v>
      </c>
      <c r="B835" s="24" t="s">
        <v>5129</v>
      </c>
      <c r="C835" s="24" t="str">
        <f t="shared" ref="C835:C856" si="14">CONCATENATE("'",B835,IF(A835="sh",".SS'",".SZ'"))</f>
        <v>'600188.SS'</v>
      </c>
    </row>
    <row r="836" spans="1:3" x14ac:dyDescent="0.35">
      <c r="A836" s="24" t="str">
        <f t="shared" si="13"/>
        <v>sz</v>
      </c>
      <c r="B836" s="24" t="s">
        <v>5130</v>
      </c>
      <c r="C836" s="24" t="str">
        <f t="shared" si="14"/>
        <v>'002175.SZ'</v>
      </c>
    </row>
    <row r="837" spans="1:3" x14ac:dyDescent="0.35">
      <c r="A837" s="24" t="str">
        <f t="shared" si="13"/>
        <v>sh</v>
      </c>
      <c r="B837" s="24" t="s">
        <v>5131</v>
      </c>
      <c r="C837" s="24" t="str">
        <f t="shared" si="14"/>
        <v>'600403.SS'</v>
      </c>
    </row>
    <row r="838" spans="1:3" x14ac:dyDescent="0.35">
      <c r="A838" s="24" t="str">
        <f t="shared" si="13"/>
        <v>sh</v>
      </c>
      <c r="B838" s="24" t="s">
        <v>5132</v>
      </c>
      <c r="C838" s="24" t="str">
        <f t="shared" si="14"/>
        <v>'600035.SS'</v>
      </c>
    </row>
    <row r="839" spans="1:3" x14ac:dyDescent="0.35">
      <c r="A839" s="24" t="str">
        <f t="shared" si="13"/>
        <v>sh</v>
      </c>
      <c r="B839" s="24" t="s">
        <v>5133</v>
      </c>
      <c r="C839" s="24" t="str">
        <f t="shared" si="14"/>
        <v>'600596.SS'</v>
      </c>
    </row>
    <row r="840" spans="1:3" x14ac:dyDescent="0.35">
      <c r="A840" s="24" t="str">
        <f t="shared" si="13"/>
        <v>sz</v>
      </c>
      <c r="B840" s="24" t="s">
        <v>5134</v>
      </c>
      <c r="C840" s="24" t="str">
        <f t="shared" si="14"/>
        <v>'002759.SZ'</v>
      </c>
    </row>
    <row r="841" spans="1:3" x14ac:dyDescent="0.35">
      <c r="A841" s="24" t="str">
        <f t="shared" si="13"/>
        <v>sz</v>
      </c>
      <c r="B841" s="24" t="s">
        <v>5135</v>
      </c>
      <c r="C841" s="24" t="str">
        <f t="shared" si="14"/>
        <v>'300256.SZ'</v>
      </c>
    </row>
    <row r="842" spans="1:3" x14ac:dyDescent="0.35">
      <c r="A842" s="24" t="str">
        <f t="shared" si="13"/>
        <v>sh</v>
      </c>
      <c r="B842" s="24" t="s">
        <v>5136</v>
      </c>
      <c r="C842" s="24" t="str">
        <f t="shared" si="14"/>
        <v>'600382.SS'</v>
      </c>
    </row>
    <row r="843" spans="1:3" x14ac:dyDescent="0.35">
      <c r="A843" s="24" t="str">
        <f t="shared" si="13"/>
        <v>sh</v>
      </c>
      <c r="B843" s="24" t="s">
        <v>5137</v>
      </c>
      <c r="C843" s="24" t="str">
        <f t="shared" si="14"/>
        <v>'600104.SS'</v>
      </c>
    </row>
    <row r="844" spans="1:3" x14ac:dyDescent="0.35">
      <c r="A844" s="24" t="str">
        <f t="shared" si="13"/>
        <v>sz</v>
      </c>
      <c r="B844" s="24" t="s">
        <v>5138</v>
      </c>
      <c r="C844" s="24" t="str">
        <f t="shared" si="14"/>
        <v>'300343.SZ'</v>
      </c>
    </row>
    <row r="845" spans="1:3" x14ac:dyDescent="0.35">
      <c r="A845" s="24" t="str">
        <f t="shared" si="13"/>
        <v>sz</v>
      </c>
      <c r="B845" s="24" t="s">
        <v>5139</v>
      </c>
      <c r="C845" s="24" t="str">
        <f t="shared" si="14"/>
        <v>'300773.SZ'</v>
      </c>
    </row>
    <row r="846" spans="1:3" x14ac:dyDescent="0.35">
      <c r="A846" s="24" t="str">
        <f t="shared" si="13"/>
        <v>sh</v>
      </c>
      <c r="B846" s="24" t="s">
        <v>5140</v>
      </c>
      <c r="C846" s="24" t="str">
        <f t="shared" si="14"/>
        <v>'600348.SS'</v>
      </c>
    </row>
    <row r="847" spans="1:3" x14ac:dyDescent="0.35">
      <c r="A847" s="24" t="str">
        <f t="shared" si="13"/>
        <v>sz</v>
      </c>
      <c r="B847" s="24" t="s">
        <v>5141</v>
      </c>
      <c r="C847" s="24" t="str">
        <f t="shared" si="14"/>
        <v>'000848.SZ'</v>
      </c>
    </row>
    <row r="848" spans="1:3" x14ac:dyDescent="0.35">
      <c r="A848" s="24" t="str">
        <f t="shared" si="13"/>
        <v>sh</v>
      </c>
      <c r="B848" s="24" t="s">
        <v>5142</v>
      </c>
      <c r="C848" s="24" t="str">
        <f t="shared" si="14"/>
        <v>'603519.SS'</v>
      </c>
    </row>
    <row r="849" spans="1:3" x14ac:dyDescent="0.35">
      <c r="A849" s="24" t="str">
        <f t="shared" si="13"/>
        <v>sh</v>
      </c>
      <c r="B849" s="24" t="s">
        <v>5143</v>
      </c>
      <c r="C849" s="24" t="str">
        <f t="shared" si="14"/>
        <v>'600284.SS'</v>
      </c>
    </row>
    <row r="850" spans="1:3" x14ac:dyDescent="0.35">
      <c r="A850" s="24" t="str">
        <f t="shared" si="13"/>
        <v>sh</v>
      </c>
      <c r="B850" s="24" t="s">
        <v>5144</v>
      </c>
      <c r="C850" s="24" t="str">
        <f t="shared" si="14"/>
        <v>'603071.SS'</v>
      </c>
    </row>
    <row r="851" spans="1:3" x14ac:dyDescent="0.35">
      <c r="A851" s="24" t="str">
        <f t="shared" si="13"/>
        <v>sh</v>
      </c>
      <c r="B851" s="24" t="s">
        <v>5145</v>
      </c>
      <c r="C851" s="24" t="str">
        <f t="shared" si="14"/>
        <v>'603213.SS'</v>
      </c>
    </row>
    <row r="852" spans="1:3" x14ac:dyDescent="0.35">
      <c r="A852" s="24" t="str">
        <f t="shared" si="13"/>
        <v>sh</v>
      </c>
      <c r="B852" s="24" t="s">
        <v>5146</v>
      </c>
      <c r="C852" s="24" t="str">
        <f t="shared" si="14"/>
        <v>'600518.SS'</v>
      </c>
    </row>
    <row r="853" spans="1:3" x14ac:dyDescent="0.35">
      <c r="A853" s="24" t="str">
        <f t="shared" si="13"/>
        <v>sh</v>
      </c>
      <c r="B853" s="24" t="s">
        <v>5147</v>
      </c>
      <c r="C853" s="24" t="str">
        <f t="shared" si="14"/>
        <v>'600121.SS'</v>
      </c>
    </row>
    <row r="854" spans="1:3" x14ac:dyDescent="0.35">
      <c r="A854" s="24" t="str">
        <f t="shared" si="13"/>
        <v>sz</v>
      </c>
      <c r="B854" s="24" t="s">
        <v>5148</v>
      </c>
      <c r="C854" s="24" t="str">
        <f t="shared" si="14"/>
        <v>'000408.SZ'</v>
      </c>
    </row>
    <row r="855" spans="1:3" x14ac:dyDescent="0.35">
      <c r="A855" s="24" t="str">
        <f t="shared" si="13"/>
        <v>sh</v>
      </c>
      <c r="B855" s="24" t="s">
        <v>5149</v>
      </c>
      <c r="C855" s="24" t="str">
        <f t="shared" si="14"/>
        <v>'600123.SS'</v>
      </c>
    </row>
    <row r="856" spans="1:3" x14ac:dyDescent="0.35">
      <c r="A856" s="24" t="str">
        <f t="shared" si="13"/>
        <v>sh</v>
      </c>
      <c r="B856" s="24" t="s">
        <v>5150</v>
      </c>
      <c r="C856" s="24" t="str">
        <f t="shared" si="14"/>
        <v>'600970.SS'</v>
      </c>
    </row>
    <row r="858" spans="1:3" x14ac:dyDescent="0.35">
      <c r="C858" s="24" t="str">
        <f>ConcatDelim(C2:C856,",")</f>
        <v>'301338.SZ','688322.SS','001316.SZ','002617.SZ','001339.SZ','002247.SZ','605068.SS','300701.SZ','002975.SZ','301212.SZ','603023.SS','688110.SS','301149.SZ','300239.SZ','301270.SZ','002892.SZ','605296.SS','301200.SZ','001238.SZ','600523.SS','601958.SS','300251.SZ','000975.SZ','600211.SS','300548.SZ','002275.SZ','688108.SS','300821.SZ','301234.SZ','300951.SZ','002577.SZ','605580.SS','001266.SZ','301128.SZ','300921.SZ','300887.SZ','000962.SZ','603888.SS','300943.SZ','300853.SZ','001234.SZ','600993.SS','000860.SZ','605339.SS','688291.SS','601975.SS','688080.SS','301349.SZ','002515.SZ','688511.SS','001259.SZ','688045.SS','688292.SS','605198.SS','603099.SS','300768.SZ','000810.SZ','688280.SS','301171.SZ','000913.SZ','002820.SZ','001226.SZ','002597.SZ','301175.SZ','301097.SZ','301056.SZ','603516.SS','688656.SS','300845.SZ','603992.SS','002145.SZ','688626.SS','000519.SZ','300817.SZ','603303.SS','688282.SS','600770.SS','603528.SS','300843.SZ','603160.SS','688020.SS','688058.SS','301023.SZ','002884.SZ','300445.SZ','300570.SZ','300494.SZ','605077.SS','688169.SS','002497.SZ','002749.SZ','688061.SS','002651.SZ','688076.SS','002486.SZ','300654.SZ','688689.SS','600749.SS','300502.SZ','002136.SZ','301298.SZ','301102.SZ','300351.SZ','300451.SZ','002695.SZ','600602.SS','301138.SZ','002362.SZ','688410.SS','600241.SS','605305.SS','301285.SZ','688033.SS','000935.SZ','688310.SS','002148.SZ','688409.SS','601890.SS','688137.SS','002835.SZ','300939.SZ','300888.SZ','603155.SS','688196.SS','300369.SZ','600426.SS','605009.SS','002315.SZ','300333.SZ','301159.SZ','600576.SS','601595.SS','300796.SZ','301181.SZ','301369.SZ','001231.SZ','605080.SS','002978.SZ','688267.SS','301238.SZ','688246.SS','603583.SS','300791.SZ','000893.SZ','301083.SZ','301191.SZ','300770.SZ','300766.SZ','603237.SS','000538.SZ','300993.SZ','603922.SS','301215.SZ','301119.SZ','300819.SZ','300915.SZ','603551.SS','688132.SS','603387.SS','002001.SZ','300667.SZ','000423.SZ','603533.SS','001216.SZ','300360.SZ','300922.SZ','603757.SS','301016.SZ','300378.SZ','688244.SS','600566.SS','600538.SS','300414.SZ','002760.SZ','002580.SZ','688566.SS','002984.SZ','003027.SZ','301282.SZ','301331.SZ','300497.SZ','300294.SZ','300018.SZ','301130.SZ','688030.SS','600557.SS','301218.SZ','688303.SS','002982.SZ','688286.SS','688087.SS','002646.SZ','002833.SZ','300531.SZ','300673.SZ','300397.SZ','301067.SZ','000403.SZ','605028.SS','002354.SZ','300792.SZ','301185.SZ','002033.SZ','300066.SZ','688613.SS','002970.SZ','688981.SS','301300.SZ','002561.SZ','601089.SS','300288.SZ','300527.SZ','688302.SS','002194.SZ','600750.SS','301188.SZ','300642.SZ','688273.SS','002166.SZ','301103.SZ','002609.SZ','603189.SS','301009.SZ','603128.SS','300112.SZ','300109.SZ','301132.SZ','300765.SZ','605398.SS','300928.SZ','002956.SZ','603217.SS','688580.SS','688136.SS','002127.SZ','002755.SZ','688387.SS','301152.SZ','300785.SZ','300825.SZ','001332.SZ','300786.SZ','301136.SZ','300985.SZ','300873.SZ','600616.SS','300365.SZ','605599.SS','603040.SS','300317.SZ','688658.SS','688608.SS','301000.SZ','603599.SS','001212.SZ','002660.SZ','301100.SZ','600226.SS','301121.SZ','301107.SZ','600783.SS','300305.SZ','601969.SS','301019.SZ','688203.SS','002650.SZ','000416.SZ','301077.SZ','002643.SZ','605086.SS','600645.SS','603068.SS','605377.SS','600053.SS','301049.SZ','688687.SS','000513.SZ','300248.SZ','301201.SZ','001331.SZ','688079.SS','300892.SZ','300543.SZ','605259.SS','301092.SZ','003010.SZ','300875.SZ','300448.SZ','688176.SS','300386.SZ','300456.SZ','603199.SS','002405.SZ','603258.SS','688182.SS','002933.SZ','300039.SZ','300660.SZ','605555.SS','002312.SZ','600110.SS','002678.SZ','301389.SZ','688217.SS','002020.SZ','600641.SS','002270.SZ','001217.SZ','605033.SS','300908.SZ','688168.SS','301187.SZ','688265.SS','603187.SS','300935.SZ','600246.SS','002993.SZ','300676.SZ','000997.SZ','688189.SS','688230.SS','688210.SS','600419.SS','300860.SZ','301027.SZ','002152.SZ','300798.SZ','600977.SS','002790.SZ','300105.SZ','605588.SS','300007.SZ','002308.SZ','301222.SZ','002869.SZ','688130.SS','002773.SZ','002825.SZ','300236.SZ','301003.SZ','301163.SZ','301047.SZ','605136.SS','605507.SS','300042.SZ','688163.SS','600868.SS','002332.SZ','603015.SS','600573.SS','002658.SZ','300139.SZ','000729.SZ','603698.SS','688039.SS','002273.SZ','603859.SS','600201.SS','688325.SS','002229.SZ','002705.SZ','600054.SS','300170.SZ','300562.SZ','300429.SZ','300901.SZ','002900.SZ','002495.SZ','603711.SS','300130.SZ','688455.SS','301326.SZ','688115.SS','301205.SZ','688125.SS','301220.SZ','603052.SS','600838.SS','688158.SS','301042.SZ','002819.SZ','301258.SZ','600062.SS','300810.SZ','301006.SZ','603798.SS','603587.SS','002263.SZ','300741.SZ','605090.SS','301248.SZ','603956.SS','000722.SZ','002444.SZ','002297.SZ','603087.SS','300597.SZ','605389.SS','603109.SS','300989.SZ','301127.SZ','000045.SZ','300107.SZ','603102.SS','300801.SZ','301197.SZ','603201.SS','300965.SZ','000888.SZ','688207.SS','003008.SZ','300959.SZ','600730.SS','300246.SZ','000565.SZ','603115.SS','688799.SS','688353.SS','600735.SS','301221.SZ','301086.SZ','603002.SS','002330.SZ','600880.SS','603810.SS','603535.SS','301190.SZ','688228.SS','001210.SZ','600724.SS','000869.SZ','605289.SS','301366.SZ','300683.SZ','688049.SS','301166.SZ','600794.SS','300148.SZ','300081.SZ','300006.SZ','300308.SZ','600640.SS','301135.SZ','688330.SS','300822.SZ','603687.SS','601156.SS','300435.SZ','300315.SZ','600613.SS','300155.SZ','603301.SS','300016.SZ','688175.SS','603106.SS','603010.SS','688227.SS','688767.SS','605018.SS','605180.SS','300183.SZ','603036.SS','688426.SS','301186.SZ','301217.SZ','300002.SZ','603393.SS','603948.SS','688416.SS','301309.SZ','001230.SZ','688335.SS','301227.SZ','300788.SZ','601579.SS','300609.SZ','002174.SZ','603339.SS','301106.SZ','603790.SS','688253.SS','601116.SS','605169.SS','301219.SZ','688275.SS','300818.SZ','300652.SZ','300805.SZ','301318.SZ','600007.SS','301110.SZ','688011.SS','688338.SS','688073.SS','688289.SS','600080.SS','301150.SZ','300771.SZ','003023.SZ','688553.SS','002012.SZ','600679.SS','000429.SZ','601225.SS','300968.SZ','301065.SZ','603168.SS','002461.SZ','605003.SS','003018.SZ','301176.SZ','601388.SS','301115.SZ','301139.SZ','300326.SZ','688332.SS','301265.SZ','002519.SZ','000715.SZ','300306.SZ','603390.SS','300245.SZ','688336.SS','003041.SZ','002962.SZ','301279.SZ','603630.SS','300193.SZ','603999.SS','688312.SS','600380.SS','000859.SZ','300079.SZ','301365.SZ','430139.SZ','600746.SS','301123.SZ','300289.SZ','002649.SZ','300485.SZ','688393.SS','688737.SS','603508.SS','603230.SS','002053.SZ','300641.SZ','603006.SS','002492.SZ','301330.SZ','000676.SZ','301290.SZ','300729.SZ','301206.SZ','688571.SS','002951.SZ','601568.SS','605336.SS','000096.SZ','000529.SZ','603950.SS','300834.SZ','301237.SZ','600866.SS','688550.SS','600135.SS','603079.SS','600398.SS','600859.SS','000886.SZ','688062.SS','001209.SZ','688184.SS','688095.SS','603096.SS','603165.SS','600636.SS','301199.SZ','603579.SS','688317.SS','301356.SZ','600059.SS','002331.SZ','605566.SS','300735.SZ','300154.SZ','000537.SZ','301108.SZ','603163.SS','600229.SS','688172.SS','600179.SS','002038.SZ','688151.SS','688068.SS','301087.SZ','002064.SZ','301088.SZ','002469.SZ','603767.SS','600527.SS','688569.SS','600516.SS','300004.SZ','603556.SS','600825.SS','002108.SZ','601360.SS','300017.SZ','002763.SZ','600814.SS','603758.SS','600618.SS','688069.SS','002173.SZ','301093.SZ','600187.SS','300137.SZ','603041.SS','002181.SZ','300196.SZ','600650.SS','002932.SZ','301148.SZ','000813.SZ','300133.SZ','600271.SS','002252.SZ','601872.SS','002243.SZ','600106.SS','000636.SZ','301196.SZ','300883.SZ','688788.SS','301151.SZ','601218.SS','601515.SS','603077.SS','301061.SZ','688399.SS','600167.SS','605189.SS','600987.SS','301276.SZ','002177.SZ','603590.SS','688075.SS','002100.SZ','601088.SS','300259.SZ','300381.SZ','688298.SS','600252.SS','605577.SS','603511.SS','000631.SZ','600052.SS','000833.SZ','688739.SS','605288.SS','600535.SS','603585.SS','002381.SZ','003016.SZ','600249.SS','600955.SS','001296.SZ','300800.SZ','300695.SZ','300970.SZ','688370.SS','601921.SS','601001.SS','603610.SS','605500.SS','002558.SZ','300976.SZ','000919.SZ','002026.SZ','601616.SS','605177.SS','001218.SZ','002224.SZ','001288.SZ','688606.SS','000655.SZ','002022.SZ','601222.SS','002588.SZ','600830.SS','000557.SZ','605100.SS','600395.SS','002659.SZ','603766.SS','600938.SS','002627.SZ','000690.SZ','603788.SS','688057.SS','300572.SZ','002435.SZ','000731.SZ','601098.SS','000639.SZ','002195.SZ','603586.SS','603095.SS','002432.SZ','000912.SZ','601228.SS','600097.SS','300230.SZ','000036.SZ','002887.SZ','002638.SZ','000088.SZ','000419.SZ','002282.SZ','600633.SS','300983.SZ','002322.SZ','300599.SZ','000099.SZ','600503.SS','600874.SS','300291.SZ','002106.SZ','600018.SS','002109.SZ','601996.SS','600420.SS','000725.SZ','600854.SS','603869.SS','600628.SS','600125.SS','000635.SZ','600568.SS','000828.SZ','001213.SZ','002091.SZ','002772.SZ','600012.SS','601811.SS','601019.SS','000789.SZ','000719.SZ','000923.SZ','603727.SS','603900.SS','601018.SS','002574.SZ','601989.SS','600751.SS','300271.SZ','601188.SS','300981.SZ','002406.SZ','600075.SS','601801.SS','300677.SZ','603116.SS','688459.SS','601326.SS','002393.SZ','000552.SZ','601919.SS','002440.SZ','600037.SS','600219.SS','601000.SS','603003.SS','601101.SS','600585.SS','002582.SZ','600971.SS','601006.SS','002067.SZ','600637.SS','002233.SZ','600373.SS','600997.SS','600676.SS','002382.SZ','000726.SZ','000627.SZ','600126.SS','000623.SZ','600716.SS','601107.SS','600894.SS','600507.SS','600662.SS','000651.SZ','600782.SS','000550.SZ','000523.SZ','002116.SZ','600546.SS','002668.SZ','000928.SZ','000921.SZ','601699.SS','002356.SZ','002030.SZ','300390.SZ','605166.SS','600777.SS','000626.SZ','600511.SS','300158.SZ','000822.SZ','600078.SS','002758.SZ','601117.SS','000707.SZ','600846.SS','002756.SZ','002164.SZ','600389.SS','002240.SZ','600820.SS','000404.SZ','000792.SZ','002460.SZ','600438.SS','600113.SS','300639.SZ','603565.SS','002466.SZ','605399.SS','601928.SS','600188.SS','002175.SZ','600403.SS','600035.SS','600596.SS','002759.SZ','300256.SZ','600382.SS','600104.SS','300343.SZ','300773.SZ','600348.SS','000848.SZ','603519.SS','600284.SS','603071.SS','603213.SS','600518.SS','600121.SS','000408.SZ','600123.SS','600970.SS'</v>
      </c>
    </row>
    <row r="860" spans="1:3" x14ac:dyDescent="0.35">
      <c r="C860" s="24" t="s">
        <v>5151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5E3EF-CEC5-46CC-8AC4-04E22AB32F11}">
  <dimension ref="A1:K2683"/>
  <sheetViews>
    <sheetView workbookViewId="0">
      <selection sqref="A1:K2683"/>
    </sheetView>
  </sheetViews>
  <sheetFormatPr defaultRowHeight="14.5" x14ac:dyDescent="0.35"/>
  <cols>
    <col min="1" max="16384" width="8.7265625" style="24"/>
  </cols>
  <sheetData>
    <row r="1" spans="1:11" x14ac:dyDescent="0.35">
      <c r="A1" s="30" t="s">
        <v>9043</v>
      </c>
      <c r="B1" s="30" t="s">
        <v>9042</v>
      </c>
      <c r="C1" s="30" t="s">
        <v>9041</v>
      </c>
      <c r="D1" s="30" t="s">
        <v>9040</v>
      </c>
      <c r="E1" s="30" t="s">
        <v>9039</v>
      </c>
      <c r="F1" s="30" t="s">
        <v>9038</v>
      </c>
      <c r="G1" s="30" t="s">
        <v>9037</v>
      </c>
      <c r="H1" s="30" t="s">
        <v>9036</v>
      </c>
      <c r="I1" s="30" t="s">
        <v>9035</v>
      </c>
      <c r="J1" s="30" t="s">
        <v>5155</v>
      </c>
      <c r="K1" s="30" t="s">
        <v>9034</v>
      </c>
    </row>
    <row r="2" spans="1:11" x14ac:dyDescent="0.35">
      <c r="A2" s="30" t="s">
        <v>9044</v>
      </c>
      <c r="B2" s="30" t="s">
        <v>9045</v>
      </c>
      <c r="C2" s="32">
        <v>10.33</v>
      </c>
      <c r="D2" s="30">
        <v>0.31</v>
      </c>
      <c r="E2" s="31">
        <v>3.0939999999999999E-2</v>
      </c>
      <c r="F2" s="30">
        <v>212645643</v>
      </c>
      <c r="G2" s="30" t="s">
        <v>5427</v>
      </c>
      <c r="H2" s="30">
        <v>2021</v>
      </c>
      <c r="I2" s="30">
        <v>429098</v>
      </c>
      <c r="J2" s="30" t="s">
        <v>5457</v>
      </c>
      <c r="K2" s="30" t="s">
        <v>5571</v>
      </c>
    </row>
    <row r="3" spans="1:11" x14ac:dyDescent="0.35">
      <c r="A3" s="30" t="s">
        <v>9046</v>
      </c>
      <c r="B3" s="30" t="s">
        <v>9047</v>
      </c>
      <c r="C3" s="32">
        <v>12.58</v>
      </c>
      <c r="D3" s="30">
        <v>-0.04</v>
      </c>
      <c r="E3" s="31">
        <v>-3.1700000000000001E-3</v>
      </c>
      <c r="F3" s="30">
        <v>306890572</v>
      </c>
      <c r="G3" s="30" t="s">
        <v>5427</v>
      </c>
      <c r="H3" s="30"/>
      <c r="I3" s="30">
        <v>60940</v>
      </c>
      <c r="J3" s="30" t="s">
        <v>5431</v>
      </c>
      <c r="K3" s="30" t="s">
        <v>5430</v>
      </c>
    </row>
    <row r="4" spans="1:11" x14ac:dyDescent="0.35">
      <c r="A4" s="30" t="s">
        <v>9048</v>
      </c>
      <c r="B4" s="30" t="s">
        <v>9049</v>
      </c>
      <c r="C4" s="32">
        <v>16.690000000000001</v>
      </c>
      <c r="D4" s="30">
        <v>0.55000000000000004</v>
      </c>
      <c r="E4" s="31">
        <v>3.4079999999999999E-2</v>
      </c>
      <c r="F4" s="30">
        <v>10859222674</v>
      </c>
      <c r="G4" s="30" t="s">
        <v>5427</v>
      </c>
      <c r="H4" s="30"/>
      <c r="I4" s="30">
        <v>26896241</v>
      </c>
      <c r="J4" s="30" t="s">
        <v>5442</v>
      </c>
      <c r="K4" s="30" t="s">
        <v>5749</v>
      </c>
    </row>
    <row r="5" spans="1:11" x14ac:dyDescent="0.35">
      <c r="A5" s="30" t="s">
        <v>9050</v>
      </c>
      <c r="B5" s="30" t="s">
        <v>9051</v>
      </c>
      <c r="C5" s="32">
        <v>2.48</v>
      </c>
      <c r="D5" s="30">
        <v>-0.03</v>
      </c>
      <c r="E5" s="31">
        <v>-1.1950000000000001E-2</v>
      </c>
      <c r="F5" s="30">
        <v>50510728</v>
      </c>
      <c r="G5" s="30" t="s">
        <v>5427</v>
      </c>
      <c r="H5" s="30"/>
      <c r="I5" s="30">
        <v>3447</v>
      </c>
      <c r="J5" s="30" t="s">
        <v>5435</v>
      </c>
      <c r="K5" s="30" t="s">
        <v>6352</v>
      </c>
    </row>
    <row r="6" spans="1:11" x14ac:dyDescent="0.35">
      <c r="A6" s="30" t="s">
        <v>9052</v>
      </c>
      <c r="B6" s="30" t="s">
        <v>9053</v>
      </c>
      <c r="C6" s="32">
        <v>2.6</v>
      </c>
      <c r="D6" s="30">
        <v>0.21</v>
      </c>
      <c r="E6" s="31">
        <v>8.7870000000000004E-2</v>
      </c>
      <c r="F6" s="30">
        <v>74418614</v>
      </c>
      <c r="G6" s="30" t="s">
        <v>5427</v>
      </c>
      <c r="H6" s="30">
        <v>2013</v>
      </c>
      <c r="I6" s="30">
        <v>262704</v>
      </c>
      <c r="J6" s="30" t="s">
        <v>5219</v>
      </c>
      <c r="K6" s="30" t="s">
        <v>5526</v>
      </c>
    </row>
    <row r="7" spans="1:11" x14ac:dyDescent="0.35">
      <c r="A7" s="30" t="s">
        <v>9054</v>
      </c>
      <c r="B7" s="30" t="s">
        <v>9055</v>
      </c>
      <c r="C7" s="32">
        <v>77.760000000000005</v>
      </c>
      <c r="D7" s="30">
        <v>1.44</v>
      </c>
      <c r="E7" s="31">
        <v>1.8870000000000001E-2</v>
      </c>
      <c r="F7" s="30">
        <v>4136795997</v>
      </c>
      <c r="G7" s="30" t="s">
        <v>5427</v>
      </c>
      <c r="H7" s="30"/>
      <c r="I7" s="30">
        <v>225448</v>
      </c>
      <c r="J7" s="30" t="s">
        <v>5457</v>
      </c>
      <c r="K7" s="30" t="s">
        <v>5644</v>
      </c>
    </row>
    <row r="8" spans="1:11" x14ac:dyDescent="0.35">
      <c r="A8" s="30" t="s">
        <v>9056</v>
      </c>
      <c r="B8" s="30" t="s">
        <v>9057</v>
      </c>
      <c r="C8" s="32">
        <v>145.43</v>
      </c>
      <c r="D8" s="30">
        <v>1.1399999999999999</v>
      </c>
      <c r="E8" s="31">
        <v>7.9000000000000008E-3</v>
      </c>
      <c r="F8" s="30">
        <v>2521369356200</v>
      </c>
      <c r="G8" s="30" t="s">
        <v>5427</v>
      </c>
      <c r="H8" s="30">
        <v>1980</v>
      </c>
      <c r="I8" s="30">
        <v>77306657</v>
      </c>
      <c r="J8" s="30" t="s">
        <v>5219</v>
      </c>
      <c r="K8" s="30" t="s">
        <v>7535</v>
      </c>
    </row>
    <row r="9" spans="1:11" x14ac:dyDescent="0.35">
      <c r="A9" s="30" t="s">
        <v>9058</v>
      </c>
      <c r="B9" s="30" t="s">
        <v>9059</v>
      </c>
      <c r="C9" s="32">
        <v>102.21</v>
      </c>
      <c r="D9" s="30">
        <v>0</v>
      </c>
      <c r="E9" s="31">
        <v>0</v>
      </c>
      <c r="F9" s="30">
        <v>2899104678</v>
      </c>
      <c r="G9" s="30" t="s">
        <v>5427</v>
      </c>
      <c r="H9" s="30"/>
      <c r="I9" s="30">
        <v>346819</v>
      </c>
      <c r="J9" s="30" t="s">
        <v>5442</v>
      </c>
      <c r="K9" s="30" t="s">
        <v>9060</v>
      </c>
    </row>
    <row r="10" spans="1:11" x14ac:dyDescent="0.35">
      <c r="A10" s="30" t="s">
        <v>9061</v>
      </c>
      <c r="B10" s="30" t="s">
        <v>9062</v>
      </c>
      <c r="C10" s="32">
        <v>47.96</v>
      </c>
      <c r="D10" s="30">
        <v>0.8</v>
      </c>
      <c r="E10" s="31">
        <v>1.6959999999999999E-2</v>
      </c>
      <c r="F10" s="30">
        <v>3326939638</v>
      </c>
      <c r="G10" s="30" t="s">
        <v>5427</v>
      </c>
      <c r="H10" s="30">
        <v>1994</v>
      </c>
      <c r="I10" s="30">
        <v>422514</v>
      </c>
      <c r="J10" s="30" t="s">
        <v>5435</v>
      </c>
      <c r="K10" s="30" t="s">
        <v>5579</v>
      </c>
    </row>
    <row r="11" spans="1:11" x14ac:dyDescent="0.35">
      <c r="A11" s="30" t="s">
        <v>9063</v>
      </c>
      <c r="B11" s="30" t="s">
        <v>9064</v>
      </c>
      <c r="C11" s="32">
        <v>10.76</v>
      </c>
      <c r="D11" s="30">
        <v>0.23</v>
      </c>
      <c r="E11" s="31">
        <v>2.1839999999999998E-2</v>
      </c>
      <c r="F11" s="30">
        <v>3078440595</v>
      </c>
      <c r="G11" s="30" t="s">
        <v>5515</v>
      </c>
      <c r="H11" s="30">
        <v>2020</v>
      </c>
      <c r="I11" s="30">
        <v>1592833</v>
      </c>
      <c r="J11" s="30" t="s">
        <v>5431</v>
      </c>
      <c r="K11" s="30" t="s">
        <v>8643</v>
      </c>
    </row>
    <row r="12" spans="1:11" x14ac:dyDescent="0.35">
      <c r="A12" s="30" t="s">
        <v>9065</v>
      </c>
      <c r="B12" s="30" t="s">
        <v>9066</v>
      </c>
      <c r="C12" s="32">
        <v>14.58</v>
      </c>
      <c r="D12" s="30">
        <v>0.71</v>
      </c>
      <c r="E12" s="31">
        <v>5.1189999999999999E-2</v>
      </c>
      <c r="F12" s="30">
        <v>3342784404</v>
      </c>
      <c r="G12" s="30" t="s">
        <v>5775</v>
      </c>
      <c r="H12" s="30">
        <v>2020</v>
      </c>
      <c r="I12" s="30">
        <v>1122791</v>
      </c>
      <c r="J12" s="30" t="s">
        <v>5431</v>
      </c>
      <c r="K12" s="30" t="s">
        <v>6409</v>
      </c>
    </row>
    <row r="13" spans="1:11" x14ac:dyDescent="0.35">
      <c r="A13" s="30" t="s">
        <v>9067</v>
      </c>
      <c r="B13" s="30" t="s">
        <v>9068</v>
      </c>
      <c r="C13" s="32">
        <v>10.15</v>
      </c>
      <c r="D13" s="30">
        <v>0</v>
      </c>
      <c r="E13" s="31">
        <v>0</v>
      </c>
      <c r="F13" s="30">
        <v>196225383</v>
      </c>
      <c r="G13" s="30" t="s">
        <v>5427</v>
      </c>
      <c r="H13" s="30">
        <v>2021</v>
      </c>
      <c r="I13" s="30">
        <v>451459</v>
      </c>
      <c r="J13" s="30" t="s">
        <v>5435</v>
      </c>
      <c r="K13" s="30" t="s">
        <v>5482</v>
      </c>
    </row>
    <row r="14" spans="1:11" x14ac:dyDescent="0.35">
      <c r="A14" s="30" t="s">
        <v>9069</v>
      </c>
      <c r="B14" s="30" t="s">
        <v>9070</v>
      </c>
      <c r="C14" s="32">
        <v>113.99</v>
      </c>
      <c r="D14" s="30">
        <v>2.88</v>
      </c>
      <c r="E14" s="31">
        <v>2.5919999999999999E-2</v>
      </c>
      <c r="F14" s="30">
        <v>67983522808</v>
      </c>
      <c r="G14" s="30" t="s">
        <v>5427</v>
      </c>
      <c r="H14" s="30">
        <v>2020</v>
      </c>
      <c r="I14" s="30">
        <v>4046282</v>
      </c>
      <c r="J14" s="30" t="s">
        <v>5442</v>
      </c>
      <c r="K14" s="30" t="s">
        <v>5704</v>
      </c>
    </row>
    <row r="15" spans="1:11" x14ac:dyDescent="0.35">
      <c r="A15" s="30" t="s">
        <v>9071</v>
      </c>
      <c r="B15" s="30" t="s">
        <v>9072</v>
      </c>
      <c r="C15" s="32">
        <v>6.65</v>
      </c>
      <c r="D15" s="30">
        <v>0.08</v>
      </c>
      <c r="E15" s="31">
        <v>1.218E-2</v>
      </c>
      <c r="F15" s="30">
        <v>272153139</v>
      </c>
      <c r="G15" s="30" t="s">
        <v>5427</v>
      </c>
      <c r="H15" s="30">
        <v>2021</v>
      </c>
      <c r="I15" s="30">
        <v>152626</v>
      </c>
      <c r="J15" s="30" t="s">
        <v>5431</v>
      </c>
      <c r="K15" s="30" t="s">
        <v>5430</v>
      </c>
    </row>
    <row r="16" spans="1:11" x14ac:dyDescent="0.35">
      <c r="A16" s="30" t="s">
        <v>9073</v>
      </c>
      <c r="B16" s="30" t="s">
        <v>9074</v>
      </c>
      <c r="C16" s="32">
        <v>3.23</v>
      </c>
      <c r="D16" s="30">
        <v>0.09</v>
      </c>
      <c r="E16" s="31">
        <v>2.8660000000000001E-2</v>
      </c>
      <c r="F16" s="30">
        <v>298435556</v>
      </c>
      <c r="G16" s="30" t="s">
        <v>5427</v>
      </c>
      <c r="H16" s="30">
        <v>2021</v>
      </c>
      <c r="I16" s="30">
        <v>498605</v>
      </c>
      <c r="J16" s="30" t="s">
        <v>5431</v>
      </c>
      <c r="K16" s="30" t="s">
        <v>5430</v>
      </c>
    </row>
    <row r="17" spans="1:11" x14ac:dyDescent="0.35">
      <c r="A17" s="30" t="s">
        <v>9075</v>
      </c>
      <c r="B17" s="30" t="s">
        <v>9076</v>
      </c>
      <c r="C17" s="32">
        <v>11.89</v>
      </c>
      <c r="D17" s="30">
        <v>0.28000000000000003</v>
      </c>
      <c r="E17" s="31">
        <v>2.4119999999999999E-2</v>
      </c>
      <c r="F17" s="30">
        <v>621210600</v>
      </c>
      <c r="G17" s="30" t="s">
        <v>5515</v>
      </c>
      <c r="H17" s="30">
        <v>2020</v>
      </c>
      <c r="I17" s="30">
        <v>101050</v>
      </c>
      <c r="J17" s="30"/>
      <c r="K17" s="30"/>
    </row>
    <row r="18" spans="1:11" x14ac:dyDescent="0.35">
      <c r="A18" s="30" t="s">
        <v>9077</v>
      </c>
      <c r="B18" s="30" t="s">
        <v>9078</v>
      </c>
      <c r="C18" s="32">
        <v>2.9</v>
      </c>
      <c r="D18" s="30">
        <v>-0.11</v>
      </c>
      <c r="E18" s="31">
        <v>-3.6540000000000003E-2</v>
      </c>
      <c r="F18" s="30">
        <v>456750000</v>
      </c>
      <c r="G18" s="30" t="s">
        <v>5515</v>
      </c>
      <c r="H18" s="30"/>
      <c r="I18" s="30">
        <v>702711</v>
      </c>
      <c r="J18" s="30" t="s">
        <v>5431</v>
      </c>
      <c r="K18" s="30" t="s">
        <v>8643</v>
      </c>
    </row>
    <row r="19" spans="1:11" x14ac:dyDescent="0.35">
      <c r="A19" s="30" t="s">
        <v>9079</v>
      </c>
      <c r="B19" s="30" t="s">
        <v>9080</v>
      </c>
      <c r="C19" s="32">
        <v>10.275</v>
      </c>
      <c r="D19" s="30">
        <v>-5.0000000000000001E-3</v>
      </c>
      <c r="E19" s="31">
        <v>-4.8999999999999998E-4</v>
      </c>
      <c r="F19" s="30">
        <v>385312500</v>
      </c>
      <c r="G19" s="30" t="s">
        <v>5427</v>
      </c>
      <c r="H19" s="30">
        <v>2022</v>
      </c>
      <c r="I19" s="30">
        <v>200</v>
      </c>
      <c r="J19" s="30" t="s">
        <v>5457</v>
      </c>
      <c r="K19" s="30" t="s">
        <v>5571</v>
      </c>
    </row>
    <row r="20" spans="1:11" x14ac:dyDescent="0.35">
      <c r="A20" s="30" t="s">
        <v>9081</v>
      </c>
      <c r="B20" s="30" t="s">
        <v>9082</v>
      </c>
      <c r="C20" s="32">
        <v>10.39</v>
      </c>
      <c r="D20" s="30">
        <v>0</v>
      </c>
      <c r="E20" s="31">
        <v>0</v>
      </c>
      <c r="F20" s="30">
        <v>112017188</v>
      </c>
      <c r="G20" s="30" t="s">
        <v>5427</v>
      </c>
      <c r="H20" s="30">
        <v>2022</v>
      </c>
      <c r="I20" s="30">
        <v>60</v>
      </c>
      <c r="J20" s="30" t="s">
        <v>5457</v>
      </c>
      <c r="K20" s="30" t="s">
        <v>5571</v>
      </c>
    </row>
    <row r="21" spans="1:11" x14ac:dyDescent="0.35">
      <c r="A21" s="30" t="s">
        <v>9083</v>
      </c>
      <c r="B21" s="30" t="s">
        <v>9084</v>
      </c>
      <c r="C21" s="32">
        <v>18.93</v>
      </c>
      <c r="D21" s="30">
        <v>-0.1</v>
      </c>
      <c r="E21" s="31">
        <v>-5.2500000000000003E-3</v>
      </c>
      <c r="F21" s="30">
        <v>3065353716</v>
      </c>
      <c r="G21" s="30" t="s">
        <v>5427</v>
      </c>
      <c r="H21" s="30">
        <v>1985</v>
      </c>
      <c r="I21" s="30">
        <v>1246510</v>
      </c>
      <c r="J21" s="30" t="s">
        <v>5431</v>
      </c>
      <c r="K21" s="30" t="s">
        <v>5430</v>
      </c>
    </row>
    <row r="22" spans="1:11" x14ac:dyDescent="0.35">
      <c r="A22" s="30" t="s">
        <v>9085</v>
      </c>
      <c r="B22" s="30" t="s">
        <v>9086</v>
      </c>
      <c r="C22" s="32">
        <v>10.09</v>
      </c>
      <c r="D22" s="30">
        <v>-5.0000000000000001E-3</v>
      </c>
      <c r="E22" s="31">
        <v>-5.0000000000000001E-4</v>
      </c>
      <c r="F22" s="30">
        <v>435131250</v>
      </c>
      <c r="G22" s="30" t="s">
        <v>5427</v>
      </c>
      <c r="H22" s="30">
        <v>2021</v>
      </c>
      <c r="I22" s="30">
        <v>652605</v>
      </c>
      <c r="J22" s="30" t="s">
        <v>5457</v>
      </c>
      <c r="K22" s="30" t="s">
        <v>5571</v>
      </c>
    </row>
    <row r="23" spans="1:11" x14ac:dyDescent="0.35">
      <c r="A23" s="30" t="s">
        <v>9087</v>
      </c>
      <c r="B23" s="30" t="s">
        <v>9088</v>
      </c>
      <c r="C23" s="32">
        <v>10.15</v>
      </c>
      <c r="D23" s="30">
        <v>0.01</v>
      </c>
      <c r="E23" s="31">
        <v>9.8999999999999999E-4</v>
      </c>
      <c r="F23" s="30">
        <v>114238250</v>
      </c>
      <c r="G23" s="30" t="s">
        <v>5427</v>
      </c>
      <c r="H23" s="30">
        <v>2022</v>
      </c>
      <c r="I23" s="30">
        <v>21531</v>
      </c>
      <c r="J23" s="30" t="s">
        <v>5457</v>
      </c>
      <c r="K23" s="30" t="s">
        <v>5571</v>
      </c>
    </row>
    <row r="24" spans="1:11" x14ac:dyDescent="0.35">
      <c r="A24" s="30" t="s">
        <v>9089</v>
      </c>
      <c r="B24" s="30" t="s">
        <v>9090</v>
      </c>
      <c r="C24" s="32">
        <v>1.0900000000000001</v>
      </c>
      <c r="D24" s="30">
        <v>0.05</v>
      </c>
      <c r="E24" s="31">
        <v>4.8079999999999998E-2</v>
      </c>
      <c r="F24" s="30">
        <v>353522515</v>
      </c>
      <c r="G24" s="30" t="s">
        <v>5515</v>
      </c>
      <c r="H24" s="30"/>
      <c r="I24" s="30">
        <v>7557373</v>
      </c>
      <c r="J24" s="30" t="s">
        <v>5431</v>
      </c>
      <c r="K24" s="30" t="s">
        <v>8643</v>
      </c>
    </row>
    <row r="25" spans="1:11" x14ac:dyDescent="0.35">
      <c r="A25" s="30" t="s">
        <v>9091</v>
      </c>
      <c r="B25" s="30" t="s">
        <v>9092</v>
      </c>
      <c r="C25" s="32">
        <v>10.78</v>
      </c>
      <c r="D25" s="30">
        <v>0</v>
      </c>
      <c r="E25" s="31">
        <v>0</v>
      </c>
      <c r="F25" s="30">
        <v>65262120</v>
      </c>
      <c r="G25" s="30" t="s">
        <v>6387</v>
      </c>
      <c r="H25" s="30">
        <v>2021</v>
      </c>
      <c r="I25" s="30">
        <v>505</v>
      </c>
      <c r="J25" s="30" t="s">
        <v>5442</v>
      </c>
      <c r="K25" s="30" t="s">
        <v>5482</v>
      </c>
    </row>
    <row r="26" spans="1:11" x14ac:dyDescent="0.35">
      <c r="A26" s="30" t="s">
        <v>9093</v>
      </c>
      <c r="B26" s="30" t="s">
        <v>9094</v>
      </c>
      <c r="C26" s="32">
        <v>11.84</v>
      </c>
      <c r="D26" s="30">
        <v>0.17</v>
      </c>
      <c r="E26" s="31">
        <v>1.457E-2</v>
      </c>
      <c r="F26" s="30">
        <v>861795084</v>
      </c>
      <c r="G26" s="30" t="s">
        <v>5427</v>
      </c>
      <c r="H26" s="30">
        <v>2020</v>
      </c>
      <c r="I26" s="30">
        <v>585277</v>
      </c>
      <c r="J26" s="30" t="s">
        <v>5219</v>
      </c>
      <c r="K26" s="30" t="s">
        <v>6076</v>
      </c>
    </row>
    <row r="27" spans="1:11" x14ac:dyDescent="0.35">
      <c r="A27" s="30" t="s">
        <v>9095</v>
      </c>
      <c r="B27" s="30" t="s">
        <v>9096</v>
      </c>
      <c r="C27" s="32">
        <v>22.13</v>
      </c>
      <c r="D27" s="30">
        <v>-0.37</v>
      </c>
      <c r="E27" s="31">
        <v>-1.644E-2</v>
      </c>
      <c r="F27" s="30">
        <v>1194110324</v>
      </c>
      <c r="G27" s="30" t="s">
        <v>5427</v>
      </c>
      <c r="H27" s="30">
        <v>2022</v>
      </c>
      <c r="I27" s="30">
        <v>495139</v>
      </c>
      <c r="J27" s="30" t="s">
        <v>5457</v>
      </c>
      <c r="K27" s="30" t="s">
        <v>5634</v>
      </c>
    </row>
    <row r="28" spans="1:11" x14ac:dyDescent="0.35">
      <c r="A28" s="30" t="s">
        <v>9097</v>
      </c>
      <c r="B28" s="30" t="s">
        <v>9098</v>
      </c>
      <c r="C28" s="32">
        <v>9.1300000000000008</v>
      </c>
      <c r="D28" s="30">
        <v>-0.02</v>
      </c>
      <c r="E28" s="31">
        <v>-2.1900000000000001E-3</v>
      </c>
      <c r="F28" s="30">
        <v>178855130</v>
      </c>
      <c r="G28" s="30" t="s">
        <v>5427</v>
      </c>
      <c r="H28" s="30">
        <v>2018</v>
      </c>
      <c r="I28" s="30">
        <v>370126</v>
      </c>
      <c r="J28" s="30" t="s">
        <v>5431</v>
      </c>
      <c r="K28" s="30" t="s">
        <v>5430</v>
      </c>
    </row>
    <row r="29" spans="1:11" x14ac:dyDescent="0.35">
      <c r="A29" s="30" t="s">
        <v>9099</v>
      </c>
      <c r="B29" s="30" t="s">
        <v>9100</v>
      </c>
      <c r="C29" s="32">
        <v>84.06</v>
      </c>
      <c r="D29" s="30">
        <v>0.04</v>
      </c>
      <c r="E29" s="31">
        <v>4.8000000000000001E-4</v>
      </c>
      <c r="F29" s="30">
        <v>7647502495</v>
      </c>
      <c r="G29" s="30" t="s">
        <v>5427</v>
      </c>
      <c r="H29" s="30"/>
      <c r="I29" s="30">
        <v>649968</v>
      </c>
      <c r="J29" s="30" t="s">
        <v>5431</v>
      </c>
      <c r="K29" s="30" t="s">
        <v>5785</v>
      </c>
    </row>
    <row r="30" spans="1:11" x14ac:dyDescent="0.35">
      <c r="A30" s="30" t="s">
        <v>9101</v>
      </c>
      <c r="B30" s="30" t="s">
        <v>9102</v>
      </c>
      <c r="C30" s="32">
        <v>1.24</v>
      </c>
      <c r="D30" s="30">
        <v>0</v>
      </c>
      <c r="E30" s="31">
        <v>0</v>
      </c>
      <c r="F30" s="30">
        <v>50764066</v>
      </c>
      <c r="G30" s="30" t="s">
        <v>5775</v>
      </c>
      <c r="H30" s="30">
        <v>2021</v>
      </c>
      <c r="I30" s="30">
        <v>282336</v>
      </c>
      <c r="J30" s="30" t="s">
        <v>5431</v>
      </c>
      <c r="K30" s="30" t="s">
        <v>6409</v>
      </c>
    </row>
    <row r="31" spans="1:11" x14ac:dyDescent="0.35">
      <c r="A31" s="30" t="s">
        <v>9103</v>
      </c>
      <c r="B31" s="30" t="s">
        <v>9104</v>
      </c>
      <c r="C31" s="32">
        <v>5.04</v>
      </c>
      <c r="D31" s="30">
        <v>0.18</v>
      </c>
      <c r="E31" s="31">
        <v>3.7039999999999997E-2</v>
      </c>
      <c r="F31" s="30">
        <v>90201026</v>
      </c>
      <c r="G31" s="30" t="s">
        <v>5427</v>
      </c>
      <c r="H31" s="30"/>
      <c r="I31" s="30">
        <v>76601</v>
      </c>
      <c r="J31" s="30" t="s">
        <v>5431</v>
      </c>
      <c r="K31" s="30" t="s">
        <v>9105</v>
      </c>
    </row>
    <row r="32" spans="1:11" x14ac:dyDescent="0.35">
      <c r="A32" s="30" t="s">
        <v>9106</v>
      </c>
      <c r="B32" s="30" t="s">
        <v>9107</v>
      </c>
      <c r="C32" s="32">
        <v>2.4900000000000002</v>
      </c>
      <c r="D32" s="30">
        <v>0.01</v>
      </c>
      <c r="E32" s="31">
        <v>4.0299999999999997E-3</v>
      </c>
      <c r="F32" s="30">
        <v>207699610</v>
      </c>
      <c r="G32" s="30" t="s">
        <v>5799</v>
      </c>
      <c r="H32" s="30">
        <v>2016</v>
      </c>
      <c r="I32" s="30">
        <v>50605</v>
      </c>
      <c r="J32" s="30" t="s">
        <v>5431</v>
      </c>
      <c r="K32" s="30" t="s">
        <v>5430</v>
      </c>
    </row>
    <row r="33" spans="1:11" x14ac:dyDescent="0.35">
      <c r="A33" s="30" t="s">
        <v>9108</v>
      </c>
      <c r="B33" s="30" t="s">
        <v>9109</v>
      </c>
      <c r="C33" s="32">
        <v>28.2</v>
      </c>
      <c r="D33" s="30">
        <v>0.27</v>
      </c>
      <c r="E33" s="31">
        <v>9.6699999999999998E-3</v>
      </c>
      <c r="F33" s="30">
        <v>3168950551</v>
      </c>
      <c r="G33" s="30" t="s">
        <v>5427</v>
      </c>
      <c r="H33" s="30"/>
      <c r="I33" s="30">
        <v>598268</v>
      </c>
      <c r="J33" s="30" t="s">
        <v>5219</v>
      </c>
      <c r="K33" s="30" t="s">
        <v>5447</v>
      </c>
    </row>
    <row r="34" spans="1:11" x14ac:dyDescent="0.35">
      <c r="A34" s="30" t="s">
        <v>9110</v>
      </c>
      <c r="B34" s="30" t="s">
        <v>9111</v>
      </c>
      <c r="C34" s="32">
        <v>115.15</v>
      </c>
      <c r="D34" s="30">
        <v>5.2</v>
      </c>
      <c r="E34" s="31">
        <v>4.7289999999999999E-2</v>
      </c>
      <c r="F34" s="30">
        <v>3782518823</v>
      </c>
      <c r="G34" s="30" t="s">
        <v>5427</v>
      </c>
      <c r="H34" s="30">
        <v>2000</v>
      </c>
      <c r="I34" s="30">
        <v>757203</v>
      </c>
      <c r="J34" s="30" t="s">
        <v>5219</v>
      </c>
      <c r="K34" s="30" t="s">
        <v>5644</v>
      </c>
    </row>
    <row r="35" spans="1:11" x14ac:dyDescent="0.35">
      <c r="A35" s="30" t="s">
        <v>9112</v>
      </c>
      <c r="B35" s="30" t="s">
        <v>9113</v>
      </c>
      <c r="C35" s="32">
        <v>32.6</v>
      </c>
      <c r="D35" s="30">
        <v>-0.81</v>
      </c>
      <c r="E35" s="31">
        <v>-2.4240000000000001E-2</v>
      </c>
      <c r="F35" s="30">
        <v>1429636912</v>
      </c>
      <c r="G35" s="30" t="s">
        <v>5427</v>
      </c>
      <c r="H35" s="30">
        <v>2022</v>
      </c>
      <c r="I35" s="30">
        <v>416974</v>
      </c>
      <c r="J35" s="30" t="s">
        <v>5431</v>
      </c>
      <c r="K35" s="30" t="s">
        <v>5430</v>
      </c>
    </row>
    <row r="36" spans="1:11" x14ac:dyDescent="0.35">
      <c r="A36" s="30" t="s">
        <v>9114</v>
      </c>
      <c r="B36" s="30" t="s">
        <v>9115</v>
      </c>
      <c r="C36" s="32">
        <v>12.46</v>
      </c>
      <c r="D36" s="30">
        <v>-0.03</v>
      </c>
      <c r="E36" s="31">
        <v>-2.3999999999999998E-3</v>
      </c>
      <c r="F36" s="30">
        <v>740875674</v>
      </c>
      <c r="G36" s="30" t="s">
        <v>5427</v>
      </c>
      <c r="H36" s="30">
        <v>2017</v>
      </c>
      <c r="I36" s="30">
        <v>736793</v>
      </c>
      <c r="J36" s="30" t="s">
        <v>5219</v>
      </c>
      <c r="K36" s="30" t="s">
        <v>5644</v>
      </c>
    </row>
    <row r="37" spans="1:11" x14ac:dyDescent="0.35">
      <c r="A37" s="30" t="s">
        <v>9116</v>
      </c>
      <c r="B37" s="30" t="s">
        <v>9117</v>
      </c>
      <c r="C37" s="32">
        <v>39.35</v>
      </c>
      <c r="D37" s="30">
        <v>0</v>
      </c>
      <c r="E37" s="31">
        <v>0</v>
      </c>
      <c r="F37" s="30">
        <v>335069972</v>
      </c>
      <c r="G37" s="30" t="s">
        <v>5427</v>
      </c>
      <c r="H37" s="30"/>
      <c r="I37" s="30">
        <v>10190</v>
      </c>
      <c r="J37" s="30" t="s">
        <v>5435</v>
      </c>
      <c r="K37" s="30" t="s">
        <v>5579</v>
      </c>
    </row>
    <row r="38" spans="1:11" x14ac:dyDescent="0.35">
      <c r="A38" s="30" t="s">
        <v>9118</v>
      </c>
      <c r="B38" s="30" t="s">
        <v>9119</v>
      </c>
      <c r="C38" s="32">
        <v>11</v>
      </c>
      <c r="D38" s="30">
        <v>-0.32</v>
      </c>
      <c r="E38" s="31">
        <v>-2.827E-2</v>
      </c>
      <c r="F38" s="30">
        <v>112225091</v>
      </c>
      <c r="G38" s="30" t="s">
        <v>5427</v>
      </c>
      <c r="H38" s="30"/>
      <c r="I38" s="30">
        <v>20549</v>
      </c>
      <c r="J38" s="30" t="s">
        <v>5457</v>
      </c>
      <c r="K38" s="30" t="s">
        <v>5472</v>
      </c>
    </row>
    <row r="39" spans="1:11" x14ac:dyDescent="0.35">
      <c r="A39" s="30" t="s">
        <v>9120</v>
      </c>
      <c r="B39" s="30" t="s">
        <v>9121</v>
      </c>
      <c r="C39" s="32">
        <v>10.15</v>
      </c>
      <c r="D39" s="30">
        <v>-0.02</v>
      </c>
      <c r="E39" s="31">
        <v>-1.97E-3</v>
      </c>
      <c r="F39" s="30">
        <v>629184645</v>
      </c>
      <c r="G39" s="30" t="s">
        <v>5427</v>
      </c>
      <c r="H39" s="30">
        <v>2021</v>
      </c>
      <c r="I39" s="30">
        <v>654549</v>
      </c>
      <c r="J39" s="30" t="s">
        <v>5435</v>
      </c>
      <c r="K39" s="30" t="s">
        <v>5482</v>
      </c>
    </row>
    <row r="40" spans="1:11" x14ac:dyDescent="0.35">
      <c r="A40" s="30" t="s">
        <v>9122</v>
      </c>
      <c r="B40" s="30" t="s">
        <v>9123</v>
      </c>
      <c r="C40" s="32">
        <v>16.97</v>
      </c>
      <c r="D40" s="30">
        <v>7.0000000000000007E-2</v>
      </c>
      <c r="E40" s="31">
        <v>4.1399999999999996E-3</v>
      </c>
      <c r="F40" s="30">
        <v>1131613751</v>
      </c>
      <c r="G40" s="30" t="s">
        <v>5427</v>
      </c>
      <c r="H40" s="30">
        <v>2015</v>
      </c>
      <c r="I40" s="30">
        <v>653690</v>
      </c>
      <c r="J40" s="30" t="s">
        <v>5431</v>
      </c>
      <c r="K40" s="30" t="s">
        <v>9124</v>
      </c>
    </row>
    <row r="41" spans="1:11" x14ac:dyDescent="0.35">
      <c r="A41" s="30" t="s">
        <v>9125</v>
      </c>
      <c r="B41" s="30" t="s">
        <v>9126</v>
      </c>
      <c r="C41" s="32">
        <v>16.399999999999999</v>
      </c>
      <c r="D41" s="30">
        <v>0.2</v>
      </c>
      <c r="E41" s="31">
        <v>1.235E-2</v>
      </c>
      <c r="F41" s="30">
        <v>342511737</v>
      </c>
      <c r="G41" s="30" t="s">
        <v>5427</v>
      </c>
      <c r="H41" s="30">
        <v>2022</v>
      </c>
      <c r="I41" s="30">
        <v>21738</v>
      </c>
      <c r="J41" s="30" t="s">
        <v>5431</v>
      </c>
      <c r="K41" s="30" t="s">
        <v>5685</v>
      </c>
    </row>
    <row r="42" spans="1:11" x14ac:dyDescent="0.35">
      <c r="A42" s="30" t="s">
        <v>9127</v>
      </c>
      <c r="B42" s="30" t="s">
        <v>9128</v>
      </c>
      <c r="C42" s="32">
        <v>24.9</v>
      </c>
      <c r="D42" s="30">
        <v>-0.25</v>
      </c>
      <c r="E42" s="31">
        <v>-9.9399999999999992E-3</v>
      </c>
      <c r="F42" s="30">
        <v>4054781089</v>
      </c>
      <c r="G42" s="30" t="s">
        <v>5427</v>
      </c>
      <c r="H42" s="30">
        <v>2021</v>
      </c>
      <c r="I42" s="30">
        <v>193764</v>
      </c>
      <c r="J42" s="30" t="s">
        <v>5435</v>
      </c>
      <c r="K42" s="30" t="s">
        <v>6066</v>
      </c>
    </row>
    <row r="43" spans="1:11" x14ac:dyDescent="0.35">
      <c r="A43" s="30" t="s">
        <v>9129</v>
      </c>
      <c r="B43" s="30" t="s">
        <v>9130</v>
      </c>
      <c r="C43" s="32">
        <v>4.3600000000000003</v>
      </c>
      <c r="D43" s="30">
        <v>0</v>
      </c>
      <c r="E43" s="31">
        <v>0</v>
      </c>
      <c r="F43" s="30">
        <v>189835603</v>
      </c>
      <c r="G43" s="30" t="s">
        <v>5427</v>
      </c>
      <c r="H43" s="30"/>
      <c r="I43" s="30">
        <v>125062</v>
      </c>
      <c r="J43" s="30" t="s">
        <v>5682</v>
      </c>
      <c r="K43" s="30" t="s">
        <v>5679</v>
      </c>
    </row>
    <row r="44" spans="1:11" x14ac:dyDescent="0.35">
      <c r="A44" s="30" t="s">
        <v>9131</v>
      </c>
      <c r="B44" s="30" t="s">
        <v>9132</v>
      </c>
      <c r="C44" s="32">
        <v>10.29</v>
      </c>
      <c r="D44" s="30">
        <v>0.49</v>
      </c>
      <c r="E44" s="31">
        <v>0.05</v>
      </c>
      <c r="F44" s="30">
        <v>1628029623</v>
      </c>
      <c r="G44" s="30" t="s">
        <v>5427</v>
      </c>
      <c r="H44" s="30">
        <v>2021</v>
      </c>
      <c r="I44" s="30">
        <v>1322443</v>
      </c>
      <c r="J44" s="30" t="s">
        <v>5457</v>
      </c>
      <c r="K44" s="30" t="s">
        <v>5634</v>
      </c>
    </row>
    <row r="45" spans="1:11" x14ac:dyDescent="0.35">
      <c r="A45" s="30" t="s">
        <v>9133</v>
      </c>
      <c r="B45" s="30" t="s">
        <v>9134</v>
      </c>
      <c r="C45" s="32">
        <v>10.35</v>
      </c>
      <c r="D45" s="30">
        <v>0</v>
      </c>
      <c r="E45" s="31">
        <v>0</v>
      </c>
      <c r="F45" s="30">
        <v>312440625</v>
      </c>
      <c r="G45" s="30" t="s">
        <v>5427</v>
      </c>
      <c r="H45" s="30">
        <v>2021</v>
      </c>
      <c r="I45" s="30">
        <v>4644</v>
      </c>
      <c r="J45" s="30" t="s">
        <v>5435</v>
      </c>
      <c r="K45" s="30" t="s">
        <v>5482</v>
      </c>
    </row>
    <row r="46" spans="1:11" x14ac:dyDescent="0.35">
      <c r="A46" s="30" t="s">
        <v>9135</v>
      </c>
      <c r="B46" s="30" t="s">
        <v>9136</v>
      </c>
      <c r="C46" s="32">
        <v>1.74</v>
      </c>
      <c r="D46" s="30">
        <v>-0.13</v>
      </c>
      <c r="E46" s="31">
        <v>-6.9519999999999998E-2</v>
      </c>
      <c r="F46" s="30">
        <v>285062491</v>
      </c>
      <c r="G46" s="30" t="s">
        <v>5775</v>
      </c>
      <c r="H46" s="30">
        <v>2015</v>
      </c>
      <c r="I46" s="30">
        <v>234178</v>
      </c>
      <c r="J46" s="30" t="s">
        <v>5431</v>
      </c>
      <c r="K46" s="30" t="s">
        <v>6409</v>
      </c>
    </row>
    <row r="47" spans="1:11" x14ac:dyDescent="0.35">
      <c r="A47" s="30" t="s">
        <v>9137</v>
      </c>
      <c r="B47" s="30" t="s">
        <v>9138</v>
      </c>
      <c r="C47" s="32">
        <v>383.92</v>
      </c>
      <c r="D47" s="30">
        <v>13.58</v>
      </c>
      <c r="E47" s="31">
        <v>3.6670000000000001E-2</v>
      </c>
      <c r="F47" s="30">
        <v>175758576000</v>
      </c>
      <c r="G47" s="30" t="s">
        <v>5427</v>
      </c>
      <c r="H47" s="30">
        <v>1986</v>
      </c>
      <c r="I47" s="30">
        <v>3357750</v>
      </c>
      <c r="J47" s="30" t="s">
        <v>5219</v>
      </c>
      <c r="K47" s="30" t="s">
        <v>5560</v>
      </c>
    </row>
    <row r="48" spans="1:11" x14ac:dyDescent="0.35">
      <c r="A48" s="30" t="s">
        <v>9139</v>
      </c>
      <c r="B48" s="30" t="s">
        <v>9140</v>
      </c>
      <c r="C48" s="32">
        <v>11.22</v>
      </c>
      <c r="D48" s="30">
        <v>0.27</v>
      </c>
      <c r="E48" s="31">
        <v>2.4660000000000001E-2</v>
      </c>
      <c r="F48" s="30">
        <v>1178762866</v>
      </c>
      <c r="G48" s="30" t="s">
        <v>5427</v>
      </c>
      <c r="H48" s="30">
        <v>2003</v>
      </c>
      <c r="I48" s="30">
        <v>705084</v>
      </c>
      <c r="J48" s="30" t="s">
        <v>5219</v>
      </c>
      <c r="K48" s="30" t="s">
        <v>5447</v>
      </c>
    </row>
    <row r="49" spans="1:11" x14ac:dyDescent="0.35">
      <c r="A49" s="30" t="s">
        <v>9141</v>
      </c>
      <c r="B49" s="30" t="s">
        <v>9142</v>
      </c>
      <c r="C49" s="32">
        <v>10.210000000000001</v>
      </c>
      <c r="D49" s="30">
        <v>0.05</v>
      </c>
      <c r="E49" s="31">
        <v>4.9199999999999999E-3</v>
      </c>
      <c r="F49" s="30">
        <v>350968750</v>
      </c>
      <c r="G49" s="30" t="s">
        <v>5427</v>
      </c>
      <c r="H49" s="30">
        <v>2021</v>
      </c>
      <c r="I49" s="30">
        <v>10965</v>
      </c>
      <c r="J49" s="30" t="s">
        <v>5457</v>
      </c>
      <c r="K49" s="30" t="s">
        <v>5571</v>
      </c>
    </row>
    <row r="50" spans="1:11" x14ac:dyDescent="0.35">
      <c r="A50" s="30" t="s">
        <v>9143</v>
      </c>
      <c r="B50" s="30" t="s">
        <v>9144</v>
      </c>
      <c r="C50" s="32">
        <v>3.26</v>
      </c>
      <c r="D50" s="30">
        <v>0.16</v>
      </c>
      <c r="E50" s="31">
        <v>5.1610000000000003E-2</v>
      </c>
      <c r="F50" s="30">
        <v>62301567</v>
      </c>
      <c r="G50" s="30" t="s">
        <v>5427</v>
      </c>
      <c r="H50" s="30"/>
      <c r="I50" s="30">
        <v>211905</v>
      </c>
      <c r="J50" s="30" t="s">
        <v>5457</v>
      </c>
      <c r="K50" s="30" t="s">
        <v>5438</v>
      </c>
    </row>
    <row r="51" spans="1:11" x14ac:dyDescent="0.35">
      <c r="A51" s="30" t="s">
        <v>9145</v>
      </c>
      <c r="B51" s="30" t="s">
        <v>9146</v>
      </c>
      <c r="C51" s="32">
        <v>176.59</v>
      </c>
      <c r="D51" s="30">
        <v>5.12</v>
      </c>
      <c r="E51" s="31">
        <v>2.9860000000000001E-2</v>
      </c>
      <c r="F51" s="30">
        <v>89419846161</v>
      </c>
      <c r="G51" s="30" t="s">
        <v>5427</v>
      </c>
      <c r="H51" s="30"/>
      <c r="I51" s="30">
        <v>4197475</v>
      </c>
      <c r="J51" s="30" t="s">
        <v>5219</v>
      </c>
      <c r="K51" s="30" t="s">
        <v>5526</v>
      </c>
    </row>
    <row r="52" spans="1:11" x14ac:dyDescent="0.35">
      <c r="A52" s="30" t="s">
        <v>9147</v>
      </c>
      <c r="B52" s="30" t="s">
        <v>9148</v>
      </c>
      <c r="C52" s="32">
        <v>3.77</v>
      </c>
      <c r="D52" s="30">
        <v>0.08</v>
      </c>
      <c r="E52" s="31">
        <v>2.1680000000000001E-2</v>
      </c>
      <c r="F52" s="30">
        <v>832804992</v>
      </c>
      <c r="G52" s="30" t="s">
        <v>5427</v>
      </c>
      <c r="H52" s="30"/>
      <c r="I52" s="30">
        <v>3264896</v>
      </c>
      <c r="J52" s="30" t="s">
        <v>5431</v>
      </c>
      <c r="K52" s="30" t="s">
        <v>5430</v>
      </c>
    </row>
    <row r="53" spans="1:11" x14ac:dyDescent="0.35">
      <c r="A53" s="30" t="s">
        <v>9149</v>
      </c>
      <c r="B53" s="30" t="s">
        <v>9150</v>
      </c>
      <c r="C53" s="32">
        <v>10.69</v>
      </c>
      <c r="D53" s="30">
        <v>0</v>
      </c>
      <c r="E53" s="31">
        <v>0</v>
      </c>
      <c r="F53" s="30">
        <v>51639381</v>
      </c>
      <c r="G53" s="30" t="s">
        <v>5427</v>
      </c>
      <c r="H53" s="30">
        <v>2020</v>
      </c>
      <c r="I53" s="30">
        <v>1433</v>
      </c>
      <c r="J53" s="30" t="s">
        <v>5431</v>
      </c>
      <c r="K53" s="30" t="s">
        <v>6409</v>
      </c>
    </row>
    <row r="54" spans="1:11" x14ac:dyDescent="0.35">
      <c r="A54" s="30" t="s">
        <v>9151</v>
      </c>
      <c r="B54" s="30" t="s">
        <v>9152</v>
      </c>
      <c r="C54" s="32">
        <v>226.73</v>
      </c>
      <c r="D54" s="30">
        <v>0.92</v>
      </c>
      <c r="E54" s="31">
        <v>4.0699999999999998E-3</v>
      </c>
      <c r="F54" s="30">
        <v>93956912000</v>
      </c>
      <c r="G54" s="30" t="s">
        <v>5427</v>
      </c>
      <c r="H54" s="30"/>
      <c r="I54" s="30">
        <v>1979978</v>
      </c>
      <c r="J54" s="30" t="s">
        <v>5442</v>
      </c>
      <c r="K54" s="30" t="s">
        <v>5482</v>
      </c>
    </row>
    <row r="55" spans="1:11" x14ac:dyDescent="0.35">
      <c r="A55" s="30" t="s">
        <v>9153</v>
      </c>
      <c r="B55" s="30" t="s">
        <v>9154</v>
      </c>
      <c r="C55" s="32">
        <v>9.3800000000000008</v>
      </c>
      <c r="D55" s="30">
        <v>0.11</v>
      </c>
      <c r="E55" s="31">
        <v>1.187E-2</v>
      </c>
      <c r="F55" s="30">
        <v>1341454033</v>
      </c>
      <c r="G55" s="30" t="s">
        <v>5427</v>
      </c>
      <c r="H55" s="30">
        <v>2019</v>
      </c>
      <c r="I55" s="30">
        <v>1000829</v>
      </c>
      <c r="J55" s="30" t="s">
        <v>5431</v>
      </c>
      <c r="K55" s="30" t="s">
        <v>6409</v>
      </c>
    </row>
    <row r="56" spans="1:11" x14ac:dyDescent="0.35">
      <c r="A56" s="30" t="s">
        <v>9155</v>
      </c>
      <c r="B56" s="30" t="s">
        <v>9156</v>
      </c>
      <c r="C56" s="32">
        <v>3.15</v>
      </c>
      <c r="D56" s="30">
        <v>0.15</v>
      </c>
      <c r="E56" s="31">
        <v>0.05</v>
      </c>
      <c r="F56" s="30">
        <v>153744879</v>
      </c>
      <c r="G56" s="30" t="s">
        <v>5512</v>
      </c>
      <c r="H56" s="30"/>
      <c r="I56" s="30">
        <v>14102</v>
      </c>
      <c r="J56" s="30" t="s">
        <v>5442</v>
      </c>
      <c r="K56" s="30" t="s">
        <v>5438</v>
      </c>
    </row>
    <row r="57" spans="1:11" x14ac:dyDescent="0.35">
      <c r="A57" s="30" t="s">
        <v>9157</v>
      </c>
      <c r="B57" s="30" t="s">
        <v>9158</v>
      </c>
      <c r="C57" s="32">
        <v>222.19</v>
      </c>
      <c r="D57" s="30">
        <v>7.03</v>
      </c>
      <c r="E57" s="31">
        <v>3.2669999999999998E-2</v>
      </c>
      <c r="F57" s="30">
        <v>47941379492</v>
      </c>
      <c r="G57" s="30" t="s">
        <v>5427</v>
      </c>
      <c r="H57" s="30"/>
      <c r="I57" s="30">
        <v>1313736</v>
      </c>
      <c r="J57" s="30" t="s">
        <v>5219</v>
      </c>
      <c r="K57" s="30" t="s">
        <v>5560</v>
      </c>
    </row>
    <row r="58" spans="1:11" x14ac:dyDescent="0.35">
      <c r="A58" s="30" t="s">
        <v>9159</v>
      </c>
      <c r="B58" s="30" t="s">
        <v>9160</v>
      </c>
      <c r="C58" s="32">
        <v>1.82</v>
      </c>
      <c r="D58" s="30">
        <v>0.08</v>
      </c>
      <c r="E58" s="31">
        <v>4.598E-2</v>
      </c>
      <c r="F58" s="30">
        <v>158162253</v>
      </c>
      <c r="G58" s="30" t="s">
        <v>5427</v>
      </c>
      <c r="H58" s="30">
        <v>2021</v>
      </c>
      <c r="I58" s="30">
        <v>151150</v>
      </c>
      <c r="J58" s="30" t="s">
        <v>5442</v>
      </c>
      <c r="K58" s="30" t="s">
        <v>5856</v>
      </c>
    </row>
    <row r="59" spans="1:11" x14ac:dyDescent="0.35">
      <c r="A59" s="30" t="s">
        <v>9161</v>
      </c>
      <c r="B59" s="30" t="s">
        <v>9162</v>
      </c>
      <c r="C59" s="32">
        <v>18.399999999999999</v>
      </c>
      <c r="D59" s="30">
        <v>-0.47</v>
      </c>
      <c r="E59" s="31">
        <v>-2.4910000000000002E-2</v>
      </c>
      <c r="F59" s="30">
        <v>1436773476</v>
      </c>
      <c r="G59" s="30" t="s">
        <v>5427</v>
      </c>
      <c r="H59" s="30">
        <v>1994</v>
      </c>
      <c r="I59" s="30">
        <v>715883</v>
      </c>
      <c r="J59" s="30" t="s">
        <v>5732</v>
      </c>
      <c r="K59" s="30" t="s">
        <v>5520</v>
      </c>
    </row>
    <row r="60" spans="1:11" x14ac:dyDescent="0.35">
      <c r="A60" s="30" t="s">
        <v>9163</v>
      </c>
      <c r="B60" s="30" t="s">
        <v>9164</v>
      </c>
      <c r="C60" s="32">
        <v>108.65</v>
      </c>
      <c r="D60" s="30">
        <v>1.1299999999999999</v>
      </c>
      <c r="E60" s="31">
        <v>1.051E-2</v>
      </c>
      <c r="F60" s="30">
        <v>1750391049</v>
      </c>
      <c r="G60" s="30" t="s">
        <v>5427</v>
      </c>
      <c r="H60" s="30">
        <v>2009</v>
      </c>
      <c r="I60" s="30">
        <v>79961</v>
      </c>
      <c r="J60" s="30" t="s">
        <v>5431</v>
      </c>
      <c r="K60" s="30" t="s">
        <v>5980</v>
      </c>
    </row>
    <row r="61" spans="1:11" x14ac:dyDescent="0.35">
      <c r="A61" s="30" t="s">
        <v>9165</v>
      </c>
      <c r="B61" s="30" t="s">
        <v>9166</v>
      </c>
      <c r="C61" s="32">
        <v>2.65</v>
      </c>
      <c r="D61" s="30">
        <v>0.06</v>
      </c>
      <c r="E61" s="31">
        <v>2.317E-2</v>
      </c>
      <c r="F61" s="30">
        <v>847163824</v>
      </c>
      <c r="G61" s="30" t="s">
        <v>5427</v>
      </c>
      <c r="H61" s="30">
        <v>2019</v>
      </c>
      <c r="I61" s="30">
        <v>357056</v>
      </c>
      <c r="J61" s="30" t="s">
        <v>5442</v>
      </c>
      <c r="K61" s="30" t="s">
        <v>5856</v>
      </c>
    </row>
    <row r="62" spans="1:11" x14ac:dyDescent="0.35">
      <c r="A62" s="30" t="s">
        <v>9167</v>
      </c>
      <c r="B62" s="30" t="s">
        <v>9168</v>
      </c>
      <c r="C62" s="32">
        <v>0.67130000000000001</v>
      </c>
      <c r="D62" s="30">
        <v>2.0199999999999999E-2</v>
      </c>
      <c r="E62" s="31">
        <v>3.1019999999999999E-2</v>
      </c>
      <c r="F62" s="30">
        <v>66948094</v>
      </c>
      <c r="G62" s="30" t="s">
        <v>5427</v>
      </c>
      <c r="H62" s="30">
        <v>2014</v>
      </c>
      <c r="I62" s="30">
        <v>88607</v>
      </c>
      <c r="J62" s="30" t="s">
        <v>5431</v>
      </c>
      <c r="K62" s="30" t="s">
        <v>5430</v>
      </c>
    </row>
    <row r="63" spans="1:11" x14ac:dyDescent="0.35">
      <c r="A63" s="30" t="s">
        <v>9169</v>
      </c>
      <c r="B63" s="30" t="s">
        <v>9170</v>
      </c>
      <c r="C63" s="32">
        <v>10.28</v>
      </c>
      <c r="D63" s="30">
        <v>0</v>
      </c>
      <c r="E63" s="31">
        <v>0</v>
      </c>
      <c r="F63" s="30">
        <v>295550000</v>
      </c>
      <c r="G63" s="30" t="s">
        <v>5427</v>
      </c>
      <c r="H63" s="30">
        <v>2021</v>
      </c>
      <c r="I63" s="30">
        <v>3</v>
      </c>
      <c r="J63" s="30" t="s">
        <v>5457</v>
      </c>
      <c r="K63" s="30" t="s">
        <v>5571</v>
      </c>
    </row>
    <row r="64" spans="1:11" x14ac:dyDescent="0.35">
      <c r="A64" s="30" t="s">
        <v>9171</v>
      </c>
      <c r="B64" s="30" t="s">
        <v>9172</v>
      </c>
      <c r="C64" s="32">
        <v>10.4512</v>
      </c>
      <c r="D64" s="30">
        <v>8.1199999999999994E-2</v>
      </c>
      <c r="E64" s="31">
        <v>7.8300000000000002E-3</v>
      </c>
      <c r="F64" s="30">
        <v>138217120</v>
      </c>
      <c r="G64" s="30" t="s">
        <v>5427</v>
      </c>
      <c r="H64" s="30">
        <v>2021</v>
      </c>
      <c r="I64" s="30">
        <v>30290</v>
      </c>
      <c r="J64" s="30" t="s">
        <v>5457</v>
      </c>
      <c r="K64" s="30" t="s">
        <v>5571</v>
      </c>
    </row>
    <row r="65" spans="1:11" x14ac:dyDescent="0.35">
      <c r="A65" s="30" t="s">
        <v>9173</v>
      </c>
      <c r="B65" s="30" t="s">
        <v>9174</v>
      </c>
      <c r="C65" s="32">
        <v>34.49</v>
      </c>
      <c r="D65" s="30">
        <v>-0.47</v>
      </c>
      <c r="E65" s="31">
        <v>-1.3440000000000001E-2</v>
      </c>
      <c r="F65" s="30">
        <v>957423258</v>
      </c>
      <c r="G65" s="30" t="s">
        <v>5427</v>
      </c>
      <c r="H65" s="30">
        <v>1997</v>
      </c>
      <c r="I65" s="30">
        <v>2017800</v>
      </c>
      <c r="J65" s="30" t="s">
        <v>5457</v>
      </c>
      <c r="K65" s="30" t="s">
        <v>5647</v>
      </c>
    </row>
    <row r="66" spans="1:11" x14ac:dyDescent="0.35">
      <c r="A66" s="30" t="s">
        <v>9175</v>
      </c>
      <c r="B66" s="30" t="s">
        <v>9176</v>
      </c>
      <c r="C66" s="32">
        <v>98.11</v>
      </c>
      <c r="D66" s="30">
        <v>5.37</v>
      </c>
      <c r="E66" s="31">
        <v>5.79E-2</v>
      </c>
      <c r="F66" s="30">
        <v>3667657413</v>
      </c>
      <c r="G66" s="30" t="s">
        <v>5427</v>
      </c>
      <c r="H66" s="30">
        <v>1995</v>
      </c>
      <c r="I66" s="30">
        <v>281585</v>
      </c>
      <c r="J66" s="30" t="s">
        <v>5442</v>
      </c>
      <c r="K66" s="30" t="s">
        <v>5647</v>
      </c>
    </row>
    <row r="67" spans="1:11" x14ac:dyDescent="0.35">
      <c r="A67" s="30" t="s">
        <v>9177</v>
      </c>
      <c r="B67" s="30" t="s">
        <v>9178</v>
      </c>
      <c r="C67" s="32">
        <v>94.65</v>
      </c>
      <c r="D67" s="30">
        <v>0.69</v>
      </c>
      <c r="E67" s="31">
        <v>7.3400000000000002E-3</v>
      </c>
      <c r="F67" s="30">
        <v>48637197123</v>
      </c>
      <c r="G67" s="30" t="s">
        <v>5427</v>
      </c>
      <c r="H67" s="30"/>
      <c r="I67" s="30">
        <v>3289848</v>
      </c>
      <c r="J67" s="30" t="s">
        <v>5426</v>
      </c>
      <c r="K67" s="30" t="s">
        <v>6000</v>
      </c>
    </row>
    <row r="68" spans="1:11" x14ac:dyDescent="0.35">
      <c r="A68" s="30" t="s">
        <v>9179</v>
      </c>
      <c r="B68" s="30" t="s">
        <v>9180</v>
      </c>
      <c r="C68" s="32">
        <v>5.6</v>
      </c>
      <c r="D68" s="30">
        <v>-0.17</v>
      </c>
      <c r="E68" s="31">
        <v>-2.946E-2</v>
      </c>
      <c r="F68" s="30">
        <v>64448591</v>
      </c>
      <c r="G68" s="30" t="s">
        <v>5427</v>
      </c>
      <c r="H68" s="30"/>
      <c r="I68" s="30">
        <v>19290</v>
      </c>
      <c r="J68" s="30" t="s">
        <v>5219</v>
      </c>
      <c r="K68" s="30" t="s">
        <v>5447</v>
      </c>
    </row>
    <row r="69" spans="1:11" x14ac:dyDescent="0.35">
      <c r="A69" s="30" t="s">
        <v>9181</v>
      </c>
      <c r="B69" s="30" t="s">
        <v>9182</v>
      </c>
      <c r="C69" s="32">
        <v>10.32</v>
      </c>
      <c r="D69" s="30">
        <v>0</v>
      </c>
      <c r="E69" s="31">
        <v>0</v>
      </c>
      <c r="F69" s="30">
        <v>149536800</v>
      </c>
      <c r="G69" s="30" t="s">
        <v>5752</v>
      </c>
      <c r="H69" s="30">
        <v>2022</v>
      </c>
      <c r="I69" s="30">
        <v>165768</v>
      </c>
      <c r="J69" s="30" t="s">
        <v>5435</v>
      </c>
      <c r="K69" s="30" t="s">
        <v>5482</v>
      </c>
    </row>
    <row r="70" spans="1:11" x14ac:dyDescent="0.35">
      <c r="A70" s="30" t="s">
        <v>9183</v>
      </c>
      <c r="B70" s="30" t="s">
        <v>9184</v>
      </c>
      <c r="C70" s="32">
        <v>14.8</v>
      </c>
      <c r="D70" s="30">
        <v>0.09</v>
      </c>
      <c r="E70" s="31">
        <v>6.1199999999999996E-3</v>
      </c>
      <c r="F70" s="30">
        <v>98185997</v>
      </c>
      <c r="G70" s="30" t="s">
        <v>5427</v>
      </c>
      <c r="H70" s="30">
        <v>2017</v>
      </c>
      <c r="I70" s="30">
        <v>1419</v>
      </c>
      <c r="J70" s="30" t="s">
        <v>5435</v>
      </c>
      <c r="K70" s="30" t="s">
        <v>5579</v>
      </c>
    </row>
    <row r="71" spans="1:11" x14ac:dyDescent="0.35">
      <c r="A71" s="30" t="s">
        <v>9185</v>
      </c>
      <c r="B71" s="30" t="s">
        <v>9186</v>
      </c>
      <c r="C71" s="32">
        <v>15.69</v>
      </c>
      <c r="D71" s="30">
        <v>-0.01</v>
      </c>
      <c r="E71" s="31">
        <v>-6.4000000000000005E-4</v>
      </c>
      <c r="F71" s="30">
        <v>319511160</v>
      </c>
      <c r="G71" s="30" t="s">
        <v>5427</v>
      </c>
      <c r="H71" s="30">
        <v>2021</v>
      </c>
      <c r="I71" s="30">
        <v>212654</v>
      </c>
      <c r="J71" s="30" t="s">
        <v>5197</v>
      </c>
      <c r="K71" s="30" t="s">
        <v>5467</v>
      </c>
    </row>
    <row r="72" spans="1:11" x14ac:dyDescent="0.35">
      <c r="A72" s="30" t="s">
        <v>9187</v>
      </c>
      <c r="B72" s="30" t="s">
        <v>9188</v>
      </c>
      <c r="C72" s="32">
        <v>1.87</v>
      </c>
      <c r="D72" s="30">
        <v>0.21</v>
      </c>
      <c r="E72" s="31">
        <v>0.12651000000000001</v>
      </c>
      <c r="F72" s="30">
        <v>53205702</v>
      </c>
      <c r="G72" s="30" t="s">
        <v>5427</v>
      </c>
      <c r="H72" s="30">
        <v>2020</v>
      </c>
      <c r="I72" s="30">
        <v>339795</v>
      </c>
      <c r="J72" s="30" t="s">
        <v>5431</v>
      </c>
      <c r="K72" s="30" t="s">
        <v>6537</v>
      </c>
    </row>
    <row r="73" spans="1:11" x14ac:dyDescent="0.35">
      <c r="A73" s="30" t="s">
        <v>9189</v>
      </c>
      <c r="B73" s="30" t="s">
        <v>9190</v>
      </c>
      <c r="C73" s="32">
        <v>1.28</v>
      </c>
      <c r="D73" s="30">
        <v>-0.01</v>
      </c>
      <c r="E73" s="31">
        <v>-7.7499999999999999E-3</v>
      </c>
      <c r="F73" s="30">
        <v>191154349</v>
      </c>
      <c r="G73" s="30" t="s">
        <v>6263</v>
      </c>
      <c r="H73" s="30">
        <v>2014</v>
      </c>
      <c r="I73" s="30">
        <v>1396497</v>
      </c>
      <c r="J73" s="30" t="s">
        <v>5431</v>
      </c>
      <c r="K73" s="30" t="s">
        <v>5430</v>
      </c>
    </row>
    <row r="74" spans="1:11" x14ac:dyDescent="0.35">
      <c r="A74" s="30" t="s">
        <v>9191</v>
      </c>
      <c r="B74" s="30" t="s">
        <v>9192</v>
      </c>
      <c r="C74" s="32">
        <v>17.72</v>
      </c>
      <c r="D74" s="30">
        <v>1.53</v>
      </c>
      <c r="E74" s="31">
        <v>9.4500000000000001E-2</v>
      </c>
      <c r="F74" s="30">
        <v>5141459116</v>
      </c>
      <c r="G74" s="30" t="s">
        <v>5427</v>
      </c>
      <c r="H74" s="30">
        <v>2021</v>
      </c>
      <c r="I74" s="30">
        <v>22457424</v>
      </c>
      <c r="J74" s="30" t="s">
        <v>5219</v>
      </c>
      <c r="K74" s="30" t="s">
        <v>5447</v>
      </c>
    </row>
    <row r="75" spans="1:11" x14ac:dyDescent="0.35">
      <c r="A75" s="30" t="s">
        <v>9193</v>
      </c>
      <c r="B75" s="30" t="s">
        <v>9194</v>
      </c>
      <c r="C75" s="32">
        <v>2.2799999999999998</v>
      </c>
      <c r="D75" s="30">
        <v>-0.14000000000000001</v>
      </c>
      <c r="E75" s="31">
        <v>-5.7849999999999999E-2</v>
      </c>
      <c r="F75" s="30">
        <v>140020500</v>
      </c>
      <c r="G75" s="30" t="s">
        <v>6387</v>
      </c>
      <c r="H75" s="30">
        <v>2019</v>
      </c>
      <c r="I75" s="30">
        <v>16809</v>
      </c>
      <c r="J75" s="30" t="s">
        <v>5435</v>
      </c>
      <c r="K75" s="30" t="s">
        <v>5434</v>
      </c>
    </row>
    <row r="76" spans="1:11" x14ac:dyDescent="0.35">
      <c r="A76" s="30" t="s">
        <v>9195</v>
      </c>
      <c r="B76" s="30" t="s">
        <v>9196</v>
      </c>
      <c r="C76" s="32">
        <v>2.59</v>
      </c>
      <c r="D76" s="30">
        <v>-0.02</v>
      </c>
      <c r="E76" s="31">
        <v>-7.6600000000000001E-3</v>
      </c>
      <c r="F76" s="30">
        <v>789462264</v>
      </c>
      <c r="G76" s="30" t="s">
        <v>5427</v>
      </c>
      <c r="H76" s="30">
        <v>2000</v>
      </c>
      <c r="I76" s="30">
        <v>4386741</v>
      </c>
      <c r="J76" s="30" t="s">
        <v>5431</v>
      </c>
      <c r="K76" s="30" t="s">
        <v>6409</v>
      </c>
    </row>
    <row r="77" spans="1:11" x14ac:dyDescent="0.35">
      <c r="A77" s="30" t="s">
        <v>9197</v>
      </c>
      <c r="B77" s="30" t="s">
        <v>9198</v>
      </c>
      <c r="C77" s="32">
        <v>2.97</v>
      </c>
      <c r="D77" s="30">
        <v>-0.03</v>
      </c>
      <c r="E77" s="31">
        <v>-0.01</v>
      </c>
      <c r="F77" s="30">
        <v>157565485</v>
      </c>
      <c r="G77" s="30" t="s">
        <v>5427</v>
      </c>
      <c r="H77" s="30">
        <v>2014</v>
      </c>
      <c r="I77" s="30">
        <v>156339</v>
      </c>
      <c r="J77" s="30"/>
      <c r="K77" s="30"/>
    </row>
    <row r="78" spans="1:11" x14ac:dyDescent="0.35">
      <c r="A78" s="30" t="s">
        <v>9199</v>
      </c>
      <c r="B78" s="30" t="s">
        <v>9200</v>
      </c>
      <c r="C78" s="32">
        <v>10.16</v>
      </c>
      <c r="D78" s="30">
        <v>0</v>
      </c>
      <c r="E78" s="31">
        <v>0</v>
      </c>
      <c r="F78" s="30">
        <v>393700000</v>
      </c>
      <c r="G78" s="30" t="s">
        <v>5427</v>
      </c>
      <c r="H78" s="30">
        <v>2021</v>
      </c>
      <c r="I78" s="30">
        <v>15242</v>
      </c>
      <c r="J78" s="30" t="s">
        <v>5435</v>
      </c>
      <c r="K78" s="30" t="s">
        <v>5482</v>
      </c>
    </row>
    <row r="79" spans="1:11" x14ac:dyDescent="0.35">
      <c r="A79" s="30" t="s">
        <v>9201</v>
      </c>
      <c r="B79" s="30" t="s">
        <v>9202</v>
      </c>
      <c r="C79" s="32">
        <v>4.49</v>
      </c>
      <c r="D79" s="30">
        <v>0.18</v>
      </c>
      <c r="E79" s="31">
        <v>4.1759999999999999E-2</v>
      </c>
      <c r="F79" s="30">
        <v>216612785</v>
      </c>
      <c r="G79" s="30" t="s">
        <v>5427</v>
      </c>
      <c r="H79" s="30">
        <v>2020</v>
      </c>
      <c r="I79" s="30">
        <v>89113</v>
      </c>
      <c r="J79" s="30" t="s">
        <v>5219</v>
      </c>
      <c r="K79" s="30" t="s">
        <v>5447</v>
      </c>
    </row>
    <row r="80" spans="1:11" x14ac:dyDescent="0.35">
      <c r="A80" s="30" t="s">
        <v>9203</v>
      </c>
      <c r="B80" s="30" t="s">
        <v>9204</v>
      </c>
      <c r="C80" s="32">
        <v>29.56</v>
      </c>
      <c r="D80" s="30">
        <v>0.08</v>
      </c>
      <c r="E80" s="31">
        <v>2.7100000000000002E-3</v>
      </c>
      <c r="F80" s="30">
        <v>1624169943</v>
      </c>
      <c r="G80" s="30" t="s">
        <v>5427</v>
      </c>
      <c r="H80" s="30">
        <v>2013</v>
      </c>
      <c r="I80" s="30">
        <v>445557</v>
      </c>
      <c r="J80" s="30" t="s">
        <v>5431</v>
      </c>
      <c r="K80" s="30" t="s">
        <v>5430</v>
      </c>
    </row>
    <row r="81" spans="1:11" x14ac:dyDescent="0.35">
      <c r="A81" s="30" t="s">
        <v>9205</v>
      </c>
      <c r="B81" s="30" t="s">
        <v>9206</v>
      </c>
      <c r="C81" s="32">
        <v>11.95</v>
      </c>
      <c r="D81" s="30">
        <v>0.35</v>
      </c>
      <c r="E81" s="31">
        <v>3.0169999999999999E-2</v>
      </c>
      <c r="F81" s="30">
        <v>6830877415</v>
      </c>
      <c r="G81" s="30" t="s">
        <v>5427</v>
      </c>
      <c r="H81" s="30">
        <v>2008</v>
      </c>
      <c r="I81" s="30">
        <v>16598450</v>
      </c>
      <c r="J81" s="30" t="s">
        <v>5197</v>
      </c>
      <c r="K81" s="30" t="s">
        <v>5467</v>
      </c>
    </row>
    <row r="82" spans="1:11" x14ac:dyDescent="0.35">
      <c r="A82" s="30" t="s">
        <v>9207</v>
      </c>
      <c r="B82" s="30" t="s">
        <v>9208</v>
      </c>
      <c r="C82" s="32">
        <v>82.85</v>
      </c>
      <c r="D82" s="30">
        <v>-0.71</v>
      </c>
      <c r="E82" s="31">
        <v>-8.5000000000000006E-3</v>
      </c>
      <c r="F82" s="30">
        <v>2088532344</v>
      </c>
      <c r="G82" s="30" t="s">
        <v>5427</v>
      </c>
      <c r="H82" s="30"/>
      <c r="I82" s="30">
        <v>115189</v>
      </c>
      <c r="J82" s="30" t="s">
        <v>5219</v>
      </c>
      <c r="K82" s="30" t="s">
        <v>5560</v>
      </c>
    </row>
    <row r="83" spans="1:11" x14ac:dyDescent="0.35">
      <c r="A83" s="30" t="s">
        <v>9209</v>
      </c>
      <c r="B83" s="30" t="s">
        <v>9210</v>
      </c>
      <c r="C83" s="32">
        <v>21.38</v>
      </c>
      <c r="D83" s="30">
        <v>-0.05</v>
      </c>
      <c r="E83" s="31">
        <v>-2.33E-3</v>
      </c>
      <c r="F83" s="30">
        <v>2880562998</v>
      </c>
      <c r="G83" s="30" t="s">
        <v>5427</v>
      </c>
      <c r="H83" s="30">
        <v>2018</v>
      </c>
      <c r="I83" s="30">
        <v>669188</v>
      </c>
      <c r="J83" s="30" t="s">
        <v>5431</v>
      </c>
      <c r="K83" s="30" t="s">
        <v>6537</v>
      </c>
    </row>
    <row r="84" spans="1:11" x14ac:dyDescent="0.35">
      <c r="A84" s="30" t="s">
        <v>9211</v>
      </c>
      <c r="B84" s="30" t="s">
        <v>9212</v>
      </c>
      <c r="C84" s="32">
        <v>10.42</v>
      </c>
      <c r="D84" s="30">
        <v>0.02</v>
      </c>
      <c r="E84" s="31">
        <v>1.92E-3</v>
      </c>
      <c r="F84" s="30">
        <v>117248185</v>
      </c>
      <c r="G84" s="30" t="s">
        <v>5427</v>
      </c>
      <c r="H84" s="30">
        <v>2022</v>
      </c>
      <c r="I84" s="30">
        <v>20658</v>
      </c>
      <c r="J84" s="30" t="s">
        <v>5435</v>
      </c>
      <c r="K84" s="30" t="s">
        <v>5482</v>
      </c>
    </row>
    <row r="85" spans="1:11" x14ac:dyDescent="0.35">
      <c r="A85" s="30" t="s">
        <v>9213</v>
      </c>
      <c r="B85" s="30" t="s">
        <v>9214</v>
      </c>
      <c r="C85" s="32">
        <v>60.98</v>
      </c>
      <c r="D85" s="30">
        <v>-0.09</v>
      </c>
      <c r="E85" s="31">
        <v>-1.47E-3</v>
      </c>
      <c r="F85" s="30">
        <v>3974300824</v>
      </c>
      <c r="G85" s="30" t="s">
        <v>5427</v>
      </c>
      <c r="H85" s="30">
        <v>2006</v>
      </c>
      <c r="I85" s="30">
        <v>1273164</v>
      </c>
      <c r="J85" s="30" t="s">
        <v>5457</v>
      </c>
      <c r="K85" s="30" t="s">
        <v>5644</v>
      </c>
    </row>
    <row r="86" spans="1:11" x14ac:dyDescent="0.35">
      <c r="A86" s="30" t="s">
        <v>9215</v>
      </c>
      <c r="B86" s="30" t="s">
        <v>9216</v>
      </c>
      <c r="C86" s="32">
        <v>6.54</v>
      </c>
      <c r="D86" s="30">
        <v>0.26</v>
      </c>
      <c r="E86" s="31">
        <v>4.1399999999999999E-2</v>
      </c>
      <c r="F86" s="30">
        <v>218600788</v>
      </c>
      <c r="G86" s="30" t="s">
        <v>5427</v>
      </c>
      <c r="H86" s="30">
        <v>2021</v>
      </c>
      <c r="I86" s="30">
        <v>140081</v>
      </c>
      <c r="J86" s="30" t="s">
        <v>5219</v>
      </c>
      <c r="K86" s="30" t="s">
        <v>5526</v>
      </c>
    </row>
    <row r="87" spans="1:11" x14ac:dyDescent="0.35">
      <c r="A87" s="30" t="s">
        <v>9217</v>
      </c>
      <c r="B87" s="30" t="s">
        <v>9218</v>
      </c>
      <c r="C87" s="32">
        <v>8</v>
      </c>
      <c r="D87" s="30">
        <v>0</v>
      </c>
      <c r="E87" s="31">
        <v>0</v>
      </c>
      <c r="F87" s="30">
        <v>81788288</v>
      </c>
      <c r="G87" s="30" t="s">
        <v>5427</v>
      </c>
      <c r="H87" s="30">
        <v>2016</v>
      </c>
      <c r="I87" s="30">
        <v>35279</v>
      </c>
      <c r="J87" s="30" t="s">
        <v>5219</v>
      </c>
      <c r="K87" s="30" t="s">
        <v>5780</v>
      </c>
    </row>
    <row r="88" spans="1:11" x14ac:dyDescent="0.35">
      <c r="A88" s="30" t="s">
        <v>9219</v>
      </c>
      <c r="B88" s="30" t="s">
        <v>9220</v>
      </c>
      <c r="C88" s="32">
        <v>6.25</v>
      </c>
      <c r="D88" s="30">
        <v>0.43</v>
      </c>
      <c r="E88" s="31">
        <v>7.3880000000000001E-2</v>
      </c>
      <c r="F88" s="30">
        <v>351077794</v>
      </c>
      <c r="G88" s="30" t="s">
        <v>5427</v>
      </c>
      <c r="H88" s="30">
        <v>2021</v>
      </c>
      <c r="I88" s="30">
        <v>245710</v>
      </c>
      <c r="J88" s="30" t="s">
        <v>5431</v>
      </c>
      <c r="K88" s="30" t="s">
        <v>5785</v>
      </c>
    </row>
    <row r="89" spans="1:11" x14ac:dyDescent="0.35">
      <c r="A89" s="30" t="s">
        <v>9221</v>
      </c>
      <c r="B89" s="30" t="s">
        <v>9222</v>
      </c>
      <c r="C89" s="32">
        <v>23.79</v>
      </c>
      <c r="D89" s="30">
        <v>-0.35</v>
      </c>
      <c r="E89" s="31">
        <v>-1.4500000000000001E-2</v>
      </c>
      <c r="F89" s="30">
        <v>67641536</v>
      </c>
      <c r="G89" s="30" t="s">
        <v>5427</v>
      </c>
      <c r="H89" s="30"/>
      <c r="I89" s="30">
        <v>5563</v>
      </c>
      <c r="J89" s="30" t="s">
        <v>5442</v>
      </c>
      <c r="K89" s="30" t="s">
        <v>5749</v>
      </c>
    </row>
    <row r="90" spans="1:11" x14ac:dyDescent="0.35">
      <c r="A90" s="30" t="s">
        <v>9223</v>
      </c>
      <c r="B90" s="30" t="s">
        <v>9224</v>
      </c>
      <c r="C90" s="32">
        <v>89.58</v>
      </c>
      <c r="D90" s="30">
        <v>0.63</v>
      </c>
      <c r="E90" s="31">
        <v>7.0800000000000004E-3</v>
      </c>
      <c r="F90" s="30">
        <v>14085764517</v>
      </c>
      <c r="G90" s="30" t="s">
        <v>5427</v>
      </c>
      <c r="H90" s="30">
        <v>1999</v>
      </c>
      <c r="I90" s="30">
        <v>1006790</v>
      </c>
      <c r="J90" s="30" t="s">
        <v>5442</v>
      </c>
      <c r="K90" s="30" t="s">
        <v>5482</v>
      </c>
    </row>
    <row r="91" spans="1:11" x14ac:dyDescent="0.35">
      <c r="A91" s="30" t="s">
        <v>9225</v>
      </c>
      <c r="B91" s="30" t="s">
        <v>9226</v>
      </c>
      <c r="C91" s="32">
        <v>0.67</v>
      </c>
      <c r="D91" s="30">
        <v>0.04</v>
      </c>
      <c r="E91" s="31">
        <v>6.3490000000000005E-2</v>
      </c>
      <c r="F91" s="30">
        <v>123254596</v>
      </c>
      <c r="G91" s="30" t="s">
        <v>5427</v>
      </c>
      <c r="H91" s="30">
        <v>2014</v>
      </c>
      <c r="I91" s="30">
        <v>1422214</v>
      </c>
      <c r="J91" s="30" t="s">
        <v>5431</v>
      </c>
      <c r="K91" s="30" t="s">
        <v>5430</v>
      </c>
    </row>
    <row r="92" spans="1:11" x14ac:dyDescent="0.35">
      <c r="A92" s="30" t="s">
        <v>9227</v>
      </c>
      <c r="B92" s="30" t="s">
        <v>9228</v>
      </c>
      <c r="C92" s="32">
        <v>1.57</v>
      </c>
      <c r="D92" s="30">
        <v>-0.01</v>
      </c>
      <c r="E92" s="31">
        <v>-6.3299999999999997E-3</v>
      </c>
      <c r="F92" s="30">
        <v>122316731</v>
      </c>
      <c r="G92" s="30" t="s">
        <v>5427</v>
      </c>
      <c r="H92" s="30">
        <v>2021</v>
      </c>
      <c r="I92" s="30">
        <v>48651</v>
      </c>
      <c r="J92" s="30" t="s">
        <v>5219</v>
      </c>
      <c r="K92" s="30" t="s">
        <v>5560</v>
      </c>
    </row>
    <row r="93" spans="1:11" x14ac:dyDescent="0.35">
      <c r="A93" s="30" t="s">
        <v>9229</v>
      </c>
      <c r="B93" s="30" t="s">
        <v>9230</v>
      </c>
      <c r="C93" s="32">
        <v>49.23</v>
      </c>
      <c r="D93" s="30">
        <v>-0.27</v>
      </c>
      <c r="E93" s="31">
        <v>-5.45E-3</v>
      </c>
      <c r="F93" s="30">
        <v>2302151647</v>
      </c>
      <c r="G93" s="30" t="s">
        <v>5427</v>
      </c>
      <c r="H93" s="30">
        <v>2019</v>
      </c>
      <c r="I93" s="30">
        <v>482257</v>
      </c>
      <c r="J93" s="30" t="s">
        <v>5431</v>
      </c>
      <c r="K93" s="30" t="s">
        <v>5430</v>
      </c>
    </row>
    <row r="94" spans="1:11" x14ac:dyDescent="0.35">
      <c r="A94" s="30" t="s">
        <v>9231</v>
      </c>
      <c r="B94" s="30" t="s">
        <v>9232</v>
      </c>
      <c r="C94" s="32">
        <v>3.84</v>
      </c>
      <c r="D94" s="30">
        <v>0.15</v>
      </c>
      <c r="E94" s="31">
        <v>4.0649999999999999E-2</v>
      </c>
      <c r="F94" s="30">
        <v>274768938</v>
      </c>
      <c r="G94" s="30" t="s">
        <v>5427</v>
      </c>
      <c r="H94" s="30"/>
      <c r="I94" s="30">
        <v>1819162</v>
      </c>
      <c r="J94" s="30" t="s">
        <v>5426</v>
      </c>
      <c r="K94" s="30" t="s">
        <v>5520</v>
      </c>
    </row>
    <row r="95" spans="1:11" x14ac:dyDescent="0.35">
      <c r="A95" s="30" t="s">
        <v>9233</v>
      </c>
      <c r="B95" s="30" t="s">
        <v>9234</v>
      </c>
      <c r="C95" s="32">
        <v>0.91449999999999998</v>
      </c>
      <c r="D95" s="30">
        <v>1.4500000000000001E-2</v>
      </c>
      <c r="E95" s="31">
        <v>1.6109999999999999E-2</v>
      </c>
      <c r="F95" s="30">
        <v>81995454</v>
      </c>
      <c r="G95" s="30" t="s">
        <v>5427</v>
      </c>
      <c r="H95" s="30"/>
      <c r="I95" s="30">
        <v>11570</v>
      </c>
      <c r="J95" s="30" t="s">
        <v>5431</v>
      </c>
      <c r="K95" s="30" t="s">
        <v>5610</v>
      </c>
    </row>
    <row r="96" spans="1:11" x14ac:dyDescent="0.35">
      <c r="A96" s="30" t="s">
        <v>9235</v>
      </c>
      <c r="B96" s="30" t="s">
        <v>9236</v>
      </c>
      <c r="C96" s="32">
        <v>11.64</v>
      </c>
      <c r="D96" s="30">
        <v>0.39</v>
      </c>
      <c r="E96" s="31">
        <v>3.4669999999999999E-2</v>
      </c>
      <c r="F96" s="30">
        <v>441806175</v>
      </c>
      <c r="G96" s="30" t="s">
        <v>5427</v>
      </c>
      <c r="H96" s="30">
        <v>2021</v>
      </c>
      <c r="I96" s="30">
        <v>129967</v>
      </c>
      <c r="J96" s="30" t="s">
        <v>5457</v>
      </c>
      <c r="K96" s="30" t="s">
        <v>5610</v>
      </c>
    </row>
    <row r="97" spans="1:11" x14ac:dyDescent="0.35">
      <c r="A97" s="30" t="s">
        <v>9237</v>
      </c>
      <c r="B97" s="30" t="s">
        <v>9238</v>
      </c>
      <c r="C97" s="32">
        <v>44.7</v>
      </c>
      <c r="D97" s="30">
        <v>0.04</v>
      </c>
      <c r="E97" s="31">
        <v>8.9999999999999998E-4</v>
      </c>
      <c r="F97" s="30">
        <v>927296404</v>
      </c>
      <c r="G97" s="30" t="s">
        <v>5427</v>
      </c>
      <c r="H97" s="30">
        <v>2007</v>
      </c>
      <c r="I97" s="30">
        <v>160207</v>
      </c>
      <c r="J97" s="30" t="s">
        <v>5431</v>
      </c>
      <c r="K97" s="30" t="s">
        <v>5430</v>
      </c>
    </row>
    <row r="98" spans="1:11" x14ac:dyDescent="0.35">
      <c r="A98" s="30" t="s">
        <v>9239</v>
      </c>
      <c r="B98" s="30" t="s">
        <v>9240</v>
      </c>
      <c r="C98" s="32">
        <v>27.28</v>
      </c>
      <c r="D98" s="30">
        <v>0.78</v>
      </c>
      <c r="E98" s="31">
        <v>2.9430000000000001E-2</v>
      </c>
      <c r="F98" s="30">
        <v>207314278</v>
      </c>
      <c r="G98" s="30" t="s">
        <v>5427</v>
      </c>
      <c r="H98" s="30"/>
      <c r="I98" s="30">
        <v>46142</v>
      </c>
      <c r="J98" s="30"/>
      <c r="K98" s="30"/>
    </row>
    <row r="99" spans="1:11" x14ac:dyDescent="0.35">
      <c r="A99" s="30" t="s">
        <v>9241</v>
      </c>
      <c r="B99" s="30" t="s">
        <v>9242</v>
      </c>
      <c r="C99" s="32">
        <v>6.07</v>
      </c>
      <c r="D99" s="30">
        <v>0.17</v>
      </c>
      <c r="E99" s="31">
        <v>2.8809999999999999E-2</v>
      </c>
      <c r="F99" s="30">
        <v>355459673</v>
      </c>
      <c r="G99" s="30" t="s">
        <v>5427</v>
      </c>
      <c r="H99" s="30">
        <v>2014</v>
      </c>
      <c r="I99" s="30">
        <v>260955</v>
      </c>
      <c r="J99" s="30" t="s">
        <v>5431</v>
      </c>
      <c r="K99" s="30" t="s">
        <v>5430</v>
      </c>
    </row>
    <row r="100" spans="1:11" x14ac:dyDescent="0.35">
      <c r="A100" s="30" t="s">
        <v>9243</v>
      </c>
      <c r="B100" s="30" t="s">
        <v>9244</v>
      </c>
      <c r="C100" s="32">
        <v>9.16</v>
      </c>
      <c r="D100" s="30">
        <v>0.34</v>
      </c>
      <c r="E100" s="31">
        <v>3.8550000000000001E-2</v>
      </c>
      <c r="F100" s="30">
        <v>757546097</v>
      </c>
      <c r="G100" s="30" t="s">
        <v>5427</v>
      </c>
      <c r="H100" s="30">
        <v>2019</v>
      </c>
      <c r="I100" s="30">
        <v>731351</v>
      </c>
      <c r="J100" s="30" t="s">
        <v>5431</v>
      </c>
      <c r="K100" s="30" t="s">
        <v>5430</v>
      </c>
    </row>
    <row r="101" spans="1:11" x14ac:dyDescent="0.35">
      <c r="A101" s="30" t="s">
        <v>9245</v>
      </c>
      <c r="B101" s="30" t="s">
        <v>9246</v>
      </c>
      <c r="C101" s="32">
        <v>39.68</v>
      </c>
      <c r="D101" s="30">
        <v>1.51</v>
      </c>
      <c r="E101" s="31">
        <v>3.9559999999999998E-2</v>
      </c>
      <c r="F101" s="30">
        <v>7591107035</v>
      </c>
      <c r="G101" s="30" t="s">
        <v>5427</v>
      </c>
      <c r="H101" s="30">
        <v>2020</v>
      </c>
      <c r="I101" s="30">
        <v>3374976</v>
      </c>
      <c r="J101" s="30" t="s">
        <v>5219</v>
      </c>
      <c r="K101" s="30" t="s">
        <v>5526</v>
      </c>
    </row>
    <row r="102" spans="1:11" x14ac:dyDescent="0.35">
      <c r="A102" s="30" t="s">
        <v>9247</v>
      </c>
      <c r="B102" s="30" t="s">
        <v>9248</v>
      </c>
      <c r="C102" s="32">
        <v>282.52999999999997</v>
      </c>
      <c r="D102" s="30">
        <v>12.8</v>
      </c>
      <c r="E102" s="31">
        <v>4.7449999999999999E-2</v>
      </c>
      <c r="F102" s="30">
        <v>22069082528</v>
      </c>
      <c r="G102" s="30" t="s">
        <v>5427</v>
      </c>
      <c r="H102" s="30">
        <v>2001</v>
      </c>
      <c r="I102" s="30">
        <v>1982100</v>
      </c>
      <c r="J102" s="30" t="s">
        <v>5431</v>
      </c>
      <c r="K102" s="30" t="s">
        <v>5438</v>
      </c>
    </row>
    <row r="103" spans="1:11" x14ac:dyDescent="0.35">
      <c r="A103" s="30" t="s">
        <v>9249</v>
      </c>
      <c r="B103" s="30" t="s">
        <v>9250</v>
      </c>
      <c r="C103" s="32">
        <v>2.0499999999999998</v>
      </c>
      <c r="D103" s="30">
        <v>0.11</v>
      </c>
      <c r="E103" s="31">
        <v>5.67E-2</v>
      </c>
      <c r="F103" s="30">
        <v>87771966</v>
      </c>
      <c r="G103" s="30" t="s">
        <v>5427</v>
      </c>
      <c r="H103" s="30">
        <v>2020</v>
      </c>
      <c r="I103" s="30">
        <v>353720</v>
      </c>
      <c r="J103" s="30" t="s">
        <v>5431</v>
      </c>
      <c r="K103" s="30" t="s">
        <v>5430</v>
      </c>
    </row>
    <row r="104" spans="1:11" x14ac:dyDescent="0.35">
      <c r="A104" s="30" t="s">
        <v>9251</v>
      </c>
      <c r="B104" s="30" t="s">
        <v>9252</v>
      </c>
      <c r="C104" s="32">
        <v>84.39</v>
      </c>
      <c r="D104" s="30">
        <v>-1.64</v>
      </c>
      <c r="E104" s="31">
        <v>-1.9060000000000001E-2</v>
      </c>
      <c r="F104" s="30">
        <v>1552655238</v>
      </c>
      <c r="G104" s="30" t="s">
        <v>5427</v>
      </c>
      <c r="H104" s="30">
        <v>2006</v>
      </c>
      <c r="I104" s="30">
        <v>421683</v>
      </c>
      <c r="J104" s="30" t="s">
        <v>5442</v>
      </c>
      <c r="K104" s="30" t="s">
        <v>5749</v>
      </c>
    </row>
    <row r="105" spans="1:11" x14ac:dyDescent="0.35">
      <c r="A105" s="30" t="s">
        <v>9253</v>
      </c>
      <c r="B105" s="30" t="s">
        <v>9254</v>
      </c>
      <c r="C105" s="32">
        <v>12.48</v>
      </c>
      <c r="D105" s="30">
        <v>0.13</v>
      </c>
      <c r="E105" s="31">
        <v>1.0529999999999999E-2</v>
      </c>
      <c r="F105" s="30">
        <v>2337017043</v>
      </c>
      <c r="G105" s="30" t="s">
        <v>5427</v>
      </c>
      <c r="H105" s="30">
        <v>2021</v>
      </c>
      <c r="I105" s="30">
        <v>441502</v>
      </c>
      <c r="J105" s="30" t="s">
        <v>5431</v>
      </c>
      <c r="K105" s="30" t="s">
        <v>5610</v>
      </c>
    </row>
    <row r="106" spans="1:11" x14ac:dyDescent="0.35">
      <c r="A106" s="30" t="s">
        <v>9255</v>
      </c>
      <c r="B106" s="30" t="s">
        <v>9256</v>
      </c>
      <c r="C106" s="32">
        <v>28.69</v>
      </c>
      <c r="D106" s="30">
        <v>0.05</v>
      </c>
      <c r="E106" s="31">
        <v>1.75E-3</v>
      </c>
      <c r="F106" s="30">
        <v>4714121494</v>
      </c>
      <c r="G106" s="30" t="s">
        <v>5512</v>
      </c>
      <c r="H106" s="30">
        <v>1991</v>
      </c>
      <c r="I106" s="30">
        <v>1094925</v>
      </c>
      <c r="J106" s="30" t="s">
        <v>5431</v>
      </c>
      <c r="K106" s="30" t="s">
        <v>5430</v>
      </c>
    </row>
    <row r="107" spans="1:11" x14ac:dyDescent="0.35">
      <c r="A107" s="30" t="s">
        <v>9257</v>
      </c>
      <c r="B107" s="30" t="s">
        <v>9258</v>
      </c>
      <c r="C107" s="32">
        <v>16.78</v>
      </c>
      <c r="D107" s="30">
        <v>0.41</v>
      </c>
      <c r="E107" s="31">
        <v>2.5049999999999999E-2</v>
      </c>
      <c r="F107" s="30">
        <v>1535000790</v>
      </c>
      <c r="G107" s="30" t="s">
        <v>5427</v>
      </c>
      <c r="H107" s="30">
        <v>2021</v>
      </c>
      <c r="I107" s="30">
        <v>367642</v>
      </c>
      <c r="J107" s="30" t="s">
        <v>5219</v>
      </c>
      <c r="K107" s="30" t="s">
        <v>5447</v>
      </c>
    </row>
    <row r="108" spans="1:11" x14ac:dyDescent="0.35">
      <c r="A108" s="30" t="s">
        <v>9259</v>
      </c>
      <c r="B108" s="30" t="s">
        <v>9260</v>
      </c>
      <c r="C108" s="32">
        <v>7.4</v>
      </c>
      <c r="D108" s="30">
        <v>-0.03</v>
      </c>
      <c r="E108" s="31">
        <v>-4.0400000000000002E-3</v>
      </c>
      <c r="F108" s="30">
        <v>630506618</v>
      </c>
      <c r="G108" s="30" t="s">
        <v>5427</v>
      </c>
      <c r="H108" s="30">
        <v>2018</v>
      </c>
      <c r="I108" s="30">
        <v>577328</v>
      </c>
      <c r="J108" s="30" t="s">
        <v>5431</v>
      </c>
      <c r="K108" s="30" t="s">
        <v>5430</v>
      </c>
    </row>
    <row r="109" spans="1:11" x14ac:dyDescent="0.35">
      <c r="A109" s="30" t="s">
        <v>9261</v>
      </c>
      <c r="B109" s="30" t="s">
        <v>9262</v>
      </c>
      <c r="C109" s="32">
        <v>7.97</v>
      </c>
      <c r="D109" s="30">
        <v>0.25</v>
      </c>
      <c r="E109" s="31">
        <v>3.2379999999999999E-2</v>
      </c>
      <c r="F109" s="30">
        <v>1149354927</v>
      </c>
      <c r="G109" s="30" t="s">
        <v>5427</v>
      </c>
      <c r="H109" s="30">
        <v>2018</v>
      </c>
      <c r="I109" s="30">
        <v>1344472</v>
      </c>
      <c r="J109" s="30" t="s">
        <v>5431</v>
      </c>
      <c r="K109" s="30" t="s">
        <v>6409</v>
      </c>
    </row>
    <row r="110" spans="1:11" x14ac:dyDescent="0.35">
      <c r="A110" s="30" t="s">
        <v>9263</v>
      </c>
      <c r="B110" s="30" t="s">
        <v>9264</v>
      </c>
      <c r="C110" s="32">
        <v>224.91</v>
      </c>
      <c r="D110" s="30">
        <v>-1.49</v>
      </c>
      <c r="E110" s="31">
        <v>-6.5799999999999999E-3</v>
      </c>
      <c r="F110" s="30">
        <v>27670280109</v>
      </c>
      <c r="G110" s="30" t="s">
        <v>5427</v>
      </c>
      <c r="H110" s="30">
        <v>2004</v>
      </c>
      <c r="I110" s="30">
        <v>750853</v>
      </c>
      <c r="J110" s="30" t="s">
        <v>5431</v>
      </c>
      <c r="K110" s="30" t="s">
        <v>5430</v>
      </c>
    </row>
    <row r="111" spans="1:11" x14ac:dyDescent="0.35">
      <c r="A111" s="30" t="s">
        <v>9265</v>
      </c>
      <c r="B111" s="30" t="s">
        <v>9266</v>
      </c>
      <c r="C111" s="32">
        <v>10.33</v>
      </c>
      <c r="D111" s="30">
        <v>-9.9000000000000008E-3</v>
      </c>
      <c r="E111" s="31">
        <v>-9.6000000000000002E-4</v>
      </c>
      <c r="F111" s="30">
        <v>232192575</v>
      </c>
      <c r="G111" s="30" t="s">
        <v>5427</v>
      </c>
      <c r="H111" s="30">
        <v>2022</v>
      </c>
      <c r="I111" s="30">
        <v>49684</v>
      </c>
      <c r="J111" s="30" t="s">
        <v>5435</v>
      </c>
      <c r="K111" s="30" t="s">
        <v>5482</v>
      </c>
    </row>
    <row r="112" spans="1:11" x14ac:dyDescent="0.35">
      <c r="A112" s="30" t="s">
        <v>9267</v>
      </c>
      <c r="B112" s="30" t="s">
        <v>9268</v>
      </c>
      <c r="C112" s="32">
        <v>13.25</v>
      </c>
      <c r="D112" s="30">
        <v>0</v>
      </c>
      <c r="E112" s="31">
        <v>0</v>
      </c>
      <c r="F112" s="30">
        <v>97380968</v>
      </c>
      <c r="G112" s="30" t="s">
        <v>5427</v>
      </c>
      <c r="H112" s="30">
        <v>1983</v>
      </c>
      <c r="I112" s="30">
        <v>2296</v>
      </c>
      <c r="J112" s="30" t="s">
        <v>5219</v>
      </c>
      <c r="K112" s="30" t="s">
        <v>7345</v>
      </c>
    </row>
    <row r="113" spans="1:11" x14ac:dyDescent="0.35">
      <c r="A113" s="30" t="s">
        <v>9269</v>
      </c>
      <c r="B113" s="30" t="s">
        <v>9270</v>
      </c>
      <c r="C113" s="32">
        <v>10.050000000000001</v>
      </c>
      <c r="D113" s="30">
        <v>0</v>
      </c>
      <c r="E113" s="31">
        <v>0</v>
      </c>
      <c r="F113" s="30">
        <v>194016546</v>
      </c>
      <c r="G113" s="30" t="s">
        <v>5427</v>
      </c>
      <c r="H113" s="30">
        <v>2021</v>
      </c>
      <c r="I113" s="30">
        <v>22</v>
      </c>
      <c r="J113" s="30" t="s">
        <v>5457</v>
      </c>
      <c r="K113" s="30" t="s">
        <v>5571</v>
      </c>
    </row>
    <row r="114" spans="1:11" x14ac:dyDescent="0.35">
      <c r="A114" s="30" t="s">
        <v>9271</v>
      </c>
      <c r="B114" s="30" t="s">
        <v>9272</v>
      </c>
      <c r="C114" s="32">
        <v>8.2799999999999994</v>
      </c>
      <c r="D114" s="30">
        <v>-0.12</v>
      </c>
      <c r="E114" s="31">
        <v>-1.4290000000000001E-2</v>
      </c>
      <c r="F114" s="30">
        <v>380171505</v>
      </c>
      <c r="G114" s="30" t="s">
        <v>5427</v>
      </c>
      <c r="H114" s="30">
        <v>2015</v>
      </c>
      <c r="I114" s="30">
        <v>79236</v>
      </c>
      <c r="J114" s="30" t="s">
        <v>5431</v>
      </c>
      <c r="K114" s="30" t="s">
        <v>5430</v>
      </c>
    </row>
    <row r="115" spans="1:11" x14ac:dyDescent="0.35">
      <c r="A115" s="30" t="s">
        <v>9273</v>
      </c>
      <c r="B115" s="30" t="s">
        <v>9274</v>
      </c>
      <c r="C115" s="32">
        <v>0.58450000000000002</v>
      </c>
      <c r="D115" s="30">
        <v>2.4500000000000001E-2</v>
      </c>
      <c r="E115" s="31">
        <v>4.3749999999999997E-2</v>
      </c>
      <c r="F115" s="30">
        <v>116613152</v>
      </c>
      <c r="G115" s="30" t="s">
        <v>5427</v>
      </c>
      <c r="H115" s="30"/>
      <c r="I115" s="30">
        <v>311641</v>
      </c>
      <c r="J115" s="30" t="s">
        <v>5457</v>
      </c>
      <c r="K115" s="30" t="s">
        <v>5571</v>
      </c>
    </row>
    <row r="116" spans="1:11" x14ac:dyDescent="0.35">
      <c r="A116" s="30" t="s">
        <v>9275</v>
      </c>
      <c r="B116" s="30" t="s">
        <v>9276</v>
      </c>
      <c r="C116" s="32">
        <v>4.2</v>
      </c>
      <c r="D116" s="30">
        <v>-0.2</v>
      </c>
      <c r="E116" s="31">
        <v>-4.5449999999999997E-2</v>
      </c>
      <c r="F116" s="30">
        <v>210390621</v>
      </c>
      <c r="G116" s="30" t="s">
        <v>5515</v>
      </c>
      <c r="H116" s="30"/>
      <c r="I116" s="30">
        <v>29842</v>
      </c>
      <c r="J116" s="30"/>
      <c r="K116" s="30"/>
    </row>
    <row r="117" spans="1:11" x14ac:dyDescent="0.35">
      <c r="A117" s="30" t="s">
        <v>9277</v>
      </c>
      <c r="B117" s="30" t="s">
        <v>9278</v>
      </c>
      <c r="C117" s="32">
        <v>55.17</v>
      </c>
      <c r="D117" s="30">
        <v>1.57</v>
      </c>
      <c r="E117" s="31">
        <v>2.929E-2</v>
      </c>
      <c r="F117" s="30">
        <v>2753580160</v>
      </c>
      <c r="G117" s="30" t="s">
        <v>5427</v>
      </c>
      <c r="H117" s="30">
        <v>2015</v>
      </c>
      <c r="I117" s="30">
        <v>430735</v>
      </c>
      <c r="J117" s="30" t="s">
        <v>5219</v>
      </c>
      <c r="K117" s="30" t="s">
        <v>5560</v>
      </c>
    </row>
    <row r="118" spans="1:11" x14ac:dyDescent="0.35">
      <c r="A118" s="30" t="s">
        <v>9279</v>
      </c>
      <c r="B118" s="30" t="s">
        <v>9280</v>
      </c>
      <c r="C118" s="32">
        <v>20.079999999999998</v>
      </c>
      <c r="D118" s="30">
        <v>-0.5</v>
      </c>
      <c r="E118" s="31">
        <v>-2.4299999999999999E-2</v>
      </c>
      <c r="F118" s="30">
        <v>401432954</v>
      </c>
      <c r="G118" s="30" t="s">
        <v>5427</v>
      </c>
      <c r="H118" s="30">
        <v>2019</v>
      </c>
      <c r="I118" s="30">
        <v>51272</v>
      </c>
      <c r="J118" s="30" t="s">
        <v>5435</v>
      </c>
      <c r="K118" s="30" t="s">
        <v>5582</v>
      </c>
    </row>
    <row r="119" spans="1:11" x14ac:dyDescent="0.35">
      <c r="A119" s="30" t="s">
        <v>9281</v>
      </c>
      <c r="B119" s="30" t="s">
        <v>9282</v>
      </c>
      <c r="C119" s="32">
        <v>10.32</v>
      </c>
      <c r="D119" s="30">
        <v>-0.03</v>
      </c>
      <c r="E119" s="31">
        <v>-2.8999999999999998E-3</v>
      </c>
      <c r="F119" s="30">
        <v>151446000</v>
      </c>
      <c r="G119" s="30" t="s">
        <v>5427</v>
      </c>
      <c r="H119" s="30">
        <v>2022</v>
      </c>
      <c r="I119" s="30">
        <v>25000</v>
      </c>
      <c r="J119" s="30" t="s">
        <v>5435</v>
      </c>
      <c r="K119" s="30" t="s">
        <v>5482</v>
      </c>
    </row>
    <row r="120" spans="1:11" x14ac:dyDescent="0.35">
      <c r="A120" s="30" t="s">
        <v>9283</v>
      </c>
      <c r="B120" s="30" t="s">
        <v>9284</v>
      </c>
      <c r="C120" s="32">
        <v>13.78</v>
      </c>
      <c r="D120" s="30">
        <v>0.14000000000000001</v>
      </c>
      <c r="E120" s="31">
        <v>1.026E-2</v>
      </c>
      <c r="F120" s="30">
        <v>677411792</v>
      </c>
      <c r="G120" s="30" t="s">
        <v>5427</v>
      </c>
      <c r="H120" s="30"/>
      <c r="I120" s="30">
        <v>1120673</v>
      </c>
      <c r="J120" s="30" t="s">
        <v>5431</v>
      </c>
      <c r="K120" s="30" t="s">
        <v>5430</v>
      </c>
    </row>
    <row r="121" spans="1:11" x14ac:dyDescent="0.35">
      <c r="A121" s="30" t="s">
        <v>9285</v>
      </c>
      <c r="B121" s="30" t="s">
        <v>9286</v>
      </c>
      <c r="C121" s="32">
        <v>7.29</v>
      </c>
      <c r="D121" s="30">
        <v>-0.62</v>
      </c>
      <c r="E121" s="31">
        <v>-7.8380000000000005E-2</v>
      </c>
      <c r="F121" s="30">
        <v>820278301</v>
      </c>
      <c r="G121" s="30" t="s">
        <v>5427</v>
      </c>
      <c r="H121" s="30">
        <v>2021</v>
      </c>
      <c r="I121" s="30">
        <v>123265</v>
      </c>
      <c r="J121" s="30" t="s">
        <v>5435</v>
      </c>
      <c r="K121" s="30" t="s">
        <v>5434</v>
      </c>
    </row>
    <row r="122" spans="1:11" x14ac:dyDescent="0.35">
      <c r="A122" s="30" t="s">
        <v>9287</v>
      </c>
      <c r="B122" s="30" t="s">
        <v>9288</v>
      </c>
      <c r="C122" s="32">
        <v>3.42</v>
      </c>
      <c r="D122" s="30">
        <v>0.03</v>
      </c>
      <c r="E122" s="31">
        <v>8.8500000000000002E-3</v>
      </c>
      <c r="F122" s="30">
        <v>257031437</v>
      </c>
      <c r="G122" s="30" t="s">
        <v>5427</v>
      </c>
      <c r="H122" s="30"/>
      <c r="I122" s="30">
        <v>685964</v>
      </c>
      <c r="J122" s="30" t="s">
        <v>5457</v>
      </c>
      <c r="K122" s="30" t="s">
        <v>5438</v>
      </c>
    </row>
    <row r="123" spans="1:11" x14ac:dyDescent="0.35">
      <c r="A123" s="30" t="s">
        <v>9289</v>
      </c>
      <c r="B123" s="30" t="s">
        <v>9290</v>
      </c>
      <c r="C123" s="32">
        <v>54.97</v>
      </c>
      <c r="D123" s="30">
        <v>1.87</v>
      </c>
      <c r="E123" s="31">
        <v>3.5220000000000001E-2</v>
      </c>
      <c r="F123" s="30">
        <v>4405428717</v>
      </c>
      <c r="G123" s="30" t="s">
        <v>5427</v>
      </c>
      <c r="H123" s="30">
        <v>2017</v>
      </c>
      <c r="I123" s="30">
        <v>263012</v>
      </c>
      <c r="J123" s="30" t="s">
        <v>5219</v>
      </c>
      <c r="K123" s="30" t="s">
        <v>5560</v>
      </c>
    </row>
    <row r="124" spans="1:11" x14ac:dyDescent="0.35">
      <c r="A124" s="30" t="s">
        <v>9291</v>
      </c>
      <c r="B124" s="30" t="s">
        <v>9292</v>
      </c>
      <c r="C124" s="32">
        <v>10.01</v>
      </c>
      <c r="D124" s="30">
        <v>-0.01</v>
      </c>
      <c r="E124" s="31">
        <v>-1E-3</v>
      </c>
      <c r="F124" s="30">
        <v>125676061</v>
      </c>
      <c r="G124" s="30" t="s">
        <v>5427</v>
      </c>
      <c r="H124" s="30">
        <v>2021</v>
      </c>
      <c r="I124" s="30">
        <v>1548</v>
      </c>
      <c r="J124" s="30" t="s">
        <v>5457</v>
      </c>
      <c r="K124" s="30" t="s">
        <v>5571</v>
      </c>
    </row>
    <row r="125" spans="1:11" x14ac:dyDescent="0.35">
      <c r="A125" s="30" t="s">
        <v>9293</v>
      </c>
      <c r="B125" s="30" t="s">
        <v>9294</v>
      </c>
      <c r="C125" s="32">
        <v>12.2</v>
      </c>
      <c r="D125" s="30">
        <v>0.2</v>
      </c>
      <c r="E125" s="31">
        <v>1.6670000000000001E-2</v>
      </c>
      <c r="F125" s="30">
        <v>3033523961</v>
      </c>
      <c r="G125" s="30" t="s">
        <v>5823</v>
      </c>
      <c r="H125" s="30"/>
      <c r="I125" s="30">
        <v>60546</v>
      </c>
      <c r="J125" s="30" t="s">
        <v>5431</v>
      </c>
      <c r="K125" s="30" t="s">
        <v>6409</v>
      </c>
    </row>
    <row r="126" spans="1:11" x14ac:dyDescent="0.35">
      <c r="A126" s="30" t="s">
        <v>9295</v>
      </c>
      <c r="B126" s="30" t="s">
        <v>9296</v>
      </c>
      <c r="C126" s="32">
        <v>6.01</v>
      </c>
      <c r="D126" s="30">
        <v>0.23</v>
      </c>
      <c r="E126" s="31">
        <v>3.9789999999999999E-2</v>
      </c>
      <c r="F126" s="30">
        <v>376642932</v>
      </c>
      <c r="G126" s="30" t="s">
        <v>5427</v>
      </c>
      <c r="H126" s="30">
        <v>2020</v>
      </c>
      <c r="I126" s="30">
        <v>249190</v>
      </c>
      <c r="J126" s="30" t="s">
        <v>5431</v>
      </c>
      <c r="K126" s="30" t="s">
        <v>5430</v>
      </c>
    </row>
    <row r="127" spans="1:11" x14ac:dyDescent="0.35">
      <c r="A127" s="30" t="s">
        <v>9297</v>
      </c>
      <c r="B127" s="30" t="s">
        <v>9298</v>
      </c>
      <c r="C127" s="32">
        <v>9.16</v>
      </c>
      <c r="D127" s="30">
        <v>-0.14000000000000001</v>
      </c>
      <c r="E127" s="31">
        <v>-1.5049999999999999E-2</v>
      </c>
      <c r="F127" s="30">
        <v>373319940</v>
      </c>
      <c r="G127" s="30" t="s">
        <v>5427</v>
      </c>
      <c r="H127" s="30">
        <v>2020</v>
      </c>
      <c r="I127" s="30">
        <v>156595</v>
      </c>
      <c r="J127" s="30" t="s">
        <v>5431</v>
      </c>
      <c r="K127" s="30" t="s">
        <v>5430</v>
      </c>
    </row>
    <row r="128" spans="1:11" x14ac:dyDescent="0.35">
      <c r="A128" s="30" t="s">
        <v>9299</v>
      </c>
      <c r="B128" s="30" t="s">
        <v>9300</v>
      </c>
      <c r="C128" s="32">
        <v>1.77</v>
      </c>
      <c r="D128" s="30">
        <v>-5.0000000000000001E-3</v>
      </c>
      <c r="E128" s="31">
        <v>-2.82E-3</v>
      </c>
      <c r="F128" s="30">
        <v>167354072</v>
      </c>
      <c r="G128" s="30" t="s">
        <v>5515</v>
      </c>
      <c r="H128" s="30"/>
      <c r="I128" s="30">
        <v>24140</v>
      </c>
      <c r="J128" s="30"/>
      <c r="K128" s="30"/>
    </row>
    <row r="129" spans="1:11" x14ac:dyDescent="0.35">
      <c r="A129" s="30" t="s">
        <v>9301</v>
      </c>
      <c r="B129" s="30" t="s">
        <v>9302</v>
      </c>
      <c r="C129" s="32">
        <v>0.68</v>
      </c>
      <c r="D129" s="30">
        <v>1.6299999999999999E-2</v>
      </c>
      <c r="E129" s="31">
        <v>2.4559999999999998E-2</v>
      </c>
      <c r="F129" s="30">
        <v>65570784</v>
      </c>
      <c r="G129" s="30" t="s">
        <v>5427</v>
      </c>
      <c r="H129" s="30">
        <v>2021</v>
      </c>
      <c r="I129" s="30">
        <v>155703</v>
      </c>
      <c r="J129" s="30" t="s">
        <v>5431</v>
      </c>
      <c r="K129" s="30" t="s">
        <v>5685</v>
      </c>
    </row>
    <row r="130" spans="1:11" x14ac:dyDescent="0.35">
      <c r="A130" s="30" t="s">
        <v>9303</v>
      </c>
      <c r="B130" s="30" t="s">
        <v>9304</v>
      </c>
      <c r="C130" s="32">
        <v>22.88</v>
      </c>
      <c r="D130" s="30">
        <v>-7.0000000000000007E-2</v>
      </c>
      <c r="E130" s="31">
        <v>-3.0500000000000002E-3</v>
      </c>
      <c r="F130" s="30">
        <v>702420530</v>
      </c>
      <c r="G130" s="30" t="s">
        <v>5427</v>
      </c>
      <c r="H130" s="30">
        <v>2018</v>
      </c>
      <c r="I130" s="30">
        <v>141727</v>
      </c>
      <c r="J130" s="30" t="s">
        <v>5435</v>
      </c>
      <c r="K130" s="30" t="s">
        <v>5582</v>
      </c>
    </row>
    <row r="131" spans="1:11" x14ac:dyDescent="0.35">
      <c r="A131" s="30" t="s">
        <v>9305</v>
      </c>
      <c r="B131" s="30" t="s">
        <v>9306</v>
      </c>
      <c r="C131" s="32">
        <v>119.01</v>
      </c>
      <c r="D131" s="30">
        <v>7.52</v>
      </c>
      <c r="E131" s="31">
        <v>6.7449999999999996E-2</v>
      </c>
      <c r="F131" s="30">
        <v>100334738129</v>
      </c>
      <c r="G131" s="30" t="s">
        <v>5427</v>
      </c>
      <c r="H131" s="30">
        <v>1972</v>
      </c>
      <c r="I131" s="30">
        <v>9875743</v>
      </c>
      <c r="J131" s="30" t="s">
        <v>5219</v>
      </c>
      <c r="K131" s="30" t="s">
        <v>5526</v>
      </c>
    </row>
    <row r="132" spans="1:11" x14ac:dyDescent="0.35">
      <c r="A132" s="30" t="s">
        <v>9307</v>
      </c>
      <c r="B132" s="30" t="s">
        <v>9308</v>
      </c>
      <c r="C132" s="32">
        <v>94.66</v>
      </c>
      <c r="D132" s="30">
        <v>4.82</v>
      </c>
      <c r="E132" s="31">
        <v>5.3650000000000003E-2</v>
      </c>
      <c r="F132" s="30">
        <v>3668724462</v>
      </c>
      <c r="G132" s="30" t="s">
        <v>5427</v>
      </c>
      <c r="H132" s="30">
        <v>2012</v>
      </c>
      <c r="I132" s="30">
        <v>450974</v>
      </c>
      <c r="J132" s="30" t="s">
        <v>5219</v>
      </c>
      <c r="K132" s="30" t="s">
        <v>5526</v>
      </c>
    </row>
    <row r="133" spans="1:11" x14ac:dyDescent="0.35">
      <c r="A133" s="30" t="s">
        <v>9309</v>
      </c>
      <c r="B133" s="30" t="s">
        <v>9310</v>
      </c>
      <c r="C133" s="32">
        <v>10.09</v>
      </c>
      <c r="D133" s="30">
        <v>-0.13</v>
      </c>
      <c r="E133" s="31">
        <v>-1.272E-2</v>
      </c>
      <c r="F133" s="30">
        <v>189187500</v>
      </c>
      <c r="G133" s="30" t="s">
        <v>5427</v>
      </c>
      <c r="H133" s="30">
        <v>2021</v>
      </c>
      <c r="I133" s="30">
        <v>55122</v>
      </c>
      <c r="J133" s="30" t="s">
        <v>5457</v>
      </c>
      <c r="K133" s="30" t="s">
        <v>5571</v>
      </c>
    </row>
    <row r="134" spans="1:11" x14ac:dyDescent="0.35">
      <c r="A134" s="30" t="s">
        <v>5042</v>
      </c>
      <c r="B134" s="30" t="s">
        <v>9311</v>
      </c>
      <c r="C134" s="32">
        <v>19.059999999999999</v>
      </c>
      <c r="D134" s="30">
        <v>0.55000000000000004</v>
      </c>
      <c r="E134" s="31">
        <v>2.971E-2</v>
      </c>
      <c r="F134" s="30">
        <v>819198514</v>
      </c>
      <c r="G134" s="30" t="s">
        <v>5427</v>
      </c>
      <c r="H134" s="30"/>
      <c r="I134" s="30">
        <v>611944</v>
      </c>
      <c r="J134" s="30" t="s">
        <v>5442</v>
      </c>
      <c r="K134" s="30" t="s">
        <v>5450</v>
      </c>
    </row>
    <row r="135" spans="1:11" x14ac:dyDescent="0.35">
      <c r="A135" s="30" t="s">
        <v>9312</v>
      </c>
      <c r="B135" s="30" t="s">
        <v>9313</v>
      </c>
      <c r="C135" s="32">
        <v>84.64</v>
      </c>
      <c r="D135" s="30">
        <v>9.49</v>
      </c>
      <c r="E135" s="31">
        <v>0.12628</v>
      </c>
      <c r="F135" s="30">
        <v>137740171484</v>
      </c>
      <c r="G135" s="30" t="s">
        <v>5427</v>
      </c>
      <c r="H135" s="30"/>
      <c r="I135" s="30">
        <v>152222854</v>
      </c>
      <c r="J135" s="30" t="s">
        <v>5219</v>
      </c>
      <c r="K135" s="30" t="s">
        <v>5526</v>
      </c>
    </row>
    <row r="136" spans="1:11" x14ac:dyDescent="0.35">
      <c r="A136" s="30" t="s">
        <v>9314</v>
      </c>
      <c r="B136" s="30" t="s">
        <v>9315</v>
      </c>
      <c r="C136" s="32">
        <v>97</v>
      </c>
      <c r="D136" s="30">
        <v>0.34</v>
      </c>
      <c r="E136" s="31">
        <v>3.5200000000000001E-3</v>
      </c>
      <c r="F136" s="30">
        <v>3151722836</v>
      </c>
      <c r="G136" s="30" t="s">
        <v>5427</v>
      </c>
      <c r="H136" s="30"/>
      <c r="I136" s="30">
        <v>430382</v>
      </c>
      <c r="J136" s="30" t="s">
        <v>5431</v>
      </c>
      <c r="K136" s="30" t="s">
        <v>5980</v>
      </c>
    </row>
    <row r="137" spans="1:11" x14ac:dyDescent="0.35">
      <c r="A137" s="30" t="s">
        <v>9316</v>
      </c>
      <c r="B137" s="30" t="s">
        <v>9317</v>
      </c>
      <c r="C137" s="32">
        <v>36.270000000000003</v>
      </c>
      <c r="D137" s="30">
        <v>0.63</v>
      </c>
      <c r="E137" s="31">
        <v>1.7680000000000001E-2</v>
      </c>
      <c r="F137" s="30">
        <v>1652016711</v>
      </c>
      <c r="G137" s="30" t="s">
        <v>5427</v>
      </c>
      <c r="H137" s="30"/>
      <c r="I137" s="30">
        <v>162196</v>
      </c>
      <c r="J137" s="30" t="s">
        <v>5431</v>
      </c>
      <c r="K137" s="30" t="s">
        <v>6530</v>
      </c>
    </row>
    <row r="138" spans="1:11" x14ac:dyDescent="0.35">
      <c r="A138" s="30" t="s">
        <v>9318</v>
      </c>
      <c r="B138" s="30" t="s">
        <v>9319</v>
      </c>
      <c r="C138" s="32">
        <v>246.41</v>
      </c>
      <c r="D138" s="30">
        <v>-5.99</v>
      </c>
      <c r="E138" s="31">
        <v>-2.3730000000000001E-2</v>
      </c>
      <c r="F138" s="30">
        <v>131479252150</v>
      </c>
      <c r="G138" s="30" t="s">
        <v>5427</v>
      </c>
      <c r="H138" s="30">
        <v>1983</v>
      </c>
      <c r="I138" s="30">
        <v>5343849</v>
      </c>
      <c r="J138" s="30" t="s">
        <v>5431</v>
      </c>
      <c r="K138" s="30" t="s">
        <v>5430</v>
      </c>
    </row>
    <row r="139" spans="1:11" x14ac:dyDescent="0.35">
      <c r="A139" s="30" t="s">
        <v>9320</v>
      </c>
      <c r="B139" s="30" t="s">
        <v>9321</v>
      </c>
      <c r="C139" s="32">
        <v>29.61</v>
      </c>
      <c r="D139" s="30">
        <v>0.35</v>
      </c>
      <c r="E139" s="31">
        <v>1.196E-2</v>
      </c>
      <c r="F139" s="30">
        <v>7253699505</v>
      </c>
      <c r="G139" s="30" t="s">
        <v>5427</v>
      </c>
      <c r="H139" s="30">
        <v>1998</v>
      </c>
      <c r="I139" s="30">
        <v>1060900</v>
      </c>
      <c r="J139" s="30" t="s">
        <v>5219</v>
      </c>
      <c r="K139" s="30" t="s">
        <v>5526</v>
      </c>
    </row>
    <row r="140" spans="1:11" x14ac:dyDescent="0.35">
      <c r="A140" s="30" t="s">
        <v>9322</v>
      </c>
      <c r="B140" s="30" t="s">
        <v>9323</v>
      </c>
      <c r="C140" s="32">
        <v>3.64</v>
      </c>
      <c r="D140" s="30">
        <v>0.12</v>
      </c>
      <c r="E140" s="31">
        <v>3.4090000000000002E-2</v>
      </c>
      <c r="F140" s="30">
        <v>765825435</v>
      </c>
      <c r="G140" s="30" t="s">
        <v>5515</v>
      </c>
      <c r="H140" s="30"/>
      <c r="I140" s="30">
        <v>919918</v>
      </c>
      <c r="J140" s="30" t="s">
        <v>5457</v>
      </c>
      <c r="K140" s="30" t="s">
        <v>5644</v>
      </c>
    </row>
    <row r="141" spans="1:11" x14ac:dyDescent="0.35">
      <c r="A141" s="30" t="s">
        <v>9324</v>
      </c>
      <c r="B141" s="30" t="s">
        <v>9325</v>
      </c>
      <c r="C141" s="32">
        <v>39.39</v>
      </c>
      <c r="D141" s="30">
        <v>0.2</v>
      </c>
      <c r="E141" s="31">
        <v>5.1000000000000004E-3</v>
      </c>
      <c r="F141" s="30">
        <v>2609832427</v>
      </c>
      <c r="G141" s="30" t="s">
        <v>5427</v>
      </c>
      <c r="H141" s="30">
        <v>2022</v>
      </c>
      <c r="I141" s="30">
        <v>504304</v>
      </c>
      <c r="J141" s="30" t="s">
        <v>5431</v>
      </c>
      <c r="K141" s="30" t="s">
        <v>5430</v>
      </c>
    </row>
    <row r="142" spans="1:11" x14ac:dyDescent="0.35">
      <c r="A142" s="30" t="s">
        <v>9326</v>
      </c>
      <c r="B142" s="30" t="s">
        <v>9327</v>
      </c>
      <c r="C142" s="32">
        <v>35.200000000000003</v>
      </c>
      <c r="D142" s="30">
        <v>0.59</v>
      </c>
      <c r="E142" s="31">
        <v>1.7049999999999999E-2</v>
      </c>
      <c r="F142" s="30">
        <v>373429091</v>
      </c>
      <c r="G142" s="30" t="s">
        <v>5427</v>
      </c>
      <c r="H142" s="30"/>
      <c r="I142" s="30">
        <v>15092</v>
      </c>
      <c r="J142" s="30" t="s">
        <v>5435</v>
      </c>
      <c r="K142" s="30" t="s">
        <v>5579</v>
      </c>
    </row>
    <row r="143" spans="1:11" x14ac:dyDescent="0.35">
      <c r="A143" s="30" t="s">
        <v>9328</v>
      </c>
      <c r="B143" s="30" t="s">
        <v>9329</v>
      </c>
      <c r="C143" s="32">
        <v>40.25</v>
      </c>
      <c r="D143" s="30">
        <v>-0.39</v>
      </c>
      <c r="E143" s="31">
        <v>-9.5999999999999992E-3</v>
      </c>
      <c r="F143" s="30">
        <v>639564490</v>
      </c>
      <c r="G143" s="30" t="s">
        <v>5427</v>
      </c>
      <c r="H143" s="30"/>
      <c r="I143" s="30">
        <v>172539</v>
      </c>
      <c r="J143" s="30" t="s">
        <v>5457</v>
      </c>
      <c r="K143" s="30" t="s">
        <v>5647</v>
      </c>
    </row>
    <row r="144" spans="1:11" x14ac:dyDescent="0.35">
      <c r="A144" s="30" t="s">
        <v>9330</v>
      </c>
      <c r="B144" s="30" t="s">
        <v>9331</v>
      </c>
      <c r="C144" s="32">
        <v>30.61</v>
      </c>
      <c r="D144" s="30">
        <v>0.35</v>
      </c>
      <c r="E144" s="31">
        <v>1.157E-2</v>
      </c>
      <c r="F144" s="30">
        <v>1479417603</v>
      </c>
      <c r="G144" s="30" t="s">
        <v>5427</v>
      </c>
      <c r="H144" s="30">
        <v>2014</v>
      </c>
      <c r="I144" s="30">
        <v>243107</v>
      </c>
      <c r="J144" s="30" t="s">
        <v>5431</v>
      </c>
      <c r="K144" s="30" t="s">
        <v>5430</v>
      </c>
    </row>
    <row r="145" spans="1:11" x14ac:dyDescent="0.35">
      <c r="A145" s="30" t="s">
        <v>9332</v>
      </c>
      <c r="B145" s="30" t="s">
        <v>9333</v>
      </c>
      <c r="C145" s="32">
        <v>15.01</v>
      </c>
      <c r="D145" s="30">
        <v>0.63</v>
      </c>
      <c r="E145" s="31">
        <v>4.3810000000000002E-2</v>
      </c>
      <c r="F145" s="30">
        <v>1698230484</v>
      </c>
      <c r="G145" s="30" t="s">
        <v>5427</v>
      </c>
      <c r="H145" s="30"/>
      <c r="I145" s="30">
        <v>437144</v>
      </c>
      <c r="J145" s="30" t="s">
        <v>5219</v>
      </c>
      <c r="K145" s="30" t="s">
        <v>5447</v>
      </c>
    </row>
    <row r="146" spans="1:11" x14ac:dyDescent="0.35">
      <c r="A146" s="30" t="s">
        <v>9334</v>
      </c>
      <c r="B146" s="30" t="s">
        <v>9335</v>
      </c>
      <c r="C146" s="32">
        <v>39.69</v>
      </c>
      <c r="D146" s="30">
        <v>1.19</v>
      </c>
      <c r="E146" s="31">
        <v>3.091E-2</v>
      </c>
      <c r="F146" s="30">
        <v>930863025</v>
      </c>
      <c r="G146" s="30" t="s">
        <v>5427</v>
      </c>
      <c r="H146" s="30"/>
      <c r="I146" s="30">
        <v>217351</v>
      </c>
      <c r="J146" s="30" t="s">
        <v>5435</v>
      </c>
      <c r="K146" s="30" t="s">
        <v>6221</v>
      </c>
    </row>
    <row r="147" spans="1:11" x14ac:dyDescent="0.35">
      <c r="A147" s="30" t="s">
        <v>9336</v>
      </c>
      <c r="B147" s="30" t="s">
        <v>9337</v>
      </c>
      <c r="C147" s="32">
        <v>1.86</v>
      </c>
      <c r="D147" s="30">
        <v>0</v>
      </c>
      <c r="E147" s="31">
        <v>0</v>
      </c>
      <c r="F147" s="30">
        <v>751121856</v>
      </c>
      <c r="G147" s="30" t="s">
        <v>5512</v>
      </c>
      <c r="H147" s="30"/>
      <c r="I147" s="30">
        <v>2398951</v>
      </c>
      <c r="J147" s="30" t="s">
        <v>5431</v>
      </c>
      <c r="K147" s="30" t="s">
        <v>5430</v>
      </c>
    </row>
    <row r="148" spans="1:11" x14ac:dyDescent="0.35">
      <c r="A148" s="30" t="s">
        <v>9338</v>
      </c>
      <c r="B148" s="30" t="s">
        <v>9339</v>
      </c>
      <c r="C148" s="32">
        <v>1.62</v>
      </c>
      <c r="D148" s="30">
        <v>0.03</v>
      </c>
      <c r="E148" s="31">
        <v>1.8870000000000001E-2</v>
      </c>
      <c r="F148" s="30">
        <v>588856740</v>
      </c>
      <c r="G148" s="30" t="s">
        <v>5427</v>
      </c>
      <c r="H148" s="30">
        <v>2010</v>
      </c>
      <c r="I148" s="30">
        <v>4443416</v>
      </c>
      <c r="J148" s="30" t="s">
        <v>5457</v>
      </c>
      <c r="K148" s="30" t="s">
        <v>5438</v>
      </c>
    </row>
    <row r="149" spans="1:11" x14ac:dyDescent="0.35">
      <c r="A149" s="30" t="s">
        <v>9340</v>
      </c>
      <c r="B149" s="30" t="s">
        <v>9341</v>
      </c>
      <c r="C149" s="32">
        <v>5.63</v>
      </c>
      <c r="D149" s="30">
        <v>0.2</v>
      </c>
      <c r="E149" s="31">
        <v>3.6830000000000002E-2</v>
      </c>
      <c r="F149" s="30">
        <v>164619680</v>
      </c>
      <c r="G149" s="30" t="s">
        <v>5427</v>
      </c>
      <c r="H149" s="30">
        <v>1991</v>
      </c>
      <c r="I149" s="30">
        <v>182095</v>
      </c>
      <c r="J149" s="30" t="s">
        <v>5457</v>
      </c>
      <c r="K149" s="30" t="s">
        <v>5487</v>
      </c>
    </row>
    <row r="150" spans="1:11" x14ac:dyDescent="0.35">
      <c r="A150" s="30" t="s">
        <v>9342</v>
      </c>
      <c r="B150" s="30" t="s">
        <v>9343</v>
      </c>
      <c r="C150" s="32">
        <v>55.06</v>
      </c>
      <c r="D150" s="30">
        <v>-0.02</v>
      </c>
      <c r="E150" s="31">
        <v>-3.6000000000000002E-4</v>
      </c>
      <c r="F150" s="30">
        <v>1054722367</v>
      </c>
      <c r="G150" s="30" t="s">
        <v>5427</v>
      </c>
      <c r="H150" s="30">
        <v>2005</v>
      </c>
      <c r="I150" s="30">
        <v>120410</v>
      </c>
      <c r="J150" s="30" t="s">
        <v>5435</v>
      </c>
      <c r="K150" s="30" t="s">
        <v>5760</v>
      </c>
    </row>
    <row r="151" spans="1:11" x14ac:dyDescent="0.35">
      <c r="A151" s="30" t="s">
        <v>9344</v>
      </c>
      <c r="B151" s="30" t="s">
        <v>9345</v>
      </c>
      <c r="C151" s="32">
        <v>15.55</v>
      </c>
      <c r="D151" s="30">
        <v>0.34</v>
      </c>
      <c r="E151" s="31">
        <v>2.2349999999999998E-2</v>
      </c>
      <c r="F151" s="30">
        <v>524663998</v>
      </c>
      <c r="G151" s="30" t="s">
        <v>5427</v>
      </c>
      <c r="H151" s="30"/>
      <c r="I151" s="30">
        <v>154136</v>
      </c>
      <c r="J151" s="30" t="s">
        <v>5219</v>
      </c>
      <c r="K151" s="30" t="s">
        <v>5560</v>
      </c>
    </row>
    <row r="152" spans="1:11" x14ac:dyDescent="0.35">
      <c r="A152" s="30" t="s">
        <v>9346</v>
      </c>
      <c r="B152" s="30" t="s">
        <v>9347</v>
      </c>
      <c r="C152" s="32">
        <v>28.16</v>
      </c>
      <c r="D152" s="30">
        <v>0.32</v>
      </c>
      <c r="E152" s="31">
        <v>1.149E-2</v>
      </c>
      <c r="F152" s="30">
        <v>951084485</v>
      </c>
      <c r="G152" s="30" t="s">
        <v>5427</v>
      </c>
      <c r="H152" s="30"/>
      <c r="I152" s="30">
        <v>52946</v>
      </c>
      <c r="J152" s="30" t="s">
        <v>5435</v>
      </c>
      <c r="K152" s="30" t="s">
        <v>5579</v>
      </c>
    </row>
    <row r="153" spans="1:11" x14ac:dyDescent="0.35">
      <c r="A153" s="30" t="s">
        <v>9348</v>
      </c>
      <c r="B153" s="30" t="s">
        <v>9349</v>
      </c>
      <c r="C153" s="32">
        <v>4.5999999999999996</v>
      </c>
      <c r="D153" s="30">
        <v>-7.0000000000000007E-2</v>
      </c>
      <c r="E153" s="31">
        <v>-1.499E-2</v>
      </c>
      <c r="F153" s="30">
        <v>161201834</v>
      </c>
      <c r="G153" s="30" t="s">
        <v>5427</v>
      </c>
      <c r="H153" s="30"/>
      <c r="I153" s="30">
        <v>761201</v>
      </c>
      <c r="J153" s="30" t="s">
        <v>5464</v>
      </c>
      <c r="K153" s="30" t="s">
        <v>5588</v>
      </c>
    </row>
    <row r="154" spans="1:11" x14ac:dyDescent="0.35">
      <c r="A154" s="30" t="s">
        <v>9350</v>
      </c>
      <c r="B154" s="30" t="s">
        <v>9351</v>
      </c>
      <c r="C154" s="32">
        <v>57.98</v>
      </c>
      <c r="D154" s="30">
        <v>0.69</v>
      </c>
      <c r="E154" s="31">
        <v>1.204E-2</v>
      </c>
      <c r="F154" s="30">
        <v>963733529</v>
      </c>
      <c r="G154" s="30" t="s">
        <v>5427</v>
      </c>
      <c r="H154" s="30">
        <v>1986</v>
      </c>
      <c r="I154" s="30">
        <v>143067</v>
      </c>
      <c r="J154" s="30" t="s">
        <v>5442</v>
      </c>
      <c r="K154" s="30" t="s">
        <v>5537</v>
      </c>
    </row>
    <row r="155" spans="1:11" x14ac:dyDescent="0.35">
      <c r="A155" s="30" t="s">
        <v>9352</v>
      </c>
      <c r="B155" s="30" t="s">
        <v>9353</v>
      </c>
      <c r="C155" s="32">
        <v>14.64</v>
      </c>
      <c r="D155" s="30">
        <v>0.01</v>
      </c>
      <c r="E155" s="31">
        <v>6.8000000000000005E-4</v>
      </c>
      <c r="F155" s="30">
        <v>933224004</v>
      </c>
      <c r="G155" s="30" t="s">
        <v>5775</v>
      </c>
      <c r="H155" s="30"/>
      <c r="I155" s="30">
        <v>1392205</v>
      </c>
      <c r="J155" s="30" t="s">
        <v>5431</v>
      </c>
      <c r="K155" s="30" t="s">
        <v>5430</v>
      </c>
    </row>
    <row r="156" spans="1:11" x14ac:dyDescent="0.35">
      <c r="A156" s="30" t="s">
        <v>9354</v>
      </c>
      <c r="B156" s="30" t="s">
        <v>9355</v>
      </c>
      <c r="C156" s="32">
        <v>105.15</v>
      </c>
      <c r="D156" s="30">
        <v>2.02</v>
      </c>
      <c r="E156" s="31">
        <v>1.959E-2</v>
      </c>
      <c r="F156" s="30">
        <v>1070099794230</v>
      </c>
      <c r="G156" s="30" t="s">
        <v>5427</v>
      </c>
      <c r="H156" s="30">
        <v>1997</v>
      </c>
      <c r="I156" s="30">
        <v>79489038</v>
      </c>
      <c r="J156" s="30" t="s">
        <v>5442</v>
      </c>
      <c r="K156" s="30" t="s">
        <v>5618</v>
      </c>
    </row>
    <row r="157" spans="1:11" x14ac:dyDescent="0.35">
      <c r="A157" s="30" t="s">
        <v>9356</v>
      </c>
      <c r="B157" s="30" t="s">
        <v>9357</v>
      </c>
      <c r="C157" s="32">
        <v>24.95</v>
      </c>
      <c r="D157" s="30">
        <v>0.06</v>
      </c>
      <c r="E157" s="31">
        <v>2.4099999999999998E-3</v>
      </c>
      <c r="F157" s="30">
        <v>709369218</v>
      </c>
      <c r="G157" s="30" t="s">
        <v>5427</v>
      </c>
      <c r="H157" s="30">
        <v>2017</v>
      </c>
      <c r="I157" s="30">
        <v>306249</v>
      </c>
      <c r="J157" s="30" t="s">
        <v>5431</v>
      </c>
      <c r="K157" s="30" t="s">
        <v>5430</v>
      </c>
    </row>
    <row r="158" spans="1:11" x14ac:dyDescent="0.35">
      <c r="A158" s="30" t="s">
        <v>9358</v>
      </c>
      <c r="B158" s="30" t="s">
        <v>9359</v>
      </c>
      <c r="C158" s="32">
        <v>37.22</v>
      </c>
      <c r="D158" s="30">
        <v>0.44</v>
      </c>
      <c r="E158" s="31">
        <v>1.196E-2</v>
      </c>
      <c r="F158" s="30">
        <v>1246978459</v>
      </c>
      <c r="G158" s="30" t="s">
        <v>5427</v>
      </c>
      <c r="H158" s="30"/>
      <c r="I158" s="30">
        <v>184761</v>
      </c>
      <c r="J158" s="30" t="s">
        <v>5541</v>
      </c>
      <c r="K158" s="30" t="s">
        <v>5711</v>
      </c>
    </row>
    <row r="159" spans="1:11" x14ac:dyDescent="0.35">
      <c r="A159" s="30" t="s">
        <v>9360</v>
      </c>
      <c r="B159" s="30" t="s">
        <v>9361</v>
      </c>
      <c r="C159" s="32">
        <v>2.78</v>
      </c>
      <c r="D159" s="30">
        <v>0.23</v>
      </c>
      <c r="E159" s="31">
        <v>9.0200000000000002E-2</v>
      </c>
      <c r="F159" s="30">
        <v>71260343</v>
      </c>
      <c r="G159" s="30" t="s">
        <v>5427</v>
      </c>
      <c r="H159" s="30">
        <v>2021</v>
      </c>
      <c r="I159" s="30">
        <v>6564</v>
      </c>
      <c r="J159" s="30" t="s">
        <v>5431</v>
      </c>
      <c r="K159" s="30" t="s">
        <v>5430</v>
      </c>
    </row>
    <row r="160" spans="1:11" x14ac:dyDescent="0.35">
      <c r="A160" s="30" t="s">
        <v>9362</v>
      </c>
      <c r="B160" s="30" t="s">
        <v>9363</v>
      </c>
      <c r="C160" s="32">
        <v>3.01</v>
      </c>
      <c r="D160" s="30">
        <v>0.1</v>
      </c>
      <c r="E160" s="31">
        <v>3.4360000000000002E-2</v>
      </c>
      <c r="F160" s="30">
        <v>1518459167</v>
      </c>
      <c r="G160" s="30" t="s">
        <v>5427</v>
      </c>
      <c r="H160" s="30"/>
      <c r="I160" s="30">
        <v>885290</v>
      </c>
      <c r="J160" s="30" t="s">
        <v>5219</v>
      </c>
      <c r="K160" s="30" t="s">
        <v>5447</v>
      </c>
    </row>
    <row r="161" spans="1:11" x14ac:dyDescent="0.35">
      <c r="A161" s="30" t="s">
        <v>9364</v>
      </c>
      <c r="B161" s="30" t="s">
        <v>9365</v>
      </c>
      <c r="C161" s="32">
        <v>13.36</v>
      </c>
      <c r="D161" s="30">
        <v>0.34</v>
      </c>
      <c r="E161" s="31">
        <v>2.6110000000000001E-2</v>
      </c>
      <c r="F161" s="30">
        <v>522832164</v>
      </c>
      <c r="G161" s="30" t="s">
        <v>5427</v>
      </c>
      <c r="H161" s="30">
        <v>2004</v>
      </c>
      <c r="I161" s="30">
        <v>283031</v>
      </c>
      <c r="J161" s="30" t="s">
        <v>5431</v>
      </c>
      <c r="K161" s="30" t="s">
        <v>5500</v>
      </c>
    </row>
    <row r="162" spans="1:11" x14ac:dyDescent="0.35">
      <c r="A162" s="30" t="s">
        <v>9366</v>
      </c>
      <c r="B162" s="30" t="s">
        <v>9367</v>
      </c>
      <c r="C162" s="32">
        <v>31.31</v>
      </c>
      <c r="D162" s="30">
        <v>0.3</v>
      </c>
      <c r="E162" s="31">
        <v>9.6699999999999998E-3</v>
      </c>
      <c r="F162" s="30">
        <v>457428736</v>
      </c>
      <c r="G162" s="30" t="s">
        <v>5427</v>
      </c>
      <c r="H162" s="30"/>
      <c r="I162" s="30">
        <v>67851</v>
      </c>
      <c r="J162" s="30" t="s">
        <v>5431</v>
      </c>
      <c r="K162" s="30" t="s">
        <v>6537</v>
      </c>
    </row>
    <row r="163" spans="1:11" x14ac:dyDescent="0.35">
      <c r="A163" s="30" t="s">
        <v>9368</v>
      </c>
      <c r="B163" s="30" t="s">
        <v>9369</v>
      </c>
      <c r="C163" s="32">
        <v>44.31</v>
      </c>
      <c r="D163" s="30">
        <v>-0.42</v>
      </c>
      <c r="E163" s="31">
        <v>-9.3900000000000008E-3</v>
      </c>
      <c r="F163" s="30">
        <v>773378100</v>
      </c>
      <c r="G163" s="30" t="s">
        <v>5427</v>
      </c>
      <c r="H163" s="30"/>
      <c r="I163" s="30">
        <v>68209</v>
      </c>
      <c r="J163" s="30" t="s">
        <v>5431</v>
      </c>
      <c r="K163" s="30" t="s">
        <v>6409</v>
      </c>
    </row>
    <row r="164" spans="1:11" x14ac:dyDescent="0.35">
      <c r="A164" s="30" t="s">
        <v>9370</v>
      </c>
      <c r="B164" s="30" t="s">
        <v>9371</v>
      </c>
      <c r="C164" s="32">
        <v>4.4950000000000001</v>
      </c>
      <c r="D164" s="30">
        <v>0.125</v>
      </c>
      <c r="E164" s="31">
        <v>2.86E-2</v>
      </c>
      <c r="F164" s="30">
        <v>138998121</v>
      </c>
      <c r="G164" s="30" t="s">
        <v>5427</v>
      </c>
      <c r="H164" s="30"/>
      <c r="I164" s="30">
        <v>43881</v>
      </c>
      <c r="J164" s="30" t="s">
        <v>5431</v>
      </c>
      <c r="K164" s="30" t="s">
        <v>5430</v>
      </c>
    </row>
    <row r="165" spans="1:11" x14ac:dyDescent="0.35">
      <c r="A165" s="30" t="s">
        <v>9372</v>
      </c>
      <c r="B165" s="30" t="s">
        <v>9373</v>
      </c>
      <c r="C165" s="32">
        <v>7.2</v>
      </c>
      <c r="D165" s="30">
        <v>0.06</v>
      </c>
      <c r="E165" s="31">
        <v>8.3999999999999995E-3</v>
      </c>
      <c r="F165" s="30">
        <v>342938830</v>
      </c>
      <c r="G165" s="30" t="s">
        <v>5427</v>
      </c>
      <c r="H165" s="30">
        <v>2020</v>
      </c>
      <c r="I165" s="30">
        <v>123760</v>
      </c>
      <c r="J165" s="30" t="s">
        <v>5431</v>
      </c>
      <c r="K165" s="30" t="s">
        <v>5430</v>
      </c>
    </row>
    <row r="166" spans="1:11" x14ac:dyDescent="0.35">
      <c r="A166" s="30" t="s">
        <v>9374</v>
      </c>
      <c r="B166" s="30" t="s">
        <v>9375</v>
      </c>
      <c r="C166" s="32">
        <v>274.39</v>
      </c>
      <c r="D166" s="30">
        <v>8.0299999999999994</v>
      </c>
      <c r="E166" s="31">
        <v>3.015E-2</v>
      </c>
      <c r="F166" s="30">
        <v>23902726162</v>
      </c>
      <c r="G166" s="30" t="s">
        <v>5427</v>
      </c>
      <c r="H166" s="30">
        <v>1996</v>
      </c>
      <c r="I166" s="30">
        <v>490312</v>
      </c>
      <c r="J166" s="30" t="s">
        <v>5219</v>
      </c>
      <c r="K166" s="30" t="s">
        <v>5560</v>
      </c>
    </row>
    <row r="167" spans="1:11" x14ac:dyDescent="0.35">
      <c r="A167" s="30" t="s">
        <v>9376</v>
      </c>
      <c r="B167" s="30" t="s">
        <v>9377</v>
      </c>
      <c r="C167" s="32">
        <v>14.02</v>
      </c>
      <c r="D167" s="30">
        <v>1.86</v>
      </c>
      <c r="E167" s="31">
        <v>0.15296000000000001</v>
      </c>
      <c r="F167" s="30">
        <v>272025265</v>
      </c>
      <c r="G167" s="30" t="s">
        <v>5427</v>
      </c>
      <c r="H167" s="30">
        <v>2022</v>
      </c>
      <c r="I167" s="30">
        <v>31329</v>
      </c>
      <c r="J167" s="30" t="s">
        <v>5431</v>
      </c>
      <c r="K167" s="30" t="s">
        <v>5430</v>
      </c>
    </row>
    <row r="168" spans="1:11" x14ac:dyDescent="0.35">
      <c r="A168" s="30" t="s">
        <v>9378</v>
      </c>
      <c r="B168" s="30" t="s">
        <v>9379</v>
      </c>
      <c r="C168" s="32">
        <v>10.07</v>
      </c>
      <c r="D168" s="30">
        <v>-0.01</v>
      </c>
      <c r="E168" s="31">
        <v>-9.8999999999999999E-4</v>
      </c>
      <c r="F168" s="30">
        <v>534968750</v>
      </c>
      <c r="G168" s="30" t="s">
        <v>5427</v>
      </c>
      <c r="H168" s="30">
        <v>2021</v>
      </c>
      <c r="I168" s="30">
        <v>1222423</v>
      </c>
      <c r="J168" s="30" t="s">
        <v>5457</v>
      </c>
      <c r="K168" s="30" t="s">
        <v>5571</v>
      </c>
    </row>
    <row r="169" spans="1:11" x14ac:dyDescent="0.35">
      <c r="A169" s="30" t="s">
        <v>9380</v>
      </c>
      <c r="B169" s="30" t="s">
        <v>9381</v>
      </c>
      <c r="C169" s="32">
        <v>10.19</v>
      </c>
      <c r="D169" s="30">
        <v>-0.03</v>
      </c>
      <c r="E169" s="31">
        <v>-2.9399999999999999E-3</v>
      </c>
      <c r="F169" s="30">
        <v>136846860</v>
      </c>
      <c r="G169" s="30" t="s">
        <v>5427</v>
      </c>
      <c r="H169" s="30">
        <v>2022</v>
      </c>
      <c r="I169" s="30">
        <v>14900</v>
      </c>
      <c r="J169" s="30" t="s">
        <v>5457</v>
      </c>
      <c r="K169" s="30" t="s">
        <v>5571</v>
      </c>
    </row>
    <row r="170" spans="1:11" x14ac:dyDescent="0.35">
      <c r="A170" s="30" t="s">
        <v>9382</v>
      </c>
      <c r="B170" s="30" t="s">
        <v>9383</v>
      </c>
      <c r="C170" s="32">
        <v>10.9</v>
      </c>
      <c r="D170" s="30">
        <v>0.42</v>
      </c>
      <c r="E170" s="31">
        <v>4.0079999999999998E-2</v>
      </c>
      <c r="F170" s="30">
        <v>145295627</v>
      </c>
      <c r="G170" s="30" t="s">
        <v>5427</v>
      </c>
      <c r="H170" s="30"/>
      <c r="I170" s="30">
        <v>42354</v>
      </c>
      <c r="J170" s="30"/>
      <c r="K170" s="30"/>
    </row>
    <row r="171" spans="1:11" x14ac:dyDescent="0.35">
      <c r="A171" s="30" t="s">
        <v>9384</v>
      </c>
      <c r="B171" s="30" t="s">
        <v>9385</v>
      </c>
      <c r="C171" s="32">
        <v>43.4</v>
      </c>
      <c r="D171" s="30">
        <v>-0.93</v>
      </c>
      <c r="E171" s="31">
        <v>-2.0979999999999999E-2</v>
      </c>
      <c r="F171" s="30">
        <v>13953612163</v>
      </c>
      <c r="G171" s="30" t="s">
        <v>5427</v>
      </c>
      <c r="H171" s="30"/>
      <c r="I171" s="30">
        <v>6588548</v>
      </c>
      <c r="J171" s="30" t="s">
        <v>5464</v>
      </c>
      <c r="K171" s="30" t="s">
        <v>5463</v>
      </c>
    </row>
    <row r="172" spans="1:11" x14ac:dyDescent="0.35">
      <c r="A172" s="30" t="s">
        <v>9386</v>
      </c>
      <c r="B172" s="30" t="s">
        <v>9387</v>
      </c>
      <c r="C172" s="32">
        <v>10.47</v>
      </c>
      <c r="D172" s="30">
        <v>0.01</v>
      </c>
      <c r="E172" s="31">
        <v>9.6000000000000002E-4</v>
      </c>
      <c r="F172" s="30">
        <v>261750000</v>
      </c>
      <c r="G172" s="30" t="s">
        <v>5427</v>
      </c>
      <c r="H172" s="30">
        <v>2021</v>
      </c>
      <c r="I172" s="30">
        <v>83831</v>
      </c>
      <c r="J172" s="30" t="s">
        <v>5435</v>
      </c>
      <c r="K172" s="30" t="s">
        <v>5482</v>
      </c>
    </row>
    <row r="173" spans="1:11" x14ac:dyDescent="0.35">
      <c r="A173" s="30" t="s">
        <v>9388</v>
      </c>
      <c r="B173" s="30" t="s">
        <v>9389</v>
      </c>
      <c r="C173" s="32">
        <v>3.92</v>
      </c>
      <c r="D173" s="30">
        <v>-0.01</v>
      </c>
      <c r="E173" s="31">
        <v>-2.5400000000000002E-3</v>
      </c>
      <c r="F173" s="30">
        <v>64321567</v>
      </c>
      <c r="G173" s="30" t="s">
        <v>5427</v>
      </c>
      <c r="H173" s="30"/>
      <c r="I173" s="30">
        <v>247269</v>
      </c>
      <c r="J173" s="30" t="s">
        <v>5219</v>
      </c>
      <c r="K173" s="30" t="s">
        <v>5447</v>
      </c>
    </row>
    <row r="174" spans="1:11" x14ac:dyDescent="0.35">
      <c r="A174" s="30" t="s">
        <v>9390</v>
      </c>
      <c r="B174" s="30" t="s">
        <v>9391</v>
      </c>
      <c r="C174" s="32">
        <v>12.48</v>
      </c>
      <c r="D174" s="30">
        <v>0.37</v>
      </c>
      <c r="E174" s="31">
        <v>3.0550000000000001E-2</v>
      </c>
      <c r="F174" s="30">
        <v>235782032</v>
      </c>
      <c r="G174" s="30" t="s">
        <v>5427</v>
      </c>
      <c r="H174" s="30">
        <v>2007</v>
      </c>
      <c r="I174" s="30">
        <v>176360</v>
      </c>
      <c r="J174" s="30" t="s">
        <v>5442</v>
      </c>
      <c r="K174" s="30" t="s">
        <v>5914</v>
      </c>
    </row>
    <row r="175" spans="1:11" x14ac:dyDescent="0.35">
      <c r="A175" s="30" t="s">
        <v>9392</v>
      </c>
      <c r="B175" s="30" t="s">
        <v>9393</v>
      </c>
      <c r="C175" s="32">
        <v>9.83</v>
      </c>
      <c r="D175" s="30">
        <v>0</v>
      </c>
      <c r="E175" s="31">
        <v>0</v>
      </c>
      <c r="F175" s="30">
        <v>467408292</v>
      </c>
      <c r="G175" s="30" t="s">
        <v>5427</v>
      </c>
      <c r="H175" s="30"/>
      <c r="I175" s="30">
        <v>523816</v>
      </c>
      <c r="J175" s="30" t="s">
        <v>5431</v>
      </c>
      <c r="K175" s="30" t="s">
        <v>5438</v>
      </c>
    </row>
    <row r="176" spans="1:11" x14ac:dyDescent="0.35">
      <c r="A176" s="30" t="s">
        <v>9394</v>
      </c>
      <c r="B176" s="30" t="s">
        <v>9395</v>
      </c>
      <c r="C176" s="32">
        <v>3.28</v>
      </c>
      <c r="D176" s="30">
        <v>0.18</v>
      </c>
      <c r="E176" s="31">
        <v>5.806E-2</v>
      </c>
      <c r="F176" s="30">
        <v>309875756</v>
      </c>
      <c r="G176" s="30" t="s">
        <v>5427</v>
      </c>
      <c r="H176" s="30">
        <v>2022</v>
      </c>
      <c r="I176" s="30">
        <v>1133044</v>
      </c>
      <c r="J176" s="30" t="s">
        <v>5435</v>
      </c>
      <c r="K176" s="30" t="s">
        <v>6221</v>
      </c>
    </row>
    <row r="177" spans="1:11" x14ac:dyDescent="0.35">
      <c r="A177" s="30" t="s">
        <v>9396</v>
      </c>
      <c r="B177" s="30" t="s">
        <v>9397</v>
      </c>
      <c r="C177" s="32">
        <v>55.02</v>
      </c>
      <c r="D177" s="30">
        <v>2.29</v>
      </c>
      <c r="E177" s="31">
        <v>4.3430000000000003E-2</v>
      </c>
      <c r="F177" s="30">
        <v>6083866596</v>
      </c>
      <c r="G177" s="30" t="s">
        <v>5427</v>
      </c>
      <c r="H177" s="30">
        <v>2017</v>
      </c>
      <c r="I177" s="30">
        <v>2030601</v>
      </c>
      <c r="J177" s="30" t="s">
        <v>5431</v>
      </c>
      <c r="K177" s="30" t="s">
        <v>5430</v>
      </c>
    </row>
    <row r="178" spans="1:11" x14ac:dyDescent="0.35">
      <c r="A178" s="30" t="s">
        <v>9398</v>
      </c>
      <c r="B178" s="30" t="s">
        <v>9399</v>
      </c>
      <c r="C178" s="32">
        <v>1.1100000000000001</v>
      </c>
      <c r="D178" s="30">
        <v>0</v>
      </c>
      <c r="E178" s="31">
        <v>0</v>
      </c>
      <c r="F178" s="30">
        <v>53345441</v>
      </c>
      <c r="G178" s="30" t="s">
        <v>5427</v>
      </c>
      <c r="H178" s="30">
        <v>2019</v>
      </c>
      <c r="I178" s="30">
        <v>81707</v>
      </c>
      <c r="J178" s="30" t="s">
        <v>5431</v>
      </c>
      <c r="K178" s="30" t="s">
        <v>5430</v>
      </c>
    </row>
    <row r="179" spans="1:11" x14ac:dyDescent="0.35">
      <c r="A179" s="30" t="s">
        <v>9400</v>
      </c>
      <c r="B179" s="30" t="s">
        <v>9401</v>
      </c>
      <c r="C179" s="32">
        <v>10.01</v>
      </c>
      <c r="D179" s="30">
        <v>-0.01</v>
      </c>
      <c r="E179" s="31">
        <v>-1E-3</v>
      </c>
      <c r="F179" s="30">
        <v>187687500</v>
      </c>
      <c r="G179" s="30" t="s">
        <v>5427</v>
      </c>
      <c r="H179" s="30">
        <v>2021</v>
      </c>
      <c r="I179" s="30">
        <v>8954</v>
      </c>
      <c r="J179" s="30" t="s">
        <v>5457</v>
      </c>
      <c r="K179" s="30" t="s">
        <v>5571</v>
      </c>
    </row>
    <row r="180" spans="1:11" x14ac:dyDescent="0.35">
      <c r="A180" s="30" t="s">
        <v>9402</v>
      </c>
      <c r="B180" s="30" t="s">
        <v>9403</v>
      </c>
      <c r="C180" s="32">
        <v>47.33</v>
      </c>
      <c r="D180" s="30">
        <v>0.49</v>
      </c>
      <c r="E180" s="31">
        <v>1.0460000000000001E-2</v>
      </c>
      <c r="F180" s="30">
        <v>1051383414</v>
      </c>
      <c r="G180" s="30" t="s">
        <v>5427</v>
      </c>
      <c r="H180" s="30"/>
      <c r="I180" s="30">
        <v>100078</v>
      </c>
      <c r="J180" s="30"/>
      <c r="K180" s="30"/>
    </row>
    <row r="181" spans="1:11" x14ac:dyDescent="0.35">
      <c r="A181" s="30" t="s">
        <v>9404</v>
      </c>
      <c r="B181" s="30" t="s">
        <v>9405</v>
      </c>
      <c r="C181" s="32">
        <v>13.36</v>
      </c>
      <c r="D181" s="30">
        <v>0.66</v>
      </c>
      <c r="E181" s="31">
        <v>5.1970000000000002E-2</v>
      </c>
      <c r="F181" s="30">
        <v>4965773737</v>
      </c>
      <c r="G181" s="30" t="s">
        <v>5427</v>
      </c>
      <c r="H181" s="30">
        <v>2021</v>
      </c>
      <c r="I181" s="30">
        <v>3002089</v>
      </c>
      <c r="J181" s="30" t="s">
        <v>5219</v>
      </c>
      <c r="K181" s="30" t="s">
        <v>5447</v>
      </c>
    </row>
    <row r="182" spans="1:11" x14ac:dyDescent="0.35">
      <c r="A182" s="30" t="s">
        <v>9406</v>
      </c>
      <c r="B182" s="30" t="s">
        <v>9407</v>
      </c>
      <c r="C182" s="32">
        <v>116.98</v>
      </c>
      <c r="D182" s="30">
        <v>4.6500000000000004</v>
      </c>
      <c r="E182" s="31">
        <v>4.1399999999999999E-2</v>
      </c>
      <c r="F182" s="30">
        <v>4113148636</v>
      </c>
      <c r="G182" s="30" t="s">
        <v>5427</v>
      </c>
      <c r="H182" s="30">
        <v>2015</v>
      </c>
      <c r="I182" s="30">
        <v>146465</v>
      </c>
      <c r="J182" s="30" t="s">
        <v>5219</v>
      </c>
      <c r="K182" s="30" t="s">
        <v>5447</v>
      </c>
    </row>
    <row r="183" spans="1:11" x14ac:dyDescent="0.35">
      <c r="A183" s="30" t="s">
        <v>9408</v>
      </c>
      <c r="B183" s="30" t="s">
        <v>9409</v>
      </c>
      <c r="C183" s="32">
        <v>2.3199999999999998</v>
      </c>
      <c r="D183" s="30">
        <v>-0.12</v>
      </c>
      <c r="E183" s="31">
        <v>-4.9180000000000001E-2</v>
      </c>
      <c r="F183" s="30">
        <v>250337688</v>
      </c>
      <c r="G183" s="30" t="s">
        <v>5427</v>
      </c>
      <c r="H183" s="30">
        <v>2020</v>
      </c>
      <c r="I183" s="30">
        <v>2260365</v>
      </c>
      <c r="J183" s="30" t="s">
        <v>5541</v>
      </c>
      <c r="K183" s="30" t="s">
        <v>5774</v>
      </c>
    </row>
    <row r="184" spans="1:11" x14ac:dyDescent="0.35">
      <c r="A184" s="30" t="s">
        <v>9410</v>
      </c>
      <c r="B184" s="30" t="s">
        <v>9411</v>
      </c>
      <c r="C184" s="32">
        <v>43.44</v>
      </c>
      <c r="D184" s="30">
        <v>2.0750000000000002</v>
      </c>
      <c r="E184" s="31">
        <v>5.0160000000000003E-2</v>
      </c>
      <c r="F184" s="30">
        <v>3151467701</v>
      </c>
      <c r="G184" s="30" t="s">
        <v>5427</v>
      </c>
      <c r="H184" s="30">
        <v>2017</v>
      </c>
      <c r="I184" s="30">
        <v>459901</v>
      </c>
      <c r="J184" s="30" t="s">
        <v>5219</v>
      </c>
      <c r="K184" s="30" t="s">
        <v>5447</v>
      </c>
    </row>
    <row r="185" spans="1:11" x14ac:dyDescent="0.35">
      <c r="A185" s="30" t="s">
        <v>9412</v>
      </c>
      <c r="B185" s="30" t="s">
        <v>9413</v>
      </c>
      <c r="C185" s="32">
        <v>16.77</v>
      </c>
      <c r="D185" s="30">
        <v>-0.59</v>
      </c>
      <c r="E185" s="31">
        <v>-3.3989999999999999E-2</v>
      </c>
      <c r="F185" s="30">
        <v>1660512239</v>
      </c>
      <c r="G185" s="30" t="s">
        <v>5427</v>
      </c>
      <c r="H185" s="30"/>
      <c r="I185" s="30">
        <v>5368649</v>
      </c>
      <c r="J185" s="30" t="s">
        <v>5219</v>
      </c>
      <c r="K185" s="30" t="s">
        <v>5560</v>
      </c>
    </row>
    <row r="186" spans="1:11" x14ac:dyDescent="0.35">
      <c r="A186" s="30" t="s">
        <v>9414</v>
      </c>
      <c r="B186" s="30" t="s">
        <v>9415</v>
      </c>
      <c r="C186" s="32">
        <v>10.1</v>
      </c>
      <c r="D186" s="30">
        <v>-5.4000000000000003E-3</v>
      </c>
      <c r="E186" s="31">
        <v>-5.2999999999999998E-4</v>
      </c>
      <c r="F186" s="30">
        <v>365392750</v>
      </c>
      <c r="G186" s="30" t="s">
        <v>5427</v>
      </c>
      <c r="H186" s="30">
        <v>2021</v>
      </c>
      <c r="I186" s="30">
        <v>50546</v>
      </c>
      <c r="J186" s="30"/>
      <c r="K186" s="30"/>
    </row>
    <row r="187" spans="1:11" x14ac:dyDescent="0.35">
      <c r="A187" s="30" t="s">
        <v>9416</v>
      </c>
      <c r="B187" s="30" t="s">
        <v>9417</v>
      </c>
      <c r="C187" s="32">
        <v>0.75</v>
      </c>
      <c r="D187" s="30">
        <v>0</v>
      </c>
      <c r="E187" s="31">
        <v>0</v>
      </c>
      <c r="F187" s="30">
        <v>69221051</v>
      </c>
      <c r="G187" s="30" t="s">
        <v>5515</v>
      </c>
      <c r="H187" s="30"/>
      <c r="I187" s="30">
        <v>239221</v>
      </c>
      <c r="J187" s="30" t="s">
        <v>5431</v>
      </c>
      <c r="K187" s="30" t="s">
        <v>8643</v>
      </c>
    </row>
    <row r="188" spans="1:11" x14ac:dyDescent="0.35">
      <c r="A188" s="30" t="s">
        <v>9418</v>
      </c>
      <c r="B188" s="30" t="s">
        <v>9419</v>
      </c>
      <c r="C188" s="32">
        <v>10.35</v>
      </c>
      <c r="D188" s="30">
        <v>0</v>
      </c>
      <c r="E188" s="31">
        <v>0</v>
      </c>
      <c r="F188" s="30">
        <v>223171875</v>
      </c>
      <c r="G188" s="30" t="s">
        <v>5835</v>
      </c>
      <c r="H188" s="30">
        <v>2022</v>
      </c>
      <c r="I188" s="30">
        <v>57900</v>
      </c>
      <c r="J188" s="30" t="s">
        <v>5435</v>
      </c>
      <c r="K188" s="30" t="s">
        <v>5482</v>
      </c>
    </row>
    <row r="189" spans="1:11" x14ac:dyDescent="0.35">
      <c r="A189" s="30" t="s">
        <v>9420</v>
      </c>
      <c r="B189" s="30" t="s">
        <v>9421</v>
      </c>
      <c r="C189" s="32">
        <v>3.06</v>
      </c>
      <c r="D189" s="30">
        <v>0.14000000000000001</v>
      </c>
      <c r="E189" s="31">
        <v>4.795E-2</v>
      </c>
      <c r="F189" s="30">
        <v>105869335</v>
      </c>
      <c r="G189" s="30" t="s">
        <v>5427</v>
      </c>
      <c r="H189" s="30"/>
      <c r="I189" s="30">
        <v>235884</v>
      </c>
      <c r="J189" s="30" t="s">
        <v>5431</v>
      </c>
      <c r="K189" s="30" t="s">
        <v>5500</v>
      </c>
    </row>
    <row r="190" spans="1:11" x14ac:dyDescent="0.35">
      <c r="A190" s="30" t="s">
        <v>9422</v>
      </c>
      <c r="B190" s="30" t="s">
        <v>9423</v>
      </c>
      <c r="C190" s="32">
        <v>1.1399999999999999</v>
      </c>
      <c r="D190" s="30">
        <v>-0.03</v>
      </c>
      <c r="E190" s="31">
        <v>-2.564E-2</v>
      </c>
      <c r="F190" s="30">
        <v>81066213</v>
      </c>
      <c r="G190" s="30" t="s">
        <v>5427</v>
      </c>
      <c r="H190" s="30"/>
      <c r="I190" s="30">
        <v>319708</v>
      </c>
      <c r="J190" s="30"/>
      <c r="K190" s="30"/>
    </row>
    <row r="191" spans="1:11" x14ac:dyDescent="0.35">
      <c r="A191" s="30" t="s">
        <v>9424</v>
      </c>
      <c r="B191" s="30" t="s">
        <v>9425</v>
      </c>
      <c r="C191" s="32">
        <v>1.2</v>
      </c>
      <c r="D191" s="30">
        <v>-0.03</v>
      </c>
      <c r="E191" s="31">
        <v>-2.4389999999999998E-2</v>
      </c>
      <c r="F191" s="30">
        <v>94064095</v>
      </c>
      <c r="G191" s="30" t="s">
        <v>5427</v>
      </c>
      <c r="H191" s="30">
        <v>2015</v>
      </c>
      <c r="I191" s="30">
        <v>336829</v>
      </c>
      <c r="J191" s="30" t="s">
        <v>5426</v>
      </c>
      <c r="K191" s="30" t="s">
        <v>5425</v>
      </c>
    </row>
    <row r="192" spans="1:11" x14ac:dyDescent="0.35">
      <c r="A192" s="30" t="s">
        <v>9426</v>
      </c>
      <c r="B192" s="30" t="s">
        <v>9427</v>
      </c>
      <c r="C192" s="32">
        <v>1.67</v>
      </c>
      <c r="D192" s="30">
        <v>0</v>
      </c>
      <c r="E192" s="31">
        <v>0</v>
      </c>
      <c r="F192" s="30">
        <v>99910891</v>
      </c>
      <c r="G192" s="30" t="s">
        <v>5427</v>
      </c>
      <c r="H192" s="30">
        <v>2014</v>
      </c>
      <c r="I192" s="30">
        <v>53047</v>
      </c>
      <c r="J192" s="30" t="s">
        <v>5431</v>
      </c>
      <c r="K192" s="30" t="s">
        <v>5430</v>
      </c>
    </row>
    <row r="193" spans="1:11" x14ac:dyDescent="0.35">
      <c r="A193" s="30" t="s">
        <v>9428</v>
      </c>
      <c r="B193" s="30" t="s">
        <v>9429</v>
      </c>
      <c r="C193" s="32">
        <v>2.4500000000000002</v>
      </c>
      <c r="D193" s="30">
        <v>-7.0000000000000007E-2</v>
      </c>
      <c r="E193" s="31">
        <v>-2.7779999999999999E-2</v>
      </c>
      <c r="F193" s="30">
        <v>229757984</v>
      </c>
      <c r="G193" s="30" t="s">
        <v>5427</v>
      </c>
      <c r="H193" s="30">
        <v>2007</v>
      </c>
      <c r="I193" s="30">
        <v>649217</v>
      </c>
      <c r="J193" s="30" t="s">
        <v>5431</v>
      </c>
      <c r="K193" s="30" t="s">
        <v>5500</v>
      </c>
    </row>
    <row r="194" spans="1:11" x14ac:dyDescent="0.35">
      <c r="A194" s="30" t="s">
        <v>9430</v>
      </c>
      <c r="B194" s="30" t="s">
        <v>9431</v>
      </c>
      <c r="C194" s="32">
        <v>10.25</v>
      </c>
      <c r="D194" s="30">
        <v>0</v>
      </c>
      <c r="E194" s="31">
        <v>0</v>
      </c>
      <c r="F194" s="30">
        <v>294687500</v>
      </c>
      <c r="G194" s="30" t="s">
        <v>5427</v>
      </c>
      <c r="H194" s="30">
        <v>2021</v>
      </c>
      <c r="I194" s="30">
        <v>4</v>
      </c>
      <c r="J194" s="30" t="s">
        <v>5457</v>
      </c>
      <c r="K194" s="30" t="s">
        <v>5571</v>
      </c>
    </row>
    <row r="195" spans="1:11" x14ac:dyDescent="0.35">
      <c r="A195" s="30" t="s">
        <v>9432</v>
      </c>
      <c r="B195" s="30" t="s">
        <v>9433</v>
      </c>
      <c r="C195" s="32">
        <v>1.9</v>
      </c>
      <c r="D195" s="30">
        <v>-0.02</v>
      </c>
      <c r="E195" s="31">
        <v>-1.042E-2</v>
      </c>
      <c r="F195" s="30">
        <v>88745643</v>
      </c>
      <c r="G195" s="30" t="s">
        <v>5775</v>
      </c>
      <c r="H195" s="30">
        <v>2021</v>
      </c>
      <c r="I195" s="30">
        <v>192529</v>
      </c>
      <c r="J195" s="30" t="s">
        <v>5219</v>
      </c>
      <c r="K195" s="30" t="s">
        <v>5447</v>
      </c>
    </row>
    <row r="196" spans="1:11" x14ac:dyDescent="0.35">
      <c r="A196" s="30" t="s">
        <v>9434</v>
      </c>
      <c r="B196" s="30" t="s">
        <v>9435</v>
      </c>
      <c r="C196" s="32">
        <v>87.83</v>
      </c>
      <c r="D196" s="30">
        <v>4.38</v>
      </c>
      <c r="E196" s="31">
        <v>5.2490000000000002E-2</v>
      </c>
      <c r="F196" s="30">
        <v>2144622400</v>
      </c>
      <c r="G196" s="30" t="s">
        <v>5427</v>
      </c>
      <c r="H196" s="30"/>
      <c r="I196" s="30">
        <v>363276</v>
      </c>
      <c r="J196" s="30" t="s">
        <v>5457</v>
      </c>
      <c r="K196" s="30" t="s">
        <v>5725</v>
      </c>
    </row>
    <row r="197" spans="1:11" x14ac:dyDescent="0.35">
      <c r="A197" s="30" t="s">
        <v>9436</v>
      </c>
      <c r="B197" s="30" t="s">
        <v>9437</v>
      </c>
      <c r="C197" s="32">
        <v>19.68</v>
      </c>
      <c r="D197" s="30">
        <v>0.31</v>
      </c>
      <c r="E197" s="31">
        <v>1.6E-2</v>
      </c>
      <c r="F197" s="30">
        <v>10421234886</v>
      </c>
      <c r="G197" s="30" t="s">
        <v>5427</v>
      </c>
      <c r="H197" s="30">
        <v>2004</v>
      </c>
      <c r="I197" s="30">
        <v>2029006</v>
      </c>
      <c r="J197" s="30" t="s">
        <v>5435</v>
      </c>
      <c r="K197" s="30" t="s">
        <v>5985</v>
      </c>
    </row>
    <row r="198" spans="1:11" x14ac:dyDescent="0.35">
      <c r="A198" s="30" t="s">
        <v>9438</v>
      </c>
      <c r="B198" s="30" t="s">
        <v>9439</v>
      </c>
      <c r="C198" s="32">
        <v>3.01</v>
      </c>
      <c r="D198" s="30">
        <v>0.08</v>
      </c>
      <c r="E198" s="31">
        <v>2.7300000000000001E-2</v>
      </c>
      <c r="F198" s="30">
        <v>597710798</v>
      </c>
      <c r="G198" s="30" t="s">
        <v>5427</v>
      </c>
      <c r="H198" s="30">
        <v>2014</v>
      </c>
      <c r="I198" s="30">
        <v>3851054</v>
      </c>
      <c r="J198" s="30" t="s">
        <v>5431</v>
      </c>
      <c r="K198" s="30" t="s">
        <v>5430</v>
      </c>
    </row>
    <row r="199" spans="1:11" x14ac:dyDescent="0.35">
      <c r="A199" s="30" t="s">
        <v>9440</v>
      </c>
      <c r="B199" s="30" t="s">
        <v>9441</v>
      </c>
      <c r="C199" s="32">
        <v>1.61</v>
      </c>
      <c r="D199" s="30">
        <v>0.06</v>
      </c>
      <c r="E199" s="31">
        <v>3.8710000000000001E-2</v>
      </c>
      <c r="F199" s="30">
        <v>110612191</v>
      </c>
      <c r="G199" s="30" t="s">
        <v>5427</v>
      </c>
      <c r="H199" s="30"/>
      <c r="I199" s="30">
        <v>160990</v>
      </c>
      <c r="J199" s="30"/>
      <c r="K199" s="30"/>
    </row>
    <row r="200" spans="1:11" x14ac:dyDescent="0.35">
      <c r="A200" s="30" t="s">
        <v>9442</v>
      </c>
      <c r="B200" s="30" t="s">
        <v>9443</v>
      </c>
      <c r="C200" s="32">
        <v>379.73</v>
      </c>
      <c r="D200" s="30">
        <v>-2.52</v>
      </c>
      <c r="E200" s="31">
        <v>-6.5900000000000004E-3</v>
      </c>
      <c r="F200" s="30">
        <v>21035468399</v>
      </c>
      <c r="G200" s="30" t="s">
        <v>6073</v>
      </c>
      <c r="H200" s="30">
        <v>2017</v>
      </c>
      <c r="I200" s="30">
        <v>223025</v>
      </c>
      <c r="J200" s="30" t="s">
        <v>5431</v>
      </c>
      <c r="K200" s="30" t="s">
        <v>6409</v>
      </c>
    </row>
    <row r="201" spans="1:11" x14ac:dyDescent="0.35">
      <c r="A201" s="30" t="s">
        <v>9444</v>
      </c>
      <c r="B201" s="30" t="s">
        <v>9445</v>
      </c>
      <c r="C201" s="32">
        <v>14.44</v>
      </c>
      <c r="D201" s="30">
        <v>0.28999999999999998</v>
      </c>
      <c r="E201" s="31">
        <v>2.0490000000000001E-2</v>
      </c>
      <c r="F201" s="30">
        <v>2022512853</v>
      </c>
      <c r="G201" s="30" t="s">
        <v>5427</v>
      </c>
      <c r="H201" s="30">
        <v>2021</v>
      </c>
      <c r="I201" s="30">
        <v>1325587</v>
      </c>
      <c r="J201" s="30" t="s">
        <v>5442</v>
      </c>
      <c r="K201" s="30" t="s">
        <v>5505</v>
      </c>
    </row>
    <row r="202" spans="1:11" x14ac:dyDescent="0.35">
      <c r="A202" s="30" t="s">
        <v>9446</v>
      </c>
      <c r="B202" s="30" t="s">
        <v>9447</v>
      </c>
      <c r="C202" s="32">
        <v>10.19</v>
      </c>
      <c r="D202" s="30">
        <v>0</v>
      </c>
      <c r="E202" s="31">
        <v>0</v>
      </c>
      <c r="F202" s="30">
        <v>90705154</v>
      </c>
      <c r="G202" s="30" t="s">
        <v>5427</v>
      </c>
      <c r="H202" s="30">
        <v>2021</v>
      </c>
      <c r="I202" s="30">
        <v>200</v>
      </c>
      <c r="J202" s="30" t="s">
        <v>5457</v>
      </c>
      <c r="K202" s="30" t="s">
        <v>5571</v>
      </c>
    </row>
    <row r="203" spans="1:11" x14ac:dyDescent="0.35">
      <c r="A203" s="30" t="s">
        <v>9448</v>
      </c>
      <c r="B203" s="30" t="s">
        <v>9449</v>
      </c>
      <c r="C203" s="32">
        <v>8.3000000000000007</v>
      </c>
      <c r="D203" s="30">
        <v>-0.09</v>
      </c>
      <c r="E203" s="31">
        <v>-1.073E-2</v>
      </c>
      <c r="F203" s="30">
        <v>996618699</v>
      </c>
      <c r="G203" s="30" t="s">
        <v>5427</v>
      </c>
      <c r="H203" s="30"/>
      <c r="I203" s="30">
        <v>276028</v>
      </c>
      <c r="J203" s="30" t="s">
        <v>5464</v>
      </c>
      <c r="K203" s="30" t="s">
        <v>6032</v>
      </c>
    </row>
    <row r="204" spans="1:11" x14ac:dyDescent="0.35">
      <c r="A204" s="30" t="s">
        <v>9450</v>
      </c>
      <c r="B204" s="30" t="s">
        <v>9451</v>
      </c>
      <c r="C204" s="32">
        <v>18.96</v>
      </c>
      <c r="D204" s="30">
        <v>0.06</v>
      </c>
      <c r="E204" s="31">
        <v>3.1700000000000001E-3</v>
      </c>
      <c r="F204" s="30">
        <v>68263717</v>
      </c>
      <c r="G204" s="30" t="s">
        <v>5427</v>
      </c>
      <c r="H204" s="30"/>
      <c r="I204" s="30">
        <v>10000</v>
      </c>
      <c r="J204" s="30" t="s">
        <v>5442</v>
      </c>
      <c r="K204" s="30" t="s">
        <v>5441</v>
      </c>
    </row>
    <row r="205" spans="1:11" x14ac:dyDescent="0.35">
      <c r="A205" s="30" t="s">
        <v>9452</v>
      </c>
      <c r="B205" s="30" t="s">
        <v>9453</v>
      </c>
      <c r="C205" s="32">
        <v>22.31</v>
      </c>
      <c r="D205" s="30">
        <v>-0.62</v>
      </c>
      <c r="E205" s="31">
        <v>-2.7040000000000002E-2</v>
      </c>
      <c r="F205" s="30">
        <v>2837725336</v>
      </c>
      <c r="G205" s="30" t="s">
        <v>5427</v>
      </c>
      <c r="H205" s="30">
        <v>1999</v>
      </c>
      <c r="I205" s="30">
        <v>1478511</v>
      </c>
      <c r="J205" s="30" t="s">
        <v>5464</v>
      </c>
      <c r="K205" s="30" t="s">
        <v>6756</v>
      </c>
    </row>
    <row r="206" spans="1:11" x14ac:dyDescent="0.35">
      <c r="A206" s="30" t="s">
        <v>9454</v>
      </c>
      <c r="B206" s="30" t="s">
        <v>9455</v>
      </c>
      <c r="C206" s="32">
        <v>32.409999999999997</v>
      </c>
      <c r="D206" s="30">
        <v>-0.5</v>
      </c>
      <c r="E206" s="31">
        <v>-1.519E-2</v>
      </c>
      <c r="F206" s="30">
        <v>535693838</v>
      </c>
      <c r="G206" s="30" t="s">
        <v>5427</v>
      </c>
      <c r="H206" s="30"/>
      <c r="I206" s="30">
        <v>21962</v>
      </c>
      <c r="J206" s="30" t="s">
        <v>5435</v>
      </c>
      <c r="K206" s="30" t="s">
        <v>5579</v>
      </c>
    </row>
    <row r="207" spans="1:11" x14ac:dyDescent="0.35">
      <c r="A207" s="30" t="s">
        <v>9456</v>
      </c>
      <c r="B207" s="30" t="s">
        <v>9457</v>
      </c>
      <c r="C207" s="32">
        <v>2.1349999999999998</v>
      </c>
      <c r="D207" s="30">
        <v>1.4999999999999999E-2</v>
      </c>
      <c r="E207" s="31">
        <v>7.0800000000000004E-3</v>
      </c>
      <c r="F207" s="30">
        <v>261911652</v>
      </c>
      <c r="G207" s="30" t="s">
        <v>5775</v>
      </c>
      <c r="H207" s="30"/>
      <c r="I207" s="30">
        <v>626190</v>
      </c>
      <c r="J207" s="30" t="s">
        <v>5219</v>
      </c>
      <c r="K207" s="30" t="s">
        <v>5560</v>
      </c>
    </row>
    <row r="208" spans="1:11" x14ac:dyDescent="0.35">
      <c r="A208" s="30" t="s">
        <v>9458</v>
      </c>
      <c r="B208" s="30" t="s">
        <v>9459</v>
      </c>
      <c r="C208" s="32">
        <v>16.84</v>
      </c>
      <c r="D208" s="30">
        <v>0.27</v>
      </c>
      <c r="E208" s="31">
        <v>1.6289999999999999E-2</v>
      </c>
      <c r="F208" s="30">
        <v>1026024556</v>
      </c>
      <c r="G208" s="30" t="s">
        <v>5427</v>
      </c>
      <c r="H208" s="30">
        <v>2020</v>
      </c>
      <c r="I208" s="30">
        <v>892089</v>
      </c>
      <c r="J208" s="30" t="s">
        <v>5431</v>
      </c>
      <c r="K208" s="30" t="s">
        <v>5430</v>
      </c>
    </row>
    <row r="209" spans="1:11" x14ac:dyDescent="0.35">
      <c r="A209" s="30" t="s">
        <v>9460</v>
      </c>
      <c r="B209" s="30" t="s">
        <v>9461</v>
      </c>
      <c r="C209" s="32">
        <v>10.1</v>
      </c>
      <c r="D209" s="30">
        <v>0</v>
      </c>
      <c r="E209" s="31">
        <v>0</v>
      </c>
      <c r="F209" s="30">
        <v>362968750</v>
      </c>
      <c r="G209" s="30" t="s">
        <v>5427</v>
      </c>
      <c r="H209" s="30">
        <v>2021</v>
      </c>
      <c r="I209" s="30">
        <v>62956</v>
      </c>
      <c r="J209" s="30" t="s">
        <v>5457</v>
      </c>
      <c r="K209" s="30" t="s">
        <v>5571</v>
      </c>
    </row>
    <row r="210" spans="1:11" x14ac:dyDescent="0.35">
      <c r="A210" s="30" t="s">
        <v>9462</v>
      </c>
      <c r="B210" s="30" t="s">
        <v>9463</v>
      </c>
      <c r="C210" s="32">
        <v>22.49</v>
      </c>
      <c r="D210" s="30">
        <v>0.26</v>
      </c>
      <c r="E210" s="31">
        <v>1.17E-2</v>
      </c>
      <c r="F210" s="30">
        <v>3384531727</v>
      </c>
      <c r="G210" s="30" t="s">
        <v>5427</v>
      </c>
      <c r="H210" s="30">
        <v>2020</v>
      </c>
      <c r="I210" s="30">
        <v>5033457</v>
      </c>
      <c r="J210" s="30" t="s">
        <v>5219</v>
      </c>
      <c r="K210" s="30" t="s">
        <v>5526</v>
      </c>
    </row>
    <row r="211" spans="1:11" x14ac:dyDescent="0.35">
      <c r="A211" s="30" t="s">
        <v>9464</v>
      </c>
      <c r="B211" s="30" t="s">
        <v>9465</v>
      </c>
      <c r="C211" s="32">
        <v>10.25</v>
      </c>
      <c r="D211" s="30">
        <v>-0.02</v>
      </c>
      <c r="E211" s="31">
        <v>-1.9499999999999999E-3</v>
      </c>
      <c r="F211" s="30">
        <v>257851563</v>
      </c>
      <c r="G211" s="30" t="s">
        <v>5427</v>
      </c>
      <c r="H211" s="30">
        <v>2021</v>
      </c>
      <c r="I211" s="30">
        <v>13320</v>
      </c>
      <c r="J211" s="30" t="s">
        <v>5457</v>
      </c>
      <c r="K211" s="30" t="s">
        <v>5571</v>
      </c>
    </row>
    <row r="212" spans="1:11" x14ac:dyDescent="0.35">
      <c r="A212" s="30" t="s">
        <v>9466</v>
      </c>
      <c r="B212" s="30" t="s">
        <v>9467</v>
      </c>
      <c r="C212" s="32">
        <v>60.22</v>
      </c>
      <c r="D212" s="30">
        <v>1.32</v>
      </c>
      <c r="E212" s="31">
        <v>2.2409999999999999E-2</v>
      </c>
      <c r="F212" s="30">
        <v>571547237</v>
      </c>
      <c r="G212" s="30" t="s">
        <v>5427</v>
      </c>
      <c r="H212" s="30"/>
      <c r="I212" s="30">
        <v>45078</v>
      </c>
      <c r="J212" s="30" t="s">
        <v>5426</v>
      </c>
      <c r="K212" s="30" t="s">
        <v>5490</v>
      </c>
    </row>
    <row r="213" spans="1:11" x14ac:dyDescent="0.35">
      <c r="A213" s="30" t="s">
        <v>9468</v>
      </c>
      <c r="B213" s="30" t="s">
        <v>9469</v>
      </c>
      <c r="C213" s="32">
        <v>0.378</v>
      </c>
      <c r="D213" s="30">
        <v>-2.1899999999999999E-2</v>
      </c>
      <c r="E213" s="31">
        <v>-5.4760000000000003E-2</v>
      </c>
      <c r="F213" s="30">
        <v>241294367</v>
      </c>
      <c r="G213" s="30" t="s">
        <v>5823</v>
      </c>
      <c r="H213" s="30"/>
      <c r="I213" s="30">
        <v>8538932</v>
      </c>
      <c r="J213" s="30" t="s">
        <v>5442</v>
      </c>
      <c r="K213" s="30" t="s">
        <v>5926</v>
      </c>
    </row>
    <row r="214" spans="1:11" x14ac:dyDescent="0.35">
      <c r="A214" s="30" t="s">
        <v>9470</v>
      </c>
      <c r="B214" s="30" t="s">
        <v>9471</v>
      </c>
      <c r="C214" s="32">
        <v>33.47</v>
      </c>
      <c r="D214" s="30">
        <v>0.7</v>
      </c>
      <c r="E214" s="31">
        <v>2.1360000000000001E-2</v>
      </c>
      <c r="F214" s="30">
        <v>1781525128</v>
      </c>
      <c r="G214" s="30" t="s">
        <v>5427</v>
      </c>
      <c r="H214" s="30">
        <v>2018</v>
      </c>
      <c r="I214" s="30">
        <v>401894</v>
      </c>
      <c r="J214" s="30" t="s">
        <v>5431</v>
      </c>
      <c r="K214" s="30" t="s">
        <v>5430</v>
      </c>
    </row>
    <row r="215" spans="1:11" x14ac:dyDescent="0.35">
      <c r="A215" s="30" t="s">
        <v>9472</v>
      </c>
      <c r="B215" s="30" t="s">
        <v>9473</v>
      </c>
      <c r="C215" s="32">
        <v>35.29</v>
      </c>
      <c r="D215" s="30">
        <v>0.3</v>
      </c>
      <c r="E215" s="31">
        <v>8.5699999999999995E-3</v>
      </c>
      <c r="F215" s="30">
        <v>4016472839</v>
      </c>
      <c r="G215" s="30" t="s">
        <v>5427</v>
      </c>
      <c r="H215" s="30"/>
      <c r="I215" s="30">
        <v>767963</v>
      </c>
      <c r="J215" s="30" t="s">
        <v>5431</v>
      </c>
      <c r="K215" s="30" t="s">
        <v>5430</v>
      </c>
    </row>
    <row r="216" spans="1:11" x14ac:dyDescent="0.35">
      <c r="A216" s="30" t="s">
        <v>9474</v>
      </c>
      <c r="B216" s="30" t="s">
        <v>9475</v>
      </c>
      <c r="C216" s="32">
        <v>10.16</v>
      </c>
      <c r="D216" s="30">
        <v>0.01</v>
      </c>
      <c r="E216" s="31">
        <v>9.8999999999999999E-4</v>
      </c>
      <c r="F216" s="30">
        <v>194934840</v>
      </c>
      <c r="G216" s="30" t="s">
        <v>5427</v>
      </c>
      <c r="H216" s="30">
        <v>2021</v>
      </c>
      <c r="I216" s="30">
        <v>23465</v>
      </c>
      <c r="J216" s="30" t="s">
        <v>5435</v>
      </c>
      <c r="K216" s="30" t="s">
        <v>5482</v>
      </c>
    </row>
    <row r="217" spans="1:11" x14ac:dyDescent="0.35">
      <c r="A217" s="30" t="s">
        <v>9476</v>
      </c>
      <c r="B217" s="30" t="s">
        <v>9477</v>
      </c>
      <c r="C217" s="32">
        <v>10.11</v>
      </c>
      <c r="D217" s="30">
        <v>0</v>
      </c>
      <c r="E217" s="31">
        <v>0</v>
      </c>
      <c r="F217" s="30">
        <v>193975515</v>
      </c>
      <c r="G217" s="30" t="s">
        <v>5427</v>
      </c>
      <c r="H217" s="30">
        <v>2021</v>
      </c>
      <c r="I217" s="30">
        <v>24</v>
      </c>
      <c r="J217" s="30" t="s">
        <v>5435</v>
      </c>
      <c r="K217" s="30" t="s">
        <v>5482</v>
      </c>
    </row>
    <row r="218" spans="1:11" x14ac:dyDescent="0.35">
      <c r="A218" s="30" t="s">
        <v>9478</v>
      </c>
      <c r="B218" s="30" t="s">
        <v>9479</v>
      </c>
      <c r="C218" s="32">
        <v>10.46</v>
      </c>
      <c r="D218" s="30">
        <v>-0.05</v>
      </c>
      <c r="E218" s="31">
        <v>-4.7600000000000003E-3</v>
      </c>
      <c r="F218" s="30">
        <v>90939250</v>
      </c>
      <c r="G218" s="30" t="s">
        <v>5752</v>
      </c>
      <c r="H218" s="30">
        <v>2022</v>
      </c>
      <c r="I218" s="30">
        <v>30023</v>
      </c>
      <c r="J218" s="30" t="s">
        <v>5435</v>
      </c>
      <c r="K218" s="30" t="s">
        <v>5482</v>
      </c>
    </row>
    <row r="219" spans="1:11" x14ac:dyDescent="0.35">
      <c r="A219" s="30" t="s">
        <v>9480</v>
      </c>
      <c r="B219" s="30" t="s">
        <v>9481</v>
      </c>
      <c r="C219" s="32">
        <v>10.26</v>
      </c>
      <c r="D219" s="30">
        <v>0.01</v>
      </c>
      <c r="E219" s="31">
        <v>9.7999999999999997E-4</v>
      </c>
      <c r="F219" s="30">
        <v>259578000</v>
      </c>
      <c r="G219" s="30" t="s">
        <v>5752</v>
      </c>
      <c r="H219" s="30">
        <v>2022</v>
      </c>
      <c r="I219" s="30">
        <v>1860</v>
      </c>
      <c r="J219" s="30" t="s">
        <v>5435</v>
      </c>
      <c r="K219" s="30" t="s">
        <v>5482</v>
      </c>
    </row>
    <row r="220" spans="1:11" x14ac:dyDescent="0.35">
      <c r="A220" s="30" t="s">
        <v>9482</v>
      </c>
      <c r="B220" s="30" t="s">
        <v>9483</v>
      </c>
      <c r="C220" s="32">
        <v>18.93</v>
      </c>
      <c r="D220" s="30">
        <v>0.32</v>
      </c>
      <c r="E220" s="31">
        <v>1.72E-2</v>
      </c>
      <c r="F220" s="30">
        <v>980094408</v>
      </c>
      <c r="G220" s="30" t="s">
        <v>5427</v>
      </c>
      <c r="H220" s="30">
        <v>2019</v>
      </c>
      <c r="I220" s="30">
        <v>203860</v>
      </c>
      <c r="J220" s="30" t="s">
        <v>5442</v>
      </c>
      <c r="K220" s="30" t="s">
        <v>5523</v>
      </c>
    </row>
    <row r="221" spans="1:11" x14ac:dyDescent="0.35">
      <c r="A221" s="30" t="s">
        <v>9484</v>
      </c>
      <c r="B221" s="30" t="s">
        <v>9485</v>
      </c>
      <c r="C221" s="32">
        <v>1.72</v>
      </c>
      <c r="D221" s="30">
        <v>-0.02</v>
      </c>
      <c r="E221" s="31">
        <v>-1.149E-2</v>
      </c>
      <c r="F221" s="30">
        <v>83901574</v>
      </c>
      <c r="G221" s="30" t="s">
        <v>5427</v>
      </c>
      <c r="H221" s="30">
        <v>2010</v>
      </c>
      <c r="I221" s="30">
        <v>193423</v>
      </c>
      <c r="J221" s="30" t="s">
        <v>5431</v>
      </c>
      <c r="K221" s="30" t="s">
        <v>5430</v>
      </c>
    </row>
    <row r="222" spans="1:11" x14ac:dyDescent="0.35">
      <c r="A222" s="30" t="s">
        <v>9486</v>
      </c>
      <c r="B222" s="30" t="s">
        <v>9487</v>
      </c>
      <c r="C222" s="32">
        <v>678.53</v>
      </c>
      <c r="D222" s="30">
        <v>17.690000000000001</v>
      </c>
      <c r="E222" s="31">
        <v>2.6769999999999999E-2</v>
      </c>
      <c r="F222" s="30">
        <v>273541380488</v>
      </c>
      <c r="G222" s="30" t="s">
        <v>6073</v>
      </c>
      <c r="H222" s="30">
        <v>1995</v>
      </c>
      <c r="I222" s="30">
        <v>1272698</v>
      </c>
      <c r="J222" s="30" t="s">
        <v>5219</v>
      </c>
      <c r="K222" s="30" t="s">
        <v>5644</v>
      </c>
    </row>
    <row r="223" spans="1:11" x14ac:dyDescent="0.35">
      <c r="A223" s="30" t="s">
        <v>9488</v>
      </c>
      <c r="B223" s="30" t="s">
        <v>9489</v>
      </c>
      <c r="C223" s="32">
        <v>123.5</v>
      </c>
      <c r="D223" s="30">
        <v>-0.57999999999999996</v>
      </c>
      <c r="E223" s="31">
        <v>-4.6699999999999997E-3</v>
      </c>
      <c r="F223" s="30">
        <v>7042864140</v>
      </c>
      <c r="G223" s="30" t="s">
        <v>6723</v>
      </c>
      <c r="H223" s="30">
        <v>2015</v>
      </c>
      <c r="I223" s="30">
        <v>157206</v>
      </c>
      <c r="J223" s="30" t="s">
        <v>5431</v>
      </c>
      <c r="K223" s="30" t="s">
        <v>5430</v>
      </c>
    </row>
    <row r="224" spans="1:11" x14ac:dyDescent="0.35">
      <c r="A224" s="30" t="s">
        <v>9490</v>
      </c>
      <c r="B224" s="30" t="s">
        <v>9491</v>
      </c>
      <c r="C224" s="32">
        <v>59.39</v>
      </c>
      <c r="D224" s="30">
        <v>0.97</v>
      </c>
      <c r="E224" s="31">
        <v>1.66E-2</v>
      </c>
      <c r="F224" s="30">
        <v>4641025195</v>
      </c>
      <c r="G224" s="30" t="s">
        <v>5427</v>
      </c>
      <c r="H224" s="30">
        <v>2020</v>
      </c>
      <c r="I224" s="30">
        <v>1451094</v>
      </c>
      <c r="J224" s="30" t="s">
        <v>5442</v>
      </c>
      <c r="K224" s="30" t="s">
        <v>5641</v>
      </c>
    </row>
    <row r="225" spans="1:11" x14ac:dyDescent="0.35">
      <c r="A225" s="30" t="s">
        <v>9492</v>
      </c>
      <c r="B225" s="30" t="s">
        <v>9493</v>
      </c>
      <c r="C225" s="32">
        <v>10.4</v>
      </c>
      <c r="D225" s="30">
        <v>0</v>
      </c>
      <c r="E225" s="31">
        <v>0</v>
      </c>
      <c r="F225" s="30">
        <v>77604779</v>
      </c>
      <c r="G225" s="30" t="s">
        <v>5427</v>
      </c>
      <c r="H225" s="30">
        <v>2021</v>
      </c>
      <c r="I225" s="30">
        <v>2</v>
      </c>
      <c r="J225" s="30" t="s">
        <v>5457</v>
      </c>
      <c r="K225" s="30" t="s">
        <v>5571</v>
      </c>
    </row>
    <row r="226" spans="1:11" x14ac:dyDescent="0.35">
      <c r="A226" s="30" t="s">
        <v>9494</v>
      </c>
      <c r="B226" s="30" t="s">
        <v>9495</v>
      </c>
      <c r="C226" s="32">
        <v>1.55</v>
      </c>
      <c r="D226" s="30">
        <v>-0.01</v>
      </c>
      <c r="E226" s="31">
        <v>-6.4099999999999999E-3</v>
      </c>
      <c r="F226" s="30">
        <v>53253547</v>
      </c>
      <c r="G226" s="30" t="s">
        <v>5427</v>
      </c>
      <c r="H226" s="30">
        <v>2022</v>
      </c>
      <c r="I226" s="30">
        <v>487</v>
      </c>
      <c r="J226" s="30" t="s">
        <v>5457</v>
      </c>
      <c r="K226" s="30" t="s">
        <v>5438</v>
      </c>
    </row>
    <row r="227" spans="1:11" x14ac:dyDescent="0.35">
      <c r="A227" s="30" t="s">
        <v>9496</v>
      </c>
      <c r="B227" s="30" t="s">
        <v>9497</v>
      </c>
      <c r="C227" s="32">
        <v>5.85</v>
      </c>
      <c r="D227" s="30">
        <v>-0.1</v>
      </c>
      <c r="E227" s="31">
        <v>-1.6809999999999999E-2</v>
      </c>
      <c r="F227" s="30">
        <v>94322083</v>
      </c>
      <c r="G227" s="30" t="s">
        <v>5823</v>
      </c>
      <c r="H227" s="30"/>
      <c r="I227" s="30">
        <v>164579</v>
      </c>
      <c r="J227" s="30" t="s">
        <v>5435</v>
      </c>
      <c r="K227" s="30" t="s">
        <v>5598</v>
      </c>
    </row>
    <row r="228" spans="1:11" x14ac:dyDescent="0.35">
      <c r="A228" s="30" t="s">
        <v>5044</v>
      </c>
      <c r="B228" s="30" t="s">
        <v>9498</v>
      </c>
      <c r="C228" s="32">
        <v>4.03</v>
      </c>
      <c r="D228" s="30">
        <v>-0.08</v>
      </c>
      <c r="E228" s="31">
        <v>-1.9460000000000002E-2</v>
      </c>
      <c r="F228" s="30">
        <v>194623260</v>
      </c>
      <c r="G228" s="30" t="s">
        <v>5427</v>
      </c>
      <c r="H228" s="30"/>
      <c r="I228" s="30">
        <v>709317</v>
      </c>
      <c r="J228" s="30" t="s">
        <v>5431</v>
      </c>
      <c r="K228" s="30" t="s">
        <v>5430</v>
      </c>
    </row>
    <row r="229" spans="1:11" x14ac:dyDescent="0.35">
      <c r="A229" s="30" t="s">
        <v>9499</v>
      </c>
      <c r="B229" s="30" t="s">
        <v>9500</v>
      </c>
      <c r="C229" s="32">
        <v>4</v>
      </c>
      <c r="D229" s="30">
        <v>-0.03</v>
      </c>
      <c r="E229" s="31">
        <v>-7.4400000000000004E-3</v>
      </c>
      <c r="F229" s="30">
        <v>68470468</v>
      </c>
      <c r="G229" s="30" t="s">
        <v>5427</v>
      </c>
      <c r="H229" s="30"/>
      <c r="I229" s="30">
        <v>3763</v>
      </c>
      <c r="J229" s="30" t="s">
        <v>5435</v>
      </c>
      <c r="K229" s="30" t="s">
        <v>5579</v>
      </c>
    </row>
    <row r="230" spans="1:11" x14ac:dyDescent="0.35">
      <c r="A230" s="30" t="s">
        <v>9501</v>
      </c>
      <c r="B230" s="30" t="s">
        <v>9502</v>
      </c>
      <c r="C230" s="32">
        <v>44.33</v>
      </c>
      <c r="D230" s="30">
        <v>0.19</v>
      </c>
      <c r="E230" s="31">
        <v>4.3E-3</v>
      </c>
      <c r="F230" s="30">
        <v>1006842864</v>
      </c>
      <c r="G230" s="30" t="s">
        <v>5427</v>
      </c>
      <c r="H230" s="30">
        <v>1986</v>
      </c>
      <c r="I230" s="30">
        <v>114264</v>
      </c>
      <c r="J230" s="30" t="s">
        <v>5457</v>
      </c>
      <c r="K230" s="30" t="s">
        <v>5460</v>
      </c>
    </row>
    <row r="231" spans="1:11" x14ac:dyDescent="0.35">
      <c r="A231" s="30" t="s">
        <v>9503</v>
      </c>
      <c r="B231" s="30" t="s">
        <v>9504</v>
      </c>
      <c r="C231" s="32">
        <v>8.36</v>
      </c>
      <c r="D231" s="30">
        <v>-0.05</v>
      </c>
      <c r="E231" s="31">
        <v>-5.9500000000000004E-3</v>
      </c>
      <c r="F231" s="30">
        <v>868224239</v>
      </c>
      <c r="G231" s="30" t="s">
        <v>5515</v>
      </c>
      <c r="H231" s="30"/>
      <c r="I231" s="30">
        <v>1497599</v>
      </c>
      <c r="J231" s="30"/>
      <c r="K231" s="30"/>
    </row>
    <row r="232" spans="1:11" x14ac:dyDescent="0.35">
      <c r="A232" s="30" t="s">
        <v>9505</v>
      </c>
      <c r="B232" s="30" t="s">
        <v>9506</v>
      </c>
      <c r="C232" s="32">
        <v>0.62</v>
      </c>
      <c r="D232" s="30">
        <v>-1.5800000000000002E-2</v>
      </c>
      <c r="E232" s="31">
        <v>-2.4850000000000001E-2</v>
      </c>
      <c r="F232" s="30">
        <v>165829007</v>
      </c>
      <c r="G232" s="30" t="s">
        <v>5427</v>
      </c>
      <c r="H232" s="30">
        <v>2020</v>
      </c>
      <c r="I232" s="30">
        <v>1911612</v>
      </c>
      <c r="J232" s="30"/>
      <c r="K232" s="30"/>
    </row>
    <row r="233" spans="1:11" x14ac:dyDescent="0.35">
      <c r="A233" s="30" t="s">
        <v>9507</v>
      </c>
      <c r="B233" s="30" t="s">
        <v>9508</v>
      </c>
      <c r="C233" s="32">
        <v>5.57</v>
      </c>
      <c r="D233" s="30">
        <v>0.185</v>
      </c>
      <c r="E233" s="31">
        <v>3.4349999999999999E-2</v>
      </c>
      <c r="F233" s="30">
        <v>396642429</v>
      </c>
      <c r="G233" s="30" t="s">
        <v>5427</v>
      </c>
      <c r="H233" s="30">
        <v>2019</v>
      </c>
      <c r="I233" s="30">
        <v>1844416</v>
      </c>
      <c r="J233" s="30" t="s">
        <v>5442</v>
      </c>
      <c r="K233" s="30" t="s">
        <v>5520</v>
      </c>
    </row>
    <row r="234" spans="1:11" x14ac:dyDescent="0.35">
      <c r="A234" s="30" t="s">
        <v>9509</v>
      </c>
      <c r="B234" s="30" t="s">
        <v>9510</v>
      </c>
      <c r="C234" s="32">
        <v>10.93</v>
      </c>
      <c r="D234" s="30">
        <v>0.3</v>
      </c>
      <c r="E234" s="31">
        <v>2.8219999999999999E-2</v>
      </c>
      <c r="F234" s="30">
        <v>220355598</v>
      </c>
      <c r="G234" s="30" t="s">
        <v>5427</v>
      </c>
      <c r="H234" s="30"/>
      <c r="I234" s="30">
        <v>88555</v>
      </c>
      <c r="J234" s="30" t="s">
        <v>5219</v>
      </c>
      <c r="K234" s="30" t="s">
        <v>5447</v>
      </c>
    </row>
    <row r="235" spans="1:11" x14ac:dyDescent="0.35">
      <c r="A235" s="30" t="s">
        <v>9511</v>
      </c>
      <c r="B235" s="30" t="s">
        <v>9512</v>
      </c>
      <c r="C235" s="32">
        <v>10.54</v>
      </c>
      <c r="D235" s="30">
        <v>-0.28999999999999998</v>
      </c>
      <c r="E235" s="31">
        <v>-2.6780000000000002E-2</v>
      </c>
      <c r="F235" s="30">
        <v>147808048</v>
      </c>
      <c r="G235" s="30" t="s">
        <v>5427</v>
      </c>
      <c r="H235" s="30"/>
      <c r="I235" s="30">
        <v>49428</v>
      </c>
      <c r="J235" s="30" t="s">
        <v>5219</v>
      </c>
      <c r="K235" s="30" t="s">
        <v>5526</v>
      </c>
    </row>
    <row r="236" spans="1:11" x14ac:dyDescent="0.35">
      <c r="A236" s="30" t="s">
        <v>9513</v>
      </c>
      <c r="B236" s="30" t="s">
        <v>9514</v>
      </c>
      <c r="C236" s="32">
        <v>1.84</v>
      </c>
      <c r="D236" s="30">
        <v>0.06</v>
      </c>
      <c r="E236" s="31">
        <v>3.3709999999999997E-2</v>
      </c>
      <c r="F236" s="30">
        <v>305210565</v>
      </c>
      <c r="G236" s="30" t="s">
        <v>6263</v>
      </c>
      <c r="H236" s="30">
        <v>2008</v>
      </c>
      <c r="I236" s="30">
        <v>1096704</v>
      </c>
      <c r="J236" s="30" t="s">
        <v>5431</v>
      </c>
      <c r="K236" s="30" t="s">
        <v>5430</v>
      </c>
    </row>
    <row r="237" spans="1:11" x14ac:dyDescent="0.35">
      <c r="A237" s="30" t="s">
        <v>9515</v>
      </c>
      <c r="B237" s="30" t="s">
        <v>9516</v>
      </c>
      <c r="C237" s="32">
        <v>10.26</v>
      </c>
      <c r="D237" s="30">
        <v>0.01</v>
      </c>
      <c r="E237" s="31">
        <v>9.7999999999999997E-4</v>
      </c>
      <c r="F237" s="30">
        <v>259065000</v>
      </c>
      <c r="G237" s="30" t="s">
        <v>5427</v>
      </c>
      <c r="H237" s="30">
        <v>2022</v>
      </c>
      <c r="I237" s="30">
        <v>85744</v>
      </c>
      <c r="J237" s="30" t="s">
        <v>5435</v>
      </c>
      <c r="K237" s="30" t="s">
        <v>5482</v>
      </c>
    </row>
    <row r="238" spans="1:11" x14ac:dyDescent="0.35">
      <c r="A238" s="30" t="s">
        <v>9517</v>
      </c>
      <c r="B238" s="30" t="s">
        <v>9518</v>
      </c>
      <c r="C238" s="32">
        <v>12.06</v>
      </c>
      <c r="D238" s="30">
        <v>-7.0000000000000007E-2</v>
      </c>
      <c r="E238" s="31">
        <v>-5.77E-3</v>
      </c>
      <c r="F238" s="30">
        <v>454915899</v>
      </c>
      <c r="G238" s="30" t="s">
        <v>5427</v>
      </c>
      <c r="H238" s="30">
        <v>2019</v>
      </c>
      <c r="I238" s="30">
        <v>2269526</v>
      </c>
      <c r="J238" s="30" t="s">
        <v>5442</v>
      </c>
      <c r="K238" s="30" t="s">
        <v>5701</v>
      </c>
    </row>
    <row r="239" spans="1:11" x14ac:dyDescent="0.35">
      <c r="A239" s="30" t="s">
        <v>9519</v>
      </c>
      <c r="B239" s="30" t="s">
        <v>9520</v>
      </c>
      <c r="C239" s="32">
        <v>13.25</v>
      </c>
      <c r="D239" s="30">
        <v>0.23</v>
      </c>
      <c r="E239" s="31">
        <v>1.7670000000000002E-2</v>
      </c>
      <c r="F239" s="30">
        <v>1392022793</v>
      </c>
      <c r="G239" s="30" t="s">
        <v>5427</v>
      </c>
      <c r="H239" s="30">
        <v>2006</v>
      </c>
      <c r="I239" s="30">
        <v>426544</v>
      </c>
      <c r="J239" s="30" t="s">
        <v>5431</v>
      </c>
      <c r="K239" s="30" t="s">
        <v>5500</v>
      </c>
    </row>
    <row r="240" spans="1:11" x14ac:dyDescent="0.35">
      <c r="A240" s="30" t="s">
        <v>9521</v>
      </c>
      <c r="B240" s="30" t="s">
        <v>9522</v>
      </c>
      <c r="C240" s="32">
        <v>1.52</v>
      </c>
      <c r="D240" s="30">
        <v>-0.01</v>
      </c>
      <c r="E240" s="31">
        <v>-6.5399999999999998E-3</v>
      </c>
      <c r="F240" s="30">
        <v>122923339</v>
      </c>
      <c r="G240" s="30" t="s">
        <v>5427</v>
      </c>
      <c r="H240" s="30">
        <v>2019</v>
      </c>
      <c r="I240" s="30">
        <v>2922203</v>
      </c>
      <c r="J240" s="30"/>
      <c r="K240" s="30"/>
    </row>
    <row r="241" spans="1:11" x14ac:dyDescent="0.35">
      <c r="A241" s="30" t="s">
        <v>9523</v>
      </c>
      <c r="B241" s="30" t="s">
        <v>9524</v>
      </c>
      <c r="C241" s="32">
        <v>36.64</v>
      </c>
      <c r="D241" s="30">
        <v>0.56999999999999995</v>
      </c>
      <c r="E241" s="31">
        <v>1.5800000000000002E-2</v>
      </c>
      <c r="F241" s="30">
        <v>694681283</v>
      </c>
      <c r="G241" s="30" t="s">
        <v>5427</v>
      </c>
      <c r="H241" s="30">
        <v>2015</v>
      </c>
      <c r="I241" s="30">
        <v>65162</v>
      </c>
      <c r="J241" s="30" t="s">
        <v>5442</v>
      </c>
      <c r="K241" s="30" t="s">
        <v>5520</v>
      </c>
    </row>
    <row r="242" spans="1:11" x14ac:dyDescent="0.35">
      <c r="A242" s="30" t="s">
        <v>9525</v>
      </c>
      <c r="B242" s="30" t="s">
        <v>9526</v>
      </c>
      <c r="C242" s="32">
        <v>4.22</v>
      </c>
      <c r="D242" s="30">
        <v>0.18</v>
      </c>
      <c r="E242" s="31">
        <v>4.4549999999999999E-2</v>
      </c>
      <c r="F242" s="30">
        <v>159639667</v>
      </c>
      <c r="G242" s="30" t="s">
        <v>5427</v>
      </c>
      <c r="H242" s="30">
        <v>2020</v>
      </c>
      <c r="I242" s="30">
        <v>425247</v>
      </c>
      <c r="J242" s="30" t="s">
        <v>5431</v>
      </c>
      <c r="K242" s="30" t="s">
        <v>5685</v>
      </c>
    </row>
    <row r="243" spans="1:11" x14ac:dyDescent="0.35">
      <c r="A243" s="30" t="s">
        <v>9527</v>
      </c>
      <c r="B243" s="30" t="s">
        <v>9528</v>
      </c>
      <c r="C243" s="32">
        <v>31.9</v>
      </c>
      <c r="D243" s="30">
        <v>-0.6</v>
      </c>
      <c r="E243" s="31">
        <v>-1.8460000000000001E-2</v>
      </c>
      <c r="F243" s="30">
        <v>460804911</v>
      </c>
      <c r="G243" s="30" t="s">
        <v>5427</v>
      </c>
      <c r="H243" s="30">
        <v>1995</v>
      </c>
      <c r="I243" s="30">
        <v>38847</v>
      </c>
      <c r="J243" s="30" t="s">
        <v>5435</v>
      </c>
      <c r="K243" s="30" t="s">
        <v>5598</v>
      </c>
    </row>
    <row r="244" spans="1:11" x14ac:dyDescent="0.35">
      <c r="A244" s="30" t="s">
        <v>9529</v>
      </c>
      <c r="B244" s="30" t="s">
        <v>9530</v>
      </c>
      <c r="C244" s="32">
        <v>24.2</v>
      </c>
      <c r="D244" s="30">
        <v>0.11</v>
      </c>
      <c r="E244" s="31">
        <v>4.5700000000000003E-3</v>
      </c>
      <c r="F244" s="30">
        <v>217610441</v>
      </c>
      <c r="G244" s="30" t="s">
        <v>5427</v>
      </c>
      <c r="H244" s="30"/>
      <c r="I244" s="30">
        <v>22592</v>
      </c>
      <c r="J244" s="30" t="s">
        <v>5435</v>
      </c>
      <c r="K244" s="30" t="s">
        <v>5579</v>
      </c>
    </row>
    <row r="245" spans="1:11" x14ac:dyDescent="0.35">
      <c r="A245" s="30" t="s">
        <v>9531</v>
      </c>
      <c r="B245" s="30" t="s">
        <v>9532</v>
      </c>
      <c r="C245" s="32">
        <v>10.119999999999999</v>
      </c>
      <c r="D245" s="30">
        <v>0</v>
      </c>
      <c r="E245" s="31">
        <v>0</v>
      </c>
      <c r="F245" s="30">
        <v>88757460</v>
      </c>
      <c r="G245" s="30" t="s">
        <v>5427</v>
      </c>
      <c r="H245" s="30">
        <v>2023</v>
      </c>
      <c r="I245" s="30">
        <v>148292</v>
      </c>
      <c r="J245" s="30"/>
      <c r="K245" s="30"/>
    </row>
    <row r="246" spans="1:11" x14ac:dyDescent="0.35">
      <c r="A246" s="30" t="s">
        <v>9533</v>
      </c>
      <c r="B246" s="30" t="s">
        <v>9534</v>
      </c>
      <c r="C246" s="32">
        <v>3.27</v>
      </c>
      <c r="D246" s="30">
        <v>-0.06</v>
      </c>
      <c r="E246" s="31">
        <v>-1.8020000000000001E-2</v>
      </c>
      <c r="F246" s="30">
        <v>79788000</v>
      </c>
      <c r="G246" s="30" t="s">
        <v>5427</v>
      </c>
      <c r="H246" s="30">
        <v>2017</v>
      </c>
      <c r="I246" s="30">
        <v>250282</v>
      </c>
      <c r="J246" s="30" t="s">
        <v>5431</v>
      </c>
      <c r="K246" s="30" t="s">
        <v>5430</v>
      </c>
    </row>
    <row r="247" spans="1:11" x14ac:dyDescent="0.35">
      <c r="A247" s="30" t="s">
        <v>9535</v>
      </c>
      <c r="B247" s="30" t="s">
        <v>9536</v>
      </c>
      <c r="C247" s="32">
        <v>49.44</v>
      </c>
      <c r="D247" s="30">
        <v>0.56000000000000005</v>
      </c>
      <c r="E247" s="31">
        <v>1.146E-2</v>
      </c>
      <c r="F247" s="30">
        <v>779339579</v>
      </c>
      <c r="G247" s="30" t="s">
        <v>5427</v>
      </c>
      <c r="H247" s="30"/>
      <c r="I247" s="30">
        <v>38319</v>
      </c>
      <c r="J247" s="30" t="s">
        <v>5732</v>
      </c>
      <c r="K247" s="30" t="s">
        <v>5520</v>
      </c>
    </row>
    <row r="248" spans="1:11" x14ac:dyDescent="0.35">
      <c r="A248" s="30" t="s">
        <v>9537</v>
      </c>
      <c r="B248" s="30" t="s">
        <v>9538</v>
      </c>
      <c r="C248" s="32">
        <v>7.78</v>
      </c>
      <c r="D248" s="30">
        <v>0.48</v>
      </c>
      <c r="E248" s="31">
        <v>6.5750000000000003E-2</v>
      </c>
      <c r="F248" s="30">
        <v>185581996</v>
      </c>
      <c r="G248" s="30" t="s">
        <v>5427</v>
      </c>
      <c r="H248" s="30">
        <v>2016</v>
      </c>
      <c r="I248" s="30">
        <v>246330</v>
      </c>
      <c r="J248" s="30" t="s">
        <v>5219</v>
      </c>
      <c r="K248" s="30" t="s">
        <v>5526</v>
      </c>
    </row>
    <row r="249" spans="1:11" x14ac:dyDescent="0.35">
      <c r="A249" s="30" t="s">
        <v>9539</v>
      </c>
      <c r="B249" s="30" t="s">
        <v>9540</v>
      </c>
      <c r="C249" s="32">
        <v>0.8</v>
      </c>
      <c r="D249" s="30">
        <v>-8.0000000000000004E-4</v>
      </c>
      <c r="E249" s="31">
        <v>-1E-3</v>
      </c>
      <c r="F249" s="30">
        <v>101299288</v>
      </c>
      <c r="G249" s="30" t="s">
        <v>5427</v>
      </c>
      <c r="H249" s="30">
        <v>2012</v>
      </c>
      <c r="I249" s="30">
        <v>421554</v>
      </c>
      <c r="J249" s="30" t="s">
        <v>5431</v>
      </c>
      <c r="K249" s="30" t="s">
        <v>9105</v>
      </c>
    </row>
    <row r="250" spans="1:11" x14ac:dyDescent="0.35">
      <c r="A250" s="30" t="s">
        <v>9541</v>
      </c>
      <c r="B250" s="30" t="s">
        <v>9542</v>
      </c>
      <c r="C250" s="32">
        <v>5.13</v>
      </c>
      <c r="D250" s="30">
        <v>0.06</v>
      </c>
      <c r="E250" s="31">
        <v>1.183E-2</v>
      </c>
      <c r="F250" s="30">
        <v>486727577</v>
      </c>
      <c r="G250" s="30" t="s">
        <v>5427</v>
      </c>
      <c r="H250" s="30">
        <v>2014</v>
      </c>
      <c r="I250" s="30">
        <v>800467</v>
      </c>
      <c r="J250" s="30" t="s">
        <v>5431</v>
      </c>
      <c r="K250" s="30" t="s">
        <v>6409</v>
      </c>
    </row>
    <row r="251" spans="1:11" x14ac:dyDescent="0.35">
      <c r="A251" s="30" t="s">
        <v>9543</v>
      </c>
      <c r="B251" s="30" t="s">
        <v>9544</v>
      </c>
      <c r="C251" s="32">
        <v>44.16</v>
      </c>
      <c r="D251" s="30">
        <v>0.88</v>
      </c>
      <c r="E251" s="31">
        <v>2.0330000000000001E-2</v>
      </c>
      <c r="F251" s="30">
        <v>2053809178</v>
      </c>
      <c r="G251" s="30" t="s">
        <v>5427</v>
      </c>
      <c r="H251" s="30">
        <v>2005</v>
      </c>
      <c r="I251" s="30">
        <v>481092</v>
      </c>
      <c r="J251" s="30" t="s">
        <v>5431</v>
      </c>
      <c r="K251" s="30" t="s">
        <v>5500</v>
      </c>
    </row>
    <row r="252" spans="1:11" x14ac:dyDescent="0.35">
      <c r="A252" s="30" t="s">
        <v>9545</v>
      </c>
      <c r="B252" s="30" t="s">
        <v>9546</v>
      </c>
      <c r="C252" s="32">
        <v>674</v>
      </c>
      <c r="D252" s="30">
        <v>-13.3</v>
      </c>
      <c r="E252" s="31">
        <v>-1.9349999999999999E-2</v>
      </c>
      <c r="F252" s="30">
        <v>1194747228</v>
      </c>
      <c r="G252" s="30" t="s">
        <v>5427</v>
      </c>
      <c r="H252" s="30"/>
      <c r="I252" s="30">
        <v>2682</v>
      </c>
      <c r="J252" s="30" t="s">
        <v>5431</v>
      </c>
      <c r="K252" s="30" t="s">
        <v>5500</v>
      </c>
    </row>
    <row r="253" spans="1:11" x14ac:dyDescent="0.35">
      <c r="A253" s="30" t="s">
        <v>9547</v>
      </c>
      <c r="B253" s="30" t="s">
        <v>9548</v>
      </c>
      <c r="C253" s="32">
        <v>14.79</v>
      </c>
      <c r="D253" s="30">
        <v>-0.06</v>
      </c>
      <c r="E253" s="31">
        <v>-4.0400000000000002E-3</v>
      </c>
      <c r="F253" s="30">
        <v>475810746</v>
      </c>
      <c r="G253" s="30" t="s">
        <v>5427</v>
      </c>
      <c r="H253" s="30"/>
      <c r="I253" s="30">
        <v>203279</v>
      </c>
      <c r="J253" s="30" t="s">
        <v>5457</v>
      </c>
      <c r="K253" s="30" t="s">
        <v>5701</v>
      </c>
    </row>
    <row r="254" spans="1:11" x14ac:dyDescent="0.35">
      <c r="A254" s="30" t="s">
        <v>9549</v>
      </c>
      <c r="B254" s="30" t="s">
        <v>9550</v>
      </c>
      <c r="C254" s="32">
        <v>28.29</v>
      </c>
      <c r="D254" s="30">
        <v>-0.02</v>
      </c>
      <c r="E254" s="31">
        <v>-7.1000000000000002E-4</v>
      </c>
      <c r="F254" s="30">
        <v>2057486351</v>
      </c>
      <c r="G254" s="30" t="s">
        <v>5427</v>
      </c>
      <c r="H254" s="30"/>
      <c r="I254" s="30">
        <v>310725</v>
      </c>
      <c r="J254" s="30" t="s">
        <v>5442</v>
      </c>
      <c r="K254" s="30" t="s">
        <v>5749</v>
      </c>
    </row>
    <row r="255" spans="1:11" x14ac:dyDescent="0.35">
      <c r="A255" s="30" t="s">
        <v>9551</v>
      </c>
      <c r="B255" s="30" t="s">
        <v>9552</v>
      </c>
      <c r="C255" s="32">
        <v>76.7</v>
      </c>
      <c r="D255" s="30">
        <v>0.13</v>
      </c>
      <c r="E255" s="31">
        <v>1.6999999999999999E-3</v>
      </c>
      <c r="F255" s="30">
        <v>60027361967</v>
      </c>
      <c r="G255" s="30" t="s">
        <v>5427</v>
      </c>
      <c r="H255" s="30"/>
      <c r="I255" s="30">
        <v>4571456</v>
      </c>
      <c r="J255" s="30" t="s">
        <v>5442</v>
      </c>
      <c r="K255" s="30" t="s">
        <v>5641</v>
      </c>
    </row>
    <row r="256" spans="1:11" x14ac:dyDescent="0.35">
      <c r="A256" s="30" t="s">
        <v>9553</v>
      </c>
      <c r="B256" s="30" t="s">
        <v>9554</v>
      </c>
      <c r="C256" s="32">
        <v>13.36</v>
      </c>
      <c r="D256" s="30">
        <v>-0.39</v>
      </c>
      <c r="E256" s="31">
        <v>-2.836E-2</v>
      </c>
      <c r="F256" s="30">
        <v>367417902</v>
      </c>
      <c r="G256" s="30" t="s">
        <v>5427</v>
      </c>
      <c r="H256" s="30">
        <v>2015</v>
      </c>
      <c r="I256" s="30">
        <v>91648</v>
      </c>
      <c r="J256" s="30" t="s">
        <v>5431</v>
      </c>
      <c r="K256" s="30" t="s">
        <v>5430</v>
      </c>
    </row>
    <row r="257" spans="1:11" x14ac:dyDescent="0.35">
      <c r="A257" s="30" t="s">
        <v>9555</v>
      </c>
      <c r="B257" s="30" t="s">
        <v>9556</v>
      </c>
      <c r="C257" s="32">
        <v>1.8</v>
      </c>
      <c r="D257" s="30">
        <v>0.03</v>
      </c>
      <c r="E257" s="31">
        <v>1.695E-2</v>
      </c>
      <c r="F257" s="30">
        <v>103286135</v>
      </c>
      <c r="G257" s="30" t="s">
        <v>5515</v>
      </c>
      <c r="H257" s="30"/>
      <c r="I257" s="30">
        <v>128522</v>
      </c>
      <c r="J257" s="30"/>
      <c r="K257" s="30"/>
    </row>
    <row r="258" spans="1:11" x14ac:dyDescent="0.35">
      <c r="A258" s="30" t="s">
        <v>9557</v>
      </c>
      <c r="B258" s="30" t="s">
        <v>9558</v>
      </c>
      <c r="C258" s="32">
        <v>24.28</v>
      </c>
      <c r="D258" s="30">
        <v>0</v>
      </c>
      <c r="E258" s="31">
        <v>0</v>
      </c>
      <c r="F258" s="30">
        <v>85087318</v>
      </c>
      <c r="G258" s="30" t="s">
        <v>5427</v>
      </c>
      <c r="H258" s="30"/>
      <c r="I258" s="30">
        <v>116</v>
      </c>
      <c r="J258" s="30" t="s">
        <v>5435</v>
      </c>
      <c r="K258" s="30" t="s">
        <v>5579</v>
      </c>
    </row>
    <row r="259" spans="1:11" x14ac:dyDescent="0.35">
      <c r="A259" s="30" t="s">
        <v>9559</v>
      </c>
      <c r="B259" s="30" t="s">
        <v>9560</v>
      </c>
      <c r="C259" s="32">
        <v>1.58</v>
      </c>
      <c r="D259" s="30">
        <v>0.04</v>
      </c>
      <c r="E259" s="31">
        <v>2.597E-2</v>
      </c>
      <c r="F259" s="30">
        <v>59142882</v>
      </c>
      <c r="G259" s="30" t="s">
        <v>5427</v>
      </c>
      <c r="H259" s="30"/>
      <c r="I259" s="30">
        <v>107467</v>
      </c>
      <c r="J259" s="30" t="s">
        <v>5219</v>
      </c>
      <c r="K259" s="30" t="s">
        <v>5560</v>
      </c>
    </row>
    <row r="260" spans="1:11" x14ac:dyDescent="0.35">
      <c r="A260" s="30" t="s">
        <v>9561</v>
      </c>
      <c r="B260" s="30" t="s">
        <v>9562</v>
      </c>
      <c r="C260" s="32">
        <v>9.27</v>
      </c>
      <c r="D260" s="30">
        <v>0.22</v>
      </c>
      <c r="E260" s="31">
        <v>2.4309999999999998E-2</v>
      </c>
      <c r="F260" s="30">
        <v>1317356947</v>
      </c>
      <c r="G260" s="30" t="s">
        <v>5515</v>
      </c>
      <c r="H260" s="30"/>
      <c r="I260" s="30">
        <v>2401859</v>
      </c>
      <c r="J260" s="30" t="s">
        <v>5431</v>
      </c>
      <c r="K260" s="30" t="s">
        <v>8643</v>
      </c>
    </row>
    <row r="261" spans="1:11" x14ac:dyDescent="0.35">
      <c r="A261" s="30" t="s">
        <v>9563</v>
      </c>
      <c r="B261" s="30" t="s">
        <v>9564</v>
      </c>
      <c r="C261" s="32">
        <v>1.97</v>
      </c>
      <c r="D261" s="30">
        <v>0.15</v>
      </c>
      <c r="E261" s="31">
        <v>8.2419999999999993E-2</v>
      </c>
      <c r="F261" s="30">
        <v>2293580540</v>
      </c>
      <c r="G261" s="30" t="s">
        <v>5427</v>
      </c>
      <c r="H261" s="30">
        <v>2021</v>
      </c>
      <c r="I261" s="30">
        <v>3461337</v>
      </c>
      <c r="J261" s="30" t="s">
        <v>5219</v>
      </c>
      <c r="K261" s="30" t="s">
        <v>5447</v>
      </c>
    </row>
    <row r="262" spans="1:11" x14ac:dyDescent="0.35">
      <c r="A262" s="30" t="s">
        <v>9565</v>
      </c>
      <c r="B262" s="30" t="s">
        <v>9566</v>
      </c>
      <c r="C262" s="32">
        <v>10.3</v>
      </c>
      <c r="D262" s="30">
        <v>-0.11</v>
      </c>
      <c r="E262" s="31">
        <v>-1.057E-2</v>
      </c>
      <c r="F262" s="30">
        <v>381509209</v>
      </c>
      <c r="G262" s="30" t="s">
        <v>5427</v>
      </c>
      <c r="H262" s="30">
        <v>2021</v>
      </c>
      <c r="I262" s="30">
        <v>158337</v>
      </c>
      <c r="J262" s="30" t="s">
        <v>5431</v>
      </c>
      <c r="K262" s="30" t="s">
        <v>5430</v>
      </c>
    </row>
    <row r="263" spans="1:11" x14ac:dyDescent="0.35">
      <c r="A263" s="30" t="s">
        <v>9567</v>
      </c>
      <c r="B263" s="30" t="s">
        <v>9568</v>
      </c>
      <c r="C263" s="32">
        <v>10.16</v>
      </c>
      <c r="D263" s="30">
        <v>-5.0000000000000001E-3</v>
      </c>
      <c r="E263" s="31">
        <v>-4.8999999999999998E-4</v>
      </c>
      <c r="F263" s="30">
        <v>353063647</v>
      </c>
      <c r="G263" s="30" t="s">
        <v>5775</v>
      </c>
      <c r="H263" s="30">
        <v>2021</v>
      </c>
      <c r="I263" s="30">
        <v>390318</v>
      </c>
      <c r="J263" s="30" t="s">
        <v>5435</v>
      </c>
      <c r="K263" s="30" t="s">
        <v>5598</v>
      </c>
    </row>
    <row r="264" spans="1:11" x14ac:dyDescent="0.35">
      <c r="A264" s="30" t="s">
        <v>9569</v>
      </c>
      <c r="B264" s="30" t="s">
        <v>9570</v>
      </c>
      <c r="C264" s="32">
        <v>2.0699999999999998</v>
      </c>
      <c r="D264" s="30">
        <v>-0.08</v>
      </c>
      <c r="E264" s="31">
        <v>-3.721E-2</v>
      </c>
      <c r="F264" s="30">
        <v>358233078</v>
      </c>
      <c r="G264" s="30" t="s">
        <v>5775</v>
      </c>
      <c r="H264" s="30">
        <v>2018</v>
      </c>
      <c r="I264" s="30">
        <v>515427</v>
      </c>
      <c r="J264" s="30" t="s">
        <v>5431</v>
      </c>
      <c r="K264" s="30" t="s">
        <v>6409</v>
      </c>
    </row>
    <row r="265" spans="1:11" x14ac:dyDescent="0.35">
      <c r="A265" s="30" t="s">
        <v>9571</v>
      </c>
      <c r="B265" s="30" t="s">
        <v>9572</v>
      </c>
      <c r="C265" s="32">
        <v>10.31</v>
      </c>
      <c r="D265" s="30">
        <v>-0.05</v>
      </c>
      <c r="E265" s="31">
        <v>-4.8300000000000001E-3</v>
      </c>
      <c r="F265" s="30">
        <v>268371878</v>
      </c>
      <c r="G265" s="30" t="s">
        <v>5427</v>
      </c>
      <c r="H265" s="30">
        <v>2021</v>
      </c>
      <c r="I265" s="30">
        <v>4720</v>
      </c>
      <c r="J265" s="30" t="s">
        <v>5457</v>
      </c>
      <c r="K265" s="30" t="s">
        <v>5571</v>
      </c>
    </row>
    <row r="266" spans="1:11" x14ac:dyDescent="0.35">
      <c r="A266" s="30" t="s">
        <v>9573</v>
      </c>
      <c r="B266" s="30" t="s">
        <v>9574</v>
      </c>
      <c r="C266" s="32">
        <v>1.21</v>
      </c>
      <c r="D266" s="30">
        <v>-0.01</v>
      </c>
      <c r="E266" s="31">
        <v>-8.2000000000000007E-3</v>
      </c>
      <c r="F266" s="30">
        <v>224961070</v>
      </c>
      <c r="G266" s="30" t="s">
        <v>5427</v>
      </c>
      <c r="H266" s="30">
        <v>2021</v>
      </c>
      <c r="I266" s="30">
        <v>112650</v>
      </c>
      <c r="J266" s="30" t="s">
        <v>5431</v>
      </c>
      <c r="K266" s="30" t="s">
        <v>5785</v>
      </c>
    </row>
    <row r="267" spans="1:11" x14ac:dyDescent="0.35">
      <c r="A267" s="30" t="s">
        <v>9575</v>
      </c>
      <c r="B267" s="30" t="s">
        <v>9576</v>
      </c>
      <c r="C267" s="32">
        <v>90.54</v>
      </c>
      <c r="D267" s="30">
        <v>1.57</v>
      </c>
      <c r="E267" s="31">
        <v>1.7649999999999999E-2</v>
      </c>
      <c r="F267" s="30">
        <v>2277743391</v>
      </c>
      <c r="G267" s="30" t="s">
        <v>5427</v>
      </c>
      <c r="H267" s="30">
        <v>2007</v>
      </c>
      <c r="I267" s="30">
        <v>173994</v>
      </c>
      <c r="J267" s="30" t="s">
        <v>5457</v>
      </c>
      <c r="K267" s="30" t="s">
        <v>5523</v>
      </c>
    </row>
    <row r="268" spans="1:11" x14ac:dyDescent="0.35">
      <c r="A268" s="30" t="s">
        <v>9577</v>
      </c>
      <c r="B268" s="30" t="s">
        <v>9578</v>
      </c>
      <c r="C268" s="32">
        <v>7.35</v>
      </c>
      <c r="D268" s="30">
        <v>-0.17499999999999999</v>
      </c>
      <c r="E268" s="31">
        <v>-2.3259999999999999E-2</v>
      </c>
      <c r="F268" s="30">
        <v>454073680</v>
      </c>
      <c r="G268" s="30" t="s">
        <v>5847</v>
      </c>
      <c r="H268" s="30"/>
      <c r="I268" s="30">
        <v>363121</v>
      </c>
      <c r="J268" s="30" t="s">
        <v>5431</v>
      </c>
      <c r="K268" s="30" t="s">
        <v>5430</v>
      </c>
    </row>
    <row r="269" spans="1:11" x14ac:dyDescent="0.35">
      <c r="A269" s="30" t="s">
        <v>9579</v>
      </c>
      <c r="B269" s="30" t="s">
        <v>9580</v>
      </c>
      <c r="C269" s="32">
        <v>11.22</v>
      </c>
      <c r="D269" s="30">
        <v>0.1</v>
      </c>
      <c r="E269" s="31">
        <v>8.9899999999999997E-3</v>
      </c>
      <c r="F269" s="30">
        <v>2229469573</v>
      </c>
      <c r="G269" s="30" t="s">
        <v>5427</v>
      </c>
      <c r="H269" s="30">
        <v>2021</v>
      </c>
      <c r="I269" s="30">
        <v>1241517</v>
      </c>
      <c r="J269" s="30" t="s">
        <v>5219</v>
      </c>
      <c r="K269" s="30" t="s">
        <v>5447</v>
      </c>
    </row>
    <row r="270" spans="1:11" x14ac:dyDescent="0.35">
      <c r="A270" s="30" t="s">
        <v>9581</v>
      </c>
      <c r="B270" s="30" t="s">
        <v>9582</v>
      </c>
      <c r="C270" s="32">
        <v>602.75</v>
      </c>
      <c r="D270" s="30">
        <v>17.739999999999998</v>
      </c>
      <c r="E270" s="31">
        <v>3.032E-2</v>
      </c>
      <c r="F270" s="30">
        <v>251880870885</v>
      </c>
      <c r="G270" s="30" t="s">
        <v>5427</v>
      </c>
      <c r="H270" s="30">
        <v>2009</v>
      </c>
      <c r="I270" s="30">
        <v>2653500</v>
      </c>
      <c r="J270" s="30" t="s">
        <v>5219</v>
      </c>
      <c r="K270" s="30" t="s">
        <v>5526</v>
      </c>
    </row>
    <row r="271" spans="1:11" x14ac:dyDescent="0.35">
      <c r="A271" s="30" t="s">
        <v>9583</v>
      </c>
      <c r="B271" s="30" t="s">
        <v>9584</v>
      </c>
      <c r="C271" s="32">
        <v>10.45</v>
      </c>
      <c r="D271" s="30">
        <v>0</v>
      </c>
      <c r="E271" s="31">
        <v>0</v>
      </c>
      <c r="F271" s="30">
        <v>130625000</v>
      </c>
      <c r="G271" s="30" t="s">
        <v>5427</v>
      </c>
      <c r="H271" s="30">
        <v>2021</v>
      </c>
      <c r="I271" s="30">
        <v>100</v>
      </c>
      <c r="J271" s="30" t="s">
        <v>5457</v>
      </c>
      <c r="K271" s="30" t="s">
        <v>5571</v>
      </c>
    </row>
    <row r="272" spans="1:11" x14ac:dyDescent="0.35">
      <c r="A272" s="30" t="s">
        <v>9585</v>
      </c>
      <c r="B272" s="30" t="s">
        <v>9586</v>
      </c>
      <c r="C272" s="32">
        <v>31.51</v>
      </c>
      <c r="D272" s="30">
        <v>1.2</v>
      </c>
      <c r="E272" s="31">
        <v>3.959E-2</v>
      </c>
      <c r="F272" s="30">
        <v>1376710153</v>
      </c>
      <c r="G272" s="30" t="s">
        <v>5427</v>
      </c>
      <c r="H272" s="30">
        <v>1993</v>
      </c>
      <c r="I272" s="30">
        <v>196036</v>
      </c>
      <c r="J272" s="30" t="s">
        <v>5219</v>
      </c>
      <c r="K272" s="30" t="s">
        <v>5560</v>
      </c>
    </row>
    <row r="273" spans="1:11" x14ac:dyDescent="0.35">
      <c r="A273" s="30" t="s">
        <v>5045</v>
      </c>
      <c r="B273" s="30" t="s">
        <v>9587</v>
      </c>
      <c r="C273" s="32">
        <v>4.62</v>
      </c>
      <c r="D273" s="30">
        <v>-0.01</v>
      </c>
      <c r="E273" s="31">
        <v>-2.16E-3</v>
      </c>
      <c r="F273" s="30">
        <v>384788892</v>
      </c>
      <c r="G273" s="30" t="s">
        <v>5427</v>
      </c>
      <c r="H273" s="30">
        <v>2020</v>
      </c>
      <c r="I273" s="30">
        <v>640001</v>
      </c>
      <c r="J273" s="30" t="s">
        <v>5431</v>
      </c>
      <c r="K273" s="30" t="s">
        <v>5685</v>
      </c>
    </row>
    <row r="274" spans="1:11" x14ac:dyDescent="0.35">
      <c r="A274" s="30" t="s">
        <v>9588</v>
      </c>
      <c r="B274" s="30" t="s">
        <v>9589</v>
      </c>
      <c r="C274" s="32">
        <v>32.96</v>
      </c>
      <c r="D274" s="30">
        <v>0.61</v>
      </c>
      <c r="E274" s="31">
        <v>1.8859999999999998E-2</v>
      </c>
      <c r="F274" s="30">
        <v>373110793</v>
      </c>
      <c r="G274" s="30" t="s">
        <v>5427</v>
      </c>
      <c r="H274" s="30"/>
      <c r="I274" s="30">
        <v>93527</v>
      </c>
      <c r="J274" s="30" t="s">
        <v>5732</v>
      </c>
      <c r="K274" s="30" t="s">
        <v>5520</v>
      </c>
    </row>
    <row r="275" spans="1:11" x14ac:dyDescent="0.35">
      <c r="A275" s="30" t="s">
        <v>9590</v>
      </c>
      <c r="B275" s="30" t="s">
        <v>9591</v>
      </c>
      <c r="C275" s="32">
        <v>12.6</v>
      </c>
      <c r="D275" s="30">
        <v>0.14000000000000001</v>
      </c>
      <c r="E275" s="31">
        <v>1.124E-2</v>
      </c>
      <c r="F275" s="30">
        <v>890436141</v>
      </c>
      <c r="G275" s="30" t="s">
        <v>5427</v>
      </c>
      <c r="H275" s="30">
        <v>2020</v>
      </c>
      <c r="I275" s="30">
        <v>107694</v>
      </c>
      <c r="J275" s="30" t="s">
        <v>5442</v>
      </c>
      <c r="K275" s="30" t="s">
        <v>5716</v>
      </c>
    </row>
    <row r="276" spans="1:11" x14ac:dyDescent="0.35">
      <c r="A276" s="30" t="s">
        <v>9592</v>
      </c>
      <c r="B276" s="30" t="s">
        <v>9593</v>
      </c>
      <c r="C276" s="32">
        <v>4.79</v>
      </c>
      <c r="D276" s="30">
        <v>0.32</v>
      </c>
      <c r="E276" s="31">
        <v>7.1590000000000001E-2</v>
      </c>
      <c r="F276" s="30">
        <v>894153860</v>
      </c>
      <c r="G276" s="30" t="s">
        <v>5427</v>
      </c>
      <c r="H276" s="30">
        <v>2019</v>
      </c>
      <c r="I276" s="30">
        <v>612885</v>
      </c>
      <c r="J276" s="30" t="s">
        <v>5219</v>
      </c>
      <c r="K276" s="30" t="s">
        <v>5447</v>
      </c>
    </row>
    <row r="277" spans="1:11" x14ac:dyDescent="0.35">
      <c r="A277" s="30" t="s">
        <v>9594</v>
      </c>
      <c r="B277" s="30" t="s">
        <v>9595</v>
      </c>
      <c r="C277" s="32">
        <v>46.91</v>
      </c>
      <c r="D277" s="30">
        <v>1.03</v>
      </c>
      <c r="E277" s="31">
        <v>2.2450000000000001E-2</v>
      </c>
      <c r="F277" s="30">
        <v>4293076402</v>
      </c>
      <c r="G277" s="30" t="s">
        <v>5427</v>
      </c>
      <c r="H277" s="30"/>
      <c r="I277" s="30">
        <v>743999</v>
      </c>
      <c r="J277" s="30" t="s">
        <v>5219</v>
      </c>
      <c r="K277" s="30" t="s">
        <v>5965</v>
      </c>
    </row>
    <row r="278" spans="1:11" x14ac:dyDescent="0.35">
      <c r="A278" s="30" t="s">
        <v>9596</v>
      </c>
      <c r="B278" s="30" t="s">
        <v>9597</v>
      </c>
      <c r="C278" s="32">
        <v>29.1</v>
      </c>
      <c r="D278" s="30">
        <v>-0.04</v>
      </c>
      <c r="E278" s="31">
        <v>-1.3699999999999999E-3</v>
      </c>
      <c r="F278" s="30">
        <v>1400985686</v>
      </c>
      <c r="G278" s="30" t="s">
        <v>5427</v>
      </c>
      <c r="H278" s="30"/>
      <c r="I278" s="30">
        <v>953879</v>
      </c>
      <c r="J278" s="30" t="s">
        <v>5435</v>
      </c>
      <c r="K278" s="30" t="s">
        <v>5434</v>
      </c>
    </row>
    <row r="279" spans="1:11" x14ac:dyDescent="0.35">
      <c r="A279" s="30" t="s">
        <v>9598</v>
      </c>
      <c r="B279" s="30" t="s">
        <v>9599</v>
      </c>
      <c r="C279" s="32">
        <v>23.04</v>
      </c>
      <c r="D279" s="30">
        <v>0.19</v>
      </c>
      <c r="E279" s="31">
        <v>8.3199999999999993E-3</v>
      </c>
      <c r="F279" s="30">
        <v>566900882</v>
      </c>
      <c r="G279" s="30" t="s">
        <v>5427</v>
      </c>
      <c r="H279" s="30">
        <v>2021</v>
      </c>
      <c r="I279" s="30">
        <v>1381691</v>
      </c>
      <c r="J279" s="30" t="s">
        <v>5431</v>
      </c>
      <c r="K279" s="30" t="s">
        <v>5430</v>
      </c>
    </row>
    <row r="280" spans="1:11" x14ac:dyDescent="0.35">
      <c r="A280" s="30" t="s">
        <v>9600</v>
      </c>
      <c r="B280" s="30" t="s">
        <v>9601</v>
      </c>
      <c r="C280" s="32">
        <v>10.99</v>
      </c>
      <c r="D280" s="30">
        <v>0.12</v>
      </c>
      <c r="E280" s="31">
        <v>1.1039999999999999E-2</v>
      </c>
      <c r="F280" s="30">
        <v>857573164</v>
      </c>
      <c r="G280" s="30" t="s">
        <v>5427</v>
      </c>
      <c r="H280" s="30"/>
      <c r="I280" s="30">
        <v>1188317</v>
      </c>
      <c r="J280" s="30" t="s">
        <v>5431</v>
      </c>
      <c r="K280" s="30" t="s">
        <v>9124</v>
      </c>
    </row>
    <row r="281" spans="1:11" x14ac:dyDescent="0.35">
      <c r="A281" s="30" t="s">
        <v>9602</v>
      </c>
      <c r="B281" s="30" t="s">
        <v>9603</v>
      </c>
      <c r="C281" s="32">
        <v>0.51</v>
      </c>
      <c r="D281" s="30">
        <v>1.3899999999999999E-2</v>
      </c>
      <c r="E281" s="31">
        <v>2.802E-2</v>
      </c>
      <c r="F281" s="30">
        <v>63543393</v>
      </c>
      <c r="G281" s="30" t="s">
        <v>5427</v>
      </c>
      <c r="H281" s="30"/>
      <c r="I281" s="30">
        <v>59121</v>
      </c>
      <c r="J281" s="30" t="s">
        <v>5431</v>
      </c>
      <c r="K281" s="30" t="s">
        <v>5500</v>
      </c>
    </row>
    <row r="282" spans="1:11" x14ac:dyDescent="0.35">
      <c r="A282" s="30" t="s">
        <v>9604</v>
      </c>
      <c r="B282" s="30" t="s">
        <v>9605</v>
      </c>
      <c r="C282" s="32">
        <v>0.67849999999999999</v>
      </c>
      <c r="D282" s="30">
        <v>-1.5100000000000001E-2</v>
      </c>
      <c r="E282" s="31">
        <v>-2.1770000000000001E-2</v>
      </c>
      <c r="F282" s="30">
        <v>67238997</v>
      </c>
      <c r="G282" s="30" t="s">
        <v>5427</v>
      </c>
      <c r="H282" s="30"/>
      <c r="I282" s="30">
        <v>218472</v>
      </c>
      <c r="J282" s="30" t="s">
        <v>5431</v>
      </c>
      <c r="K282" s="30" t="s">
        <v>5610</v>
      </c>
    </row>
    <row r="283" spans="1:11" x14ac:dyDescent="0.35">
      <c r="A283" s="30" t="s">
        <v>9606</v>
      </c>
      <c r="B283" s="30" t="s">
        <v>9607</v>
      </c>
      <c r="C283" s="32">
        <v>9.2899999999999991</v>
      </c>
      <c r="D283" s="30">
        <v>-0.18</v>
      </c>
      <c r="E283" s="31">
        <v>-1.9009999999999999E-2</v>
      </c>
      <c r="F283" s="30">
        <v>392842421</v>
      </c>
      <c r="G283" s="30" t="s">
        <v>5427</v>
      </c>
      <c r="H283" s="30"/>
      <c r="I283" s="30">
        <v>251183</v>
      </c>
      <c r="J283" s="30" t="s">
        <v>5431</v>
      </c>
      <c r="K283" s="30" t="s">
        <v>6537</v>
      </c>
    </row>
    <row r="284" spans="1:11" x14ac:dyDescent="0.35">
      <c r="A284" s="30" t="s">
        <v>9608</v>
      </c>
      <c r="B284" s="30" t="s">
        <v>9609</v>
      </c>
      <c r="C284" s="32">
        <v>61.07</v>
      </c>
      <c r="D284" s="30">
        <v>-0.33</v>
      </c>
      <c r="E284" s="31">
        <v>-5.3699999999999998E-3</v>
      </c>
      <c r="F284" s="30">
        <v>3024795329</v>
      </c>
      <c r="G284" s="30" t="s">
        <v>5427</v>
      </c>
      <c r="H284" s="30">
        <v>2018</v>
      </c>
      <c r="I284" s="30">
        <v>506346</v>
      </c>
      <c r="J284" s="30" t="s">
        <v>5431</v>
      </c>
      <c r="K284" s="30" t="s">
        <v>5500</v>
      </c>
    </row>
    <row r="285" spans="1:11" x14ac:dyDescent="0.35">
      <c r="A285" s="30" t="s">
        <v>9610</v>
      </c>
      <c r="B285" s="30" t="s">
        <v>9611</v>
      </c>
      <c r="C285" s="32">
        <v>198.39</v>
      </c>
      <c r="D285" s="30">
        <v>2.95</v>
      </c>
      <c r="E285" s="31">
        <v>1.5089999999999999E-2</v>
      </c>
      <c r="F285" s="30">
        <v>14118494580</v>
      </c>
      <c r="G285" s="30" t="s">
        <v>5427</v>
      </c>
      <c r="H285" s="30">
        <v>2001</v>
      </c>
      <c r="I285" s="30">
        <v>511420</v>
      </c>
      <c r="J285" s="30" t="s">
        <v>5442</v>
      </c>
      <c r="K285" s="30" t="s">
        <v>5701</v>
      </c>
    </row>
    <row r="286" spans="1:11" x14ac:dyDescent="0.35">
      <c r="A286" s="30" t="s">
        <v>9612</v>
      </c>
      <c r="B286" s="30" t="s">
        <v>9613</v>
      </c>
      <c r="C286" s="32">
        <v>74.52</v>
      </c>
      <c r="D286" s="30">
        <v>-0.48</v>
      </c>
      <c r="E286" s="31">
        <v>-6.4000000000000003E-3</v>
      </c>
      <c r="F286" s="30">
        <v>3236117592</v>
      </c>
      <c r="G286" s="30" t="s">
        <v>5427</v>
      </c>
      <c r="H286" s="30">
        <v>2015</v>
      </c>
      <c r="I286" s="30">
        <v>575500</v>
      </c>
      <c r="J286" s="30" t="s">
        <v>5431</v>
      </c>
      <c r="K286" s="30" t="s">
        <v>5430</v>
      </c>
    </row>
    <row r="287" spans="1:11" x14ac:dyDescent="0.35">
      <c r="A287" s="30" t="s">
        <v>9614</v>
      </c>
      <c r="B287" s="30" t="s">
        <v>9615</v>
      </c>
      <c r="C287" s="32">
        <v>6.25</v>
      </c>
      <c r="D287" s="30">
        <v>0.36</v>
      </c>
      <c r="E287" s="31">
        <v>6.1120000000000001E-2</v>
      </c>
      <c r="F287" s="30">
        <v>272208650</v>
      </c>
      <c r="G287" s="30" t="s">
        <v>5427</v>
      </c>
      <c r="H287" s="30">
        <v>1998</v>
      </c>
      <c r="I287" s="30">
        <v>188023</v>
      </c>
      <c r="J287" s="30" t="s">
        <v>5219</v>
      </c>
      <c r="K287" s="30" t="s">
        <v>5526</v>
      </c>
    </row>
    <row r="288" spans="1:11" x14ac:dyDescent="0.35">
      <c r="A288" s="30" t="s">
        <v>9616</v>
      </c>
      <c r="B288" s="30" t="s">
        <v>9617</v>
      </c>
      <c r="C288" s="32">
        <v>27.22</v>
      </c>
      <c r="D288" s="30">
        <v>-0.2</v>
      </c>
      <c r="E288" s="31">
        <v>-7.2899999999999996E-3</v>
      </c>
      <c r="F288" s="30">
        <v>3159020530</v>
      </c>
      <c r="G288" s="30" t="s">
        <v>5775</v>
      </c>
      <c r="H288" s="30">
        <v>2014</v>
      </c>
      <c r="I288" s="30">
        <v>450164</v>
      </c>
      <c r="J288" s="30" t="s">
        <v>5426</v>
      </c>
      <c r="K288" s="30" t="s">
        <v>6000</v>
      </c>
    </row>
    <row r="289" spans="1:11" x14ac:dyDescent="0.35">
      <c r="A289" s="30" t="s">
        <v>9618</v>
      </c>
      <c r="B289" s="30" t="s">
        <v>9619</v>
      </c>
      <c r="C289" s="32">
        <v>1.845</v>
      </c>
      <c r="D289" s="30">
        <v>-5.0000000000000001E-3</v>
      </c>
      <c r="E289" s="31">
        <v>-2.7000000000000001E-3</v>
      </c>
      <c r="F289" s="30">
        <v>61583626</v>
      </c>
      <c r="G289" s="30" t="s">
        <v>5515</v>
      </c>
      <c r="H289" s="30"/>
      <c r="I289" s="30">
        <v>58260</v>
      </c>
      <c r="J289" s="30"/>
      <c r="K289" s="30"/>
    </row>
    <row r="290" spans="1:11" x14ac:dyDescent="0.35">
      <c r="A290" s="30" t="s">
        <v>9620</v>
      </c>
      <c r="B290" s="30" t="s">
        <v>9621</v>
      </c>
      <c r="C290" s="32">
        <v>63.56</v>
      </c>
      <c r="D290" s="30">
        <v>-1.81</v>
      </c>
      <c r="E290" s="31">
        <v>-2.7689999999999999E-2</v>
      </c>
      <c r="F290" s="30">
        <v>197010579814</v>
      </c>
      <c r="G290" s="30" t="s">
        <v>5775</v>
      </c>
      <c r="H290" s="30"/>
      <c r="I290" s="30">
        <v>9537004</v>
      </c>
      <c r="J290" s="30" t="s">
        <v>5431</v>
      </c>
      <c r="K290" s="30" t="s">
        <v>5430</v>
      </c>
    </row>
    <row r="291" spans="1:11" x14ac:dyDescent="0.35">
      <c r="A291" s="30" t="s">
        <v>9622</v>
      </c>
      <c r="B291" s="30" t="s">
        <v>9623</v>
      </c>
      <c r="C291" s="32">
        <v>206.82</v>
      </c>
      <c r="D291" s="30">
        <v>8.07</v>
      </c>
      <c r="E291" s="31">
        <v>4.0599999999999997E-2</v>
      </c>
      <c r="F291" s="30">
        <v>13395267089</v>
      </c>
      <c r="G291" s="30" t="s">
        <v>5427</v>
      </c>
      <c r="H291" s="30"/>
      <c r="I291" s="30">
        <v>256955</v>
      </c>
      <c r="J291" s="30" t="s">
        <v>5219</v>
      </c>
      <c r="K291" s="30" t="s">
        <v>5447</v>
      </c>
    </row>
    <row r="292" spans="1:11" x14ac:dyDescent="0.35">
      <c r="A292" s="30" t="s">
        <v>9624</v>
      </c>
      <c r="B292" s="30" t="s">
        <v>9625</v>
      </c>
      <c r="C292" s="32">
        <v>58.17</v>
      </c>
      <c r="D292" s="30">
        <v>2.27</v>
      </c>
      <c r="E292" s="31">
        <v>4.061E-2</v>
      </c>
      <c r="F292" s="30">
        <v>4016873972</v>
      </c>
      <c r="G292" s="30" t="s">
        <v>5427</v>
      </c>
      <c r="H292" s="30"/>
      <c r="I292" s="30">
        <v>1093429</v>
      </c>
      <c r="J292" s="30" t="s">
        <v>5431</v>
      </c>
      <c r="K292" s="30" t="s">
        <v>5500</v>
      </c>
    </row>
    <row r="293" spans="1:11" x14ac:dyDescent="0.35">
      <c r="A293" s="30" t="s">
        <v>9626</v>
      </c>
      <c r="B293" s="30" t="s">
        <v>9627</v>
      </c>
      <c r="C293" s="32">
        <v>4.59</v>
      </c>
      <c r="D293" s="30">
        <v>0.105</v>
      </c>
      <c r="E293" s="31">
        <v>2.341E-2</v>
      </c>
      <c r="F293" s="30">
        <v>74010858</v>
      </c>
      <c r="G293" s="30" t="s">
        <v>5427</v>
      </c>
      <c r="H293" s="30">
        <v>2020</v>
      </c>
      <c r="I293" s="30">
        <v>20264</v>
      </c>
      <c r="J293" s="30" t="s">
        <v>5431</v>
      </c>
      <c r="K293" s="30" t="s">
        <v>5610</v>
      </c>
    </row>
    <row r="294" spans="1:11" x14ac:dyDescent="0.35">
      <c r="A294" s="30" t="s">
        <v>9628</v>
      </c>
      <c r="B294" s="30" t="s">
        <v>9629</v>
      </c>
      <c r="C294" s="32">
        <v>6.1</v>
      </c>
      <c r="D294" s="30">
        <v>-1.87</v>
      </c>
      <c r="E294" s="31">
        <v>-0.23463000000000001</v>
      </c>
      <c r="F294" s="30">
        <v>659523625</v>
      </c>
      <c r="G294" s="30" t="s">
        <v>5427</v>
      </c>
      <c r="H294" s="30"/>
      <c r="I294" s="30">
        <v>208471</v>
      </c>
      <c r="J294" s="30"/>
      <c r="K294" s="30"/>
    </row>
    <row r="295" spans="1:11" x14ac:dyDescent="0.35">
      <c r="A295" s="30" t="s">
        <v>9630</v>
      </c>
      <c r="B295" s="30" t="s">
        <v>9631</v>
      </c>
      <c r="C295" s="32">
        <v>18.46</v>
      </c>
      <c r="D295" s="30">
        <v>-0.34</v>
      </c>
      <c r="E295" s="31">
        <v>-1.8089999999999998E-2</v>
      </c>
      <c r="F295" s="30">
        <v>74624070</v>
      </c>
      <c r="G295" s="30" t="s">
        <v>5427</v>
      </c>
      <c r="H295" s="30"/>
      <c r="I295" s="30">
        <v>1181</v>
      </c>
      <c r="J295" s="30" t="s">
        <v>5435</v>
      </c>
      <c r="K295" s="30" t="s">
        <v>6556</v>
      </c>
    </row>
    <row r="296" spans="1:11" x14ac:dyDescent="0.35">
      <c r="A296" s="30" t="s">
        <v>9632</v>
      </c>
      <c r="B296" s="30" t="s">
        <v>9633</v>
      </c>
      <c r="C296" s="32">
        <v>25.08</v>
      </c>
      <c r="D296" s="30">
        <v>0.2</v>
      </c>
      <c r="E296" s="31">
        <v>8.0400000000000003E-3</v>
      </c>
      <c r="F296" s="30">
        <v>635136830</v>
      </c>
      <c r="G296" s="30" t="s">
        <v>5427</v>
      </c>
      <c r="H296" s="30">
        <v>2017</v>
      </c>
      <c r="I296" s="30">
        <v>442564</v>
      </c>
      <c r="J296" s="30" t="s">
        <v>5219</v>
      </c>
      <c r="K296" s="30" t="s">
        <v>5560</v>
      </c>
    </row>
    <row r="297" spans="1:11" x14ac:dyDescent="0.35">
      <c r="A297" s="30" t="s">
        <v>9634</v>
      </c>
      <c r="B297" s="30" t="s">
        <v>9635</v>
      </c>
      <c r="C297" s="32">
        <v>86.44</v>
      </c>
      <c r="D297" s="30">
        <v>0.31</v>
      </c>
      <c r="E297" s="31">
        <v>3.5999999999999999E-3</v>
      </c>
      <c r="F297" s="30">
        <v>2841763406</v>
      </c>
      <c r="G297" s="30" t="s">
        <v>5427</v>
      </c>
      <c r="H297" s="30">
        <v>1993</v>
      </c>
      <c r="I297" s="30">
        <v>84956</v>
      </c>
      <c r="J297" s="30" t="s">
        <v>5435</v>
      </c>
      <c r="K297" s="30" t="s">
        <v>5579</v>
      </c>
    </row>
    <row r="298" spans="1:11" x14ac:dyDescent="0.35">
      <c r="A298" s="30" t="s">
        <v>9636</v>
      </c>
      <c r="B298" s="30" t="s">
        <v>9637</v>
      </c>
      <c r="C298" s="32">
        <v>65.14</v>
      </c>
      <c r="D298" s="30">
        <v>0.79</v>
      </c>
      <c r="E298" s="31">
        <v>1.2279999999999999E-2</v>
      </c>
      <c r="F298" s="30">
        <v>2227398333</v>
      </c>
      <c r="G298" s="30" t="s">
        <v>5427</v>
      </c>
      <c r="H298" s="30"/>
      <c r="I298" s="30">
        <v>183843</v>
      </c>
      <c r="J298" s="30" t="s">
        <v>5435</v>
      </c>
      <c r="K298" s="30" t="s">
        <v>5579</v>
      </c>
    </row>
    <row r="299" spans="1:11" x14ac:dyDescent="0.35">
      <c r="A299" s="30" t="s">
        <v>9638</v>
      </c>
      <c r="B299" s="30" t="s">
        <v>9639</v>
      </c>
      <c r="C299" s="32">
        <v>18.27</v>
      </c>
      <c r="D299" s="30">
        <v>0.09</v>
      </c>
      <c r="E299" s="31">
        <v>4.9500000000000004E-3</v>
      </c>
      <c r="F299" s="30">
        <v>129764977</v>
      </c>
      <c r="G299" s="30" t="s">
        <v>5427</v>
      </c>
      <c r="H299" s="30"/>
      <c r="I299" s="30">
        <v>20977</v>
      </c>
      <c r="J299" s="30" t="s">
        <v>5435</v>
      </c>
      <c r="K299" s="30" t="s">
        <v>5568</v>
      </c>
    </row>
    <row r="300" spans="1:11" x14ac:dyDescent="0.35">
      <c r="A300" s="30" t="s">
        <v>9640</v>
      </c>
      <c r="B300" s="30" t="s">
        <v>9641</v>
      </c>
      <c r="C300" s="32">
        <v>15.65</v>
      </c>
      <c r="D300" s="30">
        <v>0.86</v>
      </c>
      <c r="E300" s="31">
        <v>5.815E-2</v>
      </c>
      <c r="F300" s="30">
        <v>706931080</v>
      </c>
      <c r="G300" s="30" t="s">
        <v>5427</v>
      </c>
      <c r="H300" s="30">
        <v>2021</v>
      </c>
      <c r="I300" s="30">
        <v>287772</v>
      </c>
      <c r="J300" s="30" t="s">
        <v>5219</v>
      </c>
      <c r="K300" s="30" t="s">
        <v>5447</v>
      </c>
    </row>
    <row r="301" spans="1:11" x14ac:dyDescent="0.35">
      <c r="A301" s="30" t="s">
        <v>9642</v>
      </c>
      <c r="B301" s="30" t="s">
        <v>9643</v>
      </c>
      <c r="C301" s="32">
        <v>35.25</v>
      </c>
      <c r="D301" s="30">
        <v>0.12</v>
      </c>
      <c r="E301" s="31">
        <v>3.4199999999999999E-3</v>
      </c>
      <c r="F301" s="30">
        <v>1863613885</v>
      </c>
      <c r="G301" s="30" t="s">
        <v>5427</v>
      </c>
      <c r="H301" s="30"/>
      <c r="I301" s="30">
        <v>49036</v>
      </c>
      <c r="J301" s="30" t="s">
        <v>5442</v>
      </c>
      <c r="K301" s="30" t="s">
        <v>5450</v>
      </c>
    </row>
    <row r="302" spans="1:11" x14ac:dyDescent="0.35">
      <c r="A302" s="30" t="s">
        <v>9644</v>
      </c>
      <c r="B302" s="30" t="s">
        <v>9645</v>
      </c>
      <c r="C302" s="32">
        <v>34.83</v>
      </c>
      <c r="D302" s="30">
        <v>0.15</v>
      </c>
      <c r="E302" s="31">
        <v>4.3299999999999996E-3</v>
      </c>
      <c r="F302" s="30">
        <v>1841409124</v>
      </c>
      <c r="G302" s="30" t="s">
        <v>5427</v>
      </c>
      <c r="H302" s="30"/>
      <c r="I302" s="30">
        <v>86543</v>
      </c>
      <c r="J302" s="30" t="s">
        <v>5442</v>
      </c>
      <c r="K302" s="30" t="s">
        <v>5450</v>
      </c>
    </row>
    <row r="303" spans="1:11" x14ac:dyDescent="0.35">
      <c r="A303" s="30" t="s">
        <v>9646</v>
      </c>
      <c r="B303" s="30" t="s">
        <v>9647</v>
      </c>
      <c r="C303" s="32">
        <v>2.82</v>
      </c>
      <c r="D303" s="30">
        <v>0</v>
      </c>
      <c r="E303" s="31">
        <v>0</v>
      </c>
      <c r="F303" s="30">
        <v>330786000</v>
      </c>
      <c r="G303" s="30" t="s">
        <v>5427</v>
      </c>
      <c r="H303" s="30">
        <v>1992</v>
      </c>
      <c r="I303" s="30">
        <v>21519674</v>
      </c>
      <c r="J303" s="30" t="s">
        <v>5442</v>
      </c>
      <c r="K303" s="30" t="s">
        <v>5508</v>
      </c>
    </row>
    <row r="304" spans="1:11" x14ac:dyDescent="0.35">
      <c r="A304" s="30" t="s">
        <v>9648</v>
      </c>
      <c r="B304" s="30" t="s">
        <v>9649</v>
      </c>
      <c r="C304" s="32">
        <v>8.09</v>
      </c>
      <c r="D304" s="30">
        <v>-0.05</v>
      </c>
      <c r="E304" s="31">
        <v>-6.1399999999999996E-3</v>
      </c>
      <c r="F304" s="30">
        <v>454869885</v>
      </c>
      <c r="G304" s="30" t="s">
        <v>5427</v>
      </c>
      <c r="H304" s="30">
        <v>2017</v>
      </c>
      <c r="I304" s="30">
        <v>189543</v>
      </c>
      <c r="J304" s="30" t="s">
        <v>5442</v>
      </c>
      <c r="K304" s="30" t="s">
        <v>5701</v>
      </c>
    </row>
    <row r="305" spans="1:11" x14ac:dyDescent="0.35">
      <c r="A305" s="30" t="s">
        <v>9650</v>
      </c>
      <c r="B305" s="30" t="s">
        <v>9651</v>
      </c>
      <c r="C305" s="32">
        <v>0.6905</v>
      </c>
      <c r="D305" s="30">
        <v>-4.8399999999999999E-2</v>
      </c>
      <c r="E305" s="31">
        <v>-6.5500000000000003E-2</v>
      </c>
      <c r="F305" s="30">
        <v>160983856</v>
      </c>
      <c r="G305" s="30" t="s">
        <v>5427</v>
      </c>
      <c r="H305" s="30">
        <v>2018</v>
      </c>
      <c r="I305" s="30">
        <v>4045942</v>
      </c>
      <c r="J305" s="30" t="s">
        <v>5442</v>
      </c>
      <c r="K305" s="30" t="s">
        <v>5641</v>
      </c>
    </row>
    <row r="306" spans="1:11" x14ac:dyDescent="0.35">
      <c r="A306" s="30" t="s">
        <v>9652</v>
      </c>
      <c r="B306" s="30" t="s">
        <v>9653</v>
      </c>
      <c r="C306" s="32">
        <v>9.77</v>
      </c>
      <c r="D306" s="30">
        <v>0.49</v>
      </c>
      <c r="E306" s="31">
        <v>5.28E-2</v>
      </c>
      <c r="F306" s="30">
        <v>1460450219</v>
      </c>
      <c r="G306" s="30" t="s">
        <v>5427</v>
      </c>
      <c r="H306" s="30">
        <v>2019</v>
      </c>
      <c r="I306" s="30">
        <v>1629341</v>
      </c>
      <c r="J306" s="30" t="s">
        <v>5431</v>
      </c>
      <c r="K306" s="30" t="s">
        <v>5430</v>
      </c>
    </row>
    <row r="307" spans="1:11" x14ac:dyDescent="0.35">
      <c r="A307" s="30" t="s">
        <v>9654</v>
      </c>
      <c r="B307" s="30" t="s">
        <v>9655</v>
      </c>
      <c r="C307" s="32">
        <v>96.86</v>
      </c>
      <c r="D307" s="30">
        <v>-2.52</v>
      </c>
      <c r="E307" s="31">
        <v>-2.5360000000000001E-2</v>
      </c>
      <c r="F307" s="30">
        <v>674325566</v>
      </c>
      <c r="G307" s="30" t="s">
        <v>5427</v>
      </c>
      <c r="H307" s="30">
        <v>1993</v>
      </c>
      <c r="I307" s="30">
        <v>58793</v>
      </c>
      <c r="J307" s="30" t="s">
        <v>5442</v>
      </c>
      <c r="K307" s="30" t="s">
        <v>5994</v>
      </c>
    </row>
    <row r="308" spans="1:11" x14ac:dyDescent="0.35">
      <c r="A308" s="30" t="s">
        <v>9656</v>
      </c>
      <c r="B308" s="30" t="s">
        <v>9657</v>
      </c>
      <c r="C308" s="32">
        <v>4</v>
      </c>
      <c r="D308" s="30">
        <v>0.21</v>
      </c>
      <c r="E308" s="31">
        <v>5.5410000000000001E-2</v>
      </c>
      <c r="F308" s="30">
        <v>189289616</v>
      </c>
      <c r="G308" s="30" t="s">
        <v>5427</v>
      </c>
      <c r="H308" s="30">
        <v>2020</v>
      </c>
      <c r="I308" s="30">
        <v>556833</v>
      </c>
      <c r="J308" s="30" t="s">
        <v>5431</v>
      </c>
      <c r="K308" s="30" t="s">
        <v>5685</v>
      </c>
    </row>
    <row r="309" spans="1:11" x14ac:dyDescent="0.35">
      <c r="A309" s="30" t="s">
        <v>9658</v>
      </c>
      <c r="B309" s="30" t="s">
        <v>9659</v>
      </c>
      <c r="C309" s="32">
        <v>3.21</v>
      </c>
      <c r="D309" s="30">
        <v>-0.1099</v>
      </c>
      <c r="E309" s="31">
        <v>-3.3099999999999997E-2</v>
      </c>
      <c r="F309" s="30">
        <v>121613842</v>
      </c>
      <c r="G309" s="30" t="s">
        <v>5515</v>
      </c>
      <c r="H309" s="30"/>
      <c r="I309" s="30">
        <v>4645</v>
      </c>
      <c r="J309" s="30"/>
      <c r="K309" s="30"/>
    </row>
    <row r="310" spans="1:11" x14ac:dyDescent="0.35">
      <c r="A310" s="30" t="s">
        <v>9660</v>
      </c>
      <c r="B310" s="30" t="s">
        <v>9661</v>
      </c>
      <c r="C310" s="32">
        <v>17.91</v>
      </c>
      <c r="D310" s="30">
        <v>-0.08</v>
      </c>
      <c r="E310" s="31">
        <v>-4.45E-3</v>
      </c>
      <c r="F310" s="30">
        <v>303234210</v>
      </c>
      <c r="G310" s="30" t="s">
        <v>5427</v>
      </c>
      <c r="H310" s="30">
        <v>2005</v>
      </c>
      <c r="I310" s="30">
        <v>65277</v>
      </c>
      <c r="J310" s="30" t="s">
        <v>5435</v>
      </c>
      <c r="K310" s="30" t="s">
        <v>6556</v>
      </c>
    </row>
    <row r="311" spans="1:11" x14ac:dyDescent="0.35">
      <c r="A311" s="30" t="s">
        <v>9662</v>
      </c>
      <c r="B311" s="30" t="s">
        <v>9663</v>
      </c>
      <c r="C311" s="32">
        <v>1.74</v>
      </c>
      <c r="D311" s="30">
        <v>0.06</v>
      </c>
      <c r="E311" s="31">
        <v>3.5709999999999999E-2</v>
      </c>
      <c r="F311" s="30">
        <v>67977260</v>
      </c>
      <c r="G311" s="30" t="s">
        <v>5427</v>
      </c>
      <c r="H311" s="30">
        <v>2019</v>
      </c>
      <c r="I311" s="30">
        <v>169122</v>
      </c>
      <c r="J311" s="30" t="s">
        <v>5431</v>
      </c>
      <c r="K311" s="30" t="s">
        <v>5430</v>
      </c>
    </row>
    <row r="312" spans="1:11" x14ac:dyDescent="0.35">
      <c r="A312" s="30" t="s">
        <v>9664</v>
      </c>
      <c r="B312" s="30" t="s">
        <v>9665</v>
      </c>
      <c r="C312" s="32">
        <v>1.95</v>
      </c>
      <c r="D312" s="30">
        <v>0.13</v>
      </c>
      <c r="E312" s="31">
        <v>7.1429999999999993E-2</v>
      </c>
      <c r="F312" s="30">
        <v>71256469</v>
      </c>
      <c r="G312" s="30" t="s">
        <v>5427</v>
      </c>
      <c r="H312" s="30"/>
      <c r="I312" s="30">
        <v>395987</v>
      </c>
      <c r="J312" s="30" t="s">
        <v>5431</v>
      </c>
      <c r="K312" s="30" t="s">
        <v>6409</v>
      </c>
    </row>
    <row r="313" spans="1:11" x14ac:dyDescent="0.35">
      <c r="A313" s="30" t="s">
        <v>9666</v>
      </c>
      <c r="B313" s="30" t="s">
        <v>9667</v>
      </c>
      <c r="C313" s="32">
        <v>20.64</v>
      </c>
      <c r="D313" s="30">
        <v>0.53</v>
      </c>
      <c r="E313" s="31">
        <v>2.6360000000000001E-2</v>
      </c>
      <c r="F313" s="30">
        <v>264985856</v>
      </c>
      <c r="G313" s="30" t="s">
        <v>5427</v>
      </c>
      <c r="H313" s="30">
        <v>2018</v>
      </c>
      <c r="I313" s="30">
        <v>24807</v>
      </c>
      <c r="J313" s="30" t="s">
        <v>5435</v>
      </c>
      <c r="K313" s="30" t="s">
        <v>5579</v>
      </c>
    </row>
    <row r="314" spans="1:11" x14ac:dyDescent="0.35">
      <c r="A314" s="30" t="s">
        <v>9668</v>
      </c>
      <c r="B314" s="30" t="s">
        <v>9669</v>
      </c>
      <c r="C314" s="32">
        <v>6.42</v>
      </c>
      <c r="D314" s="30">
        <v>0.08</v>
      </c>
      <c r="E314" s="31">
        <v>1.2619999999999999E-2</v>
      </c>
      <c r="F314" s="30">
        <v>270103633</v>
      </c>
      <c r="G314" s="30" t="s">
        <v>5427</v>
      </c>
      <c r="H314" s="30">
        <v>2012</v>
      </c>
      <c r="I314" s="30">
        <v>101743</v>
      </c>
      <c r="J314" s="30" t="s">
        <v>5219</v>
      </c>
      <c r="K314" s="30" t="s">
        <v>5447</v>
      </c>
    </row>
    <row r="315" spans="1:11" x14ac:dyDescent="0.35">
      <c r="A315" s="30" t="s">
        <v>9670</v>
      </c>
      <c r="B315" s="30" t="s">
        <v>9671</v>
      </c>
      <c r="C315" s="32">
        <v>9.9700000000000006</v>
      </c>
      <c r="D315" s="30">
        <v>0.04</v>
      </c>
      <c r="E315" s="31">
        <v>4.0299999999999997E-3</v>
      </c>
      <c r="F315" s="30">
        <v>66012138</v>
      </c>
      <c r="G315" s="30" t="s">
        <v>5427</v>
      </c>
      <c r="H315" s="30">
        <v>2019</v>
      </c>
      <c r="I315" s="30">
        <v>5250</v>
      </c>
      <c r="J315" s="30" t="s">
        <v>5435</v>
      </c>
      <c r="K315" s="30" t="s">
        <v>5598</v>
      </c>
    </row>
    <row r="316" spans="1:11" x14ac:dyDescent="0.35">
      <c r="A316" s="30" t="s">
        <v>9672</v>
      </c>
      <c r="B316" s="30" t="s">
        <v>9673</v>
      </c>
      <c r="C316" s="32">
        <v>135.72</v>
      </c>
      <c r="D316" s="30">
        <v>5.09</v>
      </c>
      <c r="E316" s="31">
        <v>3.8969999999999998E-2</v>
      </c>
      <c r="F316" s="30">
        <v>4361378758</v>
      </c>
      <c r="G316" s="30" t="s">
        <v>5427</v>
      </c>
      <c r="H316" s="30"/>
      <c r="I316" s="30">
        <v>167474</v>
      </c>
      <c r="J316" s="30" t="s">
        <v>5457</v>
      </c>
      <c r="K316" s="30" t="s">
        <v>5438</v>
      </c>
    </row>
    <row r="317" spans="1:11" x14ac:dyDescent="0.35">
      <c r="A317" s="30" t="s">
        <v>9674</v>
      </c>
      <c r="B317" s="30" t="s">
        <v>9675</v>
      </c>
      <c r="C317" s="32">
        <v>10.52</v>
      </c>
      <c r="D317" s="30">
        <v>-0.03</v>
      </c>
      <c r="E317" s="31">
        <v>-2.8400000000000001E-3</v>
      </c>
      <c r="F317" s="30">
        <v>1961178744</v>
      </c>
      <c r="G317" s="30" t="s">
        <v>5427</v>
      </c>
      <c r="H317" s="30">
        <v>1994</v>
      </c>
      <c r="I317" s="30">
        <v>2296635</v>
      </c>
      <c r="J317" s="30" t="s">
        <v>5431</v>
      </c>
      <c r="K317" s="30" t="s">
        <v>6409</v>
      </c>
    </row>
    <row r="318" spans="1:11" x14ac:dyDescent="0.35">
      <c r="A318" s="30" t="s">
        <v>9676</v>
      </c>
      <c r="B318" s="30" t="s">
        <v>9677</v>
      </c>
      <c r="C318" s="32">
        <v>7.47</v>
      </c>
      <c r="D318" s="30">
        <v>-0.01</v>
      </c>
      <c r="E318" s="31">
        <v>-1.34E-3</v>
      </c>
      <c r="F318" s="30">
        <v>115919594</v>
      </c>
      <c r="G318" s="30" t="s">
        <v>5515</v>
      </c>
      <c r="H318" s="30"/>
      <c r="I318" s="30">
        <v>98262</v>
      </c>
      <c r="J318" s="30" t="s">
        <v>5431</v>
      </c>
      <c r="K318" s="30" t="s">
        <v>8643</v>
      </c>
    </row>
    <row r="319" spans="1:11" x14ac:dyDescent="0.35">
      <c r="A319" s="30" t="s">
        <v>9678</v>
      </c>
      <c r="B319" s="30" t="s">
        <v>9679</v>
      </c>
      <c r="C319" s="32">
        <v>28.94</v>
      </c>
      <c r="D319" s="30">
        <v>1.32</v>
      </c>
      <c r="E319" s="31">
        <v>4.7789999999999999E-2</v>
      </c>
      <c r="F319" s="30">
        <v>859213291</v>
      </c>
      <c r="G319" s="30" t="s">
        <v>5775</v>
      </c>
      <c r="H319" s="30">
        <v>2019</v>
      </c>
      <c r="I319" s="30">
        <v>267459</v>
      </c>
      <c r="J319" s="30" t="s">
        <v>5431</v>
      </c>
      <c r="K319" s="30" t="s">
        <v>5430</v>
      </c>
    </row>
    <row r="320" spans="1:11" x14ac:dyDescent="0.35">
      <c r="A320" s="30" t="s">
        <v>9680</v>
      </c>
      <c r="B320" s="30" t="s">
        <v>9681</v>
      </c>
      <c r="C320" s="32">
        <v>2.37</v>
      </c>
      <c r="D320" s="30">
        <v>-0.03</v>
      </c>
      <c r="E320" s="31">
        <v>-1.2500000000000001E-2</v>
      </c>
      <c r="F320" s="30">
        <v>181294496</v>
      </c>
      <c r="G320" s="30" t="s">
        <v>5427</v>
      </c>
      <c r="H320" s="30">
        <v>2020</v>
      </c>
      <c r="I320" s="30">
        <v>130136</v>
      </c>
      <c r="J320" s="30" t="s">
        <v>5431</v>
      </c>
      <c r="K320" s="30" t="s">
        <v>5232</v>
      </c>
    </row>
    <row r="321" spans="1:11" x14ac:dyDescent="0.35">
      <c r="A321" s="30" t="s">
        <v>9682</v>
      </c>
      <c r="B321" s="30" t="s">
        <v>9683</v>
      </c>
      <c r="C321" s="32">
        <v>2.99</v>
      </c>
      <c r="D321" s="30">
        <v>-0.01</v>
      </c>
      <c r="E321" s="31">
        <v>-3.3300000000000001E-3</v>
      </c>
      <c r="F321" s="30">
        <v>108734956</v>
      </c>
      <c r="G321" s="30" t="s">
        <v>5427</v>
      </c>
      <c r="H321" s="30">
        <v>2020</v>
      </c>
      <c r="I321" s="30">
        <v>37472</v>
      </c>
      <c r="J321" s="30" t="s">
        <v>5431</v>
      </c>
      <c r="K321" s="30" t="s">
        <v>5430</v>
      </c>
    </row>
    <row r="322" spans="1:11" x14ac:dyDescent="0.35">
      <c r="A322" s="30" t="s">
        <v>9684</v>
      </c>
      <c r="B322" s="30" t="s">
        <v>9685</v>
      </c>
      <c r="C322" s="32">
        <v>45.97</v>
      </c>
      <c r="D322" s="30">
        <v>2.52</v>
      </c>
      <c r="E322" s="31">
        <v>5.8000000000000003E-2</v>
      </c>
      <c r="F322" s="30">
        <v>3239458137</v>
      </c>
      <c r="G322" s="30" t="s">
        <v>5427</v>
      </c>
      <c r="H322" s="30">
        <v>2020</v>
      </c>
      <c r="I322" s="30">
        <v>1127256</v>
      </c>
      <c r="J322" s="30" t="s">
        <v>5431</v>
      </c>
      <c r="K322" s="30" t="s">
        <v>5685</v>
      </c>
    </row>
    <row r="323" spans="1:11" x14ac:dyDescent="0.35">
      <c r="A323" s="30" t="s">
        <v>9686</v>
      </c>
      <c r="B323" s="30" t="s">
        <v>9687</v>
      </c>
      <c r="C323" s="32">
        <v>58.81</v>
      </c>
      <c r="D323" s="30">
        <v>1.93</v>
      </c>
      <c r="E323" s="31">
        <v>3.3930000000000002E-2</v>
      </c>
      <c r="F323" s="30">
        <v>3826292927</v>
      </c>
      <c r="G323" s="30" t="s">
        <v>5427</v>
      </c>
      <c r="H323" s="30">
        <v>2004</v>
      </c>
      <c r="I323" s="30">
        <v>564469</v>
      </c>
      <c r="J323" s="30" t="s">
        <v>5442</v>
      </c>
      <c r="K323" s="30" t="s">
        <v>5505</v>
      </c>
    </row>
    <row r="324" spans="1:11" x14ac:dyDescent="0.35">
      <c r="A324" s="30" t="s">
        <v>9688</v>
      </c>
      <c r="B324" s="30" t="s">
        <v>9689</v>
      </c>
      <c r="C324" s="32">
        <v>17.77</v>
      </c>
      <c r="D324" s="30">
        <v>0.36</v>
      </c>
      <c r="E324" s="31">
        <v>2.068E-2</v>
      </c>
      <c r="F324" s="30">
        <v>179398137</v>
      </c>
      <c r="G324" s="30" t="s">
        <v>5427</v>
      </c>
      <c r="H324" s="30"/>
      <c r="I324" s="30">
        <v>99056</v>
      </c>
      <c r="J324" s="30" t="s">
        <v>5219</v>
      </c>
      <c r="K324" s="30" t="s">
        <v>5526</v>
      </c>
    </row>
    <row r="325" spans="1:11" x14ac:dyDescent="0.35">
      <c r="A325" s="30" t="s">
        <v>9690</v>
      </c>
      <c r="B325" s="30" t="s">
        <v>9691</v>
      </c>
      <c r="C325" s="32">
        <v>40.65</v>
      </c>
      <c r="D325" s="30">
        <v>0.3</v>
      </c>
      <c r="E325" s="31">
        <v>7.43E-3</v>
      </c>
      <c r="F325" s="30">
        <v>507305862</v>
      </c>
      <c r="G325" s="30" t="s">
        <v>5427</v>
      </c>
      <c r="H325" s="30"/>
      <c r="I325" s="30">
        <v>6567</v>
      </c>
      <c r="J325" s="30"/>
      <c r="K325" s="30"/>
    </row>
    <row r="326" spans="1:11" x14ac:dyDescent="0.35">
      <c r="A326" s="30" t="s">
        <v>9692</v>
      </c>
      <c r="B326" s="30" t="s">
        <v>9693</v>
      </c>
      <c r="C326" s="32">
        <v>39.299999999999997</v>
      </c>
      <c r="D326" s="30">
        <v>-0.14000000000000001</v>
      </c>
      <c r="E326" s="31">
        <v>-3.5500000000000002E-3</v>
      </c>
      <c r="F326" s="30">
        <v>490458066</v>
      </c>
      <c r="G326" s="30" t="s">
        <v>5427</v>
      </c>
      <c r="H326" s="30"/>
      <c r="I326" s="30">
        <v>104502</v>
      </c>
      <c r="J326" s="30"/>
      <c r="K326" s="30"/>
    </row>
    <row r="327" spans="1:11" x14ac:dyDescent="0.35">
      <c r="A327" s="30" t="s">
        <v>9694</v>
      </c>
      <c r="B327" s="30" t="s">
        <v>9695</v>
      </c>
      <c r="C327" s="32">
        <v>80.099999999999994</v>
      </c>
      <c r="D327" s="30">
        <v>0.24</v>
      </c>
      <c r="E327" s="31">
        <v>3.0100000000000001E-3</v>
      </c>
      <c r="F327" s="30">
        <v>722637930</v>
      </c>
      <c r="G327" s="30" t="s">
        <v>5427</v>
      </c>
      <c r="H327" s="30"/>
      <c r="I327" s="30">
        <v>20123</v>
      </c>
      <c r="J327" s="30" t="s">
        <v>5435</v>
      </c>
      <c r="K327" s="30" t="s">
        <v>5579</v>
      </c>
    </row>
    <row r="328" spans="1:11" x14ac:dyDescent="0.35">
      <c r="A328" s="30" t="s">
        <v>9696</v>
      </c>
      <c r="B328" s="30" t="s">
        <v>9697</v>
      </c>
      <c r="C328" s="32">
        <v>10.33</v>
      </c>
      <c r="D328" s="30">
        <v>0.24</v>
      </c>
      <c r="E328" s="31">
        <v>2.3789999999999999E-2</v>
      </c>
      <c r="F328" s="30">
        <v>131631027</v>
      </c>
      <c r="G328" s="30" t="s">
        <v>5427</v>
      </c>
      <c r="H328" s="30">
        <v>2005</v>
      </c>
      <c r="I328" s="30">
        <v>8354</v>
      </c>
      <c r="J328" s="30" t="s">
        <v>5435</v>
      </c>
      <c r="K328" s="30" t="s">
        <v>5579</v>
      </c>
    </row>
    <row r="329" spans="1:11" x14ac:dyDescent="0.35">
      <c r="A329" s="30" t="s">
        <v>9698</v>
      </c>
      <c r="B329" s="30" t="s">
        <v>9699</v>
      </c>
      <c r="C329" s="32">
        <v>21</v>
      </c>
      <c r="D329" s="30">
        <v>0.26</v>
      </c>
      <c r="E329" s="31">
        <v>1.2540000000000001E-2</v>
      </c>
      <c r="F329" s="30">
        <v>527316573</v>
      </c>
      <c r="G329" s="30" t="s">
        <v>5427</v>
      </c>
      <c r="H329" s="30"/>
      <c r="I329" s="30">
        <v>129543</v>
      </c>
      <c r="J329" s="30" t="s">
        <v>5435</v>
      </c>
      <c r="K329" s="30" t="s">
        <v>5579</v>
      </c>
    </row>
    <row r="330" spans="1:11" x14ac:dyDescent="0.35">
      <c r="A330" s="30" t="s">
        <v>9700</v>
      </c>
      <c r="B330" s="30" t="s">
        <v>9701</v>
      </c>
      <c r="C330" s="32">
        <v>4.4400000000000004</v>
      </c>
      <c r="D330" s="30">
        <v>0.09</v>
      </c>
      <c r="E330" s="31">
        <v>2.069E-2</v>
      </c>
      <c r="F330" s="30">
        <v>1643763684</v>
      </c>
      <c r="G330" s="30" t="s">
        <v>5427</v>
      </c>
      <c r="H330" s="30"/>
      <c r="I330" s="30">
        <v>1939740</v>
      </c>
      <c r="J330" s="30" t="s">
        <v>5435</v>
      </c>
      <c r="K330" s="30" t="s">
        <v>6221</v>
      </c>
    </row>
    <row r="331" spans="1:11" x14ac:dyDescent="0.35">
      <c r="A331" s="30" t="s">
        <v>9702</v>
      </c>
      <c r="B331" s="30" t="s">
        <v>9703</v>
      </c>
      <c r="C331" s="32">
        <v>9.9600000000000009</v>
      </c>
      <c r="D331" s="30">
        <v>-0.03</v>
      </c>
      <c r="E331" s="31">
        <v>-3.0000000000000001E-3</v>
      </c>
      <c r="F331" s="30">
        <v>220955927</v>
      </c>
      <c r="G331" s="30" t="s">
        <v>5427</v>
      </c>
      <c r="H331" s="30">
        <v>2002</v>
      </c>
      <c r="I331" s="30">
        <v>347557</v>
      </c>
      <c r="J331" s="30" t="s">
        <v>5442</v>
      </c>
      <c r="K331" s="30" t="s">
        <v>5508</v>
      </c>
    </row>
    <row r="332" spans="1:11" x14ac:dyDescent="0.35">
      <c r="A332" s="30" t="s">
        <v>9704</v>
      </c>
      <c r="B332" s="30" t="s">
        <v>9705</v>
      </c>
      <c r="C332" s="32">
        <v>1.3</v>
      </c>
      <c r="D332" s="30">
        <v>0.17</v>
      </c>
      <c r="E332" s="31">
        <v>0.15043999999999999</v>
      </c>
      <c r="F332" s="30">
        <v>310760334</v>
      </c>
      <c r="G332" s="30" t="s">
        <v>5427</v>
      </c>
      <c r="H332" s="30">
        <v>2021</v>
      </c>
      <c r="I332" s="30">
        <v>1619362</v>
      </c>
      <c r="J332" s="30" t="s">
        <v>5457</v>
      </c>
      <c r="K332" s="30" t="s">
        <v>5487</v>
      </c>
    </row>
    <row r="333" spans="1:11" x14ac:dyDescent="0.35">
      <c r="A333" s="30" t="s">
        <v>9706</v>
      </c>
      <c r="B333" s="30" t="s">
        <v>9707</v>
      </c>
      <c r="C333" s="32">
        <v>1.42</v>
      </c>
      <c r="D333" s="30">
        <v>0.89749999999999996</v>
      </c>
      <c r="E333" s="31">
        <v>1.7177</v>
      </c>
      <c r="F333" s="30">
        <v>240466066</v>
      </c>
      <c r="G333" s="30" t="s">
        <v>5427</v>
      </c>
      <c r="H333" s="30"/>
      <c r="I333" s="30">
        <v>141678379</v>
      </c>
      <c r="J333" s="30" t="s">
        <v>5431</v>
      </c>
      <c r="K333" s="30" t="s">
        <v>5430</v>
      </c>
    </row>
    <row r="334" spans="1:11" x14ac:dyDescent="0.35">
      <c r="A334" s="30" t="s">
        <v>9708</v>
      </c>
      <c r="B334" s="30" t="s">
        <v>9709</v>
      </c>
      <c r="C334" s="32">
        <v>56.55</v>
      </c>
      <c r="D334" s="30">
        <v>0.28000000000000003</v>
      </c>
      <c r="E334" s="31">
        <v>4.9800000000000001E-3</v>
      </c>
      <c r="F334" s="30">
        <v>3909284139</v>
      </c>
      <c r="G334" s="30" t="s">
        <v>5427</v>
      </c>
      <c r="H334" s="30"/>
      <c r="I334" s="30">
        <v>345366</v>
      </c>
      <c r="J334" s="30" t="s">
        <v>5435</v>
      </c>
      <c r="K334" s="30" t="s">
        <v>6352</v>
      </c>
    </row>
    <row r="335" spans="1:11" x14ac:dyDescent="0.35">
      <c r="A335" s="30" t="s">
        <v>9710</v>
      </c>
      <c r="B335" s="30" t="s">
        <v>9711</v>
      </c>
      <c r="C335" s="32">
        <v>12.59</v>
      </c>
      <c r="D335" s="30">
        <v>0.33</v>
      </c>
      <c r="E335" s="31">
        <v>2.6919999999999999E-2</v>
      </c>
      <c r="F335" s="30">
        <v>927642984</v>
      </c>
      <c r="G335" s="30" t="s">
        <v>5427</v>
      </c>
      <c r="H335" s="30">
        <v>2020</v>
      </c>
      <c r="I335" s="30">
        <v>1229907</v>
      </c>
      <c r="J335" s="30" t="s">
        <v>5219</v>
      </c>
      <c r="K335" s="30" t="s">
        <v>5560</v>
      </c>
    </row>
    <row r="336" spans="1:11" x14ac:dyDescent="0.35">
      <c r="A336" s="30" t="s">
        <v>9712</v>
      </c>
      <c r="B336" s="30" t="s">
        <v>9713</v>
      </c>
      <c r="C336" s="32">
        <v>291.60000000000002</v>
      </c>
      <c r="D336" s="30">
        <v>0.7</v>
      </c>
      <c r="E336" s="31">
        <v>2.4099999999999998E-3</v>
      </c>
      <c r="F336" s="30">
        <v>41990809406</v>
      </c>
      <c r="G336" s="30" t="s">
        <v>5427</v>
      </c>
      <c r="H336" s="30"/>
      <c r="I336" s="30">
        <v>755336</v>
      </c>
      <c r="J336" s="30" t="s">
        <v>5431</v>
      </c>
      <c r="K336" s="30" t="s">
        <v>5430</v>
      </c>
    </row>
    <row r="337" spans="1:11" x14ac:dyDescent="0.35">
      <c r="A337" s="30" t="s">
        <v>9714</v>
      </c>
      <c r="B337" s="30" t="s">
        <v>9715</v>
      </c>
      <c r="C337" s="32">
        <v>10.32</v>
      </c>
      <c r="D337" s="30">
        <v>-0.01</v>
      </c>
      <c r="E337" s="31">
        <v>-9.7000000000000005E-4</v>
      </c>
      <c r="F337" s="30">
        <v>302479200</v>
      </c>
      <c r="G337" s="30" t="s">
        <v>5427</v>
      </c>
      <c r="H337" s="30">
        <v>2022</v>
      </c>
      <c r="I337" s="30">
        <v>378</v>
      </c>
      <c r="J337" s="30" t="s">
        <v>5435</v>
      </c>
      <c r="K337" s="30" t="s">
        <v>5482</v>
      </c>
    </row>
    <row r="338" spans="1:11" x14ac:dyDescent="0.35">
      <c r="A338" s="30" t="s">
        <v>9716</v>
      </c>
      <c r="B338" s="30" t="s">
        <v>9717</v>
      </c>
      <c r="C338" s="32">
        <v>10.23</v>
      </c>
      <c r="D338" s="30">
        <v>-0.01</v>
      </c>
      <c r="E338" s="31">
        <v>-9.7999999999999997E-4</v>
      </c>
      <c r="F338" s="30">
        <v>294112500</v>
      </c>
      <c r="G338" s="30" t="s">
        <v>5427</v>
      </c>
      <c r="H338" s="30">
        <v>2021</v>
      </c>
      <c r="I338" s="30">
        <v>5731</v>
      </c>
      <c r="J338" s="30" t="s">
        <v>5435</v>
      </c>
      <c r="K338" s="30" t="s">
        <v>5482</v>
      </c>
    </row>
    <row r="339" spans="1:11" x14ac:dyDescent="0.35">
      <c r="A339" s="30" t="s">
        <v>9718</v>
      </c>
      <c r="B339" s="30" t="s">
        <v>9719</v>
      </c>
      <c r="C339" s="32">
        <v>2.93</v>
      </c>
      <c r="D339" s="30">
        <v>0.18</v>
      </c>
      <c r="E339" s="31">
        <v>6.5449999999999994E-2</v>
      </c>
      <c r="F339" s="30">
        <v>437604615</v>
      </c>
      <c r="G339" s="30" t="s">
        <v>5427</v>
      </c>
      <c r="H339" s="30">
        <v>2021</v>
      </c>
      <c r="I339" s="30">
        <v>5461651</v>
      </c>
      <c r="J339" s="30" t="s">
        <v>5442</v>
      </c>
      <c r="K339" s="30" t="s">
        <v>5477</v>
      </c>
    </row>
    <row r="340" spans="1:11" x14ac:dyDescent="0.35">
      <c r="A340" s="30" t="s">
        <v>9720</v>
      </c>
      <c r="B340" s="30" t="s">
        <v>9721</v>
      </c>
      <c r="C340" s="32">
        <v>1.1100000000000001</v>
      </c>
      <c r="D340" s="30">
        <v>0.1239</v>
      </c>
      <c r="E340" s="31">
        <v>0.12565000000000001</v>
      </c>
      <c r="F340" s="30">
        <v>241504920</v>
      </c>
      <c r="G340" s="30" t="s">
        <v>5515</v>
      </c>
      <c r="H340" s="30"/>
      <c r="I340" s="30">
        <v>6803429</v>
      </c>
      <c r="J340" s="30"/>
      <c r="K340" s="30"/>
    </row>
    <row r="341" spans="1:11" x14ac:dyDescent="0.35">
      <c r="A341" s="30" t="s">
        <v>9722</v>
      </c>
      <c r="B341" s="30" t="s">
        <v>9723</v>
      </c>
      <c r="C341" s="32">
        <v>5.37</v>
      </c>
      <c r="D341" s="30">
        <v>0.3</v>
      </c>
      <c r="E341" s="31">
        <v>5.917E-2</v>
      </c>
      <c r="F341" s="30">
        <v>174403622</v>
      </c>
      <c r="G341" s="30" t="s">
        <v>5427</v>
      </c>
      <c r="H341" s="30"/>
      <c r="I341" s="30">
        <v>226936</v>
      </c>
      <c r="J341" s="30" t="s">
        <v>5431</v>
      </c>
      <c r="K341" s="30" t="s">
        <v>5430</v>
      </c>
    </row>
    <row r="342" spans="1:11" x14ac:dyDescent="0.35">
      <c r="A342" s="30" t="s">
        <v>9724</v>
      </c>
      <c r="B342" s="30" t="s">
        <v>9725</v>
      </c>
      <c r="C342" s="32">
        <v>31.33</v>
      </c>
      <c r="D342" s="30">
        <v>-0.24</v>
      </c>
      <c r="E342" s="31">
        <v>-7.6E-3</v>
      </c>
      <c r="F342" s="30">
        <v>732874242</v>
      </c>
      <c r="G342" s="30" t="s">
        <v>5427</v>
      </c>
      <c r="H342" s="30"/>
      <c r="I342" s="30">
        <v>298908</v>
      </c>
      <c r="J342" s="30" t="s">
        <v>5442</v>
      </c>
      <c r="K342" s="30" t="s">
        <v>5441</v>
      </c>
    </row>
    <row r="343" spans="1:11" x14ac:dyDescent="0.35">
      <c r="A343" s="30" t="s">
        <v>9726</v>
      </c>
      <c r="B343" s="30" t="s">
        <v>9727</v>
      </c>
      <c r="C343" s="32">
        <v>3.8</v>
      </c>
      <c r="D343" s="30">
        <v>0.04</v>
      </c>
      <c r="E343" s="31">
        <v>1.064E-2</v>
      </c>
      <c r="F343" s="30">
        <v>275773247</v>
      </c>
      <c r="G343" s="30" t="s">
        <v>5427</v>
      </c>
      <c r="H343" s="30">
        <v>2007</v>
      </c>
      <c r="I343" s="30">
        <v>242070</v>
      </c>
      <c r="J343" s="30" t="s">
        <v>5435</v>
      </c>
      <c r="K343" s="30" t="s">
        <v>5434</v>
      </c>
    </row>
    <row r="344" spans="1:11" x14ac:dyDescent="0.35">
      <c r="A344" s="30" t="s">
        <v>9728</v>
      </c>
      <c r="B344" s="30" t="s">
        <v>9729</v>
      </c>
      <c r="C344" s="32">
        <v>2445.7399999999998</v>
      </c>
      <c r="D344" s="30">
        <v>11.64</v>
      </c>
      <c r="E344" s="31">
        <v>4.7800000000000004E-3</v>
      </c>
      <c r="F344" s="30">
        <v>94868757807</v>
      </c>
      <c r="G344" s="30" t="s">
        <v>5427</v>
      </c>
      <c r="H344" s="30"/>
      <c r="I344" s="30">
        <v>411151</v>
      </c>
      <c r="J344" s="30" t="s">
        <v>5442</v>
      </c>
      <c r="K344" s="30" t="s">
        <v>5914</v>
      </c>
    </row>
    <row r="345" spans="1:11" x14ac:dyDescent="0.35">
      <c r="A345" s="30" t="s">
        <v>9730</v>
      </c>
      <c r="B345" s="30" t="s">
        <v>9731</v>
      </c>
      <c r="C345" s="32">
        <v>31.99</v>
      </c>
      <c r="D345" s="30">
        <v>0.25</v>
      </c>
      <c r="E345" s="31">
        <v>7.8799999999999999E-3</v>
      </c>
      <c r="F345" s="30">
        <v>32181940000</v>
      </c>
      <c r="G345" s="30" t="s">
        <v>5427</v>
      </c>
      <c r="H345" s="30"/>
      <c r="I345" s="30">
        <v>7343004</v>
      </c>
      <c r="J345" s="30" t="s">
        <v>5464</v>
      </c>
      <c r="K345" s="30" t="s">
        <v>5588</v>
      </c>
    </row>
    <row r="346" spans="1:11" x14ac:dyDescent="0.35">
      <c r="A346" s="30" t="s">
        <v>9732</v>
      </c>
      <c r="B346" s="30" t="s">
        <v>9733</v>
      </c>
      <c r="C346" s="32">
        <v>16.420000000000002</v>
      </c>
      <c r="D346" s="30">
        <v>-0.01</v>
      </c>
      <c r="E346" s="31">
        <v>-6.0999999999999997E-4</v>
      </c>
      <c r="F346" s="30">
        <v>91169603</v>
      </c>
      <c r="G346" s="30" t="s">
        <v>5427</v>
      </c>
      <c r="H346" s="30"/>
      <c r="I346" s="30">
        <v>8799</v>
      </c>
      <c r="J346" s="30" t="s">
        <v>5435</v>
      </c>
      <c r="K346" s="30" t="s">
        <v>5579</v>
      </c>
    </row>
    <row r="347" spans="1:11" x14ac:dyDescent="0.35">
      <c r="A347" s="30" t="s">
        <v>9734</v>
      </c>
      <c r="B347" s="30" t="s">
        <v>9735</v>
      </c>
      <c r="C347" s="32">
        <v>73.83</v>
      </c>
      <c r="D347" s="30">
        <v>2.0299999999999998</v>
      </c>
      <c r="E347" s="31">
        <v>2.827E-2</v>
      </c>
      <c r="F347" s="30">
        <v>4413326534</v>
      </c>
      <c r="G347" s="30" t="s">
        <v>5427</v>
      </c>
      <c r="H347" s="30">
        <v>2016</v>
      </c>
      <c r="I347" s="30">
        <v>589551</v>
      </c>
      <c r="J347" s="30" t="s">
        <v>5219</v>
      </c>
      <c r="K347" s="30" t="s">
        <v>5560</v>
      </c>
    </row>
    <row r="348" spans="1:11" x14ac:dyDescent="0.35">
      <c r="A348" s="30" t="s">
        <v>9736</v>
      </c>
      <c r="B348" s="30" t="s">
        <v>9737</v>
      </c>
      <c r="C348" s="32">
        <v>15.23</v>
      </c>
      <c r="D348" s="30">
        <v>0.73</v>
      </c>
      <c r="E348" s="31">
        <v>5.0340000000000003E-2</v>
      </c>
      <c r="F348" s="30">
        <v>487739395</v>
      </c>
      <c r="G348" s="30" t="s">
        <v>5427</v>
      </c>
      <c r="H348" s="30">
        <v>2014</v>
      </c>
      <c r="I348" s="30">
        <v>129965</v>
      </c>
      <c r="J348" s="30" t="s">
        <v>5442</v>
      </c>
      <c r="K348" s="30" t="s">
        <v>5460</v>
      </c>
    </row>
    <row r="349" spans="1:11" x14ac:dyDescent="0.35">
      <c r="A349" s="30" t="s">
        <v>9738</v>
      </c>
      <c r="B349" s="30" t="s">
        <v>9739</v>
      </c>
      <c r="C349" s="32">
        <v>4.5599999999999996</v>
      </c>
      <c r="D349" s="30">
        <v>0.1</v>
      </c>
      <c r="E349" s="31">
        <v>2.2419999999999999E-2</v>
      </c>
      <c r="F349" s="30">
        <v>326738961</v>
      </c>
      <c r="G349" s="30" t="s">
        <v>5427</v>
      </c>
      <c r="H349" s="30">
        <v>2019</v>
      </c>
      <c r="I349" s="30">
        <v>258426</v>
      </c>
      <c r="J349" s="30" t="s">
        <v>5442</v>
      </c>
      <c r="K349" s="30" t="s">
        <v>5523</v>
      </c>
    </row>
    <row r="350" spans="1:11" x14ac:dyDescent="0.35">
      <c r="A350" s="30" t="s">
        <v>9740</v>
      </c>
      <c r="B350" s="30" t="s">
        <v>9741</v>
      </c>
      <c r="C350" s="32">
        <v>6.73</v>
      </c>
      <c r="D350" s="30">
        <v>0.2</v>
      </c>
      <c r="E350" s="31">
        <v>3.0630000000000001E-2</v>
      </c>
      <c r="F350" s="30">
        <v>2007692537</v>
      </c>
      <c r="G350" s="30" t="s">
        <v>5515</v>
      </c>
      <c r="H350" s="30"/>
      <c r="I350" s="30">
        <v>2331075</v>
      </c>
      <c r="J350" s="30"/>
      <c r="K350" s="30"/>
    </row>
    <row r="351" spans="1:11" x14ac:dyDescent="0.35">
      <c r="A351" s="30" t="s">
        <v>9742</v>
      </c>
      <c r="B351" s="30" t="s">
        <v>9743</v>
      </c>
      <c r="C351" s="32">
        <v>10.119999999999999</v>
      </c>
      <c r="D351" s="30">
        <v>0.01</v>
      </c>
      <c r="E351" s="31">
        <v>9.8999999999999999E-4</v>
      </c>
      <c r="F351" s="30">
        <v>349140000</v>
      </c>
      <c r="G351" s="30" t="s">
        <v>5427</v>
      </c>
      <c r="H351" s="30">
        <v>2022</v>
      </c>
      <c r="I351" s="30">
        <v>6175</v>
      </c>
      <c r="J351" s="30" t="s">
        <v>5435</v>
      </c>
      <c r="K351" s="30" t="s">
        <v>5482</v>
      </c>
    </row>
    <row r="352" spans="1:11" x14ac:dyDescent="0.35">
      <c r="A352" s="30" t="s">
        <v>9744</v>
      </c>
      <c r="B352" s="30" t="s">
        <v>9745</v>
      </c>
      <c r="C352" s="32">
        <v>23.52</v>
      </c>
      <c r="D352" s="30">
        <v>0.08</v>
      </c>
      <c r="E352" s="31">
        <v>3.4099999999999998E-3</v>
      </c>
      <c r="F352" s="30">
        <v>1005856179</v>
      </c>
      <c r="G352" s="30" t="s">
        <v>5427</v>
      </c>
      <c r="H352" s="30"/>
      <c r="I352" s="30">
        <v>434536</v>
      </c>
      <c r="J352" s="30" t="s">
        <v>5431</v>
      </c>
      <c r="K352" s="30" t="s">
        <v>5500</v>
      </c>
    </row>
    <row r="353" spans="1:11" x14ac:dyDescent="0.35">
      <c r="A353" s="30" t="s">
        <v>9746</v>
      </c>
      <c r="B353" s="30" t="s">
        <v>9747</v>
      </c>
      <c r="C353" s="32">
        <v>11.92</v>
      </c>
      <c r="D353" s="30">
        <v>0.04</v>
      </c>
      <c r="E353" s="31">
        <v>3.3700000000000002E-3</v>
      </c>
      <c r="F353" s="30">
        <v>328076770</v>
      </c>
      <c r="G353" s="30" t="s">
        <v>5427</v>
      </c>
      <c r="H353" s="30">
        <v>2021</v>
      </c>
      <c r="I353" s="30">
        <v>72321</v>
      </c>
      <c r="J353" s="30" t="s">
        <v>5435</v>
      </c>
      <c r="K353" s="30" t="s">
        <v>5582</v>
      </c>
    </row>
    <row r="354" spans="1:11" x14ac:dyDescent="0.35">
      <c r="A354" s="30" t="s">
        <v>9748</v>
      </c>
      <c r="B354" s="30" t="s">
        <v>9749</v>
      </c>
      <c r="C354" s="32">
        <v>2.27</v>
      </c>
      <c r="D354" s="30">
        <v>0.12</v>
      </c>
      <c r="E354" s="31">
        <v>5.5809999999999998E-2</v>
      </c>
      <c r="F354" s="30">
        <v>156322397</v>
      </c>
      <c r="G354" s="30" t="s">
        <v>5427</v>
      </c>
      <c r="H354" s="30">
        <v>2020</v>
      </c>
      <c r="I354" s="30">
        <v>810929</v>
      </c>
      <c r="J354" s="30" t="s">
        <v>5431</v>
      </c>
      <c r="K354" s="30" t="s">
        <v>5685</v>
      </c>
    </row>
    <row r="355" spans="1:11" x14ac:dyDescent="0.35">
      <c r="A355" s="30" t="s">
        <v>9750</v>
      </c>
      <c r="B355" s="30" t="s">
        <v>9751</v>
      </c>
      <c r="C355" s="32">
        <v>63.64</v>
      </c>
      <c r="D355" s="30">
        <v>1.43</v>
      </c>
      <c r="E355" s="31">
        <v>2.299E-2</v>
      </c>
      <c r="F355" s="30">
        <v>3379120254</v>
      </c>
      <c r="G355" s="30" t="s">
        <v>5427</v>
      </c>
      <c r="H355" s="30">
        <v>2004</v>
      </c>
      <c r="I355" s="30">
        <v>252110</v>
      </c>
      <c r="J355" s="30" t="s">
        <v>5219</v>
      </c>
      <c r="K355" s="30" t="s">
        <v>5560</v>
      </c>
    </row>
    <row r="356" spans="1:11" x14ac:dyDescent="0.35">
      <c r="A356" s="30" t="s">
        <v>9752</v>
      </c>
      <c r="B356" s="30" t="s">
        <v>9753</v>
      </c>
      <c r="C356" s="32">
        <v>24.26</v>
      </c>
      <c r="D356" s="30">
        <v>0.01</v>
      </c>
      <c r="E356" s="31">
        <v>4.0999999999999999E-4</v>
      </c>
      <c r="F356" s="30">
        <v>2129873803</v>
      </c>
      <c r="G356" s="30" t="s">
        <v>5427</v>
      </c>
      <c r="H356" s="30">
        <v>2012</v>
      </c>
      <c r="I356" s="30">
        <v>1531326</v>
      </c>
      <c r="J356" s="30" t="s">
        <v>5442</v>
      </c>
      <c r="K356" s="30" t="s">
        <v>5441</v>
      </c>
    </row>
    <row r="357" spans="1:11" x14ac:dyDescent="0.35">
      <c r="A357" s="30" t="s">
        <v>9754</v>
      </c>
      <c r="B357" s="30" t="s">
        <v>9755</v>
      </c>
      <c r="C357" s="32">
        <v>10</v>
      </c>
      <c r="D357" s="30">
        <v>0.01</v>
      </c>
      <c r="E357" s="31">
        <v>1E-3</v>
      </c>
      <c r="F357" s="30">
        <v>194375000</v>
      </c>
      <c r="G357" s="30" t="s">
        <v>5427</v>
      </c>
      <c r="H357" s="30">
        <v>2021</v>
      </c>
      <c r="I357" s="30">
        <v>44221</v>
      </c>
      <c r="J357" s="30" t="s">
        <v>5457</v>
      </c>
      <c r="K357" s="30" t="s">
        <v>5571</v>
      </c>
    </row>
    <row r="358" spans="1:11" x14ac:dyDescent="0.35">
      <c r="A358" s="30" t="s">
        <v>9756</v>
      </c>
      <c r="B358" s="30" t="s">
        <v>9757</v>
      </c>
      <c r="C358" s="32">
        <v>13.96</v>
      </c>
      <c r="D358" s="30">
        <v>0.35</v>
      </c>
      <c r="E358" s="31">
        <v>2.572E-2</v>
      </c>
      <c r="F358" s="30">
        <v>710074911</v>
      </c>
      <c r="G358" s="30" t="s">
        <v>5427</v>
      </c>
      <c r="H358" s="30"/>
      <c r="I358" s="30">
        <v>1684996</v>
      </c>
      <c r="J358" s="30" t="s">
        <v>5457</v>
      </c>
      <c r="K358" s="30" t="s">
        <v>5588</v>
      </c>
    </row>
    <row r="359" spans="1:11" x14ac:dyDescent="0.35">
      <c r="A359" s="30" t="s">
        <v>9758</v>
      </c>
      <c r="B359" s="30" t="s">
        <v>9759</v>
      </c>
      <c r="C359" s="32">
        <v>29.605</v>
      </c>
      <c r="D359" s="30">
        <v>-0.28499999999999998</v>
      </c>
      <c r="E359" s="31">
        <v>-9.5300000000000003E-3</v>
      </c>
      <c r="F359" s="30">
        <v>736199614</v>
      </c>
      <c r="G359" s="30" t="s">
        <v>5427</v>
      </c>
      <c r="H359" s="30">
        <v>2022</v>
      </c>
      <c r="I359" s="30">
        <v>2296</v>
      </c>
      <c r="J359" s="30" t="s">
        <v>5431</v>
      </c>
      <c r="K359" s="30" t="s">
        <v>5430</v>
      </c>
    </row>
    <row r="360" spans="1:11" x14ac:dyDescent="0.35">
      <c r="A360" s="30" t="s">
        <v>9760</v>
      </c>
      <c r="B360" s="30" t="s">
        <v>9761</v>
      </c>
      <c r="C360" s="32">
        <v>8</v>
      </c>
      <c r="D360" s="30">
        <v>0.14000000000000001</v>
      </c>
      <c r="E360" s="31">
        <v>1.7809999999999999E-2</v>
      </c>
      <c r="F360" s="30">
        <v>1006343328</v>
      </c>
      <c r="G360" s="30" t="s">
        <v>5515</v>
      </c>
      <c r="H360" s="30">
        <v>2019</v>
      </c>
      <c r="I360" s="30">
        <v>573732</v>
      </c>
      <c r="J360" s="30" t="s">
        <v>5431</v>
      </c>
      <c r="K360" s="30" t="s">
        <v>8643</v>
      </c>
    </row>
    <row r="361" spans="1:11" x14ac:dyDescent="0.35">
      <c r="A361" s="30" t="s">
        <v>9762</v>
      </c>
      <c r="B361" s="30" t="s">
        <v>9763</v>
      </c>
      <c r="C361" s="32">
        <v>6.38</v>
      </c>
      <c r="D361" s="30">
        <v>0.03</v>
      </c>
      <c r="E361" s="31">
        <v>4.7200000000000002E-3</v>
      </c>
      <c r="F361" s="30">
        <v>656650641</v>
      </c>
      <c r="G361" s="30" t="s">
        <v>5427</v>
      </c>
      <c r="H361" s="30">
        <v>2013</v>
      </c>
      <c r="I361" s="30">
        <v>2895223</v>
      </c>
      <c r="J361" s="30" t="s">
        <v>5431</v>
      </c>
      <c r="K361" s="30" t="s">
        <v>6409</v>
      </c>
    </row>
    <row r="362" spans="1:11" x14ac:dyDescent="0.35">
      <c r="A362" s="30" t="s">
        <v>9764</v>
      </c>
      <c r="B362" s="30" t="s">
        <v>9765</v>
      </c>
      <c r="C362" s="32">
        <v>7.15</v>
      </c>
      <c r="D362" s="30">
        <v>0.01</v>
      </c>
      <c r="E362" s="31">
        <v>1.4E-3</v>
      </c>
      <c r="F362" s="30">
        <v>233090000</v>
      </c>
      <c r="G362" s="30" t="s">
        <v>5427</v>
      </c>
      <c r="H362" s="30">
        <v>2021</v>
      </c>
      <c r="I362" s="30">
        <v>148439</v>
      </c>
      <c r="J362" s="30" t="s">
        <v>5219</v>
      </c>
      <c r="K362" s="30" t="s">
        <v>5560</v>
      </c>
    </row>
    <row r="363" spans="1:11" x14ac:dyDescent="0.35">
      <c r="A363" s="30" t="s">
        <v>9766</v>
      </c>
      <c r="B363" s="30" t="s">
        <v>9767</v>
      </c>
      <c r="C363" s="32">
        <v>10.4101</v>
      </c>
      <c r="D363" s="30">
        <v>1.01E-2</v>
      </c>
      <c r="E363" s="31">
        <v>9.7000000000000005E-4</v>
      </c>
      <c r="F363" s="30">
        <v>154121531</v>
      </c>
      <c r="G363" s="30" t="s">
        <v>5427</v>
      </c>
      <c r="H363" s="30">
        <v>2021</v>
      </c>
      <c r="I363" s="30">
        <v>1433</v>
      </c>
      <c r="J363" s="30" t="s">
        <v>5457</v>
      </c>
      <c r="K363" s="30" t="s">
        <v>5571</v>
      </c>
    </row>
    <row r="364" spans="1:11" x14ac:dyDescent="0.35">
      <c r="A364" s="30" t="s">
        <v>9768</v>
      </c>
      <c r="B364" s="30" t="s">
        <v>9769</v>
      </c>
      <c r="C364" s="32">
        <v>26.21</v>
      </c>
      <c r="D364" s="30">
        <v>0.46</v>
      </c>
      <c r="E364" s="31">
        <v>1.7860000000000001E-2</v>
      </c>
      <c r="F364" s="30">
        <v>3398832519</v>
      </c>
      <c r="G364" s="30" t="s">
        <v>5427</v>
      </c>
      <c r="H364" s="30">
        <v>2021</v>
      </c>
      <c r="I364" s="30">
        <v>2663956</v>
      </c>
      <c r="J364" s="30" t="s">
        <v>5219</v>
      </c>
      <c r="K364" s="30" t="s">
        <v>5560</v>
      </c>
    </row>
    <row r="365" spans="1:11" x14ac:dyDescent="0.35">
      <c r="A365" s="30" t="s">
        <v>9770</v>
      </c>
      <c r="B365" s="30" t="s">
        <v>9771</v>
      </c>
      <c r="C365" s="32">
        <v>9.5500000000000007</v>
      </c>
      <c r="D365" s="30">
        <v>0.03</v>
      </c>
      <c r="E365" s="31">
        <v>3.15E-3</v>
      </c>
      <c r="F365" s="30">
        <v>280734149</v>
      </c>
      <c r="G365" s="30" t="s">
        <v>5427</v>
      </c>
      <c r="H365" s="30">
        <v>2021</v>
      </c>
      <c r="I365" s="30">
        <v>18386</v>
      </c>
      <c r="J365" s="30" t="s">
        <v>5431</v>
      </c>
      <c r="K365" s="30" t="s">
        <v>5430</v>
      </c>
    </row>
    <row r="366" spans="1:11" x14ac:dyDescent="0.35">
      <c r="A366" s="30" t="s">
        <v>9772</v>
      </c>
      <c r="B366" s="30" t="s">
        <v>9773</v>
      </c>
      <c r="C366" s="32">
        <v>30.44</v>
      </c>
      <c r="D366" s="30">
        <v>-0.03</v>
      </c>
      <c r="E366" s="31">
        <v>-9.7999999999999997E-4</v>
      </c>
      <c r="F366" s="30">
        <v>487926961</v>
      </c>
      <c r="G366" s="30" t="s">
        <v>5427</v>
      </c>
      <c r="H366" s="30"/>
      <c r="I366" s="30">
        <v>48642</v>
      </c>
      <c r="J366" s="30" t="s">
        <v>5435</v>
      </c>
      <c r="K366" s="30" t="s">
        <v>5579</v>
      </c>
    </row>
    <row r="367" spans="1:11" x14ac:dyDescent="0.35">
      <c r="A367" s="30" t="s">
        <v>9774</v>
      </c>
      <c r="B367" s="30" t="s">
        <v>9775</v>
      </c>
      <c r="C367" s="32">
        <v>116.71</v>
      </c>
      <c r="D367" s="30">
        <v>1.36</v>
      </c>
      <c r="E367" s="31">
        <v>1.179E-2</v>
      </c>
      <c r="F367" s="30">
        <v>21690426870</v>
      </c>
      <c r="G367" s="30" t="s">
        <v>5427</v>
      </c>
      <c r="H367" s="30">
        <v>1999</v>
      </c>
      <c r="I367" s="30">
        <v>1576136</v>
      </c>
      <c r="J367" s="30" t="s">
        <v>5431</v>
      </c>
      <c r="K367" s="30" t="s">
        <v>5430</v>
      </c>
    </row>
    <row r="368" spans="1:11" x14ac:dyDescent="0.35">
      <c r="A368" s="30" t="s">
        <v>9776</v>
      </c>
      <c r="B368" s="30" t="s">
        <v>9777</v>
      </c>
      <c r="C368" s="32">
        <v>1.85</v>
      </c>
      <c r="D368" s="30">
        <v>0.04</v>
      </c>
      <c r="E368" s="31">
        <v>2.2100000000000002E-2</v>
      </c>
      <c r="F368" s="30">
        <v>549310325</v>
      </c>
      <c r="G368" s="30" t="s">
        <v>5427</v>
      </c>
      <c r="H368" s="30">
        <v>2018</v>
      </c>
      <c r="I368" s="30">
        <v>7758712</v>
      </c>
      <c r="J368" s="30" t="s">
        <v>5431</v>
      </c>
      <c r="K368" s="30" t="s">
        <v>5500</v>
      </c>
    </row>
    <row r="369" spans="1:11" x14ac:dyDescent="0.35">
      <c r="A369" s="30" t="s">
        <v>9778</v>
      </c>
      <c r="B369" s="30" t="s">
        <v>9779</v>
      </c>
      <c r="C369" s="32">
        <v>10.285399999999999</v>
      </c>
      <c r="D369" s="30">
        <v>5.4000000000000003E-3</v>
      </c>
      <c r="E369" s="31">
        <v>5.2999999999999998E-4</v>
      </c>
      <c r="F369" s="30">
        <v>96929610</v>
      </c>
      <c r="G369" s="30" t="s">
        <v>5427</v>
      </c>
      <c r="H369" s="30">
        <v>2021</v>
      </c>
      <c r="I369" s="30">
        <v>2000</v>
      </c>
      <c r="J369" s="30" t="s">
        <v>5457</v>
      </c>
      <c r="K369" s="30" t="s">
        <v>5571</v>
      </c>
    </row>
    <row r="370" spans="1:11" x14ac:dyDescent="0.35">
      <c r="A370" s="30" t="s">
        <v>9780</v>
      </c>
      <c r="B370" s="30" t="s">
        <v>9781</v>
      </c>
      <c r="C370" s="32">
        <v>10.15</v>
      </c>
      <c r="D370" s="30">
        <v>0</v>
      </c>
      <c r="E370" s="31">
        <v>0</v>
      </c>
      <c r="F370" s="30">
        <v>199193750</v>
      </c>
      <c r="G370" s="30" t="s">
        <v>5427</v>
      </c>
      <c r="H370" s="30">
        <v>2021</v>
      </c>
      <c r="I370" s="30">
        <v>696</v>
      </c>
      <c r="J370" s="30" t="s">
        <v>5457</v>
      </c>
      <c r="K370" s="30" t="s">
        <v>5571</v>
      </c>
    </row>
    <row r="371" spans="1:11" x14ac:dyDescent="0.35">
      <c r="A371" s="30" t="s">
        <v>9782</v>
      </c>
      <c r="B371" s="30" t="s">
        <v>9783</v>
      </c>
      <c r="C371" s="32">
        <v>143.05000000000001</v>
      </c>
      <c r="D371" s="30">
        <v>-0.36</v>
      </c>
      <c r="E371" s="31">
        <v>-2.5100000000000001E-3</v>
      </c>
      <c r="F371" s="30">
        <v>34716146613</v>
      </c>
      <c r="G371" s="30" t="s">
        <v>6263</v>
      </c>
      <c r="H371" s="30">
        <v>2019</v>
      </c>
      <c r="I371" s="30">
        <v>746220</v>
      </c>
      <c r="J371" s="30" t="s">
        <v>5431</v>
      </c>
      <c r="K371" s="30" t="s">
        <v>6409</v>
      </c>
    </row>
    <row r="372" spans="1:11" x14ac:dyDescent="0.35">
      <c r="A372" s="30" t="s">
        <v>9784</v>
      </c>
      <c r="B372" s="30" t="s">
        <v>9785</v>
      </c>
      <c r="C372" s="32">
        <v>10.33</v>
      </c>
      <c r="D372" s="30">
        <v>0</v>
      </c>
      <c r="E372" s="31">
        <v>0</v>
      </c>
      <c r="F372" s="30">
        <v>245014688</v>
      </c>
      <c r="G372" s="30" t="s">
        <v>5427</v>
      </c>
      <c r="H372" s="30">
        <v>2022</v>
      </c>
      <c r="I372" s="30">
        <v>101</v>
      </c>
      <c r="J372" s="30" t="s">
        <v>5435</v>
      </c>
      <c r="K372" s="30" t="s">
        <v>5482</v>
      </c>
    </row>
    <row r="373" spans="1:11" x14ac:dyDescent="0.35">
      <c r="A373" s="30" t="s">
        <v>9786</v>
      </c>
      <c r="B373" s="30" t="s">
        <v>9787</v>
      </c>
      <c r="C373" s="32">
        <v>100.4</v>
      </c>
      <c r="D373" s="30">
        <v>-0.1</v>
      </c>
      <c r="E373" s="31">
        <v>-1E-3</v>
      </c>
      <c r="F373" s="30">
        <v>6722646854</v>
      </c>
      <c r="G373" s="30" t="s">
        <v>5427</v>
      </c>
      <c r="H373" s="30"/>
      <c r="I373" s="30">
        <v>163653</v>
      </c>
      <c r="J373" s="30" t="s">
        <v>5435</v>
      </c>
      <c r="K373" s="30" t="s">
        <v>5579</v>
      </c>
    </row>
    <row r="374" spans="1:11" x14ac:dyDescent="0.35">
      <c r="A374" s="30" t="s">
        <v>9788</v>
      </c>
      <c r="B374" s="30" t="s">
        <v>9789</v>
      </c>
      <c r="C374" s="32">
        <v>1.47</v>
      </c>
      <c r="D374" s="30">
        <v>0</v>
      </c>
      <c r="E374" s="31">
        <v>0</v>
      </c>
      <c r="F374" s="30">
        <v>55361513</v>
      </c>
      <c r="G374" s="30" t="s">
        <v>5427</v>
      </c>
      <c r="H374" s="30">
        <v>2021</v>
      </c>
      <c r="I374" s="30">
        <v>111295</v>
      </c>
      <c r="J374" s="30" t="s">
        <v>5431</v>
      </c>
      <c r="K374" s="30" t="s">
        <v>5430</v>
      </c>
    </row>
    <row r="375" spans="1:11" x14ac:dyDescent="0.35">
      <c r="A375" s="30" t="s">
        <v>9790</v>
      </c>
      <c r="B375" s="30" t="s">
        <v>9791</v>
      </c>
      <c r="C375" s="32">
        <v>23.95</v>
      </c>
      <c r="D375" s="30">
        <v>1.21</v>
      </c>
      <c r="E375" s="31">
        <v>5.321E-2</v>
      </c>
      <c r="F375" s="30">
        <v>467734974</v>
      </c>
      <c r="G375" s="30" t="s">
        <v>5427</v>
      </c>
      <c r="H375" s="30"/>
      <c r="I375" s="30">
        <v>263917</v>
      </c>
      <c r="J375" s="30"/>
      <c r="K375" s="30"/>
    </row>
    <row r="376" spans="1:11" x14ac:dyDescent="0.35">
      <c r="A376" s="30" t="s">
        <v>9792</v>
      </c>
      <c r="B376" s="30" t="s">
        <v>9793</v>
      </c>
      <c r="C376" s="32">
        <v>12.69</v>
      </c>
      <c r="D376" s="30">
        <v>-0.11</v>
      </c>
      <c r="E376" s="31">
        <v>-8.5900000000000004E-3</v>
      </c>
      <c r="F376" s="30">
        <v>58737657</v>
      </c>
      <c r="G376" s="30" t="s">
        <v>5427</v>
      </c>
      <c r="H376" s="30"/>
      <c r="I376" s="30">
        <v>313</v>
      </c>
      <c r="J376" s="30" t="s">
        <v>5435</v>
      </c>
      <c r="K376" s="30" t="s">
        <v>5579</v>
      </c>
    </row>
    <row r="377" spans="1:11" x14ac:dyDescent="0.35">
      <c r="A377" s="30" t="s">
        <v>9794</v>
      </c>
      <c r="B377" s="30" t="s">
        <v>9795</v>
      </c>
      <c r="C377" s="32">
        <v>10.3118</v>
      </c>
      <c r="D377" s="30">
        <v>1.8E-3</v>
      </c>
      <c r="E377" s="31">
        <v>1.7000000000000001E-4</v>
      </c>
      <c r="F377" s="30">
        <v>296464250</v>
      </c>
      <c r="G377" s="30" t="s">
        <v>5427</v>
      </c>
      <c r="H377" s="30">
        <v>2022</v>
      </c>
      <c r="I377" s="30">
        <v>10492</v>
      </c>
      <c r="J377" s="30" t="s">
        <v>5435</v>
      </c>
      <c r="K377" s="30" t="s">
        <v>5482</v>
      </c>
    </row>
    <row r="378" spans="1:11" x14ac:dyDescent="0.35">
      <c r="A378" s="30" t="s">
        <v>9796</v>
      </c>
      <c r="B378" s="30" t="s">
        <v>9797</v>
      </c>
      <c r="C378" s="32">
        <v>46.05</v>
      </c>
      <c r="D378" s="30">
        <v>-0.69</v>
      </c>
      <c r="E378" s="31">
        <v>-1.4760000000000001E-2</v>
      </c>
      <c r="F378" s="30">
        <v>2755199637</v>
      </c>
      <c r="G378" s="30" t="s">
        <v>5427</v>
      </c>
      <c r="H378" s="30">
        <v>2015</v>
      </c>
      <c r="I378" s="30">
        <v>562257</v>
      </c>
      <c r="J378" s="30" t="s">
        <v>5431</v>
      </c>
      <c r="K378" s="30" t="s">
        <v>5430</v>
      </c>
    </row>
    <row r="379" spans="1:11" x14ac:dyDescent="0.35">
      <c r="A379" s="30" t="s">
        <v>9798</v>
      </c>
      <c r="B379" s="30" t="s">
        <v>9799</v>
      </c>
      <c r="C379" s="32">
        <v>68.92</v>
      </c>
      <c r="D379" s="30">
        <v>0.28000000000000003</v>
      </c>
      <c r="E379" s="31">
        <v>4.0800000000000003E-3</v>
      </c>
      <c r="F379" s="30">
        <v>4952158382</v>
      </c>
      <c r="G379" s="30" t="s">
        <v>5427</v>
      </c>
      <c r="H379" s="30"/>
      <c r="I379" s="30">
        <v>668915</v>
      </c>
      <c r="J379" s="30" t="s">
        <v>5435</v>
      </c>
      <c r="K379" s="30" t="s">
        <v>5579</v>
      </c>
    </row>
    <row r="380" spans="1:11" x14ac:dyDescent="0.35">
      <c r="A380" s="30" t="s">
        <v>9800</v>
      </c>
      <c r="B380" s="30" t="s">
        <v>9801</v>
      </c>
      <c r="C380" s="32">
        <v>34.659999999999997</v>
      </c>
      <c r="D380" s="30">
        <v>0.32</v>
      </c>
      <c r="E380" s="31">
        <v>9.3200000000000002E-3</v>
      </c>
      <c r="F380" s="30">
        <v>216407058</v>
      </c>
      <c r="G380" s="30" t="s">
        <v>5427</v>
      </c>
      <c r="H380" s="30"/>
      <c r="I380" s="30">
        <v>17133</v>
      </c>
      <c r="J380" s="30" t="s">
        <v>5435</v>
      </c>
      <c r="K380" s="30" t="s">
        <v>5579</v>
      </c>
    </row>
    <row r="381" spans="1:11" x14ac:dyDescent="0.35">
      <c r="A381" s="30" t="s">
        <v>9802</v>
      </c>
      <c r="B381" s="30" t="s">
        <v>9803</v>
      </c>
      <c r="C381" s="32">
        <v>10.41</v>
      </c>
      <c r="D381" s="30">
        <v>-0.01</v>
      </c>
      <c r="E381" s="31">
        <v>-9.6000000000000002E-4</v>
      </c>
      <c r="F381" s="30">
        <v>136891146</v>
      </c>
      <c r="G381" s="30" t="s">
        <v>5427</v>
      </c>
      <c r="H381" s="30">
        <v>2022</v>
      </c>
      <c r="I381" s="30">
        <v>1325</v>
      </c>
      <c r="J381" s="30" t="s">
        <v>5457</v>
      </c>
      <c r="K381" s="30" t="s">
        <v>5571</v>
      </c>
    </row>
    <row r="382" spans="1:11" x14ac:dyDescent="0.35">
      <c r="A382" s="30" t="s">
        <v>9804</v>
      </c>
      <c r="B382" s="30" t="s">
        <v>9805</v>
      </c>
      <c r="C382" s="32">
        <v>3.835</v>
      </c>
      <c r="D382" s="30">
        <v>0.19500000000000001</v>
      </c>
      <c r="E382" s="31">
        <v>5.357E-2</v>
      </c>
      <c r="F382" s="30">
        <v>80948290</v>
      </c>
      <c r="G382" s="30" t="s">
        <v>5515</v>
      </c>
      <c r="H382" s="30"/>
      <c r="I382" s="30">
        <v>11630</v>
      </c>
      <c r="J382" s="30"/>
      <c r="K382" s="30"/>
    </row>
    <row r="383" spans="1:11" x14ac:dyDescent="0.35">
      <c r="A383" s="30" t="s">
        <v>9806</v>
      </c>
      <c r="B383" s="30" t="s">
        <v>9807</v>
      </c>
      <c r="C383" s="32">
        <v>10.55</v>
      </c>
      <c r="D383" s="30">
        <v>-2.9100000000000001E-2</v>
      </c>
      <c r="E383" s="31">
        <v>-2.7499999999999998E-3</v>
      </c>
      <c r="F383" s="30">
        <v>50958568</v>
      </c>
      <c r="G383" s="30" t="s">
        <v>5427</v>
      </c>
      <c r="H383" s="30">
        <v>2020</v>
      </c>
      <c r="I383" s="30">
        <v>3457</v>
      </c>
      <c r="J383" s="30" t="s">
        <v>5457</v>
      </c>
      <c r="K383" s="30" t="s">
        <v>5571</v>
      </c>
    </row>
    <row r="384" spans="1:11" x14ac:dyDescent="0.35">
      <c r="A384" s="30" t="s">
        <v>9808</v>
      </c>
      <c r="B384" s="30" t="s">
        <v>9809</v>
      </c>
      <c r="C384" s="32">
        <v>12.61</v>
      </c>
      <c r="D384" s="30">
        <v>0.2999</v>
      </c>
      <c r="E384" s="31">
        <v>2.436E-2</v>
      </c>
      <c r="F384" s="30">
        <v>114458852</v>
      </c>
      <c r="G384" s="30" t="s">
        <v>5427</v>
      </c>
      <c r="H384" s="30"/>
      <c r="I384" s="30">
        <v>4694</v>
      </c>
      <c r="J384" s="30" t="s">
        <v>5541</v>
      </c>
      <c r="K384" s="30" t="s">
        <v>5716</v>
      </c>
    </row>
    <row r="385" spans="1:11" x14ac:dyDescent="0.35">
      <c r="A385" s="30" t="s">
        <v>9810</v>
      </c>
      <c r="B385" s="30" t="s">
        <v>9811</v>
      </c>
      <c r="C385" s="32">
        <v>10.039999999999999</v>
      </c>
      <c r="D385" s="30">
        <v>-0.01</v>
      </c>
      <c r="E385" s="31">
        <v>-1E-3</v>
      </c>
      <c r="F385" s="30">
        <v>222511500</v>
      </c>
      <c r="G385" s="30" t="s">
        <v>5427</v>
      </c>
      <c r="H385" s="30">
        <v>2021</v>
      </c>
      <c r="I385" s="30">
        <v>69125</v>
      </c>
      <c r="J385" s="30" t="s">
        <v>5457</v>
      </c>
      <c r="K385" s="30" t="s">
        <v>5571</v>
      </c>
    </row>
    <row r="386" spans="1:11" x14ac:dyDescent="0.35">
      <c r="A386" s="30" t="s">
        <v>9812</v>
      </c>
      <c r="B386" s="30" t="s">
        <v>9813</v>
      </c>
      <c r="C386" s="32">
        <v>10.27</v>
      </c>
      <c r="D386" s="30">
        <v>0.01</v>
      </c>
      <c r="E386" s="31">
        <v>9.7000000000000005E-4</v>
      </c>
      <c r="F386" s="30">
        <v>392699125</v>
      </c>
      <c r="G386" s="30" t="s">
        <v>5427</v>
      </c>
      <c r="H386" s="30">
        <v>2022</v>
      </c>
      <c r="I386" s="30">
        <v>360843</v>
      </c>
      <c r="J386" s="30" t="s">
        <v>5457</v>
      </c>
      <c r="K386" s="30" t="s">
        <v>5571</v>
      </c>
    </row>
    <row r="387" spans="1:11" x14ac:dyDescent="0.35">
      <c r="A387" s="30" t="s">
        <v>9814</v>
      </c>
      <c r="B387" s="30" t="s">
        <v>9815</v>
      </c>
      <c r="C387" s="32">
        <v>13.29</v>
      </c>
      <c r="D387" s="30">
        <v>0.21</v>
      </c>
      <c r="E387" s="31">
        <v>1.6060000000000001E-2</v>
      </c>
      <c r="F387" s="30">
        <v>1178360189</v>
      </c>
      <c r="G387" s="30" t="s">
        <v>5427</v>
      </c>
      <c r="H387" s="30"/>
      <c r="I387" s="30">
        <v>841844</v>
      </c>
      <c r="J387" s="30" t="s">
        <v>5435</v>
      </c>
      <c r="K387" s="30" t="s">
        <v>6556</v>
      </c>
    </row>
    <row r="388" spans="1:11" x14ac:dyDescent="0.35">
      <c r="A388" s="30" t="s">
        <v>9816</v>
      </c>
      <c r="B388" s="30" t="s">
        <v>9817</v>
      </c>
      <c r="C388" s="32">
        <v>71.36</v>
      </c>
      <c r="D388" s="30">
        <v>1.24</v>
      </c>
      <c r="E388" s="31">
        <v>1.7680000000000001E-2</v>
      </c>
      <c r="F388" s="30">
        <v>10495823185</v>
      </c>
      <c r="G388" s="30" t="s">
        <v>5427</v>
      </c>
      <c r="H388" s="30"/>
      <c r="I388" s="30">
        <v>643319</v>
      </c>
      <c r="J388" s="30" t="s">
        <v>5457</v>
      </c>
      <c r="K388" s="30" t="s">
        <v>5921</v>
      </c>
    </row>
    <row r="389" spans="1:11" x14ac:dyDescent="0.35">
      <c r="A389" s="30" t="s">
        <v>9818</v>
      </c>
      <c r="B389" s="30" t="s">
        <v>9819</v>
      </c>
      <c r="C389" s="32">
        <v>5.19</v>
      </c>
      <c r="D389" s="30">
        <v>0.39</v>
      </c>
      <c r="E389" s="31">
        <v>8.1250000000000003E-2</v>
      </c>
      <c r="F389" s="30">
        <v>491311257</v>
      </c>
      <c r="G389" s="30" t="s">
        <v>5427</v>
      </c>
      <c r="H389" s="30">
        <v>2021</v>
      </c>
      <c r="I389" s="30">
        <v>138383</v>
      </c>
      <c r="J389" s="30" t="s">
        <v>5442</v>
      </c>
      <c r="K389" s="30" t="s">
        <v>6994</v>
      </c>
    </row>
    <row r="390" spans="1:11" x14ac:dyDescent="0.35">
      <c r="A390" s="30" t="s">
        <v>9820</v>
      </c>
      <c r="B390" s="30" t="s">
        <v>9821</v>
      </c>
      <c r="C390" s="32">
        <v>5.58</v>
      </c>
      <c r="D390" s="30">
        <v>0</v>
      </c>
      <c r="E390" s="31">
        <v>0</v>
      </c>
      <c r="F390" s="30">
        <v>611500225</v>
      </c>
      <c r="G390" s="30" t="s">
        <v>5775</v>
      </c>
      <c r="H390" s="30">
        <v>2018</v>
      </c>
      <c r="I390" s="30">
        <v>24</v>
      </c>
      <c r="J390" s="30" t="s">
        <v>5464</v>
      </c>
      <c r="K390" s="30" t="s">
        <v>5674</v>
      </c>
    </row>
    <row r="391" spans="1:11" x14ac:dyDescent="0.35">
      <c r="A391" s="30" t="s">
        <v>9822</v>
      </c>
      <c r="B391" s="30" t="s">
        <v>9823</v>
      </c>
      <c r="C391" s="32">
        <v>9.1</v>
      </c>
      <c r="D391" s="30">
        <v>-0.1</v>
      </c>
      <c r="E391" s="31">
        <v>-1.0869999999999999E-2</v>
      </c>
      <c r="F391" s="30">
        <v>698584277</v>
      </c>
      <c r="G391" s="30" t="s">
        <v>5427</v>
      </c>
      <c r="H391" s="30">
        <v>2018</v>
      </c>
      <c r="I391" s="30">
        <v>576818</v>
      </c>
      <c r="J391" s="30" t="s">
        <v>5464</v>
      </c>
      <c r="K391" s="30" t="s">
        <v>5463</v>
      </c>
    </row>
    <row r="392" spans="1:11" x14ac:dyDescent="0.35">
      <c r="A392" s="30" t="s">
        <v>9824</v>
      </c>
      <c r="B392" s="30" t="s">
        <v>9825</v>
      </c>
      <c r="C392" s="32">
        <v>33.18</v>
      </c>
      <c r="D392" s="30">
        <v>1.18</v>
      </c>
      <c r="E392" s="31">
        <v>3.6880000000000003E-2</v>
      </c>
      <c r="F392" s="30">
        <v>3175538485</v>
      </c>
      <c r="G392" s="30" t="s">
        <v>5427</v>
      </c>
      <c r="H392" s="30">
        <v>2021</v>
      </c>
      <c r="I392" s="30">
        <v>840185</v>
      </c>
      <c r="J392" s="30" t="s">
        <v>5219</v>
      </c>
      <c r="K392" s="30" t="s">
        <v>5560</v>
      </c>
    </row>
    <row r="393" spans="1:11" x14ac:dyDescent="0.35">
      <c r="A393" s="30" t="s">
        <v>9826</v>
      </c>
      <c r="B393" s="30" t="s">
        <v>9827</v>
      </c>
      <c r="C393" s="32">
        <v>11.47</v>
      </c>
      <c r="D393" s="30">
        <v>0.04</v>
      </c>
      <c r="E393" s="31">
        <v>3.5000000000000001E-3</v>
      </c>
      <c r="F393" s="30">
        <v>150916812</v>
      </c>
      <c r="G393" s="30" t="s">
        <v>5427</v>
      </c>
      <c r="H393" s="30">
        <v>2020</v>
      </c>
      <c r="I393" s="30">
        <v>10613</v>
      </c>
      <c r="J393" s="30"/>
      <c r="K393" s="30"/>
    </row>
    <row r="394" spans="1:11" x14ac:dyDescent="0.35">
      <c r="A394" s="30" t="s">
        <v>9828</v>
      </c>
      <c r="B394" s="30" t="s">
        <v>9829</v>
      </c>
      <c r="C394" s="32">
        <v>19.3</v>
      </c>
      <c r="D394" s="30">
        <v>-0.06</v>
      </c>
      <c r="E394" s="31">
        <v>-3.0999999999999999E-3</v>
      </c>
      <c r="F394" s="30">
        <v>172875099</v>
      </c>
      <c r="G394" s="30" t="s">
        <v>5427</v>
      </c>
      <c r="H394" s="30"/>
      <c r="I394" s="30">
        <v>19923</v>
      </c>
      <c r="J394" s="30" t="s">
        <v>5442</v>
      </c>
      <c r="K394" s="30" t="s">
        <v>5894</v>
      </c>
    </row>
    <row r="395" spans="1:11" x14ac:dyDescent="0.35">
      <c r="A395" s="30" t="s">
        <v>9830</v>
      </c>
      <c r="B395" s="30" t="s">
        <v>9831</v>
      </c>
      <c r="C395" s="32">
        <v>21.02</v>
      </c>
      <c r="D395" s="30">
        <v>-0.04</v>
      </c>
      <c r="E395" s="31">
        <v>-1.9E-3</v>
      </c>
      <c r="F395" s="30">
        <v>317180765</v>
      </c>
      <c r="G395" s="30" t="s">
        <v>5427</v>
      </c>
      <c r="H395" s="30"/>
      <c r="I395" s="30">
        <v>24636</v>
      </c>
      <c r="J395" s="30" t="s">
        <v>5435</v>
      </c>
      <c r="K395" s="30" t="s">
        <v>5579</v>
      </c>
    </row>
    <row r="396" spans="1:11" x14ac:dyDescent="0.35">
      <c r="A396" s="30" t="s">
        <v>9832</v>
      </c>
      <c r="B396" s="30" t="s">
        <v>9833</v>
      </c>
      <c r="C396" s="32">
        <v>28.58</v>
      </c>
      <c r="D396" s="30">
        <v>1.02</v>
      </c>
      <c r="E396" s="31">
        <v>3.7010000000000001E-2</v>
      </c>
      <c r="F396" s="30">
        <v>260991788</v>
      </c>
      <c r="G396" s="30" t="s">
        <v>5427</v>
      </c>
      <c r="H396" s="30">
        <v>2018</v>
      </c>
      <c r="I396" s="30">
        <v>8943</v>
      </c>
      <c r="J396" s="30" t="s">
        <v>5435</v>
      </c>
      <c r="K396" s="30" t="s">
        <v>5579</v>
      </c>
    </row>
    <row r="397" spans="1:11" x14ac:dyDescent="0.35">
      <c r="A397" s="30" t="s">
        <v>9834</v>
      </c>
      <c r="B397" s="30" t="s">
        <v>9835</v>
      </c>
      <c r="C397" s="32">
        <v>40.590000000000003</v>
      </c>
      <c r="D397" s="30">
        <v>1.54</v>
      </c>
      <c r="E397" s="31">
        <v>3.9440000000000003E-2</v>
      </c>
      <c r="F397" s="30">
        <v>11705860221</v>
      </c>
      <c r="G397" s="30" t="s">
        <v>5427</v>
      </c>
      <c r="H397" s="30">
        <v>2020</v>
      </c>
      <c r="I397" s="30">
        <v>932269</v>
      </c>
      <c r="J397" s="30" t="s">
        <v>5219</v>
      </c>
      <c r="K397" s="30" t="s">
        <v>5812</v>
      </c>
    </row>
    <row r="398" spans="1:11" x14ac:dyDescent="0.35">
      <c r="A398" s="30" t="s">
        <v>9836</v>
      </c>
      <c r="B398" s="30" t="s">
        <v>9837</v>
      </c>
      <c r="C398" s="32">
        <v>29.48</v>
      </c>
      <c r="D398" s="30">
        <v>0.96</v>
      </c>
      <c r="E398" s="31">
        <v>3.3660000000000002E-2</v>
      </c>
      <c r="F398" s="30">
        <v>826124673</v>
      </c>
      <c r="G398" s="30" t="s">
        <v>5427</v>
      </c>
      <c r="H398" s="30">
        <v>2018</v>
      </c>
      <c r="I398" s="30">
        <v>439227</v>
      </c>
      <c r="J398" s="30" t="s">
        <v>5431</v>
      </c>
      <c r="K398" s="30" t="s">
        <v>5430</v>
      </c>
    </row>
    <row r="399" spans="1:11" x14ac:dyDescent="0.35">
      <c r="A399" s="30" t="s">
        <v>9838</v>
      </c>
      <c r="B399" s="30" t="s">
        <v>9839</v>
      </c>
      <c r="C399" s="32">
        <v>1.6</v>
      </c>
      <c r="D399" s="30">
        <v>0.16</v>
      </c>
      <c r="E399" s="31">
        <v>0.11111</v>
      </c>
      <c r="F399" s="30">
        <v>131972558</v>
      </c>
      <c r="G399" s="30" t="s">
        <v>5427</v>
      </c>
      <c r="H399" s="30">
        <v>2018</v>
      </c>
      <c r="I399" s="30">
        <v>2473600</v>
      </c>
      <c r="J399" s="30" t="s">
        <v>5435</v>
      </c>
      <c r="K399" s="30" t="s">
        <v>5598</v>
      </c>
    </row>
    <row r="400" spans="1:11" x14ac:dyDescent="0.35">
      <c r="A400" s="30" t="s">
        <v>9840</v>
      </c>
      <c r="B400" s="30" t="s">
        <v>9841</v>
      </c>
      <c r="C400" s="32">
        <v>10</v>
      </c>
      <c r="D400" s="30">
        <v>0</v>
      </c>
      <c r="E400" s="31">
        <v>0</v>
      </c>
      <c r="F400" s="30">
        <v>299678720</v>
      </c>
      <c r="G400" s="30" t="s">
        <v>6387</v>
      </c>
      <c r="H400" s="30">
        <v>2020</v>
      </c>
      <c r="I400" s="30">
        <v>36144</v>
      </c>
      <c r="J400" s="30" t="s">
        <v>5435</v>
      </c>
      <c r="K400" s="30" t="s">
        <v>5482</v>
      </c>
    </row>
    <row r="401" spans="1:11" x14ac:dyDescent="0.35">
      <c r="A401" s="30" t="s">
        <v>9842</v>
      </c>
      <c r="B401" s="30" t="s">
        <v>9843</v>
      </c>
      <c r="C401" s="32">
        <v>24.16</v>
      </c>
      <c r="D401" s="30">
        <v>0.28999999999999998</v>
      </c>
      <c r="E401" s="31">
        <v>1.2149999999999999E-2</v>
      </c>
      <c r="F401" s="30">
        <v>1335543636</v>
      </c>
      <c r="G401" s="30" t="s">
        <v>5427</v>
      </c>
      <c r="H401" s="30"/>
      <c r="I401" s="30">
        <v>261202</v>
      </c>
      <c r="J401" s="30" t="s">
        <v>5435</v>
      </c>
      <c r="K401" s="30" t="s">
        <v>5579</v>
      </c>
    </row>
    <row r="402" spans="1:11" x14ac:dyDescent="0.35">
      <c r="A402" s="30" t="s">
        <v>9844</v>
      </c>
      <c r="B402" s="30" t="s">
        <v>9845</v>
      </c>
      <c r="C402" s="32">
        <v>1.99</v>
      </c>
      <c r="D402" s="30">
        <v>0.03</v>
      </c>
      <c r="E402" s="31">
        <v>1.5310000000000001E-2</v>
      </c>
      <c r="F402" s="30">
        <v>154699804</v>
      </c>
      <c r="G402" s="30" t="s">
        <v>5427</v>
      </c>
      <c r="H402" s="30">
        <v>2021</v>
      </c>
      <c r="I402" s="30">
        <v>215954</v>
      </c>
      <c r="J402" s="30" t="s">
        <v>5431</v>
      </c>
      <c r="K402" s="30" t="s">
        <v>6537</v>
      </c>
    </row>
    <row r="403" spans="1:11" x14ac:dyDescent="0.35">
      <c r="A403" s="30" t="s">
        <v>9846</v>
      </c>
      <c r="B403" s="30" t="s">
        <v>9847</v>
      </c>
      <c r="C403" s="32">
        <v>10.595000000000001</v>
      </c>
      <c r="D403" s="30">
        <v>-1.4999999999999999E-2</v>
      </c>
      <c r="E403" s="31">
        <v>-1.41E-3</v>
      </c>
      <c r="F403" s="30">
        <v>81587041</v>
      </c>
      <c r="G403" s="30" t="s">
        <v>5427</v>
      </c>
      <c r="H403" s="30">
        <v>2020</v>
      </c>
      <c r="I403" s="30">
        <v>7311</v>
      </c>
      <c r="J403" s="30" t="s">
        <v>5457</v>
      </c>
      <c r="K403" s="30" t="s">
        <v>5571</v>
      </c>
    </row>
    <row r="404" spans="1:11" x14ac:dyDescent="0.35">
      <c r="A404" s="30" t="s">
        <v>9848</v>
      </c>
      <c r="B404" s="30" t="s">
        <v>9849</v>
      </c>
      <c r="C404" s="32">
        <v>10.28</v>
      </c>
      <c r="D404" s="30">
        <v>0</v>
      </c>
      <c r="E404" s="31">
        <v>0</v>
      </c>
      <c r="F404" s="30">
        <v>122994854</v>
      </c>
      <c r="G404" s="30" t="s">
        <v>5427</v>
      </c>
      <c r="H404" s="30">
        <v>2022</v>
      </c>
      <c r="I404" s="30">
        <v>1001</v>
      </c>
      <c r="J404" s="30" t="s">
        <v>5435</v>
      </c>
      <c r="K404" s="30" t="s">
        <v>5482</v>
      </c>
    </row>
    <row r="405" spans="1:11" x14ac:dyDescent="0.35">
      <c r="A405" s="30" t="s">
        <v>9850</v>
      </c>
      <c r="B405" s="30" t="s">
        <v>9851</v>
      </c>
      <c r="C405" s="32">
        <v>15.23</v>
      </c>
      <c r="D405" s="30">
        <v>-0.33</v>
      </c>
      <c r="E405" s="31">
        <v>-2.121E-2</v>
      </c>
      <c r="F405" s="30">
        <v>422662199</v>
      </c>
      <c r="G405" s="30" t="s">
        <v>5427</v>
      </c>
      <c r="H405" s="30">
        <v>2018</v>
      </c>
      <c r="I405" s="30">
        <v>152188</v>
      </c>
      <c r="J405" s="30" t="s">
        <v>5435</v>
      </c>
      <c r="K405" s="30" t="s">
        <v>5579</v>
      </c>
    </row>
    <row r="406" spans="1:11" x14ac:dyDescent="0.35">
      <c r="A406" s="30" t="s">
        <v>9852</v>
      </c>
      <c r="B406" s="30" t="s">
        <v>9853</v>
      </c>
      <c r="C406" s="32">
        <v>5.5</v>
      </c>
      <c r="D406" s="30">
        <v>0.1</v>
      </c>
      <c r="E406" s="31">
        <v>1.8519999999999998E-2</v>
      </c>
      <c r="F406" s="30">
        <v>113702958</v>
      </c>
      <c r="G406" s="30" t="s">
        <v>5427</v>
      </c>
      <c r="H406" s="30"/>
      <c r="I406" s="30">
        <v>272095</v>
      </c>
      <c r="J406" s="30" t="s">
        <v>5457</v>
      </c>
      <c r="K406" s="30" t="s">
        <v>5644</v>
      </c>
    </row>
    <row r="407" spans="1:11" x14ac:dyDescent="0.35">
      <c r="A407" s="30" t="s">
        <v>9854</v>
      </c>
      <c r="B407" s="30" t="s">
        <v>9855</v>
      </c>
      <c r="C407" s="32">
        <v>30.26</v>
      </c>
      <c r="D407" s="30">
        <v>0.69</v>
      </c>
      <c r="E407" s="31">
        <v>2.333E-2</v>
      </c>
      <c r="F407" s="30">
        <v>233930952</v>
      </c>
      <c r="G407" s="30" t="s">
        <v>5427</v>
      </c>
      <c r="H407" s="30">
        <v>2014</v>
      </c>
      <c r="I407" s="30">
        <v>19258</v>
      </c>
      <c r="J407" s="30" t="s">
        <v>5435</v>
      </c>
      <c r="K407" s="30" t="s">
        <v>5579</v>
      </c>
    </row>
    <row r="408" spans="1:11" x14ac:dyDescent="0.35">
      <c r="A408" s="30" t="s">
        <v>9856</v>
      </c>
      <c r="B408" s="30" t="s">
        <v>9857</v>
      </c>
      <c r="C408" s="32">
        <v>24.95</v>
      </c>
      <c r="D408" s="30">
        <v>-0.54</v>
      </c>
      <c r="E408" s="31">
        <v>-2.1180000000000001E-2</v>
      </c>
      <c r="F408" s="30">
        <v>337295108</v>
      </c>
      <c r="G408" s="30" t="s">
        <v>5427</v>
      </c>
      <c r="H408" s="30">
        <v>2021</v>
      </c>
      <c r="I408" s="30">
        <v>45468</v>
      </c>
      <c r="J408" s="30" t="s">
        <v>5442</v>
      </c>
      <c r="K408" s="30" t="s">
        <v>5994</v>
      </c>
    </row>
    <row r="409" spans="1:11" x14ac:dyDescent="0.35">
      <c r="A409" s="30" t="s">
        <v>9858</v>
      </c>
      <c r="B409" s="30" t="s">
        <v>9859</v>
      </c>
      <c r="C409" s="32">
        <v>8.6</v>
      </c>
      <c r="D409" s="30">
        <v>0.21</v>
      </c>
      <c r="E409" s="31">
        <v>2.503E-2</v>
      </c>
      <c r="F409" s="30">
        <v>320922296</v>
      </c>
      <c r="G409" s="30" t="s">
        <v>5835</v>
      </c>
      <c r="H409" s="30"/>
      <c r="I409" s="30">
        <v>20866</v>
      </c>
      <c r="J409" s="30" t="s">
        <v>5442</v>
      </c>
      <c r="K409" s="30" t="s">
        <v>5618</v>
      </c>
    </row>
    <row r="410" spans="1:11" x14ac:dyDescent="0.35">
      <c r="A410" s="30" t="s">
        <v>9860</v>
      </c>
      <c r="B410" s="30" t="s">
        <v>9861</v>
      </c>
      <c r="C410" s="32">
        <v>1.34</v>
      </c>
      <c r="D410" s="30">
        <v>0.04</v>
      </c>
      <c r="E410" s="31">
        <v>3.0769999999999999E-2</v>
      </c>
      <c r="F410" s="30">
        <v>102216836</v>
      </c>
      <c r="G410" s="30" t="s">
        <v>5427</v>
      </c>
      <c r="H410" s="30"/>
      <c r="I410" s="30">
        <v>128196</v>
      </c>
      <c r="J410" s="30" t="s">
        <v>5435</v>
      </c>
      <c r="K410" s="30" t="s">
        <v>6556</v>
      </c>
    </row>
    <row r="411" spans="1:11" x14ac:dyDescent="0.35">
      <c r="A411" s="30" t="s">
        <v>9862</v>
      </c>
      <c r="B411" s="30" t="s">
        <v>9863</v>
      </c>
      <c r="C411" s="32">
        <v>16.97</v>
      </c>
      <c r="D411" s="30">
        <v>0.54</v>
      </c>
      <c r="E411" s="31">
        <v>3.2870000000000003E-2</v>
      </c>
      <c r="F411" s="30">
        <v>1081707052</v>
      </c>
      <c r="G411" s="30" t="s">
        <v>5427</v>
      </c>
      <c r="H411" s="30">
        <v>2019</v>
      </c>
      <c r="I411" s="30">
        <v>2843366</v>
      </c>
      <c r="J411" s="30" t="s">
        <v>5541</v>
      </c>
      <c r="K411" s="30" t="s">
        <v>5716</v>
      </c>
    </row>
    <row r="412" spans="1:11" x14ac:dyDescent="0.35">
      <c r="A412" s="30" t="s">
        <v>9864</v>
      </c>
      <c r="B412" s="30" t="s">
        <v>9865</v>
      </c>
      <c r="C412" s="32">
        <v>9.8699999999999992</v>
      </c>
      <c r="D412" s="30">
        <v>0.13</v>
      </c>
      <c r="E412" s="31">
        <v>1.3350000000000001E-2</v>
      </c>
      <c r="F412" s="30">
        <v>219475262</v>
      </c>
      <c r="G412" s="30" t="s">
        <v>5427</v>
      </c>
      <c r="H412" s="30"/>
      <c r="I412" s="30">
        <v>63553</v>
      </c>
      <c r="J412" s="30" t="s">
        <v>5442</v>
      </c>
      <c r="K412" s="30" t="s">
        <v>5701</v>
      </c>
    </row>
    <row r="413" spans="1:11" x14ac:dyDescent="0.35">
      <c r="A413" s="30" t="s">
        <v>9866</v>
      </c>
      <c r="B413" s="30" t="s">
        <v>9867</v>
      </c>
      <c r="C413" s="32">
        <v>2.61</v>
      </c>
      <c r="D413" s="30">
        <v>0.03</v>
      </c>
      <c r="E413" s="31">
        <v>1.163E-2</v>
      </c>
      <c r="F413" s="30">
        <v>79586785</v>
      </c>
      <c r="G413" s="30" t="s">
        <v>5427</v>
      </c>
      <c r="H413" s="30">
        <v>2017</v>
      </c>
      <c r="I413" s="30">
        <v>200059</v>
      </c>
      <c r="J413" s="30" t="s">
        <v>5431</v>
      </c>
      <c r="K413" s="30" t="s">
        <v>5430</v>
      </c>
    </row>
    <row r="414" spans="1:11" x14ac:dyDescent="0.35">
      <c r="A414" s="30" t="s">
        <v>9868</v>
      </c>
      <c r="B414" s="30" t="s">
        <v>9869</v>
      </c>
      <c r="C414" s="32">
        <v>10.15</v>
      </c>
      <c r="D414" s="30">
        <v>5.0000000000000001E-3</v>
      </c>
      <c r="E414" s="31">
        <v>4.8999999999999998E-4</v>
      </c>
      <c r="F414" s="30">
        <v>421139375</v>
      </c>
      <c r="G414" s="30" t="s">
        <v>5427</v>
      </c>
      <c r="H414" s="30">
        <v>2021</v>
      </c>
      <c r="I414" s="30">
        <v>91763</v>
      </c>
      <c r="J414" s="30" t="s">
        <v>5435</v>
      </c>
      <c r="K414" s="30" t="s">
        <v>5482</v>
      </c>
    </row>
    <row r="415" spans="1:11" x14ac:dyDescent="0.35">
      <c r="A415" s="30" t="s">
        <v>9870</v>
      </c>
      <c r="B415" s="30" t="s">
        <v>9871</v>
      </c>
      <c r="C415" s="32">
        <v>2.1800000000000002</v>
      </c>
      <c r="D415" s="30">
        <v>-0.12</v>
      </c>
      <c r="E415" s="31">
        <v>-5.2170000000000001E-2</v>
      </c>
      <c r="F415" s="30">
        <v>303321145</v>
      </c>
      <c r="G415" s="30" t="s">
        <v>5427</v>
      </c>
      <c r="H415" s="30">
        <v>2021</v>
      </c>
      <c r="I415" s="30">
        <v>25542626</v>
      </c>
      <c r="J415" s="30" t="s">
        <v>5442</v>
      </c>
      <c r="K415" s="30" t="s">
        <v>5450</v>
      </c>
    </row>
    <row r="416" spans="1:11" x14ac:dyDescent="0.35">
      <c r="A416" s="30" t="s">
        <v>9872</v>
      </c>
      <c r="B416" s="30" t="s">
        <v>9873</v>
      </c>
      <c r="C416" s="32">
        <v>11.92</v>
      </c>
      <c r="D416" s="30">
        <v>-0.27</v>
      </c>
      <c r="E416" s="31">
        <v>-2.215E-2</v>
      </c>
      <c r="F416" s="30">
        <v>347358455</v>
      </c>
      <c r="G416" s="30" t="s">
        <v>5427</v>
      </c>
      <c r="H416" s="30">
        <v>2019</v>
      </c>
      <c r="I416" s="30">
        <v>612837</v>
      </c>
      <c r="J416" s="30" t="s">
        <v>5431</v>
      </c>
      <c r="K416" s="30" t="s">
        <v>5430</v>
      </c>
    </row>
    <row r="417" spans="1:11" x14ac:dyDescent="0.35">
      <c r="A417" s="30" t="s">
        <v>9874</v>
      </c>
      <c r="B417" s="30" t="s">
        <v>9875</v>
      </c>
      <c r="C417" s="32">
        <v>39.950000000000003</v>
      </c>
      <c r="D417" s="30">
        <v>-2.2799999999999998</v>
      </c>
      <c r="E417" s="31">
        <v>-5.3990000000000003E-2</v>
      </c>
      <c r="F417" s="30">
        <v>581888090</v>
      </c>
      <c r="G417" s="30" t="s">
        <v>5427</v>
      </c>
      <c r="H417" s="30"/>
      <c r="I417" s="30">
        <v>92850</v>
      </c>
      <c r="J417" s="30" t="s">
        <v>5435</v>
      </c>
      <c r="K417" s="30" t="s">
        <v>5579</v>
      </c>
    </row>
    <row r="418" spans="1:11" x14ac:dyDescent="0.35">
      <c r="A418" s="30" t="s">
        <v>9876</v>
      </c>
      <c r="B418" s="30" t="s">
        <v>9877</v>
      </c>
      <c r="C418" s="32">
        <v>526.08000000000004</v>
      </c>
      <c r="D418" s="30">
        <v>63.44</v>
      </c>
      <c r="E418" s="31">
        <v>0.13713</v>
      </c>
      <c r="F418" s="30">
        <v>6799431963</v>
      </c>
      <c r="G418" s="30" t="s">
        <v>5427</v>
      </c>
      <c r="H418" s="30">
        <v>1992</v>
      </c>
      <c r="I418" s="30">
        <v>383441</v>
      </c>
      <c r="J418" s="30" t="s">
        <v>5435</v>
      </c>
      <c r="K418" s="30" t="s">
        <v>5598</v>
      </c>
    </row>
    <row r="419" spans="1:11" x14ac:dyDescent="0.35">
      <c r="A419" s="30" t="s">
        <v>9878</v>
      </c>
      <c r="B419" s="30" t="s">
        <v>9879</v>
      </c>
      <c r="C419" s="32">
        <v>2.41</v>
      </c>
      <c r="D419" s="30">
        <v>-0.1595</v>
      </c>
      <c r="E419" s="31">
        <v>-6.207E-2</v>
      </c>
      <c r="F419" s="30">
        <v>69634646</v>
      </c>
      <c r="G419" s="30" t="s">
        <v>5427</v>
      </c>
      <c r="H419" s="30">
        <v>2021</v>
      </c>
      <c r="I419" s="30">
        <v>43686</v>
      </c>
      <c r="J419" s="30" t="s">
        <v>5431</v>
      </c>
      <c r="K419" s="30" t="s">
        <v>5430</v>
      </c>
    </row>
    <row r="420" spans="1:11" x14ac:dyDescent="0.35">
      <c r="A420" s="30" t="s">
        <v>9880</v>
      </c>
      <c r="B420" s="30" t="s">
        <v>9881</v>
      </c>
      <c r="C420" s="32">
        <v>38.64</v>
      </c>
      <c r="D420" s="30">
        <v>-0.61</v>
      </c>
      <c r="E420" s="31">
        <v>-1.554E-2</v>
      </c>
      <c r="F420" s="30">
        <v>1986874055</v>
      </c>
      <c r="G420" s="30" t="s">
        <v>5427</v>
      </c>
      <c r="H420" s="30">
        <v>1992</v>
      </c>
      <c r="I420" s="30">
        <v>1143550</v>
      </c>
      <c r="J420" s="30" t="s">
        <v>5442</v>
      </c>
      <c r="K420" s="30" t="s">
        <v>5441</v>
      </c>
    </row>
    <row r="421" spans="1:11" x14ac:dyDescent="0.35">
      <c r="A421" s="30" t="s">
        <v>9882</v>
      </c>
      <c r="B421" s="30" t="s">
        <v>9883</v>
      </c>
      <c r="C421" s="32">
        <v>25.47</v>
      </c>
      <c r="D421" s="30">
        <v>0</v>
      </c>
      <c r="E421" s="31">
        <v>0</v>
      </c>
      <c r="F421" s="30">
        <v>212228240</v>
      </c>
      <c r="G421" s="30" t="s">
        <v>5427</v>
      </c>
      <c r="H421" s="30"/>
      <c r="I421" s="30">
        <v>15578</v>
      </c>
      <c r="J421" s="30" t="s">
        <v>5435</v>
      </c>
      <c r="K421" s="30" t="s">
        <v>5579</v>
      </c>
    </row>
    <row r="422" spans="1:11" x14ac:dyDescent="0.35">
      <c r="A422" s="30" t="s">
        <v>9884</v>
      </c>
      <c r="B422" s="30" t="s">
        <v>9885</v>
      </c>
      <c r="C422" s="32">
        <v>57.17</v>
      </c>
      <c r="D422" s="30">
        <v>-0.05</v>
      </c>
      <c r="E422" s="31">
        <v>-8.7000000000000001E-4</v>
      </c>
      <c r="F422" s="30">
        <v>2797336618</v>
      </c>
      <c r="G422" s="30" t="s">
        <v>5427</v>
      </c>
      <c r="H422" s="30">
        <v>1996</v>
      </c>
      <c r="I422" s="30">
        <v>871403</v>
      </c>
      <c r="J422" s="30" t="s">
        <v>5541</v>
      </c>
      <c r="K422" s="30" t="s">
        <v>5774</v>
      </c>
    </row>
    <row r="423" spans="1:11" x14ac:dyDescent="0.35">
      <c r="A423" s="30" t="s">
        <v>9886</v>
      </c>
      <c r="B423" s="30" t="s">
        <v>9887</v>
      </c>
      <c r="C423" s="32">
        <v>19.899999999999999</v>
      </c>
      <c r="D423" s="30">
        <v>0.7</v>
      </c>
      <c r="E423" s="31">
        <v>3.6459999999999999E-2</v>
      </c>
      <c r="F423" s="30">
        <v>533962452</v>
      </c>
      <c r="G423" s="30" t="s">
        <v>8891</v>
      </c>
      <c r="H423" s="30">
        <v>2020</v>
      </c>
      <c r="I423" s="30">
        <v>27411</v>
      </c>
      <c r="J423" s="30" t="s">
        <v>5431</v>
      </c>
      <c r="K423" s="30" t="s">
        <v>5430</v>
      </c>
    </row>
    <row r="424" spans="1:11" x14ac:dyDescent="0.35">
      <c r="A424" s="30" t="s">
        <v>9888</v>
      </c>
      <c r="B424" s="30" t="s">
        <v>9889</v>
      </c>
      <c r="C424" s="32">
        <v>4.72</v>
      </c>
      <c r="D424" s="30">
        <v>0.09</v>
      </c>
      <c r="E424" s="31">
        <v>1.9439999999999999E-2</v>
      </c>
      <c r="F424" s="30">
        <v>174490791</v>
      </c>
      <c r="G424" s="30" t="s">
        <v>5427</v>
      </c>
      <c r="H424" s="30">
        <v>1983</v>
      </c>
      <c r="I424" s="30">
        <v>257396</v>
      </c>
      <c r="J424" s="30" t="s">
        <v>5442</v>
      </c>
      <c r="K424" s="30" t="s">
        <v>5520</v>
      </c>
    </row>
    <row r="425" spans="1:11" x14ac:dyDescent="0.35">
      <c r="A425" s="30" t="s">
        <v>9890</v>
      </c>
      <c r="B425" s="30" t="s">
        <v>9891</v>
      </c>
      <c r="C425" s="32">
        <v>4.2300000000000004</v>
      </c>
      <c r="D425" s="30">
        <v>0.01</v>
      </c>
      <c r="E425" s="31">
        <v>2.3700000000000001E-3</v>
      </c>
      <c r="F425" s="30">
        <v>106771130</v>
      </c>
      <c r="G425" s="30" t="s">
        <v>5427</v>
      </c>
      <c r="H425" s="30"/>
      <c r="I425" s="30">
        <v>100972</v>
      </c>
      <c r="J425" s="30" t="s">
        <v>5431</v>
      </c>
      <c r="K425" s="30" t="s">
        <v>6409</v>
      </c>
    </row>
    <row r="426" spans="1:11" x14ac:dyDescent="0.35">
      <c r="A426" s="30" t="s">
        <v>9892</v>
      </c>
      <c r="B426" s="30" t="s">
        <v>9893</v>
      </c>
      <c r="C426" s="32">
        <v>210.37</v>
      </c>
      <c r="D426" s="30">
        <v>10.33</v>
      </c>
      <c r="E426" s="31">
        <v>5.1639999999999998E-2</v>
      </c>
      <c r="F426" s="30">
        <v>8723289092</v>
      </c>
      <c r="G426" s="30" t="s">
        <v>5427</v>
      </c>
      <c r="H426" s="30"/>
      <c r="I426" s="30">
        <v>761330</v>
      </c>
      <c r="J426" s="30" t="s">
        <v>5442</v>
      </c>
      <c r="K426" s="30" t="s">
        <v>5788</v>
      </c>
    </row>
    <row r="427" spans="1:11" x14ac:dyDescent="0.35">
      <c r="A427" s="30" t="s">
        <v>9894</v>
      </c>
      <c r="B427" s="30" t="s">
        <v>9895</v>
      </c>
      <c r="C427" s="32">
        <v>11.86</v>
      </c>
      <c r="D427" s="30">
        <v>0.18</v>
      </c>
      <c r="E427" s="31">
        <v>1.541E-2</v>
      </c>
      <c r="F427" s="30">
        <v>637280579</v>
      </c>
      <c r="G427" s="30" t="s">
        <v>5427</v>
      </c>
      <c r="H427" s="30">
        <v>2014</v>
      </c>
      <c r="I427" s="30">
        <v>212891</v>
      </c>
      <c r="J427" s="30" t="s">
        <v>5431</v>
      </c>
      <c r="K427" s="30" t="s">
        <v>5430</v>
      </c>
    </row>
    <row r="428" spans="1:11" x14ac:dyDescent="0.35">
      <c r="A428" s="30" t="s">
        <v>9896</v>
      </c>
      <c r="B428" s="30" t="s">
        <v>9897</v>
      </c>
      <c r="C428" s="32">
        <v>16.63</v>
      </c>
      <c r="D428" s="30">
        <v>0.01</v>
      </c>
      <c r="E428" s="31">
        <v>5.9999999999999995E-4</v>
      </c>
      <c r="F428" s="30">
        <v>398401118</v>
      </c>
      <c r="G428" s="30" t="s">
        <v>5427</v>
      </c>
      <c r="H428" s="30"/>
      <c r="I428" s="30">
        <v>36448</v>
      </c>
      <c r="J428" s="30" t="s">
        <v>5435</v>
      </c>
      <c r="K428" s="30" t="s">
        <v>5579</v>
      </c>
    </row>
    <row r="429" spans="1:11" x14ac:dyDescent="0.35">
      <c r="A429" s="30" t="s">
        <v>9898</v>
      </c>
      <c r="B429" s="30" t="s">
        <v>9899</v>
      </c>
      <c r="C429" s="32">
        <v>17.66</v>
      </c>
      <c r="D429" s="30">
        <v>0.01</v>
      </c>
      <c r="E429" s="31">
        <v>5.6999999999999998E-4</v>
      </c>
      <c r="F429" s="30">
        <v>2100398793</v>
      </c>
      <c r="G429" s="30" t="s">
        <v>5427</v>
      </c>
      <c r="H429" s="30">
        <v>2017</v>
      </c>
      <c r="I429" s="30">
        <v>1325796</v>
      </c>
      <c r="J429" s="30"/>
      <c r="K429" s="30"/>
    </row>
    <row r="430" spans="1:11" x14ac:dyDescent="0.35">
      <c r="A430" s="30" t="s">
        <v>9900</v>
      </c>
      <c r="B430" s="30" t="s">
        <v>9901</v>
      </c>
      <c r="C430" s="32">
        <v>3.62</v>
      </c>
      <c r="D430" s="30">
        <v>0.2</v>
      </c>
      <c r="E430" s="31">
        <v>5.8479999999999997E-2</v>
      </c>
      <c r="F430" s="30">
        <v>342528874</v>
      </c>
      <c r="G430" s="30" t="s">
        <v>5427</v>
      </c>
      <c r="H430" s="30">
        <v>2017</v>
      </c>
      <c r="I430" s="30">
        <v>254283</v>
      </c>
      <c r="J430" s="30" t="s">
        <v>5219</v>
      </c>
      <c r="K430" s="30" t="s">
        <v>5780</v>
      </c>
    </row>
    <row r="431" spans="1:11" x14ac:dyDescent="0.35">
      <c r="A431" s="30" t="s">
        <v>9902</v>
      </c>
      <c r="B431" s="30" t="s">
        <v>9903</v>
      </c>
      <c r="C431" s="32">
        <v>50.88</v>
      </c>
      <c r="D431" s="30">
        <v>1.26</v>
      </c>
      <c r="E431" s="31">
        <v>2.5389999999999999E-2</v>
      </c>
      <c r="F431" s="30">
        <v>1411057024</v>
      </c>
      <c r="G431" s="30" t="s">
        <v>5427</v>
      </c>
      <c r="H431" s="30">
        <v>1993</v>
      </c>
      <c r="I431" s="30">
        <v>301678</v>
      </c>
      <c r="J431" s="30" t="s">
        <v>5435</v>
      </c>
      <c r="K431" s="30" t="s">
        <v>6698</v>
      </c>
    </row>
    <row r="432" spans="1:11" x14ac:dyDescent="0.35">
      <c r="A432" s="30" t="s">
        <v>9904</v>
      </c>
      <c r="B432" s="30" t="s">
        <v>9905</v>
      </c>
      <c r="C432" s="32">
        <v>49.52</v>
      </c>
      <c r="D432" s="30">
        <v>0.96</v>
      </c>
      <c r="E432" s="31">
        <v>1.9769999999999999E-2</v>
      </c>
      <c r="F432" s="30">
        <v>676510201</v>
      </c>
      <c r="G432" s="30" t="s">
        <v>5427</v>
      </c>
      <c r="H432" s="30"/>
      <c r="I432" s="30">
        <v>46516</v>
      </c>
      <c r="J432" s="30" t="s">
        <v>5442</v>
      </c>
      <c r="K432" s="30" t="s">
        <v>5482</v>
      </c>
    </row>
    <row r="433" spans="1:11" x14ac:dyDescent="0.35">
      <c r="A433" s="30" t="s">
        <v>9906</v>
      </c>
      <c r="B433" s="30" t="s">
        <v>9907</v>
      </c>
      <c r="C433" s="32">
        <v>232.6</v>
      </c>
      <c r="D433" s="30">
        <v>-3.31</v>
      </c>
      <c r="E433" s="31">
        <v>-1.4030000000000001E-2</v>
      </c>
      <c r="F433" s="30">
        <v>8666355477</v>
      </c>
      <c r="G433" s="30" t="s">
        <v>5427</v>
      </c>
      <c r="H433" s="30">
        <v>1983</v>
      </c>
      <c r="I433" s="30">
        <v>453290</v>
      </c>
      <c r="J433" s="30" t="s">
        <v>5682</v>
      </c>
      <c r="K433" s="30" t="s">
        <v>5746</v>
      </c>
    </row>
    <row r="434" spans="1:11" x14ac:dyDescent="0.35">
      <c r="A434" s="30" t="s">
        <v>9908</v>
      </c>
      <c r="B434" s="30" t="s">
        <v>9909</v>
      </c>
      <c r="C434" s="32">
        <v>81.22</v>
      </c>
      <c r="D434" s="30">
        <v>1.22</v>
      </c>
      <c r="E434" s="31">
        <v>1.525E-2</v>
      </c>
      <c r="F434" s="30">
        <v>633226857</v>
      </c>
      <c r="G434" s="30" t="s">
        <v>5427</v>
      </c>
      <c r="H434" s="30"/>
      <c r="I434" s="30">
        <v>75857</v>
      </c>
      <c r="J434" s="30" t="s">
        <v>5435</v>
      </c>
      <c r="K434" s="30" t="s">
        <v>5579</v>
      </c>
    </row>
    <row r="435" spans="1:11" x14ac:dyDescent="0.35">
      <c r="A435" s="30" t="s">
        <v>9910</v>
      </c>
      <c r="B435" s="30" t="s">
        <v>9911</v>
      </c>
      <c r="C435" s="32">
        <v>44.24</v>
      </c>
      <c r="D435" s="30">
        <v>0.28000000000000003</v>
      </c>
      <c r="E435" s="31">
        <v>6.3699999999999998E-3</v>
      </c>
      <c r="F435" s="30">
        <v>3218112760</v>
      </c>
      <c r="G435" s="30" t="s">
        <v>5427</v>
      </c>
      <c r="H435" s="30"/>
      <c r="I435" s="30">
        <v>359318</v>
      </c>
      <c r="J435" s="30" t="s">
        <v>5435</v>
      </c>
      <c r="K435" s="30" t="s">
        <v>5579</v>
      </c>
    </row>
    <row r="436" spans="1:11" x14ac:dyDescent="0.35">
      <c r="A436" s="30" t="s">
        <v>9912</v>
      </c>
      <c r="B436" s="30" t="s">
        <v>9913</v>
      </c>
      <c r="C436" s="32">
        <v>12.96</v>
      </c>
      <c r="D436" s="30">
        <v>7.0000000000000007E-2</v>
      </c>
      <c r="E436" s="31">
        <v>5.4299999999999999E-3</v>
      </c>
      <c r="F436" s="30">
        <v>228071674</v>
      </c>
      <c r="G436" s="30" t="s">
        <v>5427</v>
      </c>
      <c r="H436" s="30"/>
      <c r="I436" s="30">
        <v>36395</v>
      </c>
      <c r="J436" s="30" t="s">
        <v>5435</v>
      </c>
      <c r="K436" s="30" t="s">
        <v>5579</v>
      </c>
    </row>
    <row r="437" spans="1:11" x14ac:dyDescent="0.35">
      <c r="A437" s="30" t="s">
        <v>9914</v>
      </c>
      <c r="B437" s="30" t="s">
        <v>9915</v>
      </c>
      <c r="C437" s="32">
        <v>8.64</v>
      </c>
      <c r="D437" s="30">
        <v>0.25</v>
      </c>
      <c r="E437" s="31">
        <v>2.98E-2</v>
      </c>
      <c r="F437" s="30">
        <v>818044384</v>
      </c>
      <c r="G437" s="30" t="s">
        <v>5427</v>
      </c>
      <c r="H437" s="30"/>
      <c r="I437" s="30">
        <v>1152301</v>
      </c>
      <c r="J437" s="30" t="s">
        <v>5431</v>
      </c>
      <c r="K437" s="30" t="s">
        <v>5430</v>
      </c>
    </row>
    <row r="438" spans="1:11" x14ac:dyDescent="0.35">
      <c r="A438" s="30" t="s">
        <v>9916</v>
      </c>
      <c r="B438" s="30" t="s">
        <v>9917</v>
      </c>
      <c r="C438" s="32">
        <v>22</v>
      </c>
      <c r="D438" s="30">
        <v>0.21</v>
      </c>
      <c r="E438" s="31">
        <v>9.6399999999999993E-3</v>
      </c>
      <c r="F438" s="30">
        <v>112204158</v>
      </c>
      <c r="G438" s="30" t="s">
        <v>5427</v>
      </c>
      <c r="H438" s="30"/>
      <c r="I438" s="30">
        <v>1894</v>
      </c>
      <c r="J438" s="30" t="s">
        <v>5435</v>
      </c>
      <c r="K438" s="30" t="s">
        <v>5579</v>
      </c>
    </row>
    <row r="439" spans="1:11" x14ac:dyDescent="0.35">
      <c r="A439" s="30" t="s">
        <v>9918</v>
      </c>
      <c r="B439" s="30" t="s">
        <v>9919</v>
      </c>
      <c r="C439" s="32">
        <v>22</v>
      </c>
      <c r="D439" s="30">
        <v>0.5</v>
      </c>
      <c r="E439" s="31">
        <v>2.3259999999999999E-2</v>
      </c>
      <c r="F439" s="30">
        <v>311054238</v>
      </c>
      <c r="G439" s="30" t="s">
        <v>5427</v>
      </c>
      <c r="H439" s="30">
        <v>2018</v>
      </c>
      <c r="I439" s="30">
        <v>49086</v>
      </c>
      <c r="J439" s="30" t="s">
        <v>5435</v>
      </c>
      <c r="K439" s="30" t="s">
        <v>5579</v>
      </c>
    </row>
    <row r="440" spans="1:11" x14ac:dyDescent="0.35">
      <c r="A440" s="30" t="s">
        <v>9920</v>
      </c>
      <c r="B440" s="30" t="s">
        <v>9921</v>
      </c>
      <c r="C440" s="32">
        <v>10.33</v>
      </c>
      <c r="D440" s="30">
        <v>-0.01</v>
      </c>
      <c r="E440" s="31">
        <v>-9.7000000000000005E-4</v>
      </c>
      <c r="F440" s="30">
        <v>296987500</v>
      </c>
      <c r="G440" s="30" t="s">
        <v>5427</v>
      </c>
      <c r="H440" s="30">
        <v>2021</v>
      </c>
      <c r="I440" s="30">
        <v>274467</v>
      </c>
      <c r="J440" s="30" t="s">
        <v>5435</v>
      </c>
      <c r="K440" s="30" t="s">
        <v>5482</v>
      </c>
    </row>
    <row r="441" spans="1:11" x14ac:dyDescent="0.35">
      <c r="A441" s="30" t="s">
        <v>9922</v>
      </c>
      <c r="B441" s="30" t="s">
        <v>9923</v>
      </c>
      <c r="C441" s="32">
        <v>111.72</v>
      </c>
      <c r="D441" s="30">
        <v>0.14000000000000001</v>
      </c>
      <c r="E441" s="31">
        <v>1.25E-3</v>
      </c>
      <c r="F441" s="30">
        <v>2480311584</v>
      </c>
      <c r="G441" s="30" t="s">
        <v>5427</v>
      </c>
      <c r="H441" s="30">
        <v>1981</v>
      </c>
      <c r="I441" s="30">
        <v>420958</v>
      </c>
      <c r="J441" s="30" t="s">
        <v>5442</v>
      </c>
      <c r="K441" s="30" t="s">
        <v>5441</v>
      </c>
    </row>
    <row r="442" spans="1:11" x14ac:dyDescent="0.35">
      <c r="A442" s="30" t="s">
        <v>9924</v>
      </c>
      <c r="B442" s="30" t="s">
        <v>9925</v>
      </c>
      <c r="C442" s="32">
        <v>66.040000000000006</v>
      </c>
      <c r="D442" s="30">
        <v>-0.52</v>
      </c>
      <c r="E442" s="31">
        <v>-7.8100000000000001E-3</v>
      </c>
      <c r="F442" s="30">
        <v>8254940564</v>
      </c>
      <c r="G442" s="30" t="s">
        <v>5427</v>
      </c>
      <c r="H442" s="30"/>
      <c r="I442" s="30">
        <v>425533</v>
      </c>
      <c r="J442" s="30" t="s">
        <v>5435</v>
      </c>
      <c r="K442" s="30" t="s">
        <v>5579</v>
      </c>
    </row>
    <row r="443" spans="1:11" x14ac:dyDescent="0.35">
      <c r="A443" s="30" t="s">
        <v>9926</v>
      </c>
      <c r="B443" s="30" t="s">
        <v>9927</v>
      </c>
      <c r="C443" s="32">
        <v>10.1</v>
      </c>
      <c r="D443" s="30">
        <v>0.01</v>
      </c>
      <c r="E443" s="31">
        <v>9.8999999999999999E-4</v>
      </c>
      <c r="F443" s="30">
        <v>189375000</v>
      </c>
      <c r="G443" s="30" t="s">
        <v>5427</v>
      </c>
      <c r="H443" s="30">
        <v>2021</v>
      </c>
      <c r="I443" s="30">
        <v>31933</v>
      </c>
      <c r="J443" s="30" t="s">
        <v>5457</v>
      </c>
      <c r="K443" s="30" t="s">
        <v>5571</v>
      </c>
    </row>
    <row r="444" spans="1:11" x14ac:dyDescent="0.35">
      <c r="A444" s="30" t="s">
        <v>9928</v>
      </c>
      <c r="B444" s="30" t="s">
        <v>9929</v>
      </c>
      <c r="C444" s="32">
        <v>15.23</v>
      </c>
      <c r="D444" s="30">
        <v>0.06</v>
      </c>
      <c r="E444" s="31">
        <v>3.96E-3</v>
      </c>
      <c r="F444" s="30">
        <v>470414493</v>
      </c>
      <c r="G444" s="30" t="s">
        <v>5427</v>
      </c>
      <c r="H444" s="30"/>
      <c r="I444" s="30">
        <v>48188</v>
      </c>
      <c r="J444" s="30" t="s">
        <v>5457</v>
      </c>
      <c r="K444" s="30" t="s">
        <v>5571</v>
      </c>
    </row>
    <row r="445" spans="1:11" x14ac:dyDescent="0.35">
      <c r="A445" s="30" t="s">
        <v>9930</v>
      </c>
      <c r="B445" s="30" t="s">
        <v>9931</v>
      </c>
      <c r="C445" s="32">
        <v>46.16</v>
      </c>
      <c r="D445" s="30">
        <v>0.49</v>
      </c>
      <c r="E445" s="31">
        <v>1.073E-2</v>
      </c>
      <c r="F445" s="30">
        <v>607518546</v>
      </c>
      <c r="G445" s="30" t="s">
        <v>5427</v>
      </c>
      <c r="H445" s="30">
        <v>2018</v>
      </c>
      <c r="I445" s="30">
        <v>43083</v>
      </c>
      <c r="J445" s="30" t="s">
        <v>5435</v>
      </c>
      <c r="K445" s="30" t="s">
        <v>5582</v>
      </c>
    </row>
    <row r="446" spans="1:11" x14ac:dyDescent="0.35">
      <c r="A446" s="30" t="s">
        <v>9932</v>
      </c>
      <c r="B446" s="30" t="s">
        <v>9933</v>
      </c>
      <c r="C446" s="32">
        <v>32.51</v>
      </c>
      <c r="D446" s="30">
        <v>0.04</v>
      </c>
      <c r="E446" s="31">
        <v>1.23E-3</v>
      </c>
      <c r="F446" s="30">
        <v>552247370</v>
      </c>
      <c r="G446" s="30" t="s">
        <v>5427</v>
      </c>
      <c r="H446" s="30"/>
      <c r="I446" s="30">
        <v>34084</v>
      </c>
      <c r="J446" s="30" t="s">
        <v>5435</v>
      </c>
      <c r="K446" s="30" t="s">
        <v>5579</v>
      </c>
    </row>
    <row r="447" spans="1:11" x14ac:dyDescent="0.35">
      <c r="A447" s="30" t="s">
        <v>9934</v>
      </c>
      <c r="B447" s="30" t="s">
        <v>9935</v>
      </c>
      <c r="C447" s="32">
        <v>7.91</v>
      </c>
      <c r="D447" s="30">
        <v>0.12</v>
      </c>
      <c r="E447" s="31">
        <v>1.54E-2</v>
      </c>
      <c r="F447" s="30">
        <v>387249925</v>
      </c>
      <c r="G447" s="30" t="s">
        <v>5427</v>
      </c>
      <c r="H447" s="30">
        <v>2020</v>
      </c>
      <c r="I447" s="30">
        <v>306849</v>
      </c>
      <c r="J447" s="30" t="s">
        <v>5431</v>
      </c>
      <c r="K447" s="30" t="s">
        <v>5430</v>
      </c>
    </row>
    <row r="448" spans="1:11" x14ac:dyDescent="0.35">
      <c r="A448" s="30" t="s">
        <v>9936</v>
      </c>
      <c r="B448" s="30" t="s">
        <v>9937</v>
      </c>
      <c r="C448" s="32">
        <v>9.41</v>
      </c>
      <c r="D448" s="30">
        <v>0.16</v>
      </c>
      <c r="E448" s="31">
        <v>1.7299999999999999E-2</v>
      </c>
      <c r="F448" s="30">
        <v>5840894792</v>
      </c>
      <c r="G448" s="30" t="s">
        <v>5427</v>
      </c>
      <c r="H448" s="30"/>
      <c r="I448" s="30">
        <v>383610</v>
      </c>
      <c r="J448" s="30" t="s">
        <v>5219</v>
      </c>
      <c r="K448" s="30" t="s">
        <v>5560</v>
      </c>
    </row>
    <row r="449" spans="1:11" x14ac:dyDescent="0.35">
      <c r="A449" s="30" t="s">
        <v>9938</v>
      </c>
      <c r="B449" s="30" t="s">
        <v>9939</v>
      </c>
      <c r="C449" s="32">
        <v>23.2</v>
      </c>
      <c r="D449" s="30">
        <v>0.71</v>
      </c>
      <c r="E449" s="31">
        <v>3.1570000000000001E-2</v>
      </c>
      <c r="F449" s="30">
        <v>605075442</v>
      </c>
      <c r="G449" s="30" t="s">
        <v>5427</v>
      </c>
      <c r="H449" s="30"/>
      <c r="I449" s="30">
        <v>100382</v>
      </c>
      <c r="J449" s="30" t="s">
        <v>5435</v>
      </c>
      <c r="K449" s="30" t="s">
        <v>5568</v>
      </c>
    </row>
    <row r="450" spans="1:11" x14ac:dyDescent="0.35">
      <c r="A450" s="30" t="s">
        <v>9940</v>
      </c>
      <c r="B450" s="30" t="s">
        <v>9941</v>
      </c>
      <c r="C450" s="32">
        <v>56.66</v>
      </c>
      <c r="D450" s="30">
        <v>0.44</v>
      </c>
      <c r="E450" s="31">
        <v>7.8300000000000002E-3</v>
      </c>
      <c r="F450" s="30">
        <v>25899651627</v>
      </c>
      <c r="G450" s="30" t="s">
        <v>5775</v>
      </c>
      <c r="H450" s="30"/>
      <c r="I450" s="30">
        <v>1154985</v>
      </c>
      <c r="J450" s="30" t="s">
        <v>5541</v>
      </c>
      <c r="K450" s="30" t="s">
        <v>5997</v>
      </c>
    </row>
    <row r="451" spans="1:11" x14ac:dyDescent="0.35">
      <c r="A451" s="30" t="s">
        <v>9942</v>
      </c>
      <c r="B451" s="30" t="s">
        <v>9943</v>
      </c>
      <c r="C451" s="32">
        <v>3.52</v>
      </c>
      <c r="D451" s="30">
        <v>-0.08</v>
      </c>
      <c r="E451" s="31">
        <v>-2.222E-2</v>
      </c>
      <c r="F451" s="30">
        <v>53575132</v>
      </c>
      <c r="G451" s="30" t="s">
        <v>5427</v>
      </c>
      <c r="H451" s="30">
        <v>2014</v>
      </c>
      <c r="I451" s="30">
        <v>19855</v>
      </c>
      <c r="J451" s="30" t="s">
        <v>5431</v>
      </c>
      <c r="K451" s="30" t="s">
        <v>6530</v>
      </c>
    </row>
    <row r="452" spans="1:11" x14ac:dyDescent="0.35">
      <c r="A452" s="30" t="s">
        <v>9944</v>
      </c>
      <c r="B452" s="30" t="s">
        <v>9945</v>
      </c>
      <c r="C452" s="32">
        <v>1.38</v>
      </c>
      <c r="D452" s="30">
        <v>-0.02</v>
      </c>
      <c r="E452" s="31">
        <v>-1.4290000000000001E-2</v>
      </c>
      <c r="F452" s="30">
        <v>194907698</v>
      </c>
      <c r="G452" s="30" t="s">
        <v>5427</v>
      </c>
      <c r="H452" s="30">
        <v>2011</v>
      </c>
      <c r="I452" s="30">
        <v>383489</v>
      </c>
      <c r="J452" s="30" t="s">
        <v>5464</v>
      </c>
      <c r="K452" s="30" t="s">
        <v>5588</v>
      </c>
    </row>
    <row r="453" spans="1:11" x14ac:dyDescent="0.35">
      <c r="A453" s="30" t="s">
        <v>9946</v>
      </c>
      <c r="B453" s="30" t="s">
        <v>9947</v>
      </c>
      <c r="C453" s="32">
        <v>24.26</v>
      </c>
      <c r="D453" s="30">
        <v>0.14000000000000001</v>
      </c>
      <c r="E453" s="31">
        <v>5.7999999999999996E-3</v>
      </c>
      <c r="F453" s="30">
        <v>512403854</v>
      </c>
      <c r="G453" s="30" t="s">
        <v>5427</v>
      </c>
      <c r="H453" s="30"/>
      <c r="I453" s="30">
        <v>61723</v>
      </c>
      <c r="J453" s="30" t="s">
        <v>5435</v>
      </c>
      <c r="K453" s="30" t="s">
        <v>5579</v>
      </c>
    </row>
    <row r="454" spans="1:11" x14ac:dyDescent="0.35">
      <c r="A454" s="30" t="s">
        <v>9948</v>
      </c>
      <c r="B454" s="30" t="s">
        <v>9949</v>
      </c>
      <c r="C454" s="32">
        <v>70.400000000000006</v>
      </c>
      <c r="D454" s="30">
        <v>1.83</v>
      </c>
      <c r="E454" s="31">
        <v>2.6689999999999998E-2</v>
      </c>
      <c r="F454" s="30">
        <v>3379906957</v>
      </c>
      <c r="G454" s="30" t="s">
        <v>5427</v>
      </c>
      <c r="H454" s="30"/>
      <c r="I454" s="30">
        <v>261035</v>
      </c>
      <c r="J454" s="30" t="s">
        <v>5442</v>
      </c>
      <c r="K454" s="30" t="s">
        <v>5520</v>
      </c>
    </row>
    <row r="455" spans="1:11" x14ac:dyDescent="0.35">
      <c r="A455" s="30" t="s">
        <v>9950</v>
      </c>
      <c r="B455" s="30" t="s">
        <v>9951</v>
      </c>
      <c r="C455" s="32">
        <v>28.98</v>
      </c>
      <c r="D455" s="30">
        <v>1.23</v>
      </c>
      <c r="E455" s="31">
        <v>4.4319999999999998E-2</v>
      </c>
      <c r="F455" s="30">
        <v>1080822576</v>
      </c>
      <c r="G455" s="30" t="s">
        <v>5427</v>
      </c>
      <c r="H455" s="30">
        <v>2001</v>
      </c>
      <c r="I455" s="30">
        <v>634626</v>
      </c>
      <c r="J455" s="30" t="s">
        <v>5442</v>
      </c>
      <c r="K455" s="30" t="s">
        <v>5746</v>
      </c>
    </row>
    <row r="456" spans="1:11" x14ac:dyDescent="0.35">
      <c r="A456" s="30" t="s">
        <v>9952</v>
      </c>
      <c r="B456" s="30" t="s">
        <v>9953</v>
      </c>
      <c r="C456" s="32">
        <v>59.36</v>
      </c>
      <c r="D456" s="30">
        <v>0.59</v>
      </c>
      <c r="E456" s="31">
        <v>1.004E-2</v>
      </c>
      <c r="F456" s="30">
        <v>1176980345</v>
      </c>
      <c r="G456" s="30" t="s">
        <v>5427</v>
      </c>
      <c r="H456" s="30"/>
      <c r="I456" s="30">
        <v>94493</v>
      </c>
      <c r="J456" s="30" t="s">
        <v>5219</v>
      </c>
      <c r="K456" s="30" t="s">
        <v>5812</v>
      </c>
    </row>
    <row r="457" spans="1:11" x14ac:dyDescent="0.35">
      <c r="A457" s="30" t="s">
        <v>9954</v>
      </c>
      <c r="B457" s="30" t="s">
        <v>9955</v>
      </c>
      <c r="C457" s="32">
        <v>10.34</v>
      </c>
      <c r="D457" s="30">
        <v>0.01</v>
      </c>
      <c r="E457" s="31">
        <v>9.7000000000000005E-4</v>
      </c>
      <c r="F457" s="30">
        <v>163501250</v>
      </c>
      <c r="G457" s="30" t="s">
        <v>5427</v>
      </c>
      <c r="H457" s="30">
        <v>2021</v>
      </c>
      <c r="I457" s="30">
        <v>150500</v>
      </c>
      <c r="J457" s="30" t="s">
        <v>5435</v>
      </c>
      <c r="K457" s="30" t="s">
        <v>5482</v>
      </c>
    </row>
    <row r="458" spans="1:11" x14ac:dyDescent="0.35">
      <c r="A458" s="30" t="s">
        <v>9956</v>
      </c>
      <c r="B458" s="30" t="s">
        <v>9957</v>
      </c>
      <c r="C458" s="32">
        <v>10.1</v>
      </c>
      <c r="D458" s="30">
        <v>-0.01</v>
      </c>
      <c r="E458" s="31">
        <v>-9.8999999999999999E-4</v>
      </c>
      <c r="F458" s="30">
        <v>268161161</v>
      </c>
      <c r="G458" s="30" t="s">
        <v>5427</v>
      </c>
      <c r="H458" s="30">
        <v>2021</v>
      </c>
      <c r="I458" s="30">
        <v>78793</v>
      </c>
      <c r="J458" s="30" t="s">
        <v>5435</v>
      </c>
      <c r="K458" s="30" t="s">
        <v>5482</v>
      </c>
    </row>
    <row r="459" spans="1:11" x14ac:dyDescent="0.35">
      <c r="A459" s="30" t="s">
        <v>9958</v>
      </c>
      <c r="B459" s="30" t="s">
        <v>9959</v>
      </c>
      <c r="C459" s="32">
        <v>7.9</v>
      </c>
      <c r="D459" s="30">
        <v>0.4</v>
      </c>
      <c r="E459" s="31">
        <v>5.3330000000000002E-2</v>
      </c>
      <c r="F459" s="30">
        <v>262010191</v>
      </c>
      <c r="G459" s="30" t="s">
        <v>5427</v>
      </c>
      <c r="H459" s="30">
        <v>2018</v>
      </c>
      <c r="I459" s="30">
        <v>713524</v>
      </c>
      <c r="J459" s="30" t="s">
        <v>5442</v>
      </c>
      <c r="K459" s="30" t="s">
        <v>5856</v>
      </c>
    </row>
    <row r="460" spans="1:11" x14ac:dyDescent="0.35">
      <c r="A460" s="30" t="s">
        <v>9960</v>
      </c>
      <c r="B460" s="30" t="s">
        <v>9961</v>
      </c>
      <c r="C460" s="32">
        <v>16.04</v>
      </c>
      <c r="D460" s="30">
        <v>0.21</v>
      </c>
      <c r="E460" s="31">
        <v>1.3270000000000001E-2</v>
      </c>
      <c r="F460" s="30">
        <v>999442183</v>
      </c>
      <c r="G460" s="30" t="s">
        <v>5427</v>
      </c>
      <c r="H460" s="30"/>
      <c r="I460" s="30">
        <v>555662</v>
      </c>
      <c r="J460" s="30" t="s">
        <v>5431</v>
      </c>
      <c r="K460" s="30" t="s">
        <v>5430</v>
      </c>
    </row>
    <row r="461" spans="1:11" x14ac:dyDescent="0.35">
      <c r="A461" s="30" t="s">
        <v>9962</v>
      </c>
      <c r="B461" s="30" t="s">
        <v>9963</v>
      </c>
      <c r="C461" s="32">
        <v>15.66</v>
      </c>
      <c r="D461" s="30">
        <v>0.72</v>
      </c>
      <c r="E461" s="31">
        <v>4.8189999999999997E-2</v>
      </c>
      <c r="F461" s="30">
        <v>838393914</v>
      </c>
      <c r="G461" s="30" t="s">
        <v>5427</v>
      </c>
      <c r="H461" s="30">
        <v>2014</v>
      </c>
      <c r="I461" s="30">
        <v>961408</v>
      </c>
      <c r="J461" s="30" t="s">
        <v>5431</v>
      </c>
      <c r="K461" s="30" t="s">
        <v>5610</v>
      </c>
    </row>
    <row r="462" spans="1:11" x14ac:dyDescent="0.35">
      <c r="A462" s="30" t="s">
        <v>9964</v>
      </c>
      <c r="B462" s="30" t="s">
        <v>9965</v>
      </c>
      <c r="C462" s="32">
        <v>188.89</v>
      </c>
      <c r="D462" s="30">
        <v>6.06</v>
      </c>
      <c r="E462" s="31">
        <v>3.3149999999999999E-2</v>
      </c>
      <c r="F462" s="30">
        <v>51815549240</v>
      </c>
      <c r="G462" s="30" t="s">
        <v>5427</v>
      </c>
      <c r="H462" s="30"/>
      <c r="I462" s="30">
        <v>1612315</v>
      </c>
      <c r="J462" s="30" t="s">
        <v>5219</v>
      </c>
      <c r="K462" s="30" t="s">
        <v>5560</v>
      </c>
    </row>
    <row r="463" spans="1:11" x14ac:dyDescent="0.35">
      <c r="A463" s="30" t="s">
        <v>9966</v>
      </c>
      <c r="B463" s="30" t="s">
        <v>9967</v>
      </c>
      <c r="C463" s="32">
        <v>3.29</v>
      </c>
      <c r="D463" s="30">
        <v>5.4800000000000001E-2</v>
      </c>
      <c r="E463" s="31">
        <v>1.694E-2</v>
      </c>
      <c r="F463" s="30">
        <v>148451235</v>
      </c>
      <c r="G463" s="30" t="s">
        <v>5823</v>
      </c>
      <c r="H463" s="30"/>
      <c r="I463" s="30">
        <v>13881</v>
      </c>
      <c r="J463" s="30" t="s">
        <v>5442</v>
      </c>
      <c r="K463" s="30" t="s">
        <v>9968</v>
      </c>
    </row>
    <row r="464" spans="1:11" x14ac:dyDescent="0.35">
      <c r="A464" s="30" t="s">
        <v>9969</v>
      </c>
      <c r="B464" s="30" t="s">
        <v>9970</v>
      </c>
      <c r="C464" s="32">
        <v>1.29</v>
      </c>
      <c r="D464" s="30">
        <v>0.06</v>
      </c>
      <c r="E464" s="31">
        <v>4.8779999999999997E-2</v>
      </c>
      <c r="F464" s="30">
        <v>92387337</v>
      </c>
      <c r="G464" s="30" t="s">
        <v>5427</v>
      </c>
      <c r="H464" s="30">
        <v>2015</v>
      </c>
      <c r="I464" s="30">
        <v>1774799</v>
      </c>
      <c r="J464" s="30" t="s">
        <v>5431</v>
      </c>
      <c r="K464" s="30" t="s">
        <v>5430</v>
      </c>
    </row>
    <row r="465" spans="1:11" x14ac:dyDescent="0.35">
      <c r="A465" s="30" t="s">
        <v>9971</v>
      </c>
      <c r="B465" s="30" t="s">
        <v>9972</v>
      </c>
      <c r="C465" s="32">
        <v>199.18</v>
      </c>
      <c r="D465" s="30">
        <v>3.15</v>
      </c>
      <c r="E465" s="31">
        <v>1.6070000000000001E-2</v>
      </c>
      <c r="F465" s="30">
        <v>26967175795</v>
      </c>
      <c r="G465" s="30" t="s">
        <v>5427</v>
      </c>
      <c r="H465" s="30">
        <v>2013</v>
      </c>
      <c r="I465" s="30">
        <v>722058</v>
      </c>
      <c r="J465" s="30" t="s">
        <v>5442</v>
      </c>
      <c r="K465" s="30" t="s">
        <v>5618</v>
      </c>
    </row>
    <row r="466" spans="1:11" x14ac:dyDescent="0.35">
      <c r="A466" s="30" t="s">
        <v>9973</v>
      </c>
      <c r="B466" s="30" t="s">
        <v>9974</v>
      </c>
      <c r="C466" s="32">
        <v>2.06</v>
      </c>
      <c r="D466" s="30">
        <v>0.1</v>
      </c>
      <c r="E466" s="31">
        <v>5.1020000000000003E-2</v>
      </c>
      <c r="F466" s="30">
        <v>153405458</v>
      </c>
      <c r="G466" s="30" t="s">
        <v>5427</v>
      </c>
      <c r="H466" s="30"/>
      <c r="I466" s="30">
        <v>351338</v>
      </c>
      <c r="J466" s="30" t="s">
        <v>5431</v>
      </c>
      <c r="K466" s="30" t="s">
        <v>5685</v>
      </c>
    </row>
    <row r="467" spans="1:11" x14ac:dyDescent="0.35">
      <c r="A467" s="30" t="s">
        <v>9975</v>
      </c>
      <c r="B467" s="30" t="s">
        <v>9976</v>
      </c>
      <c r="C467" s="32">
        <v>6.44</v>
      </c>
      <c r="D467" s="30">
        <v>0.28999999999999998</v>
      </c>
      <c r="E467" s="31">
        <v>4.7149999999999997E-2</v>
      </c>
      <c r="F467" s="30">
        <v>423024357</v>
      </c>
      <c r="G467" s="30" t="s">
        <v>5427</v>
      </c>
      <c r="H467" s="30">
        <v>2010</v>
      </c>
      <c r="I467" s="30">
        <v>552030</v>
      </c>
      <c r="J467" s="30" t="s">
        <v>5431</v>
      </c>
      <c r="K467" s="30" t="s">
        <v>9124</v>
      </c>
    </row>
    <row r="468" spans="1:11" x14ac:dyDescent="0.35">
      <c r="A468" s="30" t="s">
        <v>9977</v>
      </c>
      <c r="B468" s="30" t="s">
        <v>9978</v>
      </c>
      <c r="C468" s="32">
        <v>4.21</v>
      </c>
      <c r="D468" s="30">
        <v>0.21</v>
      </c>
      <c r="E468" s="31">
        <v>5.2499999999999998E-2</v>
      </c>
      <c r="F468" s="30">
        <v>235018240</v>
      </c>
      <c r="G468" s="30" t="s">
        <v>5427</v>
      </c>
      <c r="H468" s="30"/>
      <c r="I468" s="30">
        <v>315950</v>
      </c>
      <c r="J468" s="30" t="s">
        <v>5426</v>
      </c>
      <c r="K468" s="30" t="s">
        <v>5490</v>
      </c>
    </row>
    <row r="469" spans="1:11" x14ac:dyDescent="0.35">
      <c r="A469" s="30" t="s">
        <v>9979</v>
      </c>
      <c r="B469" s="30" t="s">
        <v>9980</v>
      </c>
      <c r="C469" s="32">
        <v>14.2</v>
      </c>
      <c r="D469" s="30">
        <v>-0.19</v>
      </c>
      <c r="E469" s="31">
        <v>-1.32E-2</v>
      </c>
      <c r="F469" s="30">
        <v>486641015</v>
      </c>
      <c r="G469" s="30" t="s">
        <v>5427</v>
      </c>
      <c r="H469" s="30">
        <v>1998</v>
      </c>
      <c r="I469" s="30">
        <v>364657</v>
      </c>
      <c r="J469" s="30" t="s">
        <v>5457</v>
      </c>
      <c r="K469" s="30" t="s">
        <v>8189</v>
      </c>
    </row>
    <row r="470" spans="1:11" x14ac:dyDescent="0.35">
      <c r="A470" s="30" t="s">
        <v>9981</v>
      </c>
      <c r="B470" s="30" t="s">
        <v>9982</v>
      </c>
      <c r="C470" s="32">
        <v>85.41</v>
      </c>
      <c r="D470" s="30">
        <v>0.05</v>
      </c>
      <c r="E470" s="31">
        <v>5.9000000000000003E-4</v>
      </c>
      <c r="F470" s="30">
        <v>27930598412</v>
      </c>
      <c r="G470" s="30" t="s">
        <v>5427</v>
      </c>
      <c r="H470" s="30"/>
      <c r="I470" s="30">
        <v>2622886</v>
      </c>
      <c r="J470" s="30" t="s">
        <v>5426</v>
      </c>
      <c r="K470" s="30" t="s">
        <v>5593</v>
      </c>
    </row>
    <row r="471" spans="1:11" x14ac:dyDescent="0.35">
      <c r="A471" s="30" t="s">
        <v>9983</v>
      </c>
      <c r="B471" s="30" t="s">
        <v>9984</v>
      </c>
      <c r="C471" s="32">
        <v>9.6199999999999992</v>
      </c>
      <c r="D471" s="30">
        <v>0.04</v>
      </c>
      <c r="E471" s="31">
        <v>4.1799999999999997E-3</v>
      </c>
      <c r="F471" s="30">
        <v>208438945</v>
      </c>
      <c r="G471" s="30" t="s">
        <v>5427</v>
      </c>
      <c r="H471" s="30">
        <v>2017</v>
      </c>
      <c r="I471" s="30">
        <v>94208</v>
      </c>
      <c r="J471" s="30" t="s">
        <v>5431</v>
      </c>
      <c r="K471" s="30" t="s">
        <v>5430</v>
      </c>
    </row>
    <row r="472" spans="1:11" x14ac:dyDescent="0.35">
      <c r="A472" s="30" t="s">
        <v>9985</v>
      </c>
      <c r="B472" s="30" t="s">
        <v>9986</v>
      </c>
      <c r="C472" s="32">
        <v>100.45</v>
      </c>
      <c r="D472" s="30">
        <v>0.13</v>
      </c>
      <c r="E472" s="31">
        <v>1.2999999999999999E-3</v>
      </c>
      <c r="F472" s="30">
        <v>7656821440</v>
      </c>
      <c r="G472" s="30" t="s">
        <v>5427</v>
      </c>
      <c r="H472" s="30"/>
      <c r="I472" s="30">
        <v>736616</v>
      </c>
      <c r="J472" s="30" t="s">
        <v>5541</v>
      </c>
      <c r="K472" s="30" t="s">
        <v>5997</v>
      </c>
    </row>
    <row r="473" spans="1:11" x14ac:dyDescent="0.35">
      <c r="A473" s="30" t="s">
        <v>9987</v>
      </c>
      <c r="B473" s="30" t="s">
        <v>9988</v>
      </c>
      <c r="C473" s="32">
        <v>0.91149999999999998</v>
      </c>
      <c r="D473" s="30">
        <v>7.1400000000000005E-2</v>
      </c>
      <c r="E473" s="31">
        <v>8.4989999999999996E-2</v>
      </c>
      <c r="F473" s="30">
        <v>132179635</v>
      </c>
      <c r="G473" s="30" t="s">
        <v>5427</v>
      </c>
      <c r="H473" s="30">
        <v>2019</v>
      </c>
      <c r="I473" s="30">
        <v>858882</v>
      </c>
      <c r="J473" s="30" t="s">
        <v>5431</v>
      </c>
      <c r="K473" s="30" t="s">
        <v>5430</v>
      </c>
    </row>
    <row r="474" spans="1:11" x14ac:dyDescent="0.35">
      <c r="A474" s="30" t="s">
        <v>9989</v>
      </c>
      <c r="B474" s="30" t="s">
        <v>9990</v>
      </c>
      <c r="C474" s="32">
        <v>10.2997</v>
      </c>
      <c r="D474" s="30">
        <v>4.9700000000000001E-2</v>
      </c>
      <c r="E474" s="31">
        <v>4.8500000000000001E-3</v>
      </c>
      <c r="F474" s="30">
        <v>224041649</v>
      </c>
      <c r="G474" s="30" t="s">
        <v>5427</v>
      </c>
      <c r="H474" s="30">
        <v>2021</v>
      </c>
      <c r="I474" s="30">
        <v>1825</v>
      </c>
      <c r="J474" s="30" t="s">
        <v>5457</v>
      </c>
      <c r="K474" s="30" t="s">
        <v>5571</v>
      </c>
    </row>
    <row r="475" spans="1:11" x14ac:dyDescent="0.35">
      <c r="A475" s="30" t="s">
        <v>9991</v>
      </c>
      <c r="B475" s="30" t="s">
        <v>9992</v>
      </c>
      <c r="C475" s="32">
        <v>42.32</v>
      </c>
      <c r="D475" s="30">
        <v>0.38</v>
      </c>
      <c r="E475" s="31">
        <v>9.0600000000000003E-3</v>
      </c>
      <c r="F475" s="30">
        <v>2289753901</v>
      </c>
      <c r="G475" s="30" t="s">
        <v>5427</v>
      </c>
      <c r="H475" s="30">
        <v>1993</v>
      </c>
      <c r="I475" s="30">
        <v>65515</v>
      </c>
      <c r="J475" s="30"/>
      <c r="K475" s="30"/>
    </row>
    <row r="476" spans="1:11" x14ac:dyDescent="0.35">
      <c r="A476" s="30" t="s">
        <v>9993</v>
      </c>
      <c r="B476" s="30" t="s">
        <v>9994</v>
      </c>
      <c r="C476" s="32">
        <v>39.93</v>
      </c>
      <c r="D476" s="30">
        <v>0.3</v>
      </c>
      <c r="E476" s="31">
        <v>7.5700000000000003E-3</v>
      </c>
      <c r="F476" s="30">
        <v>2160441240</v>
      </c>
      <c r="G476" s="30" t="s">
        <v>5427</v>
      </c>
      <c r="H476" s="30"/>
      <c r="I476" s="30">
        <v>294893</v>
      </c>
      <c r="J476" s="30"/>
      <c r="K476" s="30"/>
    </row>
    <row r="477" spans="1:11" x14ac:dyDescent="0.35">
      <c r="A477" s="30" t="s">
        <v>9995</v>
      </c>
      <c r="B477" s="30" t="s">
        <v>9996</v>
      </c>
      <c r="C477" s="32">
        <v>11.33</v>
      </c>
      <c r="D477" s="30">
        <v>0.09</v>
      </c>
      <c r="E477" s="31">
        <v>8.0099999999999998E-3</v>
      </c>
      <c r="F477" s="30">
        <v>1034964105</v>
      </c>
      <c r="G477" s="30" t="s">
        <v>5427</v>
      </c>
      <c r="H477" s="30">
        <v>1996</v>
      </c>
      <c r="I477" s="30">
        <v>2335353</v>
      </c>
      <c r="J477" s="30" t="s">
        <v>5457</v>
      </c>
      <c r="K477" s="30" t="s">
        <v>8269</v>
      </c>
    </row>
    <row r="478" spans="1:11" x14ac:dyDescent="0.35">
      <c r="A478" s="30" t="s">
        <v>9997</v>
      </c>
      <c r="B478" s="30" t="s">
        <v>9998</v>
      </c>
      <c r="C478" s="32">
        <v>34.840000000000003</v>
      </c>
      <c r="D478" s="30">
        <v>0.69</v>
      </c>
      <c r="E478" s="31">
        <v>2.0199999999999999E-2</v>
      </c>
      <c r="F478" s="30">
        <v>5446277712</v>
      </c>
      <c r="G478" s="30" t="s">
        <v>5427</v>
      </c>
      <c r="H478" s="30">
        <v>2020</v>
      </c>
      <c r="I478" s="30">
        <v>445496</v>
      </c>
      <c r="J478" s="30" t="s">
        <v>5431</v>
      </c>
      <c r="K478" s="30" t="s">
        <v>5430</v>
      </c>
    </row>
    <row r="479" spans="1:11" x14ac:dyDescent="0.35">
      <c r="A479" s="30" t="s">
        <v>9999</v>
      </c>
      <c r="B479" s="30" t="s">
        <v>10000</v>
      </c>
      <c r="C479" s="32">
        <v>3.23</v>
      </c>
      <c r="D479" s="30">
        <v>0.09</v>
      </c>
      <c r="E479" s="31">
        <v>2.8660000000000001E-2</v>
      </c>
      <c r="F479" s="30">
        <v>573069646</v>
      </c>
      <c r="G479" s="30" t="s">
        <v>5427</v>
      </c>
      <c r="H479" s="30">
        <v>1997</v>
      </c>
      <c r="I479" s="30">
        <v>1465486</v>
      </c>
      <c r="J479" s="30" t="s">
        <v>5431</v>
      </c>
      <c r="K479" s="30" t="s">
        <v>6537</v>
      </c>
    </row>
    <row r="480" spans="1:11" x14ac:dyDescent="0.35">
      <c r="A480" s="30" t="s">
        <v>10001</v>
      </c>
      <c r="B480" s="30" t="s">
        <v>10002</v>
      </c>
      <c r="C480" s="32">
        <v>19.670000000000002</v>
      </c>
      <c r="D480" s="30">
        <v>0.27</v>
      </c>
      <c r="E480" s="31">
        <v>1.392E-2</v>
      </c>
      <c r="F480" s="30">
        <v>3140767851</v>
      </c>
      <c r="G480" s="30" t="s">
        <v>5427</v>
      </c>
      <c r="H480" s="30">
        <v>2020</v>
      </c>
      <c r="I480" s="30">
        <v>567098</v>
      </c>
      <c r="J480" s="30" t="s">
        <v>5219</v>
      </c>
      <c r="K480" s="30" t="s">
        <v>5812</v>
      </c>
    </row>
    <row r="481" spans="1:11" x14ac:dyDescent="0.35">
      <c r="A481" s="30" t="s">
        <v>10003</v>
      </c>
      <c r="B481" s="30" t="s">
        <v>10004</v>
      </c>
      <c r="C481" s="32">
        <v>34.380000000000003</v>
      </c>
      <c r="D481" s="30">
        <v>1.26</v>
      </c>
      <c r="E481" s="31">
        <v>3.8039999999999997E-2</v>
      </c>
      <c r="F481" s="30">
        <v>797191510</v>
      </c>
      <c r="G481" s="30" t="s">
        <v>5427</v>
      </c>
      <c r="H481" s="30"/>
      <c r="I481" s="30">
        <v>123894</v>
      </c>
      <c r="J481" s="30" t="s">
        <v>5219</v>
      </c>
      <c r="K481" s="30" t="s">
        <v>5526</v>
      </c>
    </row>
    <row r="482" spans="1:11" x14ac:dyDescent="0.35">
      <c r="A482" s="30" t="s">
        <v>10005</v>
      </c>
      <c r="B482" s="30" t="s">
        <v>10006</v>
      </c>
      <c r="C482" s="32">
        <v>13.59</v>
      </c>
      <c r="D482" s="30">
        <v>0.09</v>
      </c>
      <c r="E482" s="31">
        <v>6.6699999999999997E-3</v>
      </c>
      <c r="F482" s="30">
        <v>658411242</v>
      </c>
      <c r="G482" s="30" t="s">
        <v>5427</v>
      </c>
      <c r="H482" s="30">
        <v>2019</v>
      </c>
      <c r="I482" s="30">
        <v>100410</v>
      </c>
      <c r="J482" s="30" t="s">
        <v>5435</v>
      </c>
      <c r="K482" s="30" t="s">
        <v>5582</v>
      </c>
    </row>
    <row r="483" spans="1:11" x14ac:dyDescent="0.35">
      <c r="A483" s="30" t="s">
        <v>10007</v>
      </c>
      <c r="B483" s="30" t="s">
        <v>10008</v>
      </c>
      <c r="C483" s="32">
        <v>20.45</v>
      </c>
      <c r="D483" s="30">
        <v>0.03</v>
      </c>
      <c r="E483" s="31">
        <v>1.47E-3</v>
      </c>
      <c r="F483" s="30">
        <v>132638536</v>
      </c>
      <c r="G483" s="30" t="s">
        <v>5427</v>
      </c>
      <c r="H483" s="30"/>
      <c r="I483" s="30">
        <v>968</v>
      </c>
      <c r="J483" s="30" t="s">
        <v>5435</v>
      </c>
      <c r="K483" s="30" t="s">
        <v>6556</v>
      </c>
    </row>
    <row r="484" spans="1:11" x14ac:dyDescent="0.35">
      <c r="A484" s="30" t="s">
        <v>10009</v>
      </c>
      <c r="B484" s="30" t="s">
        <v>10010</v>
      </c>
      <c r="C484" s="32">
        <v>10.54</v>
      </c>
      <c r="D484" s="30">
        <v>0.01</v>
      </c>
      <c r="E484" s="31">
        <v>9.5E-4</v>
      </c>
      <c r="F484" s="30">
        <v>102766033</v>
      </c>
      <c r="G484" s="30" t="s">
        <v>5427</v>
      </c>
      <c r="H484" s="30">
        <v>2021</v>
      </c>
      <c r="I484" s="30">
        <v>376</v>
      </c>
      <c r="J484" s="30" t="s">
        <v>5457</v>
      </c>
      <c r="K484" s="30" t="s">
        <v>5571</v>
      </c>
    </row>
    <row r="485" spans="1:11" x14ac:dyDescent="0.35">
      <c r="A485" s="30" t="s">
        <v>10011</v>
      </c>
      <c r="B485" s="30" t="s">
        <v>10012</v>
      </c>
      <c r="C485" s="32">
        <v>60.31</v>
      </c>
      <c r="D485" s="30">
        <v>-0.68</v>
      </c>
      <c r="E485" s="31">
        <v>-1.115E-2</v>
      </c>
      <c r="F485" s="30">
        <v>209674590</v>
      </c>
      <c r="G485" s="30" t="s">
        <v>5427</v>
      </c>
      <c r="H485" s="30"/>
      <c r="I485" s="30">
        <v>8463</v>
      </c>
      <c r="J485" s="30" t="s">
        <v>5435</v>
      </c>
      <c r="K485" s="30" t="s">
        <v>5579</v>
      </c>
    </row>
    <row r="486" spans="1:11" x14ac:dyDescent="0.35">
      <c r="A486" s="30" t="s">
        <v>10013</v>
      </c>
      <c r="B486" s="30" t="s">
        <v>10014</v>
      </c>
      <c r="C486" s="32">
        <v>8.48</v>
      </c>
      <c r="D486" s="30">
        <v>0.11</v>
      </c>
      <c r="E486" s="31">
        <v>1.3140000000000001E-2</v>
      </c>
      <c r="F486" s="30">
        <v>1154418228</v>
      </c>
      <c r="G486" s="30" t="s">
        <v>5427</v>
      </c>
      <c r="H486" s="30"/>
      <c r="I486" s="30">
        <v>1018940</v>
      </c>
      <c r="J486" s="30" t="s">
        <v>5435</v>
      </c>
      <c r="K486" s="30" t="s">
        <v>6556</v>
      </c>
    </row>
    <row r="487" spans="1:11" x14ac:dyDescent="0.35">
      <c r="A487" s="30" t="s">
        <v>10015</v>
      </c>
      <c r="B487" s="30" t="s">
        <v>10016</v>
      </c>
      <c r="C487" s="32">
        <v>10.220000000000001</v>
      </c>
      <c r="D487" s="30">
        <v>-5.0000000000000001E-3</v>
      </c>
      <c r="E487" s="31">
        <v>-4.8999999999999998E-4</v>
      </c>
      <c r="F487" s="30">
        <v>237742750</v>
      </c>
      <c r="G487" s="30" t="s">
        <v>5427</v>
      </c>
      <c r="H487" s="30">
        <v>2022</v>
      </c>
      <c r="I487" s="30">
        <v>16210</v>
      </c>
      <c r="J487" s="30" t="s">
        <v>5457</v>
      </c>
      <c r="K487" s="30" t="s">
        <v>5571</v>
      </c>
    </row>
    <row r="488" spans="1:11" x14ac:dyDescent="0.35">
      <c r="A488" s="30" t="s">
        <v>10017</v>
      </c>
      <c r="B488" s="30" t="s">
        <v>10018</v>
      </c>
      <c r="C488" s="32">
        <v>10.220000000000001</v>
      </c>
      <c r="D488" s="30">
        <v>0</v>
      </c>
      <c r="E488" s="31">
        <v>0</v>
      </c>
      <c r="F488" s="30">
        <v>648970000</v>
      </c>
      <c r="G488" s="30" t="s">
        <v>5427</v>
      </c>
      <c r="H488" s="30">
        <v>2021</v>
      </c>
      <c r="I488" s="30">
        <v>1240</v>
      </c>
      <c r="J488" s="30" t="s">
        <v>5457</v>
      </c>
      <c r="K488" s="30" t="s">
        <v>5571</v>
      </c>
    </row>
    <row r="489" spans="1:11" x14ac:dyDescent="0.35">
      <c r="A489" s="30" t="s">
        <v>10019</v>
      </c>
      <c r="B489" s="30" t="s">
        <v>10020</v>
      </c>
      <c r="C489" s="32">
        <v>24.69</v>
      </c>
      <c r="D489" s="30">
        <v>1.59</v>
      </c>
      <c r="E489" s="31">
        <v>6.8830000000000002E-2</v>
      </c>
      <c r="F489" s="30">
        <v>7071259504</v>
      </c>
      <c r="G489" s="30" t="s">
        <v>5427</v>
      </c>
      <c r="H489" s="30">
        <v>2021</v>
      </c>
      <c r="I489" s="30">
        <v>7690338</v>
      </c>
      <c r="J489" s="30" t="s">
        <v>5219</v>
      </c>
      <c r="K489" s="30" t="s">
        <v>5447</v>
      </c>
    </row>
    <row r="490" spans="1:11" x14ac:dyDescent="0.35">
      <c r="A490" s="30" t="s">
        <v>10021</v>
      </c>
      <c r="B490" s="30" t="s">
        <v>10022</v>
      </c>
      <c r="C490" s="32">
        <v>9.02</v>
      </c>
      <c r="D490" s="30">
        <v>0.04</v>
      </c>
      <c r="E490" s="31">
        <v>4.45E-3</v>
      </c>
      <c r="F490" s="30">
        <v>58825211</v>
      </c>
      <c r="G490" s="30" t="s">
        <v>5427</v>
      </c>
      <c r="H490" s="30">
        <v>2022</v>
      </c>
      <c r="I490" s="30">
        <v>10775</v>
      </c>
      <c r="J490" s="30" t="s">
        <v>5435</v>
      </c>
      <c r="K490" s="30" t="s">
        <v>5579</v>
      </c>
    </row>
    <row r="491" spans="1:11" x14ac:dyDescent="0.35">
      <c r="A491" s="30" t="s">
        <v>10023</v>
      </c>
      <c r="B491" s="30" t="s">
        <v>10024</v>
      </c>
      <c r="C491" s="32">
        <v>36.46</v>
      </c>
      <c r="D491" s="30">
        <v>0.49</v>
      </c>
      <c r="E491" s="31">
        <v>1.362E-2</v>
      </c>
      <c r="F491" s="30">
        <v>13257049858</v>
      </c>
      <c r="G491" s="30" t="s">
        <v>5427</v>
      </c>
      <c r="H491" s="30">
        <v>2012</v>
      </c>
      <c r="I491" s="30">
        <v>3416589</v>
      </c>
      <c r="J491" s="30" t="s">
        <v>5435</v>
      </c>
      <c r="K491" s="30" t="s">
        <v>5434</v>
      </c>
    </row>
    <row r="492" spans="1:11" x14ac:dyDescent="0.35">
      <c r="A492" s="30" t="s">
        <v>10025</v>
      </c>
      <c r="B492" s="30" t="s">
        <v>10026</v>
      </c>
      <c r="C492" s="32">
        <v>15.11</v>
      </c>
      <c r="D492" s="30">
        <v>0.06</v>
      </c>
      <c r="E492" s="31">
        <v>3.9899999999999996E-3</v>
      </c>
      <c r="F492" s="30">
        <v>776107003</v>
      </c>
      <c r="G492" s="30" t="s">
        <v>5427</v>
      </c>
      <c r="H492" s="30">
        <v>2017</v>
      </c>
      <c r="I492" s="30">
        <v>185246</v>
      </c>
      <c r="J492" s="30" t="s">
        <v>5435</v>
      </c>
      <c r="K492" s="30" t="s">
        <v>5563</v>
      </c>
    </row>
    <row r="493" spans="1:11" x14ac:dyDescent="0.35">
      <c r="A493" s="30" t="s">
        <v>10027</v>
      </c>
      <c r="B493" s="30" t="s">
        <v>10028</v>
      </c>
      <c r="C493" s="32">
        <v>3.08</v>
      </c>
      <c r="D493" s="30">
        <v>0.05</v>
      </c>
      <c r="E493" s="31">
        <v>1.6500000000000001E-2</v>
      </c>
      <c r="F493" s="30">
        <v>1496674398</v>
      </c>
      <c r="G493" s="30" t="s">
        <v>5515</v>
      </c>
      <c r="H493" s="30"/>
      <c r="I493" s="30">
        <v>10077014</v>
      </c>
      <c r="J493" s="30" t="s">
        <v>5431</v>
      </c>
      <c r="K493" s="30" t="s">
        <v>8643</v>
      </c>
    </row>
    <row r="494" spans="1:11" x14ac:dyDescent="0.35">
      <c r="A494" s="30" t="s">
        <v>10029</v>
      </c>
      <c r="B494" s="30" t="s">
        <v>10030</v>
      </c>
      <c r="C494" s="32">
        <v>11.58</v>
      </c>
      <c r="D494" s="30">
        <v>-0.06</v>
      </c>
      <c r="E494" s="31">
        <v>-5.1500000000000001E-3</v>
      </c>
      <c r="F494" s="30">
        <v>455376205</v>
      </c>
      <c r="G494" s="30" t="s">
        <v>5427</v>
      </c>
      <c r="H494" s="30">
        <v>2021</v>
      </c>
      <c r="I494" s="30">
        <v>136610</v>
      </c>
      <c r="J494" s="30" t="s">
        <v>5431</v>
      </c>
      <c r="K494" s="30" t="s">
        <v>5430</v>
      </c>
    </row>
    <row r="495" spans="1:11" x14ac:dyDescent="0.35">
      <c r="A495" s="30" t="s">
        <v>10031</v>
      </c>
      <c r="B495" s="30" t="s">
        <v>10032</v>
      </c>
      <c r="C495" s="32">
        <v>55.29</v>
      </c>
      <c r="D495" s="30">
        <v>0.55000000000000004</v>
      </c>
      <c r="E495" s="31">
        <v>1.005E-2</v>
      </c>
      <c r="F495" s="30">
        <v>9561309431</v>
      </c>
      <c r="G495" s="30" t="s">
        <v>5427</v>
      </c>
      <c r="H495" s="30">
        <v>1989</v>
      </c>
      <c r="I495" s="30">
        <v>939626</v>
      </c>
      <c r="J495" s="30" t="s">
        <v>5457</v>
      </c>
      <c r="K495" s="30" t="s">
        <v>5644</v>
      </c>
    </row>
    <row r="496" spans="1:11" x14ac:dyDescent="0.35">
      <c r="A496" s="30" t="s">
        <v>10033</v>
      </c>
      <c r="B496" s="30" t="s">
        <v>10034</v>
      </c>
      <c r="C496" s="32">
        <v>10.31</v>
      </c>
      <c r="D496" s="30">
        <v>0.2</v>
      </c>
      <c r="E496" s="31">
        <v>1.9779999999999999E-2</v>
      </c>
      <c r="F496" s="30">
        <v>101280965</v>
      </c>
      <c r="G496" s="30" t="s">
        <v>5427</v>
      </c>
      <c r="H496" s="30">
        <v>2005</v>
      </c>
      <c r="I496" s="30">
        <v>22489</v>
      </c>
      <c r="J496" s="30" t="s">
        <v>5435</v>
      </c>
      <c r="K496" s="30" t="s">
        <v>5434</v>
      </c>
    </row>
    <row r="497" spans="1:11" x14ac:dyDescent="0.35">
      <c r="A497" s="30" t="s">
        <v>10035</v>
      </c>
      <c r="B497" s="30" t="s">
        <v>10036</v>
      </c>
      <c r="C497" s="32">
        <v>1.92</v>
      </c>
      <c r="D497" s="30">
        <v>-0.05</v>
      </c>
      <c r="E497" s="31">
        <v>-2.538E-2</v>
      </c>
      <c r="F497" s="30">
        <v>55659784</v>
      </c>
      <c r="G497" s="30" t="s">
        <v>5427</v>
      </c>
      <c r="H497" s="30">
        <v>2021</v>
      </c>
      <c r="I497" s="30">
        <v>43826</v>
      </c>
      <c r="J497" s="30" t="s">
        <v>5431</v>
      </c>
      <c r="K497" s="30" t="s">
        <v>5430</v>
      </c>
    </row>
    <row r="498" spans="1:11" x14ac:dyDescent="0.35">
      <c r="A498" s="30" t="s">
        <v>10037</v>
      </c>
      <c r="B498" s="30" t="s">
        <v>10038</v>
      </c>
      <c r="C498" s="32">
        <v>96.31</v>
      </c>
      <c r="D498" s="30">
        <v>1.52</v>
      </c>
      <c r="E498" s="31">
        <v>1.6039999999999999E-2</v>
      </c>
      <c r="F498" s="30">
        <v>1430900881</v>
      </c>
      <c r="G498" s="30" t="s">
        <v>5427</v>
      </c>
      <c r="H498" s="30"/>
      <c r="I498" s="30">
        <v>91759</v>
      </c>
      <c r="J498" s="30" t="s">
        <v>5435</v>
      </c>
      <c r="K498" s="30" t="s">
        <v>5579</v>
      </c>
    </row>
    <row r="499" spans="1:11" x14ac:dyDescent="0.35">
      <c r="A499" s="30" t="s">
        <v>10039</v>
      </c>
      <c r="B499" s="30" t="s">
        <v>10040</v>
      </c>
      <c r="C499" s="32">
        <v>249.5</v>
      </c>
      <c r="D499" s="30">
        <v>1.4</v>
      </c>
      <c r="E499" s="31">
        <v>5.64E-3</v>
      </c>
      <c r="F499" s="30">
        <v>9332115616</v>
      </c>
      <c r="G499" s="30" t="s">
        <v>5427</v>
      </c>
      <c r="H499" s="30"/>
      <c r="I499" s="30">
        <v>155842</v>
      </c>
      <c r="J499" s="30" t="s">
        <v>5442</v>
      </c>
      <c r="K499" s="30" t="s">
        <v>9968</v>
      </c>
    </row>
    <row r="500" spans="1:11" x14ac:dyDescent="0.35">
      <c r="A500" s="30" t="s">
        <v>10041</v>
      </c>
      <c r="B500" s="30" t="s">
        <v>10042</v>
      </c>
      <c r="C500" s="32">
        <v>10.4</v>
      </c>
      <c r="D500" s="30">
        <v>0.01</v>
      </c>
      <c r="E500" s="31">
        <v>9.6000000000000002E-4</v>
      </c>
      <c r="F500" s="30">
        <v>149500000</v>
      </c>
      <c r="G500" s="30" t="s">
        <v>5752</v>
      </c>
      <c r="H500" s="30">
        <v>2022</v>
      </c>
      <c r="I500" s="30">
        <v>80698</v>
      </c>
      <c r="J500" s="30" t="s">
        <v>5435</v>
      </c>
      <c r="K500" s="30" t="s">
        <v>5482</v>
      </c>
    </row>
    <row r="501" spans="1:11" x14ac:dyDescent="0.35">
      <c r="A501" s="30" t="s">
        <v>10043</v>
      </c>
      <c r="B501" s="30" t="s">
        <v>10044</v>
      </c>
      <c r="C501" s="32">
        <v>38.72</v>
      </c>
      <c r="D501" s="30">
        <v>0.49</v>
      </c>
      <c r="E501" s="31">
        <v>1.282E-2</v>
      </c>
      <c r="F501" s="30">
        <v>1481818543</v>
      </c>
      <c r="G501" s="30" t="s">
        <v>5427</v>
      </c>
      <c r="H501" s="30">
        <v>2011</v>
      </c>
      <c r="I501" s="30">
        <v>283709</v>
      </c>
      <c r="J501" s="30" t="s">
        <v>5442</v>
      </c>
      <c r="K501" s="30" t="s">
        <v>5735</v>
      </c>
    </row>
    <row r="502" spans="1:11" x14ac:dyDescent="0.35">
      <c r="A502" s="30" t="s">
        <v>10045</v>
      </c>
      <c r="B502" s="30" t="s">
        <v>10046</v>
      </c>
      <c r="C502" s="32">
        <v>12.13</v>
      </c>
      <c r="D502" s="30">
        <v>0.3</v>
      </c>
      <c r="E502" s="31">
        <v>2.5360000000000001E-2</v>
      </c>
      <c r="F502" s="30">
        <v>898606120</v>
      </c>
      <c r="G502" s="30" t="s">
        <v>5427</v>
      </c>
      <c r="H502" s="30">
        <v>2002</v>
      </c>
      <c r="I502" s="30">
        <v>211146</v>
      </c>
      <c r="J502" s="30" t="s">
        <v>5435</v>
      </c>
      <c r="K502" s="30" t="s">
        <v>5434</v>
      </c>
    </row>
    <row r="503" spans="1:11" x14ac:dyDescent="0.35">
      <c r="A503" s="30" t="s">
        <v>10047</v>
      </c>
      <c r="B503" s="30" t="s">
        <v>10048</v>
      </c>
      <c r="C503" s="32">
        <v>83.78</v>
      </c>
      <c r="D503" s="30">
        <v>-2.94</v>
      </c>
      <c r="E503" s="31">
        <v>-3.39E-2</v>
      </c>
      <c r="F503" s="30">
        <v>11224101774</v>
      </c>
      <c r="G503" s="30" t="s">
        <v>5427</v>
      </c>
      <c r="H503" s="30"/>
      <c r="I503" s="30">
        <v>1995217</v>
      </c>
      <c r="J503" s="30" t="s">
        <v>5464</v>
      </c>
      <c r="K503" s="30" t="s">
        <v>5463</v>
      </c>
    </row>
    <row r="504" spans="1:11" x14ac:dyDescent="0.35">
      <c r="A504" s="30" t="s">
        <v>10049</v>
      </c>
      <c r="B504" s="30" t="s">
        <v>10050</v>
      </c>
      <c r="C504" s="32">
        <v>52.04</v>
      </c>
      <c r="D504" s="30">
        <v>0</v>
      </c>
      <c r="E504" s="31">
        <v>0</v>
      </c>
      <c r="F504" s="30">
        <v>245160440</v>
      </c>
      <c r="G504" s="30" t="s">
        <v>5427</v>
      </c>
      <c r="H504" s="30"/>
      <c r="I504" s="30">
        <v>11278</v>
      </c>
      <c r="J504" s="30" t="s">
        <v>5435</v>
      </c>
      <c r="K504" s="30" t="s">
        <v>5579</v>
      </c>
    </row>
    <row r="505" spans="1:11" x14ac:dyDescent="0.35">
      <c r="A505" s="30" t="s">
        <v>10051</v>
      </c>
      <c r="B505" s="30" t="s">
        <v>10052</v>
      </c>
      <c r="C505" s="32">
        <v>141.6</v>
      </c>
      <c r="D505" s="30">
        <v>-1.73</v>
      </c>
      <c r="E505" s="31">
        <v>-1.2070000000000001E-2</v>
      </c>
      <c r="F505" s="30">
        <v>5891438486</v>
      </c>
      <c r="G505" s="30" t="s">
        <v>5427</v>
      </c>
      <c r="H505" s="30"/>
      <c r="I505" s="30">
        <v>756616</v>
      </c>
      <c r="J505" s="30" t="s">
        <v>5464</v>
      </c>
      <c r="K505" s="30" t="s">
        <v>5463</v>
      </c>
    </row>
    <row r="506" spans="1:11" x14ac:dyDescent="0.35">
      <c r="A506" s="30" t="s">
        <v>10053</v>
      </c>
      <c r="B506" s="30" t="s">
        <v>10054</v>
      </c>
      <c r="C506" s="32">
        <v>8.65</v>
      </c>
      <c r="D506" s="30">
        <v>0.17</v>
      </c>
      <c r="E506" s="31">
        <v>2.0049999999999998E-2</v>
      </c>
      <c r="F506" s="30">
        <v>672779164</v>
      </c>
      <c r="G506" s="30" t="s">
        <v>5427</v>
      </c>
      <c r="H506" s="30">
        <v>2014</v>
      </c>
      <c r="I506" s="30">
        <v>922534</v>
      </c>
      <c r="J506" s="30" t="s">
        <v>5431</v>
      </c>
      <c r="K506" s="30" t="s">
        <v>6409</v>
      </c>
    </row>
    <row r="507" spans="1:11" x14ac:dyDescent="0.35">
      <c r="A507" s="30" t="s">
        <v>10055</v>
      </c>
      <c r="B507" s="30" t="s">
        <v>10056</v>
      </c>
      <c r="C507" s="32">
        <v>102.12</v>
      </c>
      <c r="D507" s="30">
        <v>1.95</v>
      </c>
      <c r="E507" s="31">
        <v>1.9470000000000001E-2</v>
      </c>
      <c r="F507" s="30">
        <v>12020490872</v>
      </c>
      <c r="G507" s="30" t="s">
        <v>5427</v>
      </c>
      <c r="H507" s="30">
        <v>1997</v>
      </c>
      <c r="I507" s="30">
        <v>3373082</v>
      </c>
      <c r="J507" s="30" t="s">
        <v>5442</v>
      </c>
      <c r="K507" s="30" t="s">
        <v>6032</v>
      </c>
    </row>
    <row r="508" spans="1:11" x14ac:dyDescent="0.35">
      <c r="A508" s="30" t="s">
        <v>10057</v>
      </c>
      <c r="B508" s="30" t="s">
        <v>10058</v>
      </c>
      <c r="C508" s="32">
        <v>398.68</v>
      </c>
      <c r="D508" s="30">
        <v>14.37</v>
      </c>
      <c r="E508" s="31">
        <v>3.739E-2</v>
      </c>
      <c r="F508" s="30">
        <v>81689203886</v>
      </c>
      <c r="G508" s="30" t="s">
        <v>5427</v>
      </c>
      <c r="H508" s="30"/>
      <c r="I508" s="30">
        <v>1589993</v>
      </c>
      <c r="J508" s="30" t="s">
        <v>5442</v>
      </c>
      <c r="K508" s="30" t="s">
        <v>5520</v>
      </c>
    </row>
    <row r="509" spans="1:11" x14ac:dyDescent="0.35">
      <c r="A509" s="30" t="s">
        <v>10059</v>
      </c>
      <c r="B509" s="30" t="s">
        <v>10060</v>
      </c>
      <c r="C509" s="32">
        <v>34.1</v>
      </c>
      <c r="D509" s="30">
        <v>-0.13</v>
      </c>
      <c r="E509" s="31">
        <v>-3.8E-3</v>
      </c>
      <c r="F509" s="30">
        <v>613673591</v>
      </c>
      <c r="G509" s="30" t="s">
        <v>5427</v>
      </c>
      <c r="H509" s="30">
        <v>2012</v>
      </c>
      <c r="I509" s="30">
        <v>81449</v>
      </c>
      <c r="J509" s="30" t="s">
        <v>5442</v>
      </c>
      <c r="K509" s="30" t="s">
        <v>5441</v>
      </c>
    </row>
    <row r="510" spans="1:11" x14ac:dyDescent="0.35">
      <c r="A510" s="30" t="s">
        <v>10061</v>
      </c>
      <c r="B510" s="30" t="s">
        <v>10062</v>
      </c>
      <c r="C510" s="32">
        <v>6.41</v>
      </c>
      <c r="D510" s="30">
        <v>0.08</v>
      </c>
      <c r="E510" s="31">
        <v>1.264E-2</v>
      </c>
      <c r="F510" s="30">
        <v>409370721</v>
      </c>
      <c r="G510" s="30" t="s">
        <v>5427</v>
      </c>
      <c r="H510" s="30">
        <v>2007</v>
      </c>
      <c r="I510" s="30">
        <v>183045</v>
      </c>
      <c r="J510" s="30" t="s">
        <v>5435</v>
      </c>
      <c r="K510" s="30" t="s">
        <v>5434</v>
      </c>
    </row>
    <row r="511" spans="1:11" x14ac:dyDescent="0.35">
      <c r="A511" s="30" t="s">
        <v>10063</v>
      </c>
      <c r="B511" s="30" t="s">
        <v>10064</v>
      </c>
      <c r="C511" s="32">
        <v>32.5</v>
      </c>
      <c r="D511" s="30">
        <v>-0.52</v>
      </c>
      <c r="E511" s="31">
        <v>-1.575E-2</v>
      </c>
      <c r="F511" s="30">
        <v>6479192005</v>
      </c>
      <c r="G511" s="30" t="s">
        <v>5427</v>
      </c>
      <c r="H511" s="30"/>
      <c r="I511" s="30">
        <v>1720673</v>
      </c>
      <c r="J511" s="30" t="s">
        <v>5457</v>
      </c>
      <c r="K511" s="30" t="s">
        <v>5460</v>
      </c>
    </row>
    <row r="512" spans="1:11" x14ac:dyDescent="0.35">
      <c r="A512" s="30" t="s">
        <v>10065</v>
      </c>
      <c r="B512" s="30" t="s">
        <v>10066</v>
      </c>
      <c r="C512" s="32">
        <v>12.5</v>
      </c>
      <c r="D512" s="30">
        <v>0.23</v>
      </c>
      <c r="E512" s="31">
        <v>1.874E-2</v>
      </c>
      <c r="F512" s="30">
        <v>945768738</v>
      </c>
      <c r="G512" s="30" t="s">
        <v>5427</v>
      </c>
      <c r="H512" s="30">
        <v>2003</v>
      </c>
      <c r="I512" s="30">
        <v>137149</v>
      </c>
      <c r="J512" s="30" t="s">
        <v>5435</v>
      </c>
      <c r="K512" s="30" t="s">
        <v>5434</v>
      </c>
    </row>
    <row r="513" spans="1:11" x14ac:dyDescent="0.35">
      <c r="A513" s="30" t="s">
        <v>10067</v>
      </c>
      <c r="B513" s="30" t="s">
        <v>10068</v>
      </c>
      <c r="C513" s="32">
        <v>0.58589999999999998</v>
      </c>
      <c r="D513" s="30">
        <v>6.0000000000000001E-3</v>
      </c>
      <c r="E513" s="31">
        <v>1.035E-2</v>
      </c>
      <c r="F513" s="30">
        <v>104398040</v>
      </c>
      <c r="G513" s="30" t="s">
        <v>5427</v>
      </c>
      <c r="H513" s="30"/>
      <c r="I513" s="30">
        <v>368629</v>
      </c>
      <c r="J513" s="30" t="s">
        <v>5442</v>
      </c>
      <c r="K513" s="30" t="s">
        <v>5450</v>
      </c>
    </row>
    <row r="514" spans="1:11" x14ac:dyDescent="0.35">
      <c r="A514" s="30" t="s">
        <v>10069</v>
      </c>
      <c r="B514" s="30" t="s">
        <v>10070</v>
      </c>
      <c r="C514" s="32">
        <v>1.38</v>
      </c>
      <c r="D514" s="30">
        <v>0.18</v>
      </c>
      <c r="E514" s="31">
        <v>0.15</v>
      </c>
      <c r="F514" s="30">
        <v>341576173</v>
      </c>
      <c r="G514" s="30" t="s">
        <v>5427</v>
      </c>
      <c r="H514" s="30">
        <v>2020</v>
      </c>
      <c r="I514" s="30">
        <v>1290168</v>
      </c>
      <c r="J514" s="30" t="s">
        <v>5435</v>
      </c>
      <c r="K514" s="30" t="s">
        <v>6221</v>
      </c>
    </row>
    <row r="515" spans="1:11" x14ac:dyDescent="0.35">
      <c r="A515" s="30" t="s">
        <v>10071</v>
      </c>
      <c r="B515" s="30" t="s">
        <v>10072</v>
      </c>
      <c r="C515" s="32">
        <v>108.57</v>
      </c>
      <c r="D515" s="30">
        <v>1.31</v>
      </c>
      <c r="E515" s="31">
        <v>1.221E-2</v>
      </c>
      <c r="F515" s="30">
        <v>4660154670</v>
      </c>
      <c r="G515" s="30" t="s">
        <v>5515</v>
      </c>
      <c r="H515" s="30"/>
      <c r="I515" s="30">
        <v>142112</v>
      </c>
      <c r="J515" s="30"/>
      <c r="K515" s="30"/>
    </row>
    <row r="516" spans="1:11" x14ac:dyDescent="0.35">
      <c r="A516" s="30" t="s">
        <v>10073</v>
      </c>
      <c r="B516" s="30" t="s">
        <v>10074</v>
      </c>
      <c r="C516" s="32">
        <v>10.26</v>
      </c>
      <c r="D516" s="30">
        <v>-0.02</v>
      </c>
      <c r="E516" s="31">
        <v>-1.9499999999999999E-3</v>
      </c>
      <c r="F516" s="30">
        <v>368718750</v>
      </c>
      <c r="G516" s="30" t="s">
        <v>5427</v>
      </c>
      <c r="H516" s="30">
        <v>2021</v>
      </c>
      <c r="I516" s="30">
        <v>918</v>
      </c>
      <c r="J516" s="30" t="s">
        <v>5457</v>
      </c>
      <c r="K516" s="30" t="s">
        <v>5571</v>
      </c>
    </row>
    <row r="517" spans="1:11" x14ac:dyDescent="0.35">
      <c r="A517" s="30" t="s">
        <v>10075</v>
      </c>
      <c r="B517" s="30" t="s">
        <v>10076</v>
      </c>
      <c r="C517" s="32">
        <v>28.89</v>
      </c>
      <c r="D517" s="30">
        <v>-0.04</v>
      </c>
      <c r="E517" s="31">
        <v>-1.3799999999999999E-3</v>
      </c>
      <c r="F517" s="30">
        <v>1264351291</v>
      </c>
      <c r="G517" s="30" t="s">
        <v>5427</v>
      </c>
      <c r="H517" s="30">
        <v>2022</v>
      </c>
      <c r="I517" s="30">
        <v>361839</v>
      </c>
      <c r="J517" s="30" t="s">
        <v>5431</v>
      </c>
      <c r="K517" s="30" t="s">
        <v>5430</v>
      </c>
    </row>
    <row r="518" spans="1:11" x14ac:dyDescent="0.35">
      <c r="A518" s="30" t="s">
        <v>10077</v>
      </c>
      <c r="B518" s="30" t="s">
        <v>10078</v>
      </c>
      <c r="C518" s="32">
        <v>114.31</v>
      </c>
      <c r="D518" s="30">
        <v>1.1599999999999999</v>
      </c>
      <c r="E518" s="31">
        <v>1.025E-2</v>
      </c>
      <c r="F518" s="30">
        <v>17967738247</v>
      </c>
      <c r="G518" s="30" t="s">
        <v>5427</v>
      </c>
      <c r="H518" s="30"/>
      <c r="I518" s="30">
        <v>697150</v>
      </c>
      <c r="J518" s="30" t="s">
        <v>5435</v>
      </c>
      <c r="K518" s="30" t="s">
        <v>5493</v>
      </c>
    </row>
    <row r="519" spans="1:11" x14ac:dyDescent="0.35">
      <c r="A519" s="30" t="s">
        <v>10079</v>
      </c>
      <c r="B519" s="30" t="s">
        <v>10080</v>
      </c>
      <c r="C519" s="32">
        <v>1.34</v>
      </c>
      <c r="D519" s="30">
        <v>-0.09</v>
      </c>
      <c r="E519" s="31">
        <v>-6.2939999999999996E-2</v>
      </c>
      <c r="F519" s="30">
        <v>198677170</v>
      </c>
      <c r="G519" s="30" t="s">
        <v>5427</v>
      </c>
      <c r="H519" s="30"/>
      <c r="I519" s="30">
        <v>269751</v>
      </c>
      <c r="J519" s="30" t="s">
        <v>5219</v>
      </c>
      <c r="K519" s="30" t="s">
        <v>5560</v>
      </c>
    </row>
    <row r="520" spans="1:11" x14ac:dyDescent="0.35">
      <c r="A520" s="30" t="s">
        <v>10081</v>
      </c>
      <c r="B520" s="30" t="s">
        <v>10082</v>
      </c>
      <c r="C520" s="32">
        <v>10.43</v>
      </c>
      <c r="D520" s="30">
        <v>0.02</v>
      </c>
      <c r="E520" s="31">
        <v>1.92E-3</v>
      </c>
      <c r="F520" s="30">
        <v>299862500</v>
      </c>
      <c r="G520" s="30" t="s">
        <v>5427</v>
      </c>
      <c r="H520" s="30">
        <v>2022</v>
      </c>
      <c r="I520" s="30">
        <v>30071</v>
      </c>
      <c r="J520" s="30" t="s">
        <v>5435</v>
      </c>
      <c r="K520" s="30" t="s">
        <v>5482</v>
      </c>
    </row>
    <row r="521" spans="1:11" x14ac:dyDescent="0.35">
      <c r="A521" s="30" t="s">
        <v>10083</v>
      </c>
      <c r="B521" s="30" t="s">
        <v>10084</v>
      </c>
      <c r="C521" s="32">
        <v>21.93</v>
      </c>
      <c r="D521" s="30">
        <v>0.23</v>
      </c>
      <c r="E521" s="31">
        <v>1.06E-2</v>
      </c>
      <c r="F521" s="30">
        <v>344901005</v>
      </c>
      <c r="G521" s="30" t="s">
        <v>5427</v>
      </c>
      <c r="H521" s="30"/>
      <c r="I521" s="30">
        <v>31595</v>
      </c>
      <c r="J521" s="30" t="s">
        <v>5435</v>
      </c>
      <c r="K521" s="30" t="s">
        <v>5579</v>
      </c>
    </row>
    <row r="522" spans="1:11" x14ac:dyDescent="0.35">
      <c r="A522" s="30" t="s">
        <v>10085</v>
      </c>
      <c r="B522" s="30" t="s">
        <v>10086</v>
      </c>
      <c r="C522" s="32">
        <v>14.84</v>
      </c>
      <c r="D522" s="30">
        <v>0.96</v>
      </c>
      <c r="E522" s="31">
        <v>6.9159999999999999E-2</v>
      </c>
      <c r="F522" s="30">
        <v>83156979</v>
      </c>
      <c r="G522" s="30" t="s">
        <v>5427</v>
      </c>
      <c r="H522" s="30"/>
      <c r="I522" s="30">
        <v>8116</v>
      </c>
      <c r="J522" s="30" t="s">
        <v>5435</v>
      </c>
      <c r="K522" s="30" t="s">
        <v>5579</v>
      </c>
    </row>
    <row r="523" spans="1:11" x14ac:dyDescent="0.35">
      <c r="A523" s="30" t="s">
        <v>10087</v>
      </c>
      <c r="B523" s="30" t="s">
        <v>10088</v>
      </c>
      <c r="C523" s="32">
        <v>4.88</v>
      </c>
      <c r="D523" s="30">
        <v>-0.1</v>
      </c>
      <c r="E523" s="31">
        <v>-2.0080000000000001E-2</v>
      </c>
      <c r="F523" s="30">
        <v>50029184</v>
      </c>
      <c r="G523" s="30" t="s">
        <v>5427</v>
      </c>
      <c r="H523" s="30"/>
      <c r="I523" s="30">
        <v>169548</v>
      </c>
      <c r="J523" s="30" t="s">
        <v>5431</v>
      </c>
      <c r="K523" s="30" t="s">
        <v>5430</v>
      </c>
    </row>
    <row r="524" spans="1:11" x14ac:dyDescent="0.35">
      <c r="A524" s="30" t="s">
        <v>10089</v>
      </c>
      <c r="B524" s="30" t="s">
        <v>10090</v>
      </c>
      <c r="C524" s="32">
        <v>10.34</v>
      </c>
      <c r="D524" s="30">
        <v>0.28999999999999998</v>
      </c>
      <c r="E524" s="31">
        <v>2.886E-2</v>
      </c>
      <c r="F524" s="30">
        <v>382957079</v>
      </c>
      <c r="G524" s="30" t="s">
        <v>5427</v>
      </c>
      <c r="H524" s="30"/>
      <c r="I524" s="30">
        <v>407992</v>
      </c>
      <c r="J524" s="30" t="s">
        <v>5442</v>
      </c>
      <c r="K524" s="30" t="s">
        <v>5641</v>
      </c>
    </row>
    <row r="525" spans="1:11" x14ac:dyDescent="0.35">
      <c r="A525" s="30" t="s">
        <v>10091</v>
      </c>
      <c r="B525" s="30" t="s">
        <v>10092</v>
      </c>
      <c r="C525" s="32">
        <v>19.98</v>
      </c>
      <c r="D525" s="30">
        <v>0.13</v>
      </c>
      <c r="E525" s="31">
        <v>6.5500000000000003E-3</v>
      </c>
      <c r="F525" s="30">
        <v>2177230110</v>
      </c>
      <c r="G525" s="30" t="s">
        <v>5427</v>
      </c>
      <c r="H525" s="30">
        <v>2018</v>
      </c>
      <c r="I525" s="30">
        <v>211136</v>
      </c>
      <c r="J525" s="30" t="s">
        <v>5435</v>
      </c>
      <c r="K525" s="30" t="s">
        <v>5582</v>
      </c>
    </row>
    <row r="526" spans="1:11" x14ac:dyDescent="0.35">
      <c r="A526" s="30" t="s">
        <v>10093</v>
      </c>
      <c r="B526" s="30" t="s">
        <v>10094</v>
      </c>
      <c r="C526" s="32">
        <v>43.71</v>
      </c>
      <c r="D526" s="30">
        <v>-0.35</v>
      </c>
      <c r="E526" s="31">
        <v>-7.9399999999999991E-3</v>
      </c>
      <c r="F526" s="30">
        <v>2058733613</v>
      </c>
      <c r="G526" s="30" t="s">
        <v>5427</v>
      </c>
      <c r="H526" s="30"/>
      <c r="I526" s="30">
        <v>480121</v>
      </c>
      <c r="J526" s="30" t="s">
        <v>5431</v>
      </c>
      <c r="K526" s="30" t="s">
        <v>9105</v>
      </c>
    </row>
    <row r="527" spans="1:11" x14ac:dyDescent="0.35">
      <c r="A527" s="30" t="s">
        <v>10095</v>
      </c>
      <c r="B527" s="30" t="s">
        <v>10096</v>
      </c>
      <c r="C527" s="32">
        <v>70.78</v>
      </c>
      <c r="D527" s="30">
        <v>-0.68</v>
      </c>
      <c r="E527" s="31">
        <v>-9.5200000000000007E-3</v>
      </c>
      <c r="F527" s="30">
        <v>1076765028</v>
      </c>
      <c r="G527" s="30" t="s">
        <v>5427</v>
      </c>
      <c r="H527" s="30"/>
      <c r="I527" s="30">
        <v>602499</v>
      </c>
      <c r="J527" s="30" t="s">
        <v>5426</v>
      </c>
      <c r="K527" s="30" t="s">
        <v>5520</v>
      </c>
    </row>
    <row r="528" spans="1:11" x14ac:dyDescent="0.35">
      <c r="A528" s="30" t="s">
        <v>10097</v>
      </c>
      <c r="B528" s="30" t="s">
        <v>10098</v>
      </c>
      <c r="C528" s="32">
        <v>10.14</v>
      </c>
      <c r="D528" s="30">
        <v>-0.01</v>
      </c>
      <c r="E528" s="31">
        <v>-9.8999999999999999E-4</v>
      </c>
      <c r="F528" s="30">
        <v>319984603</v>
      </c>
      <c r="G528" s="30" t="s">
        <v>5427</v>
      </c>
      <c r="H528" s="30">
        <v>2022</v>
      </c>
      <c r="I528" s="30">
        <v>9051</v>
      </c>
      <c r="J528" s="30" t="s">
        <v>5457</v>
      </c>
      <c r="K528" s="30" t="s">
        <v>5571</v>
      </c>
    </row>
    <row r="529" spans="1:11" x14ac:dyDescent="0.35">
      <c r="A529" s="30" t="s">
        <v>10099</v>
      </c>
      <c r="B529" s="30" t="s">
        <v>10100</v>
      </c>
      <c r="C529" s="32">
        <v>3.1</v>
      </c>
      <c r="D529" s="30">
        <v>0.05</v>
      </c>
      <c r="E529" s="31">
        <v>1.6389999999999998E-2</v>
      </c>
      <c r="F529" s="30">
        <v>141254011</v>
      </c>
      <c r="G529" s="30" t="s">
        <v>5847</v>
      </c>
      <c r="H529" s="30">
        <v>2015</v>
      </c>
      <c r="I529" s="30">
        <v>17943</v>
      </c>
      <c r="J529" s="30" t="s">
        <v>5431</v>
      </c>
      <c r="K529" s="30" t="s">
        <v>6409</v>
      </c>
    </row>
    <row r="530" spans="1:11" x14ac:dyDescent="0.35">
      <c r="A530" s="30" t="s">
        <v>5048</v>
      </c>
      <c r="B530" s="30" t="s">
        <v>10101</v>
      </c>
      <c r="C530" s="32">
        <v>38.06</v>
      </c>
      <c r="D530" s="30">
        <v>0.18</v>
      </c>
      <c r="E530" s="31">
        <v>4.7499999999999999E-3</v>
      </c>
      <c r="F530" s="30">
        <v>170423279</v>
      </c>
      <c r="G530" s="30" t="s">
        <v>5427</v>
      </c>
      <c r="H530" s="30"/>
      <c r="I530" s="30">
        <v>34066</v>
      </c>
      <c r="J530" s="30" t="s">
        <v>5219</v>
      </c>
      <c r="K530" s="30" t="s">
        <v>5812</v>
      </c>
    </row>
    <row r="531" spans="1:11" x14ac:dyDescent="0.35">
      <c r="A531" s="30" t="s">
        <v>10102</v>
      </c>
      <c r="B531" s="30" t="s">
        <v>10103</v>
      </c>
      <c r="C531" s="32">
        <v>16.5</v>
      </c>
      <c r="D531" s="30">
        <v>0.21</v>
      </c>
      <c r="E531" s="31">
        <v>1.289E-2</v>
      </c>
      <c r="F531" s="30">
        <v>1306628120</v>
      </c>
      <c r="G531" s="30" t="s">
        <v>5427</v>
      </c>
      <c r="H531" s="30">
        <v>2006</v>
      </c>
      <c r="I531" s="30">
        <v>80347</v>
      </c>
      <c r="J531" s="30" t="s">
        <v>5464</v>
      </c>
      <c r="K531" s="30" t="s">
        <v>5463</v>
      </c>
    </row>
    <row r="532" spans="1:11" x14ac:dyDescent="0.35">
      <c r="A532" s="30" t="s">
        <v>10104</v>
      </c>
      <c r="B532" s="30" t="s">
        <v>10105</v>
      </c>
      <c r="C532" s="32">
        <v>5.72</v>
      </c>
      <c r="D532" s="30">
        <v>0.06</v>
      </c>
      <c r="E532" s="31">
        <v>1.06E-2</v>
      </c>
      <c r="F532" s="30">
        <v>1272288978</v>
      </c>
      <c r="G532" s="30" t="s">
        <v>5427</v>
      </c>
      <c r="H532" s="30">
        <v>2007</v>
      </c>
      <c r="I532" s="30">
        <v>3243136</v>
      </c>
      <c r="J532" s="30" t="s">
        <v>5426</v>
      </c>
      <c r="K532" s="30" t="s">
        <v>5546</v>
      </c>
    </row>
    <row r="533" spans="1:11" x14ac:dyDescent="0.35">
      <c r="A533" s="30" t="s">
        <v>10106</v>
      </c>
      <c r="B533" s="30" t="s">
        <v>10107</v>
      </c>
      <c r="C533" s="32">
        <v>1.55</v>
      </c>
      <c r="D533" s="30">
        <v>0.02</v>
      </c>
      <c r="E533" s="31">
        <v>1.307E-2</v>
      </c>
      <c r="F533" s="30">
        <v>114421016</v>
      </c>
      <c r="G533" s="30" t="s">
        <v>5427</v>
      </c>
      <c r="H533" s="30"/>
      <c r="I533" s="30">
        <v>64099</v>
      </c>
      <c r="J533" s="30" t="s">
        <v>5431</v>
      </c>
      <c r="K533" s="30" t="s">
        <v>5430</v>
      </c>
    </row>
    <row r="534" spans="1:11" x14ac:dyDescent="0.35">
      <c r="A534" s="30" t="s">
        <v>10108</v>
      </c>
      <c r="B534" s="30" t="s">
        <v>10109</v>
      </c>
      <c r="C534" s="32">
        <v>10.93</v>
      </c>
      <c r="D534" s="30">
        <v>0</v>
      </c>
      <c r="E534" s="31">
        <v>0</v>
      </c>
      <c r="F534" s="30">
        <v>197865156</v>
      </c>
      <c r="G534" s="30" t="s">
        <v>5427</v>
      </c>
      <c r="H534" s="30">
        <v>2021</v>
      </c>
      <c r="I534" s="30">
        <v>4</v>
      </c>
      <c r="J534" s="30" t="s">
        <v>5457</v>
      </c>
      <c r="K534" s="30" t="s">
        <v>5571</v>
      </c>
    </row>
    <row r="535" spans="1:11" x14ac:dyDescent="0.35">
      <c r="A535" s="30" t="s">
        <v>10110</v>
      </c>
      <c r="B535" s="30" t="s">
        <v>10111</v>
      </c>
      <c r="C535" s="32">
        <v>1.34</v>
      </c>
      <c r="D535" s="30">
        <v>0.01</v>
      </c>
      <c r="E535" s="31">
        <v>7.5199999999999998E-3</v>
      </c>
      <c r="F535" s="30">
        <v>590538000</v>
      </c>
      <c r="G535" s="30" t="s">
        <v>5427</v>
      </c>
      <c r="H535" s="30"/>
      <c r="I535" s="30">
        <v>8807661</v>
      </c>
      <c r="J535" s="30" t="s">
        <v>5431</v>
      </c>
      <c r="K535" s="30" t="s">
        <v>5610</v>
      </c>
    </row>
    <row r="536" spans="1:11" x14ac:dyDescent="0.35">
      <c r="A536" s="30" t="s">
        <v>10112</v>
      </c>
      <c r="B536" s="30" t="s">
        <v>10113</v>
      </c>
      <c r="C536" s="32">
        <v>9.4</v>
      </c>
      <c r="D536" s="30">
        <v>-0.11</v>
      </c>
      <c r="E536" s="31">
        <v>-1.157E-2</v>
      </c>
      <c r="F536" s="30">
        <v>230812836</v>
      </c>
      <c r="G536" s="30" t="s">
        <v>5427</v>
      </c>
      <c r="H536" s="30"/>
      <c r="I536" s="30">
        <v>131507</v>
      </c>
      <c r="J536" s="30" t="s">
        <v>5431</v>
      </c>
      <c r="K536" s="30" t="s">
        <v>5500</v>
      </c>
    </row>
    <row r="537" spans="1:11" x14ac:dyDescent="0.35">
      <c r="A537" s="30" t="s">
        <v>10114</v>
      </c>
      <c r="B537" s="30" t="s">
        <v>10115</v>
      </c>
      <c r="C537" s="32">
        <v>10.26</v>
      </c>
      <c r="D537" s="30">
        <v>0</v>
      </c>
      <c r="E537" s="31">
        <v>0</v>
      </c>
      <c r="F537" s="30">
        <v>102208838</v>
      </c>
      <c r="G537" s="30" t="s">
        <v>5775</v>
      </c>
      <c r="H537" s="30">
        <v>2022</v>
      </c>
      <c r="I537" s="30">
        <v>216</v>
      </c>
      <c r="J537" s="30" t="s">
        <v>5435</v>
      </c>
      <c r="K537" s="30" t="s">
        <v>5482</v>
      </c>
    </row>
    <row r="538" spans="1:11" x14ac:dyDescent="0.35">
      <c r="A538" s="30" t="s">
        <v>10116</v>
      </c>
      <c r="B538" s="30" t="s">
        <v>10117</v>
      </c>
      <c r="C538" s="32">
        <v>1.54</v>
      </c>
      <c r="D538" s="30">
        <v>0.13</v>
      </c>
      <c r="E538" s="31">
        <v>9.2200000000000004E-2</v>
      </c>
      <c r="F538" s="30">
        <v>92693726</v>
      </c>
      <c r="G538" s="30" t="s">
        <v>5427</v>
      </c>
      <c r="H538" s="30">
        <v>2016</v>
      </c>
      <c r="I538" s="30">
        <v>386270</v>
      </c>
      <c r="J538" s="30" t="s">
        <v>5431</v>
      </c>
      <c r="K538" s="30" t="s">
        <v>5430</v>
      </c>
    </row>
    <row r="539" spans="1:11" x14ac:dyDescent="0.35">
      <c r="A539" s="30" t="s">
        <v>10118</v>
      </c>
      <c r="B539" s="30" t="s">
        <v>10119</v>
      </c>
      <c r="C539" s="32">
        <v>3.24</v>
      </c>
      <c r="D539" s="30">
        <v>7.0000000000000007E-2</v>
      </c>
      <c r="E539" s="31">
        <v>2.2079999999999999E-2</v>
      </c>
      <c r="F539" s="30">
        <v>232344874</v>
      </c>
      <c r="G539" s="30" t="s">
        <v>5427</v>
      </c>
      <c r="H539" s="30"/>
      <c r="I539" s="30">
        <v>5014559</v>
      </c>
      <c r="J539" s="30" t="s">
        <v>5219</v>
      </c>
      <c r="K539" s="30" t="s">
        <v>5560</v>
      </c>
    </row>
    <row r="540" spans="1:11" x14ac:dyDescent="0.35">
      <c r="A540" s="30" t="s">
        <v>10120</v>
      </c>
      <c r="B540" s="30" t="s">
        <v>10121</v>
      </c>
      <c r="C540" s="32">
        <v>12.98</v>
      </c>
      <c r="D540" s="30">
        <v>0.11</v>
      </c>
      <c r="E540" s="31">
        <v>8.5500000000000003E-3</v>
      </c>
      <c r="F540" s="30">
        <v>68664200</v>
      </c>
      <c r="G540" s="30" t="s">
        <v>5427</v>
      </c>
      <c r="H540" s="30">
        <v>2021</v>
      </c>
      <c r="I540" s="30">
        <v>5077</v>
      </c>
      <c r="J540" s="30"/>
      <c r="K540" s="30"/>
    </row>
    <row r="541" spans="1:11" x14ac:dyDescent="0.35">
      <c r="A541" s="30" t="s">
        <v>10122</v>
      </c>
      <c r="B541" s="30" t="s">
        <v>10123</v>
      </c>
      <c r="C541" s="32">
        <v>4.6399999999999997</v>
      </c>
      <c r="D541" s="30">
        <v>-0.05</v>
      </c>
      <c r="E541" s="31">
        <v>-1.0659999999999999E-2</v>
      </c>
      <c r="F541" s="30">
        <v>514561950</v>
      </c>
      <c r="G541" s="30" t="s">
        <v>5427</v>
      </c>
      <c r="H541" s="30">
        <v>2020</v>
      </c>
      <c r="I541" s="30">
        <v>196497</v>
      </c>
      <c r="J541" s="30" t="s">
        <v>5219</v>
      </c>
      <c r="K541" s="30" t="s">
        <v>5560</v>
      </c>
    </row>
    <row r="542" spans="1:11" x14ac:dyDescent="0.35">
      <c r="A542" s="30" t="s">
        <v>10124</v>
      </c>
      <c r="B542" s="30" t="s">
        <v>10125</v>
      </c>
      <c r="C542" s="32">
        <v>10.36</v>
      </c>
      <c r="D542" s="30">
        <v>0</v>
      </c>
      <c r="E542" s="31">
        <v>0</v>
      </c>
      <c r="F542" s="30">
        <v>297850000</v>
      </c>
      <c r="G542" s="30" t="s">
        <v>5427</v>
      </c>
      <c r="H542" s="30">
        <v>2022</v>
      </c>
      <c r="I542" s="30">
        <v>415633</v>
      </c>
      <c r="J542" s="30" t="s">
        <v>5435</v>
      </c>
      <c r="K542" s="30" t="s">
        <v>5482</v>
      </c>
    </row>
    <row r="543" spans="1:11" x14ac:dyDescent="0.35">
      <c r="A543" s="30" t="s">
        <v>10126</v>
      </c>
      <c r="B543" s="30" t="s">
        <v>10127</v>
      </c>
      <c r="C543" s="32">
        <v>38.28</v>
      </c>
      <c r="D543" s="30">
        <v>2.33</v>
      </c>
      <c r="E543" s="31">
        <v>6.4810000000000006E-2</v>
      </c>
      <c r="F543" s="30">
        <v>1095947787</v>
      </c>
      <c r="G543" s="30" t="s">
        <v>5427</v>
      </c>
      <c r="H543" s="30">
        <v>1996</v>
      </c>
      <c r="I543" s="30">
        <v>174742</v>
      </c>
      <c r="J543" s="30" t="s">
        <v>5457</v>
      </c>
      <c r="K543" s="30" t="s">
        <v>5460</v>
      </c>
    </row>
    <row r="544" spans="1:11" x14ac:dyDescent="0.35">
      <c r="A544" s="30" t="s">
        <v>10128</v>
      </c>
      <c r="B544" s="30" t="s">
        <v>10129</v>
      </c>
      <c r="C544" s="32">
        <v>39.97</v>
      </c>
      <c r="D544" s="30">
        <v>0.62</v>
      </c>
      <c r="E544" s="31">
        <v>1.576E-2</v>
      </c>
      <c r="F544" s="30">
        <v>172806645499</v>
      </c>
      <c r="G544" s="30" t="s">
        <v>5427</v>
      </c>
      <c r="H544" s="30"/>
      <c r="I544" s="30">
        <v>17814417</v>
      </c>
      <c r="J544" s="30" t="s">
        <v>5442</v>
      </c>
      <c r="K544" s="30" t="s">
        <v>5520</v>
      </c>
    </row>
    <row r="545" spans="1:11" x14ac:dyDescent="0.35">
      <c r="A545" s="30" t="s">
        <v>10130</v>
      </c>
      <c r="B545" s="30" t="s">
        <v>10131</v>
      </c>
      <c r="C545" s="32">
        <v>5.24</v>
      </c>
      <c r="D545" s="30">
        <v>-0.04</v>
      </c>
      <c r="E545" s="31">
        <v>-7.5799999999999999E-3</v>
      </c>
      <c r="F545" s="30">
        <v>119146350</v>
      </c>
      <c r="G545" s="30" t="s">
        <v>5427</v>
      </c>
      <c r="H545" s="30"/>
      <c r="I545" s="30">
        <v>2582</v>
      </c>
      <c r="J545" s="30" t="s">
        <v>5197</v>
      </c>
      <c r="K545" s="30" t="s">
        <v>5467</v>
      </c>
    </row>
    <row r="546" spans="1:11" x14ac:dyDescent="0.35">
      <c r="A546" s="30" t="s">
        <v>10132</v>
      </c>
      <c r="B546" s="30" t="s">
        <v>10133</v>
      </c>
      <c r="C546" s="32">
        <v>175.54</v>
      </c>
      <c r="D546" s="30">
        <v>-1.1200000000000001</v>
      </c>
      <c r="E546" s="31">
        <v>-6.3400000000000001E-3</v>
      </c>
      <c r="F546" s="30">
        <v>63146673658</v>
      </c>
      <c r="G546" s="30" t="s">
        <v>5427</v>
      </c>
      <c r="H546" s="30">
        <v>2002</v>
      </c>
      <c r="I546" s="30">
        <v>1953576</v>
      </c>
      <c r="J546" s="30" t="s">
        <v>5435</v>
      </c>
      <c r="K546" s="30" t="s">
        <v>6221</v>
      </c>
    </row>
    <row r="547" spans="1:11" x14ac:dyDescent="0.35">
      <c r="A547" s="30" t="s">
        <v>10134</v>
      </c>
      <c r="B547" s="30" t="s">
        <v>10135</v>
      </c>
      <c r="C547" s="32">
        <v>6.7</v>
      </c>
      <c r="D547" s="30">
        <v>0</v>
      </c>
      <c r="E547" s="31">
        <v>0</v>
      </c>
      <c r="F547" s="30">
        <v>124774670</v>
      </c>
      <c r="G547" s="30" t="s">
        <v>5427</v>
      </c>
      <c r="H547" s="30"/>
      <c r="I547" s="30">
        <v>161971</v>
      </c>
      <c r="J547" s="30" t="s">
        <v>5442</v>
      </c>
      <c r="K547" s="30" t="s">
        <v>5834</v>
      </c>
    </row>
    <row r="548" spans="1:11" x14ac:dyDescent="0.35">
      <c r="A548" s="30" t="s">
        <v>10136</v>
      </c>
      <c r="B548" s="30" t="s">
        <v>10137</v>
      </c>
      <c r="C548" s="32">
        <v>6.22</v>
      </c>
      <c r="D548" s="30">
        <v>-0.14000000000000001</v>
      </c>
      <c r="E548" s="31">
        <v>-2.2009999999999998E-2</v>
      </c>
      <c r="F548" s="30">
        <v>98025135</v>
      </c>
      <c r="G548" s="30" t="s">
        <v>5427</v>
      </c>
      <c r="H548" s="30">
        <v>2020</v>
      </c>
      <c r="I548" s="30">
        <v>165902</v>
      </c>
      <c r="J548" s="30" t="s">
        <v>5457</v>
      </c>
      <c r="K548" s="30" t="s">
        <v>5634</v>
      </c>
    </row>
    <row r="549" spans="1:11" x14ac:dyDescent="0.35">
      <c r="A549" s="30" t="s">
        <v>10138</v>
      </c>
      <c r="B549" s="30" t="s">
        <v>10139</v>
      </c>
      <c r="C549" s="32">
        <v>35.17</v>
      </c>
      <c r="D549" s="30">
        <v>2.48</v>
      </c>
      <c r="E549" s="31">
        <v>7.5859999999999997E-2</v>
      </c>
      <c r="F549" s="30">
        <v>922936134</v>
      </c>
      <c r="G549" s="30" t="s">
        <v>6073</v>
      </c>
      <c r="H549" s="30">
        <v>2005</v>
      </c>
      <c r="I549" s="30">
        <v>121515</v>
      </c>
      <c r="J549" s="30" t="s">
        <v>5442</v>
      </c>
      <c r="K549" s="30" t="s">
        <v>5641</v>
      </c>
    </row>
    <row r="550" spans="1:11" x14ac:dyDescent="0.35">
      <c r="A550" s="30" t="s">
        <v>10140</v>
      </c>
      <c r="B550" s="30" t="s">
        <v>10141</v>
      </c>
      <c r="C550" s="32">
        <v>10.61</v>
      </c>
      <c r="D550" s="30">
        <v>0.23</v>
      </c>
      <c r="E550" s="31">
        <v>2.2159999999999999E-2</v>
      </c>
      <c r="F550" s="30">
        <v>451737132</v>
      </c>
      <c r="G550" s="30" t="s">
        <v>5775</v>
      </c>
      <c r="H550" s="30">
        <v>2020</v>
      </c>
      <c r="I550" s="30">
        <v>235108</v>
      </c>
      <c r="J550" s="30" t="s">
        <v>5431</v>
      </c>
      <c r="K550" s="30" t="s">
        <v>5430</v>
      </c>
    </row>
    <row r="551" spans="1:11" x14ac:dyDescent="0.35">
      <c r="A551" s="30" t="s">
        <v>10142</v>
      </c>
      <c r="B551" s="30" t="s">
        <v>10143</v>
      </c>
      <c r="C551" s="32">
        <v>3.99</v>
      </c>
      <c r="D551" s="30">
        <v>-0.01</v>
      </c>
      <c r="E551" s="31">
        <v>-2.5000000000000001E-3</v>
      </c>
      <c r="F551" s="30">
        <v>503503977</v>
      </c>
      <c r="G551" s="30" t="s">
        <v>5427</v>
      </c>
      <c r="H551" s="30"/>
      <c r="I551" s="30">
        <v>390014</v>
      </c>
      <c r="J551" s="30" t="s">
        <v>5431</v>
      </c>
      <c r="K551" s="30" t="s">
        <v>5430</v>
      </c>
    </row>
    <row r="552" spans="1:11" x14ac:dyDescent="0.35">
      <c r="A552" s="30" t="s">
        <v>10144</v>
      </c>
      <c r="B552" s="30" t="s">
        <v>10145</v>
      </c>
      <c r="C552" s="32">
        <v>1.82</v>
      </c>
      <c r="D552" s="30">
        <v>0.05</v>
      </c>
      <c r="E552" s="31">
        <v>2.8250000000000001E-2</v>
      </c>
      <c r="F552" s="30">
        <v>160242131</v>
      </c>
      <c r="G552" s="30" t="s">
        <v>5427</v>
      </c>
      <c r="H552" s="30">
        <v>2013</v>
      </c>
      <c r="I552" s="30">
        <v>620365</v>
      </c>
      <c r="J552" s="30" t="s">
        <v>5431</v>
      </c>
      <c r="K552" s="30" t="s">
        <v>5430</v>
      </c>
    </row>
    <row r="553" spans="1:11" x14ac:dyDescent="0.35">
      <c r="A553" s="30" t="s">
        <v>10146</v>
      </c>
      <c r="B553" s="30" t="s">
        <v>10147</v>
      </c>
      <c r="C553" s="32">
        <v>16.190000000000001</v>
      </c>
      <c r="D553" s="30">
        <v>0.33</v>
      </c>
      <c r="E553" s="31">
        <v>2.0809999999999999E-2</v>
      </c>
      <c r="F553" s="30">
        <v>449682253</v>
      </c>
      <c r="G553" s="30" t="s">
        <v>5427</v>
      </c>
      <c r="H553" s="30"/>
      <c r="I553" s="30">
        <v>160280</v>
      </c>
      <c r="J553" s="30" t="s">
        <v>5219</v>
      </c>
      <c r="K553" s="30" t="s">
        <v>5780</v>
      </c>
    </row>
    <row r="554" spans="1:11" x14ac:dyDescent="0.35">
      <c r="A554" s="30" t="s">
        <v>10148</v>
      </c>
      <c r="B554" s="30" t="s">
        <v>10149</v>
      </c>
      <c r="C554" s="32">
        <v>8.39</v>
      </c>
      <c r="D554" s="30">
        <v>0.05</v>
      </c>
      <c r="E554" s="31">
        <v>6.0000000000000001E-3</v>
      </c>
      <c r="F554" s="30">
        <v>402909799</v>
      </c>
      <c r="G554" s="30" t="s">
        <v>5427</v>
      </c>
      <c r="H554" s="30">
        <v>2014</v>
      </c>
      <c r="I554" s="30">
        <v>1273661</v>
      </c>
      <c r="J554" s="30" t="s">
        <v>5431</v>
      </c>
      <c r="K554" s="30" t="s">
        <v>5430</v>
      </c>
    </row>
    <row r="555" spans="1:11" x14ac:dyDescent="0.35">
      <c r="A555" s="30" t="s">
        <v>10150</v>
      </c>
      <c r="B555" s="30" t="s">
        <v>10151</v>
      </c>
      <c r="C555" s="32">
        <v>4.83</v>
      </c>
      <c r="D555" s="30">
        <v>0.06</v>
      </c>
      <c r="E555" s="31">
        <v>1.2579999999999999E-2</v>
      </c>
      <c r="F555" s="30">
        <v>1042894643</v>
      </c>
      <c r="G555" s="30" t="s">
        <v>5427</v>
      </c>
      <c r="H555" s="30"/>
      <c r="I555" s="30">
        <v>825102</v>
      </c>
      <c r="J555" s="30" t="s">
        <v>5219</v>
      </c>
      <c r="K555" s="30" t="s">
        <v>5812</v>
      </c>
    </row>
    <row r="556" spans="1:11" x14ac:dyDescent="0.35">
      <c r="A556" s="30" t="s">
        <v>10152</v>
      </c>
      <c r="B556" s="30" t="s">
        <v>10153</v>
      </c>
      <c r="C556" s="32">
        <v>10.39</v>
      </c>
      <c r="D556" s="30">
        <v>0.01</v>
      </c>
      <c r="E556" s="31">
        <v>9.6000000000000002E-4</v>
      </c>
      <c r="F556" s="30">
        <v>307647900</v>
      </c>
      <c r="G556" s="30" t="s">
        <v>5427</v>
      </c>
      <c r="H556" s="30">
        <v>2022</v>
      </c>
      <c r="I556" s="30">
        <v>75027</v>
      </c>
      <c r="J556" s="30" t="s">
        <v>5457</v>
      </c>
      <c r="K556" s="30" t="s">
        <v>5571</v>
      </c>
    </row>
    <row r="557" spans="1:11" x14ac:dyDescent="0.35">
      <c r="A557" s="30" t="s">
        <v>10154</v>
      </c>
      <c r="B557" s="30" t="s">
        <v>10155</v>
      </c>
      <c r="C557" s="32">
        <v>23.94</v>
      </c>
      <c r="D557" s="30">
        <v>0.17</v>
      </c>
      <c r="E557" s="31">
        <v>7.1500000000000001E-3</v>
      </c>
      <c r="F557" s="30">
        <v>939480365</v>
      </c>
      <c r="G557" s="30" t="s">
        <v>5427</v>
      </c>
      <c r="H557" s="30"/>
      <c r="I557" s="30">
        <v>155250</v>
      </c>
      <c r="J557" s="30" t="s">
        <v>5435</v>
      </c>
      <c r="K557" s="30" t="s">
        <v>5579</v>
      </c>
    </row>
    <row r="558" spans="1:11" x14ac:dyDescent="0.35">
      <c r="A558" s="30" t="s">
        <v>10156</v>
      </c>
      <c r="B558" s="30" t="s">
        <v>10157</v>
      </c>
      <c r="C558" s="32">
        <v>4.54</v>
      </c>
      <c r="D558" s="30">
        <v>0.19</v>
      </c>
      <c r="E558" s="31">
        <v>4.3679999999999997E-2</v>
      </c>
      <c r="F558" s="30">
        <v>523896333</v>
      </c>
      <c r="G558" s="30" t="s">
        <v>5427</v>
      </c>
      <c r="H558" s="30">
        <v>2005</v>
      </c>
      <c r="I558" s="30">
        <v>362315</v>
      </c>
      <c r="J558" s="30" t="s">
        <v>5732</v>
      </c>
      <c r="K558" s="30" t="s">
        <v>5520</v>
      </c>
    </row>
    <row r="559" spans="1:11" x14ac:dyDescent="0.35">
      <c r="A559" s="30" t="s">
        <v>10158</v>
      </c>
      <c r="B559" s="30" t="s">
        <v>10159</v>
      </c>
      <c r="C559" s="32">
        <v>3.85</v>
      </c>
      <c r="D559" s="30">
        <v>-0.15</v>
      </c>
      <c r="E559" s="31">
        <v>-3.7499999999999999E-2</v>
      </c>
      <c r="F559" s="30">
        <v>364195551</v>
      </c>
      <c r="G559" s="30" t="s">
        <v>5775</v>
      </c>
      <c r="H559" s="30">
        <v>2021</v>
      </c>
      <c r="I559" s="30">
        <v>102474</v>
      </c>
      <c r="J559" s="30" t="s">
        <v>5431</v>
      </c>
      <c r="K559" s="30" t="s">
        <v>5430</v>
      </c>
    </row>
    <row r="560" spans="1:11" x14ac:dyDescent="0.35">
      <c r="A560" s="30" t="s">
        <v>10160</v>
      </c>
      <c r="B560" s="30" t="s">
        <v>10161</v>
      </c>
      <c r="C560" s="32">
        <v>9.08</v>
      </c>
      <c r="D560" s="30">
        <v>0.26</v>
      </c>
      <c r="E560" s="31">
        <v>2.9479999999999999E-2</v>
      </c>
      <c r="F560" s="30">
        <v>271165547</v>
      </c>
      <c r="G560" s="30" t="s">
        <v>5427</v>
      </c>
      <c r="H560" s="30"/>
      <c r="I560" s="30">
        <v>133125</v>
      </c>
      <c r="J560" s="30" t="s">
        <v>5442</v>
      </c>
      <c r="K560" s="30" t="s">
        <v>5704</v>
      </c>
    </row>
    <row r="561" spans="1:11" x14ac:dyDescent="0.35">
      <c r="A561" s="30" t="s">
        <v>10162</v>
      </c>
      <c r="B561" s="30" t="s">
        <v>10163</v>
      </c>
      <c r="C561" s="32">
        <v>146.5</v>
      </c>
      <c r="D561" s="30">
        <v>4.6900000000000004</v>
      </c>
      <c r="E561" s="31">
        <v>3.3070000000000002E-2</v>
      </c>
      <c r="F561" s="30">
        <v>7628197719</v>
      </c>
      <c r="G561" s="30" t="s">
        <v>5427</v>
      </c>
      <c r="H561" s="30"/>
      <c r="I561" s="30">
        <v>244368</v>
      </c>
      <c r="J561" s="30" t="s">
        <v>5219</v>
      </c>
      <c r="K561" s="30" t="s">
        <v>5560</v>
      </c>
    </row>
    <row r="562" spans="1:11" x14ac:dyDescent="0.35">
      <c r="A562" s="30" t="s">
        <v>10164</v>
      </c>
      <c r="B562" s="30" t="s">
        <v>10165</v>
      </c>
      <c r="C562" s="32">
        <v>49.63</v>
      </c>
      <c r="D562" s="30">
        <v>0.6</v>
      </c>
      <c r="E562" s="31">
        <v>1.2239999999999999E-2</v>
      </c>
      <c r="F562" s="30">
        <v>1304691108</v>
      </c>
      <c r="G562" s="30" t="s">
        <v>5427</v>
      </c>
      <c r="H562" s="30"/>
      <c r="I562" s="30">
        <v>138525</v>
      </c>
      <c r="J562" s="30" t="s">
        <v>5219</v>
      </c>
      <c r="K562" s="30" t="s">
        <v>5812</v>
      </c>
    </row>
    <row r="563" spans="1:11" x14ac:dyDescent="0.35">
      <c r="A563" s="30" t="s">
        <v>10166</v>
      </c>
      <c r="B563" s="30" t="s">
        <v>10167</v>
      </c>
      <c r="C563" s="32">
        <v>13.79</v>
      </c>
      <c r="D563" s="30">
        <v>0.22</v>
      </c>
      <c r="E563" s="31">
        <v>1.6209999999999999E-2</v>
      </c>
      <c r="F563" s="30">
        <v>771195987</v>
      </c>
      <c r="G563" s="30" t="s">
        <v>5427</v>
      </c>
      <c r="H563" s="30">
        <v>2021</v>
      </c>
      <c r="I563" s="30">
        <v>297850</v>
      </c>
      <c r="J563" s="30" t="s">
        <v>5541</v>
      </c>
      <c r="K563" s="30" t="s">
        <v>5997</v>
      </c>
    </row>
    <row r="564" spans="1:11" x14ac:dyDescent="0.35">
      <c r="A564" s="30" t="s">
        <v>10168</v>
      </c>
      <c r="B564" s="30" t="s">
        <v>10169</v>
      </c>
      <c r="C564" s="32">
        <v>7.16</v>
      </c>
      <c r="D564" s="30">
        <v>-0.06</v>
      </c>
      <c r="E564" s="31">
        <v>-8.3099999999999997E-3</v>
      </c>
      <c r="F564" s="30">
        <v>78347247</v>
      </c>
      <c r="G564" s="30" t="s">
        <v>5427</v>
      </c>
      <c r="H564" s="30"/>
      <c r="I564" s="30">
        <v>10931</v>
      </c>
      <c r="J564" s="30" t="s">
        <v>5457</v>
      </c>
      <c r="K564" s="30" t="s">
        <v>5644</v>
      </c>
    </row>
    <row r="565" spans="1:11" x14ac:dyDescent="0.35">
      <c r="A565" s="30" t="s">
        <v>5049</v>
      </c>
      <c r="B565" s="30" t="s">
        <v>10170</v>
      </c>
      <c r="C565" s="32">
        <v>3.15</v>
      </c>
      <c r="D565" s="30">
        <v>-0.09</v>
      </c>
      <c r="E565" s="31">
        <v>-2.7779999999999999E-2</v>
      </c>
      <c r="F565" s="30">
        <v>97391246</v>
      </c>
      <c r="G565" s="30" t="s">
        <v>5427</v>
      </c>
      <c r="H565" s="30">
        <v>2017</v>
      </c>
      <c r="I565" s="30">
        <v>235195</v>
      </c>
      <c r="J565" s="30" t="s">
        <v>5431</v>
      </c>
      <c r="K565" s="30" t="s">
        <v>5610</v>
      </c>
    </row>
    <row r="566" spans="1:11" x14ac:dyDescent="0.35">
      <c r="A566" s="30" t="s">
        <v>10171</v>
      </c>
      <c r="B566" s="30" t="s">
        <v>10172</v>
      </c>
      <c r="C566" s="32">
        <v>28.44</v>
      </c>
      <c r="D566" s="30">
        <v>-0.4</v>
      </c>
      <c r="E566" s="31">
        <v>-1.387E-2</v>
      </c>
      <c r="F566" s="30">
        <v>213757827</v>
      </c>
      <c r="G566" s="30" t="s">
        <v>5427</v>
      </c>
      <c r="H566" s="30"/>
      <c r="I566" s="30">
        <v>9419</v>
      </c>
      <c r="J566" s="30" t="s">
        <v>5435</v>
      </c>
      <c r="K566" s="30" t="s">
        <v>5579</v>
      </c>
    </row>
    <row r="567" spans="1:11" x14ac:dyDescent="0.35">
      <c r="A567" s="30" t="s">
        <v>10173</v>
      </c>
      <c r="B567" s="30" t="s">
        <v>10174</v>
      </c>
      <c r="C567" s="32">
        <v>15.18</v>
      </c>
      <c r="D567" s="30">
        <v>0.12</v>
      </c>
      <c r="E567" s="31">
        <v>7.9699999999999997E-3</v>
      </c>
      <c r="F567" s="30">
        <v>1060982328</v>
      </c>
      <c r="G567" s="30" t="s">
        <v>5427</v>
      </c>
      <c r="H567" s="30">
        <v>2018</v>
      </c>
      <c r="I567" s="30">
        <v>544559</v>
      </c>
      <c r="J567" s="30" t="s">
        <v>5431</v>
      </c>
      <c r="K567" s="30" t="s">
        <v>5430</v>
      </c>
    </row>
    <row r="568" spans="1:11" x14ac:dyDescent="0.35">
      <c r="A568" s="30" t="s">
        <v>10175</v>
      </c>
      <c r="B568" s="30" t="s">
        <v>10176</v>
      </c>
      <c r="C568" s="32">
        <v>44.65</v>
      </c>
      <c r="D568" s="30">
        <v>1.25</v>
      </c>
      <c r="E568" s="31">
        <v>2.8799999999999999E-2</v>
      </c>
      <c r="F568" s="30">
        <v>6192509572</v>
      </c>
      <c r="G568" s="30" t="s">
        <v>5427</v>
      </c>
      <c r="H568" s="30"/>
      <c r="I568" s="30">
        <v>1221955</v>
      </c>
      <c r="J568" s="30" t="s">
        <v>5457</v>
      </c>
      <c r="K568" s="30" t="s">
        <v>5644</v>
      </c>
    </row>
    <row r="569" spans="1:11" x14ac:dyDescent="0.35">
      <c r="A569" s="30" t="s">
        <v>10177</v>
      </c>
      <c r="B569" s="30" t="s">
        <v>10178</v>
      </c>
      <c r="C569" s="32">
        <v>37.299999999999997</v>
      </c>
      <c r="D569" s="30">
        <v>1.22</v>
      </c>
      <c r="E569" s="31">
        <v>3.381E-2</v>
      </c>
      <c r="F569" s="30">
        <v>1776597769</v>
      </c>
      <c r="G569" s="30" t="s">
        <v>5427</v>
      </c>
      <c r="H569" s="30"/>
      <c r="I569" s="30">
        <v>283475</v>
      </c>
      <c r="J569" s="30" t="s">
        <v>5457</v>
      </c>
      <c r="K569" s="30" t="s">
        <v>5647</v>
      </c>
    </row>
    <row r="570" spans="1:11" x14ac:dyDescent="0.35">
      <c r="A570" s="30" t="s">
        <v>10179</v>
      </c>
      <c r="B570" s="30" t="s">
        <v>10180</v>
      </c>
      <c r="C570" s="32">
        <v>65.7</v>
      </c>
      <c r="D570" s="30">
        <v>7.22</v>
      </c>
      <c r="E570" s="31">
        <v>0.12346</v>
      </c>
      <c r="F570" s="30">
        <v>17206830000</v>
      </c>
      <c r="G570" s="30" t="s">
        <v>5427</v>
      </c>
      <c r="H570" s="30"/>
      <c r="I570" s="30">
        <v>18628082</v>
      </c>
      <c r="J570" s="30" t="s">
        <v>5219</v>
      </c>
      <c r="K570" s="30" t="s">
        <v>5447</v>
      </c>
    </row>
    <row r="571" spans="1:11" x14ac:dyDescent="0.35">
      <c r="A571" s="30" t="s">
        <v>10181</v>
      </c>
      <c r="B571" s="30" t="s">
        <v>10182</v>
      </c>
      <c r="C571" s="32">
        <v>518.99</v>
      </c>
      <c r="D571" s="30">
        <v>12.21</v>
      </c>
      <c r="E571" s="31">
        <v>2.409E-2</v>
      </c>
      <c r="F571" s="30">
        <v>4864850854</v>
      </c>
      <c r="G571" s="30" t="s">
        <v>5427</v>
      </c>
      <c r="H571" s="30">
        <v>1972</v>
      </c>
      <c r="I571" s="30">
        <v>52279</v>
      </c>
      <c r="J571" s="30" t="s">
        <v>5541</v>
      </c>
      <c r="K571" s="30" t="s">
        <v>5997</v>
      </c>
    </row>
    <row r="572" spans="1:11" x14ac:dyDescent="0.35">
      <c r="A572" s="30" t="s">
        <v>10183</v>
      </c>
      <c r="B572" s="30" t="s">
        <v>10184</v>
      </c>
      <c r="C572" s="32">
        <v>32</v>
      </c>
      <c r="D572" s="30">
        <v>1.0900000000000001</v>
      </c>
      <c r="E572" s="31">
        <v>3.526E-2</v>
      </c>
      <c r="F572" s="30">
        <v>2516675776</v>
      </c>
      <c r="G572" s="30" t="s">
        <v>5427</v>
      </c>
      <c r="H572" s="30">
        <v>1992</v>
      </c>
      <c r="I572" s="30">
        <v>1582540</v>
      </c>
      <c r="J572" s="30" t="s">
        <v>5435</v>
      </c>
      <c r="K572" s="30" t="s">
        <v>5579</v>
      </c>
    </row>
    <row r="573" spans="1:11" x14ac:dyDescent="0.35">
      <c r="A573" s="30" t="s">
        <v>10185</v>
      </c>
      <c r="B573" s="30" t="s">
        <v>10186</v>
      </c>
      <c r="C573" s="32">
        <v>29.32</v>
      </c>
      <c r="D573" s="30">
        <v>1.24</v>
      </c>
      <c r="E573" s="31">
        <v>4.4159999999999998E-2</v>
      </c>
      <c r="F573" s="30">
        <v>984328782</v>
      </c>
      <c r="G573" s="30" t="s">
        <v>5427</v>
      </c>
      <c r="H573" s="30">
        <v>2015</v>
      </c>
      <c r="I573" s="30">
        <v>806400</v>
      </c>
      <c r="J573" s="30" t="s">
        <v>5431</v>
      </c>
      <c r="K573" s="30" t="s">
        <v>5430</v>
      </c>
    </row>
    <row r="574" spans="1:11" x14ac:dyDescent="0.35">
      <c r="A574" s="30" t="s">
        <v>10187</v>
      </c>
      <c r="B574" s="30" t="s">
        <v>10188</v>
      </c>
      <c r="C574" s="32">
        <v>97.4</v>
      </c>
      <c r="D574" s="30">
        <v>1.5</v>
      </c>
      <c r="E574" s="31">
        <v>1.5640000000000001E-2</v>
      </c>
      <c r="F574" s="30">
        <v>6049867172</v>
      </c>
      <c r="G574" s="30" t="s">
        <v>5427</v>
      </c>
      <c r="H574" s="30">
        <v>1998</v>
      </c>
      <c r="I574" s="30">
        <v>482985</v>
      </c>
      <c r="J574" s="30" t="s">
        <v>5442</v>
      </c>
      <c r="K574" s="30" t="s">
        <v>5692</v>
      </c>
    </row>
    <row r="575" spans="1:11" x14ac:dyDescent="0.35">
      <c r="A575" s="30" t="s">
        <v>10189</v>
      </c>
      <c r="B575" s="30" t="s">
        <v>10190</v>
      </c>
      <c r="C575" s="32">
        <v>8.6</v>
      </c>
      <c r="D575" s="30">
        <v>0.2</v>
      </c>
      <c r="E575" s="31">
        <v>2.3810000000000001E-2</v>
      </c>
      <c r="F575" s="30">
        <v>1791806010</v>
      </c>
      <c r="G575" s="30" t="s">
        <v>5427</v>
      </c>
      <c r="H575" s="30">
        <v>2013</v>
      </c>
      <c r="I575" s="30">
        <v>2310805</v>
      </c>
      <c r="J575" s="30" t="s">
        <v>5219</v>
      </c>
      <c r="K575" s="30" t="s">
        <v>5780</v>
      </c>
    </row>
    <row r="576" spans="1:11" x14ac:dyDescent="0.35">
      <c r="A576" s="30" t="s">
        <v>10191</v>
      </c>
      <c r="B576" s="30" t="s">
        <v>10192</v>
      </c>
      <c r="C576" s="32">
        <v>9.3699999999999992</v>
      </c>
      <c r="D576" s="30">
        <v>-0.04</v>
      </c>
      <c r="E576" s="31">
        <v>-4.2500000000000003E-3</v>
      </c>
      <c r="F576" s="30">
        <v>224365540</v>
      </c>
      <c r="G576" s="30" t="s">
        <v>5427</v>
      </c>
      <c r="H576" s="30">
        <v>2003</v>
      </c>
      <c r="I576" s="30">
        <v>174621</v>
      </c>
      <c r="J576" s="30" t="s">
        <v>5442</v>
      </c>
      <c r="K576" s="30" t="s">
        <v>8702</v>
      </c>
    </row>
    <row r="577" spans="1:11" x14ac:dyDescent="0.35">
      <c r="A577" s="30" t="s">
        <v>10193</v>
      </c>
      <c r="B577" s="30" t="s">
        <v>10194</v>
      </c>
      <c r="C577" s="32">
        <v>10.055</v>
      </c>
      <c r="D577" s="30">
        <v>5.0000000000000001E-3</v>
      </c>
      <c r="E577" s="31">
        <v>5.0000000000000001E-4</v>
      </c>
      <c r="F577" s="30">
        <v>942957900</v>
      </c>
      <c r="G577" s="30" t="s">
        <v>5427</v>
      </c>
      <c r="H577" s="30">
        <v>2020</v>
      </c>
      <c r="I577" s="30">
        <v>2408</v>
      </c>
      <c r="J577" s="30" t="s">
        <v>5457</v>
      </c>
      <c r="K577" s="30" t="s">
        <v>5571</v>
      </c>
    </row>
    <row r="578" spans="1:11" x14ac:dyDescent="0.35">
      <c r="A578" s="30" t="s">
        <v>10195</v>
      </c>
      <c r="B578" s="30" t="s">
        <v>10196</v>
      </c>
      <c r="C578" s="32">
        <v>10.039999999999999</v>
      </c>
      <c r="D578" s="30">
        <v>0.01</v>
      </c>
      <c r="E578" s="31">
        <v>1E-3</v>
      </c>
      <c r="F578" s="30">
        <v>502000000</v>
      </c>
      <c r="G578" s="30" t="s">
        <v>5427</v>
      </c>
      <c r="H578" s="30">
        <v>2021</v>
      </c>
      <c r="I578" s="30">
        <v>202</v>
      </c>
      <c r="J578" s="30" t="s">
        <v>5435</v>
      </c>
      <c r="K578" s="30" t="s">
        <v>5482</v>
      </c>
    </row>
    <row r="579" spans="1:11" x14ac:dyDescent="0.35">
      <c r="A579" s="30" t="s">
        <v>10197</v>
      </c>
      <c r="B579" s="30" t="s">
        <v>10198</v>
      </c>
      <c r="C579" s="32">
        <v>47.03</v>
      </c>
      <c r="D579" s="30">
        <v>1.04</v>
      </c>
      <c r="E579" s="31">
        <v>2.2610000000000002E-2</v>
      </c>
      <c r="F579" s="30">
        <v>3318659158</v>
      </c>
      <c r="G579" s="30" t="s">
        <v>5427</v>
      </c>
      <c r="H579" s="30"/>
      <c r="I579" s="30">
        <v>488016</v>
      </c>
      <c r="J579" s="30" t="s">
        <v>5435</v>
      </c>
      <c r="K579" s="30" t="s">
        <v>5598</v>
      </c>
    </row>
    <row r="580" spans="1:11" x14ac:dyDescent="0.35">
      <c r="A580" s="30" t="s">
        <v>10199</v>
      </c>
      <c r="B580" s="30" t="s">
        <v>10200</v>
      </c>
      <c r="C580" s="32">
        <v>23.94</v>
      </c>
      <c r="D580" s="30">
        <v>1.08</v>
      </c>
      <c r="E580" s="31">
        <v>4.7239999999999997E-2</v>
      </c>
      <c r="F580" s="30">
        <v>2577137505</v>
      </c>
      <c r="G580" s="30" t="s">
        <v>5427</v>
      </c>
      <c r="H580" s="30">
        <v>2004</v>
      </c>
      <c r="I580" s="30">
        <v>1091289</v>
      </c>
      <c r="J580" s="30" t="s">
        <v>5431</v>
      </c>
      <c r="K580" s="30" t="s">
        <v>5430</v>
      </c>
    </row>
    <row r="581" spans="1:11" x14ac:dyDescent="0.35">
      <c r="A581" s="30" t="s">
        <v>10201</v>
      </c>
      <c r="B581" s="30" t="s">
        <v>10202</v>
      </c>
      <c r="C581" s="32">
        <v>6.35</v>
      </c>
      <c r="D581" s="30">
        <v>-0.14000000000000001</v>
      </c>
      <c r="E581" s="31">
        <v>-2.1569999999999999E-2</v>
      </c>
      <c r="F581" s="30">
        <v>67344366</v>
      </c>
      <c r="G581" s="30" t="s">
        <v>5427</v>
      </c>
      <c r="H581" s="30"/>
      <c r="I581" s="30">
        <v>1313457</v>
      </c>
      <c r="J581" s="30" t="s">
        <v>5431</v>
      </c>
      <c r="K581" s="30" t="s">
        <v>5430</v>
      </c>
    </row>
    <row r="582" spans="1:11" x14ac:dyDescent="0.35">
      <c r="A582" s="30" t="s">
        <v>10203</v>
      </c>
      <c r="B582" s="30" t="s">
        <v>10204</v>
      </c>
      <c r="C582" s="32">
        <v>517.91</v>
      </c>
      <c r="D582" s="30">
        <v>6.77</v>
      </c>
      <c r="E582" s="31">
        <v>1.324E-2</v>
      </c>
      <c r="F582" s="30">
        <v>229811705035</v>
      </c>
      <c r="G582" s="30" t="s">
        <v>5427</v>
      </c>
      <c r="H582" s="30"/>
      <c r="I582" s="30">
        <v>2065018</v>
      </c>
      <c r="J582" s="30" t="s">
        <v>5442</v>
      </c>
      <c r="K582" s="30" t="s">
        <v>5534</v>
      </c>
    </row>
    <row r="583" spans="1:11" x14ac:dyDescent="0.35">
      <c r="A583" s="30" t="s">
        <v>10205</v>
      </c>
      <c r="B583" s="30" t="s">
        <v>10206</v>
      </c>
      <c r="C583" s="32">
        <v>79.849999999999994</v>
      </c>
      <c r="D583" s="30">
        <v>-7.0000000000000007E-2</v>
      </c>
      <c r="E583" s="31">
        <v>-8.8000000000000003E-4</v>
      </c>
      <c r="F583" s="30">
        <v>6031972805</v>
      </c>
      <c r="G583" s="30" t="s">
        <v>5427</v>
      </c>
      <c r="H583" s="30">
        <v>2016</v>
      </c>
      <c r="I583" s="30">
        <v>2100699</v>
      </c>
      <c r="J583" s="30" t="s">
        <v>5219</v>
      </c>
      <c r="K583" s="30" t="s">
        <v>5560</v>
      </c>
    </row>
    <row r="584" spans="1:11" x14ac:dyDescent="0.35">
      <c r="A584" s="30" t="s">
        <v>10207</v>
      </c>
      <c r="B584" s="30" t="s">
        <v>10208</v>
      </c>
      <c r="C584" s="32">
        <v>38.89</v>
      </c>
      <c r="D584" s="30">
        <v>0.01</v>
      </c>
      <c r="E584" s="31">
        <v>2.5999999999999998E-4</v>
      </c>
      <c r="F584" s="30">
        <v>1089476088</v>
      </c>
      <c r="G584" s="30" t="s">
        <v>5427</v>
      </c>
      <c r="H584" s="30"/>
      <c r="I584" s="30">
        <v>279505</v>
      </c>
      <c r="J584" s="30" t="s">
        <v>5435</v>
      </c>
      <c r="K584" s="30" t="s">
        <v>6221</v>
      </c>
    </row>
    <row r="585" spans="1:11" x14ac:dyDescent="0.35">
      <c r="A585" s="30" t="s">
        <v>10209</v>
      </c>
      <c r="B585" s="30" t="s">
        <v>10210</v>
      </c>
      <c r="C585" s="32">
        <v>9.9949999999999992</v>
      </c>
      <c r="D585" s="30">
        <v>-5.0000000000000001E-3</v>
      </c>
      <c r="E585" s="31">
        <v>-5.0000000000000001E-4</v>
      </c>
      <c r="F585" s="30">
        <v>446026875</v>
      </c>
      <c r="G585" s="30" t="s">
        <v>5427</v>
      </c>
      <c r="H585" s="30">
        <v>2021</v>
      </c>
      <c r="I585" s="30">
        <v>771</v>
      </c>
      <c r="J585" s="30" t="s">
        <v>5457</v>
      </c>
      <c r="K585" s="30" t="s">
        <v>5571</v>
      </c>
    </row>
    <row r="586" spans="1:11" x14ac:dyDescent="0.35">
      <c r="A586" s="30" t="s">
        <v>10211</v>
      </c>
      <c r="B586" s="30" t="s">
        <v>10212</v>
      </c>
      <c r="C586" s="32">
        <v>10.33</v>
      </c>
      <c r="D586" s="30">
        <v>0</v>
      </c>
      <c r="E586" s="31">
        <v>0</v>
      </c>
      <c r="F586" s="30">
        <v>95535879</v>
      </c>
      <c r="G586" s="30" t="s">
        <v>5427</v>
      </c>
      <c r="H586" s="30">
        <v>2022</v>
      </c>
      <c r="I586" s="30">
        <v>248335</v>
      </c>
      <c r="J586" s="30" t="s">
        <v>5435</v>
      </c>
      <c r="K586" s="30" t="s">
        <v>5482</v>
      </c>
    </row>
    <row r="587" spans="1:11" x14ac:dyDescent="0.35">
      <c r="A587" s="30" t="s">
        <v>10213</v>
      </c>
      <c r="B587" s="30" t="s">
        <v>10214</v>
      </c>
      <c r="C587" s="32">
        <v>26.12</v>
      </c>
      <c r="D587" s="30">
        <v>-0.26</v>
      </c>
      <c r="E587" s="31">
        <v>-9.8600000000000007E-3</v>
      </c>
      <c r="F587" s="30">
        <v>127466410</v>
      </c>
      <c r="G587" s="30" t="s">
        <v>5427</v>
      </c>
      <c r="H587" s="30"/>
      <c r="I587" s="30">
        <v>5309</v>
      </c>
      <c r="J587" s="30" t="s">
        <v>5442</v>
      </c>
      <c r="K587" s="30" t="s">
        <v>9968</v>
      </c>
    </row>
    <row r="588" spans="1:11" x14ac:dyDescent="0.35">
      <c r="A588" s="30" t="s">
        <v>10215</v>
      </c>
      <c r="B588" s="30" t="s">
        <v>10216</v>
      </c>
      <c r="C588" s="32">
        <v>13.94</v>
      </c>
      <c r="D588" s="30">
        <v>0.24</v>
      </c>
      <c r="E588" s="31">
        <v>1.7520000000000001E-2</v>
      </c>
      <c r="F588" s="30">
        <v>283577740</v>
      </c>
      <c r="G588" s="30" t="s">
        <v>5911</v>
      </c>
      <c r="H588" s="30">
        <v>2007</v>
      </c>
      <c r="I588" s="30">
        <v>212040</v>
      </c>
      <c r="J588" s="30" t="s">
        <v>5442</v>
      </c>
      <c r="K588" s="30" t="s">
        <v>5910</v>
      </c>
    </row>
    <row r="589" spans="1:11" x14ac:dyDescent="0.35">
      <c r="A589" s="30" t="s">
        <v>10217</v>
      </c>
      <c r="B589" s="30" t="s">
        <v>10218</v>
      </c>
      <c r="C589" s="32">
        <v>69.510000000000005</v>
      </c>
      <c r="D589" s="30">
        <v>2.9</v>
      </c>
      <c r="E589" s="31">
        <v>4.3540000000000002E-2</v>
      </c>
      <c r="F589" s="30">
        <v>33107613765</v>
      </c>
      <c r="G589" s="30" t="s">
        <v>5427</v>
      </c>
      <c r="H589" s="30">
        <v>1994</v>
      </c>
      <c r="I589" s="30">
        <v>2432981</v>
      </c>
      <c r="J589" s="30" t="s">
        <v>5442</v>
      </c>
      <c r="K589" s="30" t="s">
        <v>5508</v>
      </c>
    </row>
    <row r="590" spans="1:11" x14ac:dyDescent="0.35">
      <c r="A590" s="30" t="s">
        <v>10219</v>
      </c>
      <c r="B590" s="30" t="s">
        <v>10220</v>
      </c>
      <c r="C590" s="32">
        <v>15.31</v>
      </c>
      <c r="D590" s="30">
        <v>-0.18</v>
      </c>
      <c r="E590" s="31">
        <v>-1.162E-2</v>
      </c>
      <c r="F590" s="30">
        <v>1593332369</v>
      </c>
      <c r="G590" s="30" t="s">
        <v>5427</v>
      </c>
      <c r="H590" s="30">
        <v>2006</v>
      </c>
      <c r="I590" s="30">
        <v>2652034</v>
      </c>
      <c r="J590" s="30" t="s">
        <v>5431</v>
      </c>
      <c r="K590" s="30" t="s">
        <v>5430</v>
      </c>
    </row>
    <row r="591" spans="1:11" x14ac:dyDescent="0.35">
      <c r="A591" s="30" t="s">
        <v>10221</v>
      </c>
      <c r="B591" s="30" t="s">
        <v>10222</v>
      </c>
      <c r="C591" s="32">
        <v>29.66</v>
      </c>
      <c r="D591" s="30">
        <v>0.28000000000000003</v>
      </c>
      <c r="E591" s="31">
        <v>9.5300000000000003E-3</v>
      </c>
      <c r="F591" s="30">
        <v>430489303</v>
      </c>
      <c r="G591" s="30" t="s">
        <v>5427</v>
      </c>
      <c r="H591" s="30">
        <v>2002</v>
      </c>
      <c r="I591" s="30">
        <v>69146</v>
      </c>
      <c r="J591" s="30" t="s">
        <v>5219</v>
      </c>
      <c r="K591" s="30" t="s">
        <v>5447</v>
      </c>
    </row>
    <row r="592" spans="1:11" x14ac:dyDescent="0.35">
      <c r="A592" s="30" t="s">
        <v>10223</v>
      </c>
      <c r="B592" s="30" t="s">
        <v>10224</v>
      </c>
      <c r="C592" s="32">
        <v>10.81</v>
      </c>
      <c r="D592" s="30">
        <v>0.76</v>
      </c>
      <c r="E592" s="31">
        <v>7.5620000000000007E-2</v>
      </c>
      <c r="F592" s="30">
        <v>220945439</v>
      </c>
      <c r="G592" s="30" t="s">
        <v>5427</v>
      </c>
      <c r="H592" s="30">
        <v>1992</v>
      </c>
      <c r="I592" s="30">
        <v>38934</v>
      </c>
      <c r="J592" s="30" t="s">
        <v>5435</v>
      </c>
      <c r="K592" s="30" t="s">
        <v>6009</v>
      </c>
    </row>
    <row r="593" spans="1:11" x14ac:dyDescent="0.35">
      <c r="A593" s="30" t="s">
        <v>10225</v>
      </c>
      <c r="B593" s="30" t="s">
        <v>10226</v>
      </c>
      <c r="C593" s="32">
        <v>1.26</v>
      </c>
      <c r="D593" s="30">
        <v>0.05</v>
      </c>
      <c r="E593" s="31">
        <v>4.1320000000000003E-2</v>
      </c>
      <c r="F593" s="30">
        <v>197258432</v>
      </c>
      <c r="G593" s="30" t="s">
        <v>5427</v>
      </c>
      <c r="H593" s="30">
        <v>2021</v>
      </c>
      <c r="I593" s="30">
        <v>216222</v>
      </c>
      <c r="J593" s="30" t="s">
        <v>5219</v>
      </c>
      <c r="K593" s="30" t="s">
        <v>5560</v>
      </c>
    </row>
    <row r="594" spans="1:11" x14ac:dyDescent="0.35">
      <c r="A594" s="30" t="s">
        <v>10227</v>
      </c>
      <c r="B594" s="30" t="s">
        <v>10228</v>
      </c>
      <c r="C594" s="32">
        <v>16.938500000000001</v>
      </c>
      <c r="D594" s="30">
        <v>7.85E-2</v>
      </c>
      <c r="E594" s="31">
        <v>4.6600000000000001E-3</v>
      </c>
      <c r="F594" s="30">
        <v>332539918</v>
      </c>
      <c r="G594" s="30" t="s">
        <v>5427</v>
      </c>
      <c r="H594" s="30">
        <v>2019</v>
      </c>
      <c r="I594" s="30">
        <v>65373</v>
      </c>
      <c r="J594" s="30" t="s">
        <v>5435</v>
      </c>
      <c r="K594" s="30" t="s">
        <v>5568</v>
      </c>
    </row>
    <row r="595" spans="1:11" x14ac:dyDescent="0.35">
      <c r="A595" s="30" t="s">
        <v>10229</v>
      </c>
      <c r="B595" s="30" t="s">
        <v>10230</v>
      </c>
      <c r="C595" s="32">
        <v>118.43</v>
      </c>
      <c r="D595" s="30">
        <v>-0.41</v>
      </c>
      <c r="E595" s="31">
        <v>-3.4499999999999999E-3</v>
      </c>
      <c r="F595" s="30">
        <v>844984431</v>
      </c>
      <c r="G595" s="30" t="s">
        <v>5427</v>
      </c>
      <c r="H595" s="30">
        <v>1998</v>
      </c>
      <c r="I595" s="30">
        <v>49554</v>
      </c>
      <c r="J595" s="30" t="s">
        <v>5442</v>
      </c>
      <c r="K595" s="30" t="s">
        <v>5914</v>
      </c>
    </row>
    <row r="596" spans="1:11" x14ac:dyDescent="0.35">
      <c r="A596" s="30" t="s">
        <v>10231</v>
      </c>
      <c r="B596" s="30" t="s">
        <v>10232</v>
      </c>
      <c r="C596" s="32">
        <v>7.43</v>
      </c>
      <c r="D596" s="30">
        <v>0.22</v>
      </c>
      <c r="E596" s="31">
        <v>3.0509999999999999E-2</v>
      </c>
      <c r="F596" s="30">
        <v>453241598</v>
      </c>
      <c r="G596" s="30" t="s">
        <v>5427</v>
      </c>
      <c r="H596" s="30">
        <v>2021</v>
      </c>
      <c r="I596" s="30">
        <v>449060</v>
      </c>
      <c r="J596" s="30" t="s">
        <v>5431</v>
      </c>
      <c r="K596" s="30" t="s">
        <v>5685</v>
      </c>
    </row>
    <row r="597" spans="1:11" x14ac:dyDescent="0.35">
      <c r="A597" s="30" t="s">
        <v>10233</v>
      </c>
      <c r="B597" s="30" t="s">
        <v>10234</v>
      </c>
      <c r="C597" s="32">
        <v>10.039999999999999</v>
      </c>
      <c r="D597" s="30">
        <v>0.25</v>
      </c>
      <c r="E597" s="31">
        <v>2.554E-2</v>
      </c>
      <c r="F597" s="30">
        <v>2217017389</v>
      </c>
      <c r="G597" s="30" t="s">
        <v>5427</v>
      </c>
      <c r="H597" s="30">
        <v>2021</v>
      </c>
      <c r="I597" s="30">
        <v>95065</v>
      </c>
      <c r="J597" s="30" t="s">
        <v>5457</v>
      </c>
      <c r="K597" s="30" t="s">
        <v>5505</v>
      </c>
    </row>
    <row r="598" spans="1:11" x14ac:dyDescent="0.35">
      <c r="A598" s="30" t="s">
        <v>10235</v>
      </c>
      <c r="B598" s="30" t="s">
        <v>10236</v>
      </c>
      <c r="C598" s="32">
        <v>1.71</v>
      </c>
      <c r="D598" s="30">
        <v>-0.08</v>
      </c>
      <c r="E598" s="31">
        <v>-4.4690000000000001E-2</v>
      </c>
      <c r="F598" s="30">
        <v>76397959</v>
      </c>
      <c r="G598" s="30" t="s">
        <v>5427</v>
      </c>
      <c r="H598" s="30"/>
      <c r="I598" s="30">
        <v>257817</v>
      </c>
      <c r="J598" s="30" t="s">
        <v>5431</v>
      </c>
      <c r="K598" s="30" t="s">
        <v>6409</v>
      </c>
    </row>
    <row r="599" spans="1:11" x14ac:dyDescent="0.35">
      <c r="A599" s="30" t="s">
        <v>10237</v>
      </c>
      <c r="B599" s="30" t="s">
        <v>10238</v>
      </c>
      <c r="C599" s="32">
        <v>17.940000000000001</v>
      </c>
      <c r="D599" s="30">
        <v>0.61</v>
      </c>
      <c r="E599" s="31">
        <v>3.5200000000000002E-2</v>
      </c>
      <c r="F599" s="30">
        <v>2632904665</v>
      </c>
      <c r="G599" s="30" t="s">
        <v>5427</v>
      </c>
      <c r="H599" s="30">
        <v>2022</v>
      </c>
      <c r="I599" s="30">
        <v>3439896</v>
      </c>
      <c r="J599" s="30" t="s">
        <v>5219</v>
      </c>
      <c r="K599" s="30" t="s">
        <v>5526</v>
      </c>
    </row>
    <row r="600" spans="1:11" x14ac:dyDescent="0.35">
      <c r="A600" s="30" t="s">
        <v>10239</v>
      </c>
      <c r="B600" s="30" t="s">
        <v>10240</v>
      </c>
      <c r="C600" s="32">
        <v>1.35</v>
      </c>
      <c r="D600" s="30">
        <v>0.01</v>
      </c>
      <c r="E600" s="31">
        <v>7.4599999999999996E-3</v>
      </c>
      <c r="F600" s="30">
        <v>201729115</v>
      </c>
      <c r="G600" s="30" t="s">
        <v>5427</v>
      </c>
      <c r="H600" s="30"/>
      <c r="I600" s="30">
        <v>357630</v>
      </c>
      <c r="J600" s="30" t="s">
        <v>5442</v>
      </c>
      <c r="K600" s="30" t="s">
        <v>5520</v>
      </c>
    </row>
    <row r="601" spans="1:11" x14ac:dyDescent="0.35">
      <c r="A601" s="30" t="s">
        <v>10241</v>
      </c>
      <c r="B601" s="30" t="s">
        <v>10242</v>
      </c>
      <c r="C601" s="32">
        <v>0.72499999999999998</v>
      </c>
      <c r="D601" s="30">
        <v>-8.0999999999999996E-3</v>
      </c>
      <c r="E601" s="31">
        <v>-1.1050000000000001E-2</v>
      </c>
      <c r="F601" s="30">
        <v>69888811</v>
      </c>
      <c r="G601" s="30" t="s">
        <v>5427</v>
      </c>
      <c r="H601" s="30"/>
      <c r="I601" s="30">
        <v>660447</v>
      </c>
      <c r="J601" s="30" t="s">
        <v>5431</v>
      </c>
      <c r="K601" s="30" t="s">
        <v>6409</v>
      </c>
    </row>
    <row r="602" spans="1:11" x14ac:dyDescent="0.35">
      <c r="A602" s="30" t="s">
        <v>10243</v>
      </c>
      <c r="B602" s="30" t="s">
        <v>10244</v>
      </c>
      <c r="C602" s="32">
        <v>4.4400000000000004</v>
      </c>
      <c r="D602" s="30">
        <v>0.1</v>
      </c>
      <c r="E602" s="31">
        <v>2.3040000000000001E-2</v>
      </c>
      <c r="F602" s="30">
        <v>183292675</v>
      </c>
      <c r="G602" s="30" t="s">
        <v>5427</v>
      </c>
      <c r="H602" s="30"/>
      <c r="I602" s="30">
        <v>162368</v>
      </c>
      <c r="J602" s="30" t="s">
        <v>5431</v>
      </c>
      <c r="K602" s="30" t="s">
        <v>5430</v>
      </c>
    </row>
    <row r="603" spans="1:11" x14ac:dyDescent="0.35">
      <c r="A603" s="30" t="s">
        <v>10245</v>
      </c>
      <c r="B603" s="30" t="s">
        <v>10246</v>
      </c>
      <c r="C603" s="32">
        <v>89.84</v>
      </c>
      <c r="D603" s="30">
        <v>3.7</v>
      </c>
      <c r="E603" s="31">
        <v>4.2950000000000002E-2</v>
      </c>
      <c r="F603" s="30">
        <v>572176586</v>
      </c>
      <c r="G603" s="30" t="s">
        <v>5427</v>
      </c>
      <c r="H603" s="30"/>
      <c r="I603" s="30">
        <v>113075</v>
      </c>
      <c r="J603" s="30" t="s">
        <v>5442</v>
      </c>
      <c r="K603" s="30" t="s">
        <v>5508</v>
      </c>
    </row>
    <row r="604" spans="1:11" x14ac:dyDescent="0.35">
      <c r="A604" s="30" t="s">
        <v>10247</v>
      </c>
      <c r="B604" s="30" t="s">
        <v>10248</v>
      </c>
      <c r="C604" s="32">
        <v>26.4</v>
      </c>
      <c r="D604" s="30">
        <v>1.88</v>
      </c>
      <c r="E604" s="31">
        <v>7.6670000000000002E-2</v>
      </c>
      <c r="F604" s="30">
        <v>1056464666</v>
      </c>
      <c r="G604" s="30" t="s">
        <v>5427</v>
      </c>
      <c r="H604" s="30"/>
      <c r="I604" s="30">
        <v>420216</v>
      </c>
      <c r="J604" s="30" t="s">
        <v>5219</v>
      </c>
      <c r="K604" s="30" t="s">
        <v>5447</v>
      </c>
    </row>
    <row r="605" spans="1:11" x14ac:dyDescent="0.35">
      <c r="A605" s="30" t="s">
        <v>10249</v>
      </c>
      <c r="B605" s="30" t="s">
        <v>10250</v>
      </c>
      <c r="C605" s="32">
        <v>20</v>
      </c>
      <c r="D605" s="30">
        <v>0.39</v>
      </c>
      <c r="E605" s="31">
        <v>1.9890000000000001E-2</v>
      </c>
      <c r="F605" s="30">
        <v>1076209520</v>
      </c>
      <c r="G605" s="30" t="s">
        <v>5427</v>
      </c>
      <c r="H605" s="30">
        <v>2018</v>
      </c>
      <c r="I605" s="30">
        <v>367169</v>
      </c>
      <c r="J605" s="30" t="s">
        <v>5431</v>
      </c>
      <c r="K605" s="30" t="s">
        <v>5430</v>
      </c>
    </row>
    <row r="606" spans="1:11" x14ac:dyDescent="0.35">
      <c r="A606" s="30" t="s">
        <v>10251</v>
      </c>
      <c r="B606" s="30" t="s">
        <v>10252</v>
      </c>
      <c r="C606" s="32">
        <v>2.5099999999999998</v>
      </c>
      <c r="D606" s="30">
        <v>-0.01</v>
      </c>
      <c r="E606" s="31">
        <v>-3.9699999999999996E-3</v>
      </c>
      <c r="F606" s="30">
        <v>951527213</v>
      </c>
      <c r="G606" s="30" t="s">
        <v>5515</v>
      </c>
      <c r="H606" s="30"/>
      <c r="I606" s="30">
        <v>2241302</v>
      </c>
      <c r="J606" s="30" t="s">
        <v>5431</v>
      </c>
      <c r="K606" s="30" t="s">
        <v>8643</v>
      </c>
    </row>
    <row r="607" spans="1:11" x14ac:dyDescent="0.35">
      <c r="A607" s="30" t="s">
        <v>10253</v>
      </c>
      <c r="B607" s="30" t="s">
        <v>10254</v>
      </c>
      <c r="C607" s="32">
        <v>125.24</v>
      </c>
      <c r="D607" s="30">
        <v>3.47</v>
      </c>
      <c r="E607" s="31">
        <v>2.8500000000000001E-2</v>
      </c>
      <c r="F607" s="30">
        <v>7732935534</v>
      </c>
      <c r="G607" s="30" t="s">
        <v>5427</v>
      </c>
      <c r="H607" s="30">
        <v>2006</v>
      </c>
      <c r="I607" s="30">
        <v>1623260</v>
      </c>
      <c r="J607" s="30" t="s">
        <v>5442</v>
      </c>
      <c r="K607" s="30" t="s">
        <v>5477</v>
      </c>
    </row>
    <row r="608" spans="1:11" x14ac:dyDescent="0.35">
      <c r="A608" s="30" t="s">
        <v>10255</v>
      </c>
      <c r="B608" s="30" t="s">
        <v>10256</v>
      </c>
      <c r="C608" s="32">
        <v>52.33</v>
      </c>
      <c r="D608" s="30">
        <v>1.31</v>
      </c>
      <c r="E608" s="31">
        <v>2.5680000000000001E-2</v>
      </c>
      <c r="F608" s="30">
        <v>4097132294</v>
      </c>
      <c r="G608" s="30" t="s">
        <v>5799</v>
      </c>
      <c r="H608" s="30">
        <v>2016</v>
      </c>
      <c r="I608" s="30">
        <v>1074825</v>
      </c>
      <c r="J608" s="30" t="s">
        <v>5431</v>
      </c>
      <c r="K608" s="30" t="s">
        <v>6409</v>
      </c>
    </row>
    <row r="609" spans="1:11" x14ac:dyDescent="0.35">
      <c r="A609" s="30" t="s">
        <v>10257</v>
      </c>
      <c r="B609" s="30" t="s">
        <v>10258</v>
      </c>
      <c r="C609" s="32">
        <v>16.149999999999999</v>
      </c>
      <c r="D609" s="30">
        <v>0.42</v>
      </c>
      <c r="E609" s="31">
        <v>2.6700000000000002E-2</v>
      </c>
      <c r="F609" s="30">
        <v>1623625893</v>
      </c>
      <c r="G609" s="30" t="s">
        <v>5427</v>
      </c>
      <c r="H609" s="30">
        <v>2020</v>
      </c>
      <c r="I609" s="30">
        <v>491832</v>
      </c>
      <c r="J609" s="30" t="s">
        <v>5219</v>
      </c>
      <c r="K609" s="30" t="s">
        <v>7535</v>
      </c>
    </row>
    <row r="610" spans="1:11" x14ac:dyDescent="0.35">
      <c r="A610" s="30" t="s">
        <v>10259</v>
      </c>
      <c r="B610" s="30" t="s">
        <v>10260</v>
      </c>
      <c r="C610" s="32">
        <v>30.2</v>
      </c>
      <c r="D610" s="30">
        <v>-0.05</v>
      </c>
      <c r="E610" s="31">
        <v>-1.65E-3</v>
      </c>
      <c r="F610" s="30">
        <v>1818366069</v>
      </c>
      <c r="G610" s="30" t="s">
        <v>5847</v>
      </c>
      <c r="H610" s="30">
        <v>2013</v>
      </c>
      <c r="I610" s="30">
        <v>243888</v>
      </c>
      <c r="J610" s="30" t="s">
        <v>5442</v>
      </c>
      <c r="K610" s="30" t="s">
        <v>5856</v>
      </c>
    </row>
    <row r="611" spans="1:11" x14ac:dyDescent="0.35">
      <c r="A611" s="30" t="s">
        <v>10261</v>
      </c>
      <c r="B611" s="30" t="s">
        <v>10262</v>
      </c>
      <c r="C611" s="32">
        <v>93.24</v>
      </c>
      <c r="D611" s="30">
        <v>2.85</v>
      </c>
      <c r="E611" s="31">
        <v>3.1530000000000002E-2</v>
      </c>
      <c r="F611" s="30">
        <v>5133850437</v>
      </c>
      <c r="G611" s="30" t="s">
        <v>5427</v>
      </c>
      <c r="H611" s="30">
        <v>1989</v>
      </c>
      <c r="I611" s="30">
        <v>604797</v>
      </c>
      <c r="J611" s="30" t="s">
        <v>5219</v>
      </c>
      <c r="K611" s="30" t="s">
        <v>5526</v>
      </c>
    </row>
    <row r="612" spans="1:11" x14ac:dyDescent="0.35">
      <c r="A612" s="30" t="s">
        <v>10263</v>
      </c>
      <c r="B612" s="30" t="s">
        <v>10264</v>
      </c>
      <c r="C612" s="32">
        <v>183.29</v>
      </c>
      <c r="D612" s="30">
        <v>5.13</v>
      </c>
      <c r="E612" s="31">
        <v>2.879E-2</v>
      </c>
      <c r="F612" s="30">
        <v>3164545656</v>
      </c>
      <c r="G612" s="30" t="s">
        <v>5427</v>
      </c>
      <c r="H612" s="30"/>
      <c r="I612" s="30">
        <v>76940</v>
      </c>
      <c r="J612" s="30" t="s">
        <v>5435</v>
      </c>
      <c r="K612" s="30" t="s">
        <v>6066</v>
      </c>
    </row>
    <row r="613" spans="1:11" x14ac:dyDescent="0.35">
      <c r="A613" s="30" t="s">
        <v>10265</v>
      </c>
      <c r="B613" s="30" t="s">
        <v>10266</v>
      </c>
      <c r="C613" s="32">
        <v>110.5</v>
      </c>
      <c r="D613" s="30">
        <v>4.5999999999999996</v>
      </c>
      <c r="E613" s="31">
        <v>4.3439999999999999E-2</v>
      </c>
      <c r="F613" s="30">
        <v>25900514900</v>
      </c>
      <c r="G613" s="30" t="s">
        <v>5427</v>
      </c>
      <c r="H613" s="30">
        <v>2019</v>
      </c>
      <c r="I613" s="30">
        <v>5379579</v>
      </c>
      <c r="J613" s="30" t="s">
        <v>5219</v>
      </c>
      <c r="K613" s="30" t="s">
        <v>5447</v>
      </c>
    </row>
    <row r="614" spans="1:11" x14ac:dyDescent="0.35">
      <c r="A614" s="30" t="s">
        <v>10267</v>
      </c>
      <c r="B614" s="30" t="s">
        <v>10268</v>
      </c>
      <c r="C614" s="32">
        <v>5.88</v>
      </c>
      <c r="D614" s="30">
        <v>7.0000000000000007E-2</v>
      </c>
      <c r="E614" s="31">
        <v>1.205E-2</v>
      </c>
      <c r="F614" s="30">
        <v>59491323</v>
      </c>
      <c r="G614" s="30" t="s">
        <v>5427</v>
      </c>
      <c r="H614" s="30"/>
      <c r="I614" s="30">
        <v>21935</v>
      </c>
      <c r="J614" s="30"/>
      <c r="K614" s="30"/>
    </row>
    <row r="615" spans="1:11" x14ac:dyDescent="0.35">
      <c r="A615" s="30" t="s">
        <v>10269</v>
      </c>
      <c r="B615" s="30" t="s">
        <v>10270</v>
      </c>
      <c r="C615" s="32">
        <v>10.15</v>
      </c>
      <c r="D615" s="30">
        <v>0</v>
      </c>
      <c r="E615" s="31">
        <v>0</v>
      </c>
      <c r="F615" s="30">
        <v>258569981</v>
      </c>
      <c r="G615" s="30" t="s">
        <v>5427</v>
      </c>
      <c r="H615" s="30">
        <v>2021</v>
      </c>
      <c r="I615" s="30">
        <v>125380</v>
      </c>
      <c r="J615" s="30" t="s">
        <v>5435</v>
      </c>
      <c r="K615" s="30" t="s">
        <v>5482</v>
      </c>
    </row>
    <row r="616" spans="1:11" x14ac:dyDescent="0.35">
      <c r="A616" s="30" t="s">
        <v>10271</v>
      </c>
      <c r="B616" s="30" t="s">
        <v>10272</v>
      </c>
      <c r="C616" s="32">
        <v>4.2</v>
      </c>
      <c r="D616" s="30">
        <v>0.09</v>
      </c>
      <c r="E616" s="31">
        <v>2.1899999999999999E-2</v>
      </c>
      <c r="F616" s="30">
        <v>56946330</v>
      </c>
      <c r="G616" s="30" t="s">
        <v>5427</v>
      </c>
      <c r="H616" s="30"/>
      <c r="I616" s="30">
        <v>17955</v>
      </c>
      <c r="J616" s="30" t="s">
        <v>5431</v>
      </c>
      <c r="K616" s="30" t="s">
        <v>6409</v>
      </c>
    </row>
    <row r="617" spans="1:11" x14ac:dyDescent="0.35">
      <c r="A617" s="30" t="s">
        <v>10273</v>
      </c>
      <c r="B617" s="30" t="s">
        <v>10274</v>
      </c>
      <c r="C617" s="32">
        <v>48.57</v>
      </c>
      <c r="D617" s="30">
        <v>-0.1</v>
      </c>
      <c r="E617" s="31">
        <v>-2.0500000000000002E-3</v>
      </c>
      <c r="F617" s="30">
        <v>199530565770</v>
      </c>
      <c r="G617" s="30" t="s">
        <v>5427</v>
      </c>
      <c r="H617" s="30">
        <v>1990</v>
      </c>
      <c r="I617" s="30">
        <v>19622842</v>
      </c>
      <c r="J617" s="30" t="s">
        <v>5732</v>
      </c>
      <c r="K617" s="30" t="s">
        <v>10275</v>
      </c>
    </row>
    <row r="618" spans="1:11" x14ac:dyDescent="0.35">
      <c r="A618" s="30" t="s">
        <v>10276</v>
      </c>
      <c r="B618" s="30" t="s">
        <v>10277</v>
      </c>
      <c r="C618" s="32">
        <v>79.010000000000005</v>
      </c>
      <c r="D618" s="30">
        <v>1.1100000000000001</v>
      </c>
      <c r="E618" s="31">
        <v>1.4250000000000001E-2</v>
      </c>
      <c r="F618" s="30">
        <v>32132581641</v>
      </c>
      <c r="G618" s="30" t="s">
        <v>5427</v>
      </c>
      <c r="H618" s="30">
        <v>1998</v>
      </c>
      <c r="I618" s="30">
        <v>3179543</v>
      </c>
      <c r="J618" s="30" t="s">
        <v>5435</v>
      </c>
      <c r="K618" s="30" t="s">
        <v>5197</v>
      </c>
    </row>
    <row r="619" spans="1:11" x14ac:dyDescent="0.35">
      <c r="A619" s="30" t="s">
        <v>10278</v>
      </c>
      <c r="B619" s="30" t="s">
        <v>10279</v>
      </c>
      <c r="C619" s="32">
        <v>60.94</v>
      </c>
      <c r="D619" s="30">
        <v>1.27</v>
      </c>
      <c r="E619" s="31">
        <v>2.128E-2</v>
      </c>
      <c r="F619" s="30">
        <v>1919941087</v>
      </c>
      <c r="G619" s="30" t="s">
        <v>5427</v>
      </c>
      <c r="H619" s="30">
        <v>1996</v>
      </c>
      <c r="I619" s="30">
        <v>164161</v>
      </c>
      <c r="J619" s="30" t="s">
        <v>5219</v>
      </c>
      <c r="K619" s="30" t="s">
        <v>5447</v>
      </c>
    </row>
    <row r="620" spans="1:11" x14ac:dyDescent="0.35">
      <c r="A620" s="30" t="s">
        <v>10280</v>
      </c>
      <c r="B620" s="30" t="s">
        <v>10281</v>
      </c>
      <c r="C620" s="32">
        <v>14.07</v>
      </c>
      <c r="D620" s="30">
        <v>0.13</v>
      </c>
      <c r="E620" s="31">
        <v>9.3299999999999998E-3</v>
      </c>
      <c r="F620" s="30">
        <v>589283201</v>
      </c>
      <c r="G620" s="30" t="s">
        <v>5427</v>
      </c>
      <c r="H620" s="30">
        <v>1981</v>
      </c>
      <c r="I620" s="30">
        <v>234586</v>
      </c>
      <c r="J620" s="30" t="s">
        <v>5431</v>
      </c>
      <c r="K620" s="30" t="s">
        <v>5500</v>
      </c>
    </row>
    <row r="621" spans="1:11" x14ac:dyDescent="0.35">
      <c r="A621" s="30" t="s">
        <v>10282</v>
      </c>
      <c r="B621" s="30" t="s">
        <v>10283</v>
      </c>
      <c r="C621" s="32">
        <v>42.03</v>
      </c>
      <c r="D621" s="30">
        <v>-0.04</v>
      </c>
      <c r="E621" s="31">
        <v>-9.5E-4</v>
      </c>
      <c r="F621" s="30">
        <v>2701218547</v>
      </c>
      <c r="G621" s="30" t="s">
        <v>5515</v>
      </c>
      <c r="H621" s="30">
        <v>2006</v>
      </c>
      <c r="I621" s="30">
        <v>1382033</v>
      </c>
      <c r="J621" s="30"/>
      <c r="K621" s="30"/>
    </row>
    <row r="622" spans="1:11" x14ac:dyDescent="0.35">
      <c r="A622" s="30" t="s">
        <v>10284</v>
      </c>
      <c r="B622" s="30" t="s">
        <v>10285</v>
      </c>
      <c r="C622" s="32">
        <v>10.220000000000001</v>
      </c>
      <c r="D622" s="30">
        <v>-2.0000000000000001E-4</v>
      </c>
      <c r="E622" s="31">
        <v>-2.0000000000000002E-5</v>
      </c>
      <c r="F622" s="30">
        <v>242405625</v>
      </c>
      <c r="G622" s="30" t="s">
        <v>5427</v>
      </c>
      <c r="H622" s="30">
        <v>2022</v>
      </c>
      <c r="I622" s="30">
        <v>14281</v>
      </c>
      <c r="J622" s="30" t="s">
        <v>5435</v>
      </c>
      <c r="K622" s="30" t="s">
        <v>5482</v>
      </c>
    </row>
    <row r="623" spans="1:11" x14ac:dyDescent="0.35">
      <c r="A623" s="30" t="s">
        <v>10286</v>
      </c>
      <c r="B623" s="30" t="s">
        <v>10287</v>
      </c>
      <c r="C623" s="32">
        <v>14.56</v>
      </c>
      <c r="D623" s="30">
        <v>0.17</v>
      </c>
      <c r="E623" s="31">
        <v>1.1809999999999999E-2</v>
      </c>
      <c r="F623" s="30">
        <v>2313403776</v>
      </c>
      <c r="G623" s="30" t="s">
        <v>5427</v>
      </c>
      <c r="H623" s="30">
        <v>2004</v>
      </c>
      <c r="I623" s="30">
        <v>188871</v>
      </c>
      <c r="J623" s="30" t="s">
        <v>5435</v>
      </c>
      <c r="K623" s="30" t="s">
        <v>5563</v>
      </c>
    </row>
    <row r="624" spans="1:11" x14ac:dyDescent="0.35">
      <c r="A624" s="30" t="s">
        <v>10288</v>
      </c>
      <c r="B624" s="30" t="s">
        <v>10289</v>
      </c>
      <c r="C624" s="32">
        <v>6.3</v>
      </c>
      <c r="D624" s="30">
        <v>0.08</v>
      </c>
      <c r="E624" s="31">
        <v>1.286E-2</v>
      </c>
      <c r="F624" s="30">
        <v>79688057</v>
      </c>
      <c r="G624" s="30" t="s">
        <v>5427</v>
      </c>
      <c r="H624" s="30">
        <v>2017</v>
      </c>
      <c r="I624" s="30">
        <v>35352</v>
      </c>
      <c r="J624" s="30" t="s">
        <v>5442</v>
      </c>
      <c r="K624" s="30" t="s">
        <v>5450</v>
      </c>
    </row>
    <row r="625" spans="1:11" x14ac:dyDescent="0.35">
      <c r="A625" s="30" t="s">
        <v>10290</v>
      </c>
      <c r="B625" s="30" t="s">
        <v>10291</v>
      </c>
      <c r="C625" s="32">
        <v>27.52</v>
      </c>
      <c r="D625" s="30">
        <v>0.44</v>
      </c>
      <c r="E625" s="31">
        <v>1.6250000000000001E-2</v>
      </c>
      <c r="F625" s="30">
        <v>725195372</v>
      </c>
      <c r="G625" s="30" t="s">
        <v>5427</v>
      </c>
      <c r="H625" s="30">
        <v>2019</v>
      </c>
      <c r="I625" s="30">
        <v>224927</v>
      </c>
      <c r="J625" s="30" t="s">
        <v>5431</v>
      </c>
      <c r="K625" s="30" t="s">
        <v>5610</v>
      </c>
    </row>
    <row r="626" spans="1:11" x14ac:dyDescent="0.35">
      <c r="A626" s="30" t="s">
        <v>10292</v>
      </c>
      <c r="B626" s="30" t="s">
        <v>10293</v>
      </c>
      <c r="C626" s="32">
        <v>17.5</v>
      </c>
      <c r="D626" s="30">
        <v>0.09</v>
      </c>
      <c r="E626" s="31">
        <v>5.1700000000000001E-3</v>
      </c>
      <c r="F626" s="30">
        <v>380001650</v>
      </c>
      <c r="G626" s="30" t="s">
        <v>5427</v>
      </c>
      <c r="H626" s="30">
        <v>2016</v>
      </c>
      <c r="I626" s="30">
        <v>70829</v>
      </c>
      <c r="J626" s="30" t="s">
        <v>5435</v>
      </c>
      <c r="K626" s="30" t="s">
        <v>5579</v>
      </c>
    </row>
    <row r="627" spans="1:11" x14ac:dyDescent="0.35">
      <c r="A627" s="30" t="s">
        <v>10294</v>
      </c>
      <c r="B627" s="30" t="s">
        <v>10295</v>
      </c>
      <c r="C627" s="32">
        <v>20.03</v>
      </c>
      <c r="D627" s="30">
        <v>0.22</v>
      </c>
      <c r="E627" s="31">
        <v>1.111E-2</v>
      </c>
      <c r="F627" s="30">
        <v>642051675</v>
      </c>
      <c r="G627" s="30" t="s">
        <v>5427</v>
      </c>
      <c r="H627" s="30"/>
      <c r="I627" s="30">
        <v>327577</v>
      </c>
      <c r="J627" s="30" t="s">
        <v>5435</v>
      </c>
      <c r="K627" s="30" t="s">
        <v>5985</v>
      </c>
    </row>
    <row r="628" spans="1:11" x14ac:dyDescent="0.35">
      <c r="A628" s="30" t="s">
        <v>10296</v>
      </c>
      <c r="B628" s="30" t="s">
        <v>10297</v>
      </c>
      <c r="C628" s="32">
        <v>136.76</v>
      </c>
      <c r="D628" s="30">
        <v>1.55</v>
      </c>
      <c r="E628" s="31">
        <v>1.146E-2</v>
      </c>
      <c r="F628" s="30">
        <v>2116616194</v>
      </c>
      <c r="G628" s="30" t="s">
        <v>5427</v>
      </c>
      <c r="H628" s="30"/>
      <c r="I628" s="30">
        <v>58903</v>
      </c>
      <c r="J628" s="30" t="s">
        <v>5457</v>
      </c>
      <c r="K628" s="30" t="s">
        <v>5894</v>
      </c>
    </row>
    <row r="629" spans="1:11" x14ac:dyDescent="0.35">
      <c r="A629" s="30" t="s">
        <v>10298</v>
      </c>
      <c r="B629" s="30" t="s">
        <v>10299</v>
      </c>
      <c r="C629" s="32">
        <v>31.59</v>
      </c>
      <c r="D629" s="30">
        <v>0.67</v>
      </c>
      <c r="E629" s="31">
        <v>2.1669999999999998E-2</v>
      </c>
      <c r="F629" s="30">
        <v>66415091749</v>
      </c>
      <c r="G629" s="30" t="s">
        <v>5427</v>
      </c>
      <c r="H629" s="30"/>
      <c r="I629" s="30">
        <v>15591845</v>
      </c>
      <c r="J629" s="30" t="s">
        <v>5457</v>
      </c>
      <c r="K629" s="30" t="s">
        <v>5615</v>
      </c>
    </row>
    <row r="630" spans="1:11" x14ac:dyDescent="0.35">
      <c r="A630" s="30" t="s">
        <v>10300</v>
      </c>
      <c r="B630" s="30" t="s">
        <v>10301</v>
      </c>
      <c r="C630" s="32">
        <v>10.17</v>
      </c>
      <c r="D630" s="30">
        <v>0</v>
      </c>
      <c r="E630" s="31">
        <v>0</v>
      </c>
      <c r="F630" s="30">
        <v>520831125</v>
      </c>
      <c r="G630" s="30" t="s">
        <v>5427</v>
      </c>
      <c r="H630" s="30">
        <v>2021</v>
      </c>
      <c r="I630" s="30">
        <v>52</v>
      </c>
      <c r="J630" s="30" t="s">
        <v>5457</v>
      </c>
      <c r="K630" s="30" t="s">
        <v>5571</v>
      </c>
    </row>
    <row r="631" spans="1:11" x14ac:dyDescent="0.35">
      <c r="A631" s="30" t="s">
        <v>10302</v>
      </c>
      <c r="B631" s="30" t="s">
        <v>10303</v>
      </c>
      <c r="C631" s="32">
        <v>446.36</v>
      </c>
      <c r="D631" s="30">
        <v>2.62</v>
      </c>
      <c r="E631" s="31">
        <v>5.8999999999999999E-3</v>
      </c>
      <c r="F631" s="30">
        <v>45359317006</v>
      </c>
      <c r="G631" s="30" t="s">
        <v>5427</v>
      </c>
      <c r="H631" s="30">
        <v>1983</v>
      </c>
      <c r="I631" s="30">
        <v>428499</v>
      </c>
      <c r="J631" s="30" t="s">
        <v>5442</v>
      </c>
      <c r="K631" s="30" t="s">
        <v>5482</v>
      </c>
    </row>
    <row r="632" spans="1:11" x14ac:dyDescent="0.35">
      <c r="A632" s="30" t="s">
        <v>10304</v>
      </c>
      <c r="B632" s="30" t="s">
        <v>10305</v>
      </c>
      <c r="C632" s="32">
        <v>43.2</v>
      </c>
      <c r="D632" s="30">
        <v>0.12</v>
      </c>
      <c r="E632" s="31">
        <v>2.7899999999999999E-3</v>
      </c>
      <c r="F632" s="30">
        <v>774069696</v>
      </c>
      <c r="G632" s="30" t="s">
        <v>5427</v>
      </c>
      <c r="H632" s="30"/>
      <c r="I632" s="30">
        <v>57801</v>
      </c>
      <c r="J632" s="30" t="s">
        <v>5435</v>
      </c>
      <c r="K632" s="30" t="s">
        <v>5579</v>
      </c>
    </row>
    <row r="633" spans="1:11" x14ac:dyDescent="0.35">
      <c r="A633" s="30" t="s">
        <v>10306</v>
      </c>
      <c r="B633" s="30" t="s">
        <v>10307</v>
      </c>
      <c r="C633" s="32">
        <v>7.19</v>
      </c>
      <c r="D633" s="30">
        <v>0.04</v>
      </c>
      <c r="E633" s="31">
        <v>5.5900000000000004E-3</v>
      </c>
      <c r="F633" s="30">
        <v>112972523</v>
      </c>
      <c r="G633" s="30" t="s">
        <v>5427</v>
      </c>
      <c r="H633" s="30"/>
      <c r="I633" s="30">
        <v>27721</v>
      </c>
      <c r="J633" s="30" t="s">
        <v>5219</v>
      </c>
      <c r="K633" s="30" t="s">
        <v>5447</v>
      </c>
    </row>
    <row r="634" spans="1:11" x14ac:dyDescent="0.35">
      <c r="A634" s="30" t="s">
        <v>10308</v>
      </c>
      <c r="B634" s="30" t="s">
        <v>10309</v>
      </c>
      <c r="C634" s="32">
        <v>5.6</v>
      </c>
      <c r="D634" s="30">
        <v>7.0000000000000007E-2</v>
      </c>
      <c r="E634" s="31">
        <v>1.2659999999999999E-2</v>
      </c>
      <c r="F634" s="30">
        <v>710607537</v>
      </c>
      <c r="G634" s="30" t="s">
        <v>5427</v>
      </c>
      <c r="H634" s="30">
        <v>1997</v>
      </c>
      <c r="I634" s="30">
        <v>2997607</v>
      </c>
      <c r="J634" s="30" t="s">
        <v>5431</v>
      </c>
      <c r="K634" s="30" t="s">
        <v>5430</v>
      </c>
    </row>
    <row r="635" spans="1:11" x14ac:dyDescent="0.35">
      <c r="A635" s="30" t="s">
        <v>10310</v>
      </c>
      <c r="B635" s="30" t="s">
        <v>10311</v>
      </c>
      <c r="C635" s="32">
        <v>12.29</v>
      </c>
      <c r="D635" s="30">
        <v>0.24</v>
      </c>
      <c r="E635" s="31">
        <v>1.992E-2</v>
      </c>
      <c r="F635" s="30">
        <v>1657347782</v>
      </c>
      <c r="G635" s="30" t="s">
        <v>5427</v>
      </c>
      <c r="H635" s="30">
        <v>2021</v>
      </c>
      <c r="I635" s="30">
        <v>885209</v>
      </c>
      <c r="J635" s="30" t="s">
        <v>5431</v>
      </c>
      <c r="K635" s="30" t="s">
        <v>6537</v>
      </c>
    </row>
    <row r="636" spans="1:11" x14ac:dyDescent="0.35">
      <c r="A636" s="30" t="s">
        <v>10312</v>
      </c>
      <c r="B636" s="30" t="s">
        <v>10313</v>
      </c>
      <c r="C636" s="32">
        <v>5.17</v>
      </c>
      <c r="D636" s="30">
        <v>0.08</v>
      </c>
      <c r="E636" s="31">
        <v>1.5720000000000001E-2</v>
      </c>
      <c r="F636" s="30">
        <v>374613289</v>
      </c>
      <c r="G636" s="30" t="s">
        <v>5427</v>
      </c>
      <c r="H636" s="30"/>
      <c r="I636" s="30">
        <v>257154</v>
      </c>
      <c r="J636" s="30" t="s">
        <v>5219</v>
      </c>
      <c r="K636" s="30" t="s">
        <v>5447</v>
      </c>
    </row>
    <row r="637" spans="1:11" x14ac:dyDescent="0.35">
      <c r="A637" s="30" t="s">
        <v>10314</v>
      </c>
      <c r="B637" s="30" t="s">
        <v>10315</v>
      </c>
      <c r="C637" s="32">
        <v>2.68</v>
      </c>
      <c r="D637" s="30">
        <v>-0.02</v>
      </c>
      <c r="E637" s="31">
        <v>-7.4099999999999999E-3</v>
      </c>
      <c r="F637" s="30">
        <v>177106104</v>
      </c>
      <c r="G637" s="30" t="s">
        <v>5427</v>
      </c>
      <c r="H637" s="30">
        <v>2015</v>
      </c>
      <c r="I637" s="30">
        <v>996669</v>
      </c>
      <c r="J637" s="30" t="s">
        <v>5431</v>
      </c>
      <c r="K637" s="30" t="s">
        <v>5430</v>
      </c>
    </row>
    <row r="638" spans="1:11" x14ac:dyDescent="0.35">
      <c r="A638" s="30" t="s">
        <v>10316</v>
      </c>
      <c r="B638" s="30" t="s">
        <v>10317</v>
      </c>
      <c r="C638" s="32">
        <v>32.56</v>
      </c>
      <c r="D638" s="30">
        <v>1.08</v>
      </c>
      <c r="E638" s="31">
        <v>3.431E-2</v>
      </c>
      <c r="F638" s="30">
        <v>272079630</v>
      </c>
      <c r="G638" s="30" t="s">
        <v>5427</v>
      </c>
      <c r="H638" s="30">
        <v>2005</v>
      </c>
      <c r="I638" s="30">
        <v>70043</v>
      </c>
      <c r="J638" s="30"/>
      <c r="K638" s="30"/>
    </row>
    <row r="639" spans="1:11" x14ac:dyDescent="0.35">
      <c r="A639" s="30" t="s">
        <v>10318</v>
      </c>
      <c r="B639" s="30" t="s">
        <v>10319</v>
      </c>
      <c r="C639" s="32">
        <v>68.84</v>
      </c>
      <c r="D639" s="30">
        <v>2.09</v>
      </c>
      <c r="E639" s="31">
        <v>3.1309999999999998E-2</v>
      </c>
      <c r="F639" s="30">
        <v>35378351379</v>
      </c>
      <c r="G639" s="30" t="s">
        <v>5427</v>
      </c>
      <c r="H639" s="30">
        <v>1998</v>
      </c>
      <c r="I639" s="30">
        <v>5727813</v>
      </c>
      <c r="J639" s="30" t="s">
        <v>5219</v>
      </c>
      <c r="K639" s="30" t="s">
        <v>5447</v>
      </c>
    </row>
    <row r="640" spans="1:11" x14ac:dyDescent="0.35">
      <c r="A640" s="30" t="s">
        <v>10320</v>
      </c>
      <c r="B640" s="30" t="s">
        <v>10321</v>
      </c>
      <c r="C640" s="32">
        <v>3.03</v>
      </c>
      <c r="D640" s="30">
        <v>0.17</v>
      </c>
      <c r="E640" s="31">
        <v>5.944E-2</v>
      </c>
      <c r="F640" s="30">
        <v>132216216</v>
      </c>
      <c r="G640" s="30" t="s">
        <v>5427</v>
      </c>
      <c r="H640" s="30"/>
      <c r="I640" s="30">
        <v>198353</v>
      </c>
      <c r="J640" s="30" t="s">
        <v>5431</v>
      </c>
      <c r="K640" s="30" t="s">
        <v>5500</v>
      </c>
    </row>
    <row r="641" spans="1:11" x14ac:dyDescent="0.35">
      <c r="A641" s="30" t="s">
        <v>10322</v>
      </c>
      <c r="B641" s="30" t="s">
        <v>10323</v>
      </c>
      <c r="C641" s="32">
        <v>1.41</v>
      </c>
      <c r="D641" s="30">
        <v>0.02</v>
      </c>
      <c r="E641" s="31">
        <v>1.439E-2</v>
      </c>
      <c r="F641" s="30">
        <v>206157693</v>
      </c>
      <c r="G641" s="30" t="s">
        <v>5427</v>
      </c>
      <c r="H641" s="30"/>
      <c r="I641" s="30">
        <v>1017705</v>
      </c>
      <c r="J641" s="30" t="s">
        <v>5431</v>
      </c>
      <c r="K641" s="30" t="s">
        <v>5430</v>
      </c>
    </row>
    <row r="642" spans="1:11" x14ac:dyDescent="0.35">
      <c r="A642" s="30" t="s">
        <v>10324</v>
      </c>
      <c r="B642" s="30" t="s">
        <v>10325</v>
      </c>
      <c r="C642" s="32">
        <v>3.43</v>
      </c>
      <c r="D642" s="30">
        <v>0.01</v>
      </c>
      <c r="E642" s="31">
        <v>2.9199999999999999E-3</v>
      </c>
      <c r="F642" s="30">
        <v>147635940</v>
      </c>
      <c r="G642" s="30" t="s">
        <v>5427</v>
      </c>
      <c r="H642" s="30">
        <v>2018</v>
      </c>
      <c r="I642" s="30">
        <v>81425</v>
      </c>
      <c r="J642" s="30" t="s">
        <v>5431</v>
      </c>
      <c r="K642" s="30" t="s">
        <v>5430</v>
      </c>
    </row>
    <row r="643" spans="1:11" x14ac:dyDescent="0.35">
      <c r="A643" s="30" t="s">
        <v>10326</v>
      </c>
      <c r="B643" s="30" t="s">
        <v>10327</v>
      </c>
      <c r="C643" s="32">
        <v>11.77</v>
      </c>
      <c r="D643" s="30">
        <v>0.01</v>
      </c>
      <c r="E643" s="31">
        <v>8.4999999999999995E-4</v>
      </c>
      <c r="F643" s="30">
        <v>87167361</v>
      </c>
      <c r="G643" s="30" t="s">
        <v>5427</v>
      </c>
      <c r="H643" s="30">
        <v>2021</v>
      </c>
      <c r="I643" s="30">
        <v>422</v>
      </c>
      <c r="J643" s="30" t="s">
        <v>5435</v>
      </c>
      <c r="K643" s="30" t="s">
        <v>6556</v>
      </c>
    </row>
    <row r="644" spans="1:11" x14ac:dyDescent="0.35">
      <c r="A644" s="30" t="s">
        <v>10328</v>
      </c>
      <c r="B644" s="30" t="s">
        <v>10329</v>
      </c>
      <c r="C644" s="32">
        <v>1.7</v>
      </c>
      <c r="D644" s="30">
        <v>-2.5000000000000001E-2</v>
      </c>
      <c r="E644" s="31">
        <v>-1.4489999999999999E-2</v>
      </c>
      <c r="F644" s="30">
        <v>89770396</v>
      </c>
      <c r="G644" s="30" t="s">
        <v>5427</v>
      </c>
      <c r="H644" s="30">
        <v>2020</v>
      </c>
      <c r="I644" s="30">
        <v>123999</v>
      </c>
      <c r="J644" s="30" t="s">
        <v>5457</v>
      </c>
      <c r="K644" s="30" t="s">
        <v>5834</v>
      </c>
    </row>
    <row r="645" spans="1:11" x14ac:dyDescent="0.35">
      <c r="A645" s="30" t="s">
        <v>10330</v>
      </c>
      <c r="B645" s="30" t="s">
        <v>10331</v>
      </c>
      <c r="C645" s="32">
        <v>34.57</v>
      </c>
      <c r="D645" s="30">
        <v>-0.26</v>
      </c>
      <c r="E645" s="31">
        <v>-7.4599999999999996E-3</v>
      </c>
      <c r="F645" s="30">
        <v>678107074</v>
      </c>
      <c r="G645" s="30" t="s">
        <v>5427</v>
      </c>
      <c r="H645" s="30">
        <v>2004</v>
      </c>
      <c r="I645" s="30">
        <v>498320</v>
      </c>
      <c r="J645" s="30" t="s">
        <v>5431</v>
      </c>
      <c r="K645" s="30" t="s">
        <v>6537</v>
      </c>
    </row>
    <row r="646" spans="1:11" x14ac:dyDescent="0.35">
      <c r="A646" s="30" t="s">
        <v>10332</v>
      </c>
      <c r="B646" s="30" t="s">
        <v>10333</v>
      </c>
      <c r="C646" s="32">
        <v>11.79</v>
      </c>
      <c r="D646" s="30">
        <v>1.05</v>
      </c>
      <c r="E646" s="31">
        <v>9.7769999999999996E-2</v>
      </c>
      <c r="F646" s="30">
        <v>2243439352</v>
      </c>
      <c r="G646" s="30" t="s">
        <v>6263</v>
      </c>
      <c r="H646" s="30">
        <v>2020</v>
      </c>
      <c r="I646" s="30">
        <v>960648</v>
      </c>
      <c r="J646" s="30" t="s">
        <v>5431</v>
      </c>
      <c r="K646" s="30" t="s">
        <v>5430</v>
      </c>
    </row>
    <row r="647" spans="1:11" x14ac:dyDescent="0.35">
      <c r="A647" s="30" t="s">
        <v>10334</v>
      </c>
      <c r="B647" s="30" t="s">
        <v>10335</v>
      </c>
      <c r="C647" s="32">
        <v>24.35</v>
      </c>
      <c r="D647" s="30">
        <v>0.13</v>
      </c>
      <c r="E647" s="31">
        <v>5.3699999999999998E-3</v>
      </c>
      <c r="F647" s="30">
        <v>3404585418</v>
      </c>
      <c r="G647" s="30" t="s">
        <v>5427</v>
      </c>
      <c r="H647" s="30"/>
      <c r="I647" s="30">
        <v>985664</v>
      </c>
      <c r="J647" s="30" t="s">
        <v>5435</v>
      </c>
      <c r="K647" s="30" t="s">
        <v>5579</v>
      </c>
    </row>
    <row r="648" spans="1:11" x14ac:dyDescent="0.35">
      <c r="A648" s="30" t="s">
        <v>10336</v>
      </c>
      <c r="B648" s="30" t="s">
        <v>10337</v>
      </c>
      <c r="C648" s="32">
        <v>275.3</v>
      </c>
      <c r="D648" s="30">
        <v>9.1999999999999993</v>
      </c>
      <c r="E648" s="31">
        <v>3.4569999999999997E-2</v>
      </c>
      <c r="F648" s="30">
        <v>2452741027</v>
      </c>
      <c r="G648" s="30" t="s">
        <v>5427</v>
      </c>
      <c r="H648" s="30"/>
      <c r="I648" s="30">
        <v>88500</v>
      </c>
      <c r="J648" s="30" t="s">
        <v>5442</v>
      </c>
      <c r="K648" s="30" t="s">
        <v>5576</v>
      </c>
    </row>
    <row r="649" spans="1:11" x14ac:dyDescent="0.35">
      <c r="A649" s="30" t="s">
        <v>10338</v>
      </c>
      <c r="B649" s="30" t="s">
        <v>10339</v>
      </c>
      <c r="C649" s="32">
        <v>25.45</v>
      </c>
      <c r="D649" s="30">
        <v>0.55000000000000004</v>
      </c>
      <c r="E649" s="31">
        <v>2.2089999999999999E-2</v>
      </c>
      <c r="F649" s="30">
        <v>298663156</v>
      </c>
      <c r="G649" s="30" t="s">
        <v>5427</v>
      </c>
      <c r="H649" s="30"/>
      <c r="I649" s="30">
        <v>43847</v>
      </c>
      <c r="J649" s="30" t="s">
        <v>5435</v>
      </c>
      <c r="K649" s="30" t="s">
        <v>5579</v>
      </c>
    </row>
    <row r="650" spans="1:11" x14ac:dyDescent="0.35">
      <c r="A650" s="30" t="s">
        <v>10340</v>
      </c>
      <c r="B650" s="30" t="s">
        <v>10341</v>
      </c>
      <c r="C650" s="32">
        <v>8.58</v>
      </c>
      <c r="D650" s="30">
        <v>0.2</v>
      </c>
      <c r="E650" s="31">
        <v>2.3869999999999999E-2</v>
      </c>
      <c r="F650" s="30">
        <v>286348766</v>
      </c>
      <c r="G650" s="30" t="s">
        <v>5427</v>
      </c>
      <c r="H650" s="30">
        <v>2004</v>
      </c>
      <c r="I650" s="30">
        <v>236318</v>
      </c>
      <c r="J650" s="30" t="s">
        <v>5442</v>
      </c>
      <c r="K650" s="30" t="s">
        <v>5853</v>
      </c>
    </row>
    <row r="651" spans="1:11" x14ac:dyDescent="0.35">
      <c r="A651" s="30" t="s">
        <v>10342</v>
      </c>
      <c r="B651" s="30" t="s">
        <v>10343</v>
      </c>
      <c r="C651" s="32">
        <v>32.92</v>
      </c>
      <c r="D651" s="30">
        <v>0.87</v>
      </c>
      <c r="E651" s="31">
        <v>2.7150000000000001E-2</v>
      </c>
      <c r="F651" s="30">
        <v>583726280</v>
      </c>
      <c r="G651" s="30" t="s">
        <v>5427</v>
      </c>
      <c r="H651" s="30"/>
      <c r="I651" s="30">
        <v>87257</v>
      </c>
      <c r="J651" s="30" t="s">
        <v>5442</v>
      </c>
      <c r="K651" s="30" t="s">
        <v>5716</v>
      </c>
    </row>
    <row r="652" spans="1:11" x14ac:dyDescent="0.35">
      <c r="A652" s="30" t="s">
        <v>10344</v>
      </c>
      <c r="B652" s="30" t="s">
        <v>10345</v>
      </c>
      <c r="C652" s="32">
        <v>34.869999999999997</v>
      </c>
      <c r="D652" s="30">
        <v>1.71</v>
      </c>
      <c r="E652" s="31">
        <v>5.1569999999999998E-2</v>
      </c>
      <c r="F652" s="30">
        <v>470545892</v>
      </c>
      <c r="G652" s="30" t="s">
        <v>5427</v>
      </c>
      <c r="H652" s="30"/>
      <c r="I652" s="30">
        <v>191684</v>
      </c>
      <c r="J652" s="30" t="s">
        <v>5457</v>
      </c>
      <c r="K652" s="30" t="s">
        <v>5725</v>
      </c>
    </row>
    <row r="653" spans="1:11" x14ac:dyDescent="0.35">
      <c r="A653" s="30" t="s">
        <v>10346</v>
      </c>
      <c r="B653" s="30" t="s">
        <v>10347</v>
      </c>
      <c r="C653" s="32">
        <v>63.43</v>
      </c>
      <c r="D653" s="30">
        <v>1.2</v>
      </c>
      <c r="E653" s="31">
        <v>1.9279999999999999E-2</v>
      </c>
      <c r="F653" s="30">
        <v>2824667170</v>
      </c>
      <c r="G653" s="30" t="s">
        <v>5427</v>
      </c>
      <c r="H653" s="30">
        <v>2006</v>
      </c>
      <c r="I653" s="30">
        <v>344120</v>
      </c>
      <c r="J653" s="30" t="s">
        <v>5219</v>
      </c>
      <c r="K653" s="30" t="s">
        <v>5560</v>
      </c>
    </row>
    <row r="654" spans="1:11" x14ac:dyDescent="0.35">
      <c r="A654" s="30" t="s">
        <v>10348</v>
      </c>
      <c r="B654" s="30" t="s">
        <v>10349</v>
      </c>
      <c r="C654" s="32">
        <v>24.69</v>
      </c>
      <c r="D654" s="30">
        <v>-0.02</v>
      </c>
      <c r="E654" s="31">
        <v>-8.0999999999999996E-4</v>
      </c>
      <c r="F654" s="30">
        <v>236554890</v>
      </c>
      <c r="G654" s="30" t="s">
        <v>5427</v>
      </c>
      <c r="H654" s="30"/>
      <c r="I654" s="30">
        <v>22316</v>
      </c>
      <c r="J654" s="30" t="s">
        <v>5435</v>
      </c>
      <c r="K654" s="30" t="s">
        <v>6556</v>
      </c>
    </row>
    <row r="655" spans="1:11" x14ac:dyDescent="0.35">
      <c r="A655" s="30" t="s">
        <v>10350</v>
      </c>
      <c r="B655" s="30" t="s">
        <v>10351</v>
      </c>
      <c r="C655" s="32">
        <v>16.63</v>
      </c>
      <c r="D655" s="30">
        <v>1.43</v>
      </c>
      <c r="E655" s="31">
        <v>9.4079999999999997E-2</v>
      </c>
      <c r="F655" s="30">
        <v>343139030</v>
      </c>
      <c r="G655" s="30" t="s">
        <v>5427</v>
      </c>
      <c r="H655" s="30">
        <v>2021</v>
      </c>
      <c r="I655" s="30">
        <v>131159</v>
      </c>
      <c r="J655" s="30" t="s">
        <v>5431</v>
      </c>
      <c r="K655" s="30" t="s">
        <v>6537</v>
      </c>
    </row>
    <row r="656" spans="1:11" x14ac:dyDescent="0.35">
      <c r="A656" s="30" t="s">
        <v>10352</v>
      </c>
      <c r="B656" s="30" t="s">
        <v>10353</v>
      </c>
      <c r="C656" s="32">
        <v>7.59</v>
      </c>
      <c r="D656" s="30">
        <v>-0.48</v>
      </c>
      <c r="E656" s="31">
        <v>-5.9479999999999998E-2</v>
      </c>
      <c r="F656" s="30">
        <v>3703322667</v>
      </c>
      <c r="G656" s="30" t="s">
        <v>5427</v>
      </c>
      <c r="H656" s="30">
        <v>1987</v>
      </c>
      <c r="I656" s="30">
        <v>1936449</v>
      </c>
      <c r="J656" s="30" t="s">
        <v>5219</v>
      </c>
      <c r="K656" s="30" t="s">
        <v>5560</v>
      </c>
    </row>
    <row r="657" spans="1:11" x14ac:dyDescent="0.35">
      <c r="A657" s="30" t="s">
        <v>10354</v>
      </c>
      <c r="B657" s="30" t="s">
        <v>10355</v>
      </c>
      <c r="C657" s="32">
        <v>11.56</v>
      </c>
      <c r="D657" s="30">
        <v>-0.63</v>
      </c>
      <c r="E657" s="31">
        <v>-5.1679999999999997E-2</v>
      </c>
      <c r="F657" s="30">
        <v>78156443</v>
      </c>
      <c r="G657" s="30" t="s">
        <v>5427</v>
      </c>
      <c r="H657" s="30"/>
      <c r="I657" s="30">
        <v>101345</v>
      </c>
      <c r="J657" s="30" t="s">
        <v>5219</v>
      </c>
      <c r="K657" s="30" t="s">
        <v>5644</v>
      </c>
    </row>
    <row r="658" spans="1:11" x14ac:dyDescent="0.35">
      <c r="A658" s="30" t="s">
        <v>10356</v>
      </c>
      <c r="B658" s="30" t="s">
        <v>10357</v>
      </c>
      <c r="C658" s="32">
        <v>14.75</v>
      </c>
      <c r="D658" s="30">
        <v>-0.05</v>
      </c>
      <c r="E658" s="31">
        <v>-3.3800000000000002E-3</v>
      </c>
      <c r="F658" s="30">
        <v>129770500</v>
      </c>
      <c r="G658" s="30" t="s">
        <v>5427</v>
      </c>
      <c r="H658" s="30"/>
      <c r="I658" s="30">
        <v>3324</v>
      </c>
      <c r="J658" s="30" t="s">
        <v>5435</v>
      </c>
      <c r="K658" s="30" t="s">
        <v>5579</v>
      </c>
    </row>
    <row r="659" spans="1:11" x14ac:dyDescent="0.35">
      <c r="A659" s="30" t="s">
        <v>10358</v>
      </c>
      <c r="B659" s="30" t="s">
        <v>10359</v>
      </c>
      <c r="C659" s="32">
        <v>80.78</v>
      </c>
      <c r="D659" s="30">
        <v>0.66</v>
      </c>
      <c r="E659" s="31">
        <v>8.2400000000000008E-3</v>
      </c>
      <c r="F659" s="30">
        <v>4174730837</v>
      </c>
      <c r="G659" s="30" t="s">
        <v>5427</v>
      </c>
      <c r="H659" s="30">
        <v>1997</v>
      </c>
      <c r="I659" s="30">
        <v>178338</v>
      </c>
      <c r="J659" s="30" t="s">
        <v>5426</v>
      </c>
      <c r="K659" s="30" t="s">
        <v>5425</v>
      </c>
    </row>
    <row r="660" spans="1:11" x14ac:dyDescent="0.35">
      <c r="A660" s="30" t="s">
        <v>10360</v>
      </c>
      <c r="B660" s="30" t="s">
        <v>10361</v>
      </c>
      <c r="C660" s="32">
        <v>22.47</v>
      </c>
      <c r="D660" s="30">
        <v>-0.36</v>
      </c>
      <c r="E660" s="31">
        <v>-1.5769999999999999E-2</v>
      </c>
      <c r="F660" s="30">
        <v>1101026382</v>
      </c>
      <c r="G660" s="30" t="s">
        <v>5427</v>
      </c>
      <c r="H660" s="30"/>
      <c r="I660" s="30">
        <v>356765</v>
      </c>
      <c r="J660" s="30"/>
      <c r="K660" s="30"/>
    </row>
    <row r="661" spans="1:11" x14ac:dyDescent="0.35">
      <c r="A661" s="30" t="s">
        <v>10362</v>
      </c>
      <c r="B661" s="30" t="s">
        <v>10363</v>
      </c>
      <c r="C661" s="32">
        <v>1.57</v>
      </c>
      <c r="D661" s="30">
        <v>0.04</v>
      </c>
      <c r="E661" s="31">
        <v>2.614E-2</v>
      </c>
      <c r="F661" s="30">
        <v>55639092</v>
      </c>
      <c r="G661" s="30" t="s">
        <v>5427</v>
      </c>
      <c r="H661" s="30">
        <v>2021</v>
      </c>
      <c r="I661" s="30">
        <v>31051</v>
      </c>
      <c r="J661" s="30" t="s">
        <v>5431</v>
      </c>
      <c r="K661" s="30" t="s">
        <v>5430</v>
      </c>
    </row>
    <row r="662" spans="1:11" x14ac:dyDescent="0.35">
      <c r="A662" s="30" t="s">
        <v>10364</v>
      </c>
      <c r="B662" s="30" t="s">
        <v>10365</v>
      </c>
      <c r="C662" s="32">
        <v>42.83</v>
      </c>
      <c r="D662" s="30">
        <v>0.35</v>
      </c>
      <c r="E662" s="31">
        <v>8.2400000000000008E-3</v>
      </c>
      <c r="F662" s="30">
        <v>4053045773</v>
      </c>
      <c r="G662" s="30" t="s">
        <v>5427</v>
      </c>
      <c r="H662" s="30">
        <v>2004</v>
      </c>
      <c r="I662" s="30">
        <v>1063108</v>
      </c>
      <c r="J662" s="30" t="s">
        <v>5431</v>
      </c>
      <c r="K662" s="30" t="s">
        <v>5430</v>
      </c>
    </row>
    <row r="663" spans="1:11" x14ac:dyDescent="0.35">
      <c r="A663" s="30" t="s">
        <v>10366</v>
      </c>
      <c r="B663" s="30" t="s">
        <v>10367</v>
      </c>
      <c r="C663" s="32">
        <v>2.92</v>
      </c>
      <c r="D663" s="30">
        <v>-0.3</v>
      </c>
      <c r="E663" s="31">
        <v>-9.3170000000000003E-2</v>
      </c>
      <c r="F663" s="30">
        <v>524483120</v>
      </c>
      <c r="G663" s="30" t="s">
        <v>5427</v>
      </c>
      <c r="H663" s="30">
        <v>2020</v>
      </c>
      <c r="I663" s="30">
        <v>894548</v>
      </c>
      <c r="J663" s="30" t="s">
        <v>5219</v>
      </c>
      <c r="K663" s="30" t="s">
        <v>5447</v>
      </c>
    </row>
    <row r="664" spans="1:11" x14ac:dyDescent="0.35">
      <c r="A664" s="30" t="s">
        <v>10368</v>
      </c>
      <c r="B664" s="30" t="s">
        <v>10369</v>
      </c>
      <c r="C664" s="32">
        <v>80.94</v>
      </c>
      <c r="D664" s="30">
        <v>2.2799999999999998</v>
      </c>
      <c r="E664" s="31">
        <v>2.8989999999999998E-2</v>
      </c>
      <c r="F664" s="30">
        <v>321429656</v>
      </c>
      <c r="G664" s="30" t="s">
        <v>5427</v>
      </c>
      <c r="H664" s="30"/>
      <c r="I664" s="30">
        <v>9768</v>
      </c>
      <c r="J664" s="30" t="s">
        <v>5435</v>
      </c>
      <c r="K664" s="30" t="s">
        <v>5579</v>
      </c>
    </row>
    <row r="665" spans="1:11" x14ac:dyDescent="0.35">
      <c r="A665" s="30" t="s">
        <v>10370</v>
      </c>
      <c r="B665" s="30" t="s">
        <v>10371</v>
      </c>
      <c r="C665" s="32">
        <v>23.31</v>
      </c>
      <c r="D665" s="30">
        <v>-0.35</v>
      </c>
      <c r="E665" s="31">
        <v>-1.4789999999999999E-2</v>
      </c>
      <c r="F665" s="30">
        <v>361743671</v>
      </c>
      <c r="G665" s="30" t="s">
        <v>5427</v>
      </c>
      <c r="H665" s="30"/>
      <c r="I665" s="30">
        <v>23963</v>
      </c>
      <c r="J665" s="30" t="s">
        <v>5435</v>
      </c>
      <c r="K665" s="30" t="s">
        <v>5579</v>
      </c>
    </row>
    <row r="666" spans="1:11" x14ac:dyDescent="0.35">
      <c r="A666" s="30" t="s">
        <v>10372</v>
      </c>
      <c r="B666" s="30" t="s">
        <v>10373</v>
      </c>
      <c r="C666" s="32">
        <v>53.44</v>
      </c>
      <c r="D666" s="30">
        <v>1.38</v>
      </c>
      <c r="E666" s="31">
        <v>2.6509999999999999E-2</v>
      </c>
      <c r="F666" s="30">
        <v>11466412651</v>
      </c>
      <c r="G666" s="30" t="s">
        <v>5427</v>
      </c>
      <c r="H666" s="30"/>
      <c r="I666" s="30">
        <v>3208029</v>
      </c>
      <c r="J666" s="30" t="s">
        <v>5442</v>
      </c>
      <c r="K666" s="30" t="s">
        <v>5704</v>
      </c>
    </row>
    <row r="667" spans="1:11" x14ac:dyDescent="0.35">
      <c r="A667" s="30" t="s">
        <v>10374</v>
      </c>
      <c r="B667" s="30" t="s">
        <v>10375</v>
      </c>
      <c r="C667" s="32">
        <v>12.45</v>
      </c>
      <c r="D667" s="30">
        <v>0.04</v>
      </c>
      <c r="E667" s="31">
        <v>3.2200000000000002E-3</v>
      </c>
      <c r="F667" s="30">
        <v>129792732</v>
      </c>
      <c r="G667" s="30" t="s">
        <v>5427</v>
      </c>
      <c r="H667" s="30">
        <v>2006</v>
      </c>
      <c r="I667" s="30">
        <v>4840</v>
      </c>
      <c r="J667" s="30" t="s">
        <v>5435</v>
      </c>
      <c r="K667" s="30" t="s">
        <v>6556</v>
      </c>
    </row>
    <row r="668" spans="1:11" x14ac:dyDescent="0.35">
      <c r="A668" s="30" t="s">
        <v>10376</v>
      </c>
      <c r="B668" s="30" t="s">
        <v>10377</v>
      </c>
      <c r="C668" s="32">
        <v>4.1900000000000004</v>
      </c>
      <c r="D668" s="30">
        <v>0.02</v>
      </c>
      <c r="E668" s="31">
        <v>4.7999999999999996E-3</v>
      </c>
      <c r="F668" s="30">
        <v>190501400</v>
      </c>
      <c r="G668" s="30" t="s">
        <v>5427</v>
      </c>
      <c r="H668" s="30">
        <v>1994</v>
      </c>
      <c r="I668" s="30">
        <v>379908</v>
      </c>
      <c r="J668" s="30" t="s">
        <v>5457</v>
      </c>
      <c r="K668" s="30" t="s">
        <v>5487</v>
      </c>
    </row>
    <row r="669" spans="1:11" x14ac:dyDescent="0.35">
      <c r="A669" s="30" t="s">
        <v>10378</v>
      </c>
      <c r="B669" s="30" t="s">
        <v>10379</v>
      </c>
      <c r="C669" s="32">
        <v>10.07</v>
      </c>
      <c r="D669" s="30">
        <v>0</v>
      </c>
      <c r="E669" s="31">
        <v>0</v>
      </c>
      <c r="F669" s="30">
        <v>258295500</v>
      </c>
      <c r="G669" s="30" t="s">
        <v>5427</v>
      </c>
      <c r="H669" s="30">
        <v>2021</v>
      </c>
      <c r="I669" s="30">
        <v>2</v>
      </c>
      <c r="J669" s="30" t="s">
        <v>5457</v>
      </c>
      <c r="K669" s="30" t="s">
        <v>5571</v>
      </c>
    </row>
    <row r="670" spans="1:11" x14ac:dyDescent="0.35">
      <c r="A670" s="30" t="s">
        <v>10380</v>
      </c>
      <c r="B670" s="30" t="s">
        <v>10381</v>
      </c>
      <c r="C670" s="32">
        <v>1.24</v>
      </c>
      <c r="D670" s="30">
        <v>-0.03</v>
      </c>
      <c r="E670" s="31">
        <v>-2.3619999999999999E-2</v>
      </c>
      <c r="F670" s="30">
        <v>105152000</v>
      </c>
      <c r="G670" s="30" t="s">
        <v>5427</v>
      </c>
      <c r="H670" s="30">
        <v>2014</v>
      </c>
      <c r="I670" s="30">
        <v>314143</v>
      </c>
      <c r="J670" s="30" t="s">
        <v>5431</v>
      </c>
      <c r="K670" s="30" t="s">
        <v>5430</v>
      </c>
    </row>
    <row r="671" spans="1:11" x14ac:dyDescent="0.35">
      <c r="A671" s="30" t="s">
        <v>10382</v>
      </c>
      <c r="B671" s="30" t="s">
        <v>10383</v>
      </c>
      <c r="C671" s="32">
        <v>9.26</v>
      </c>
      <c r="D671" s="30">
        <v>0.18</v>
      </c>
      <c r="E671" s="31">
        <v>1.9820000000000001E-2</v>
      </c>
      <c r="F671" s="30">
        <v>109414660</v>
      </c>
      <c r="G671" s="30" t="s">
        <v>5427</v>
      </c>
      <c r="H671" s="30"/>
      <c r="I671" s="30">
        <v>15951</v>
      </c>
      <c r="J671" s="30" t="s">
        <v>5219</v>
      </c>
      <c r="K671" s="30" t="s">
        <v>5812</v>
      </c>
    </row>
    <row r="672" spans="1:11" x14ac:dyDescent="0.35">
      <c r="A672" s="30" t="s">
        <v>10384</v>
      </c>
      <c r="B672" s="30" t="s">
        <v>10385</v>
      </c>
      <c r="C672" s="32">
        <v>21.53</v>
      </c>
      <c r="D672" s="30">
        <v>-0.24</v>
      </c>
      <c r="E672" s="31">
        <v>-1.102E-2</v>
      </c>
      <c r="F672" s="30">
        <v>1583521295</v>
      </c>
      <c r="G672" s="30" t="s">
        <v>5427</v>
      </c>
      <c r="H672" s="30">
        <v>2021</v>
      </c>
      <c r="I672" s="30">
        <v>455210</v>
      </c>
      <c r="J672" s="30" t="s">
        <v>5431</v>
      </c>
      <c r="K672" s="30" t="s">
        <v>5430</v>
      </c>
    </row>
    <row r="673" spans="1:11" x14ac:dyDescent="0.35">
      <c r="A673" s="30" t="s">
        <v>10386</v>
      </c>
      <c r="B673" s="30" t="s">
        <v>10387</v>
      </c>
      <c r="C673" s="32">
        <v>3.18</v>
      </c>
      <c r="D673" s="30">
        <v>0.02</v>
      </c>
      <c r="E673" s="31">
        <v>6.3299999999999997E-3</v>
      </c>
      <c r="F673" s="30">
        <v>79387116</v>
      </c>
      <c r="G673" s="30" t="s">
        <v>5427</v>
      </c>
      <c r="H673" s="30">
        <v>2021</v>
      </c>
      <c r="I673" s="30">
        <v>1691038</v>
      </c>
      <c r="J673" s="30" t="s">
        <v>5431</v>
      </c>
      <c r="K673" s="30" t="s">
        <v>5430</v>
      </c>
    </row>
    <row r="674" spans="1:11" x14ac:dyDescent="0.35">
      <c r="A674" s="30" t="s">
        <v>10388</v>
      </c>
      <c r="B674" s="30" t="s">
        <v>10389</v>
      </c>
      <c r="C674" s="32">
        <v>1.37</v>
      </c>
      <c r="D674" s="30">
        <v>0.05</v>
      </c>
      <c r="E674" s="31">
        <v>3.7879999999999997E-2</v>
      </c>
      <c r="F674" s="30">
        <v>257469281</v>
      </c>
      <c r="G674" s="30" t="s">
        <v>5847</v>
      </c>
      <c r="H674" s="30">
        <v>2014</v>
      </c>
      <c r="I674" s="30">
        <v>789196</v>
      </c>
      <c r="J674" s="30" t="s">
        <v>5431</v>
      </c>
      <c r="K674" s="30" t="s">
        <v>6409</v>
      </c>
    </row>
    <row r="675" spans="1:11" x14ac:dyDescent="0.35">
      <c r="A675" s="30" t="s">
        <v>10390</v>
      </c>
      <c r="B675" s="30" t="s">
        <v>10391</v>
      </c>
      <c r="C675" s="32">
        <v>23.88</v>
      </c>
      <c r="D675" s="30">
        <v>0.65</v>
      </c>
      <c r="E675" s="31">
        <v>2.7980000000000001E-2</v>
      </c>
      <c r="F675" s="30">
        <v>8662144707</v>
      </c>
      <c r="G675" s="30" t="s">
        <v>5427</v>
      </c>
      <c r="H675" s="30">
        <v>2018</v>
      </c>
      <c r="I675" s="30">
        <v>2269979</v>
      </c>
      <c r="J675" s="30" t="s">
        <v>5219</v>
      </c>
      <c r="K675" s="30" t="s">
        <v>5560</v>
      </c>
    </row>
    <row r="676" spans="1:11" x14ac:dyDescent="0.35">
      <c r="A676" s="30" t="s">
        <v>10392</v>
      </c>
      <c r="B676" s="30" t="s">
        <v>10393</v>
      </c>
      <c r="C676" s="32">
        <v>39.17</v>
      </c>
      <c r="D676" s="30">
        <v>1.08</v>
      </c>
      <c r="E676" s="31">
        <v>2.835E-2</v>
      </c>
      <c r="F676" s="30">
        <v>1288946195</v>
      </c>
      <c r="G676" s="30" t="s">
        <v>5515</v>
      </c>
      <c r="H676" s="30"/>
      <c r="I676" s="30">
        <v>70044</v>
      </c>
      <c r="J676" s="30"/>
      <c r="K676" s="30"/>
    </row>
    <row r="677" spans="1:11" x14ac:dyDescent="0.35">
      <c r="A677" s="30" t="s">
        <v>10394</v>
      </c>
      <c r="B677" s="30" t="s">
        <v>10395</v>
      </c>
      <c r="C677" s="32">
        <v>1.34</v>
      </c>
      <c r="D677" s="30">
        <v>0</v>
      </c>
      <c r="E677" s="31">
        <v>0</v>
      </c>
      <c r="F677" s="30">
        <v>208355067</v>
      </c>
      <c r="G677" s="30" t="s">
        <v>6338</v>
      </c>
      <c r="H677" s="30"/>
      <c r="I677" s="30">
        <v>2831310</v>
      </c>
      <c r="J677" s="30" t="s">
        <v>5219</v>
      </c>
      <c r="K677" s="30" t="s">
        <v>5965</v>
      </c>
    </row>
    <row r="678" spans="1:11" x14ac:dyDescent="0.35">
      <c r="A678" s="30" t="s">
        <v>10396</v>
      </c>
      <c r="B678" s="30" t="s">
        <v>10397</v>
      </c>
      <c r="C678" s="32">
        <v>9.99</v>
      </c>
      <c r="D678" s="30">
        <v>-0.01</v>
      </c>
      <c r="E678" s="31">
        <v>-1E-3</v>
      </c>
      <c r="F678" s="30">
        <v>1023087508</v>
      </c>
      <c r="G678" s="30" t="s">
        <v>5427</v>
      </c>
      <c r="H678" s="30">
        <v>2020</v>
      </c>
      <c r="I678" s="30">
        <v>562451</v>
      </c>
      <c r="J678" s="30" t="s">
        <v>5431</v>
      </c>
      <c r="K678" s="30" t="s">
        <v>6530</v>
      </c>
    </row>
    <row r="679" spans="1:11" x14ac:dyDescent="0.35">
      <c r="A679" s="30" t="s">
        <v>10398</v>
      </c>
      <c r="B679" s="30" t="s">
        <v>10399</v>
      </c>
      <c r="C679" s="32">
        <v>30.6</v>
      </c>
      <c r="D679" s="30">
        <v>0.78</v>
      </c>
      <c r="E679" s="31">
        <v>2.6159999999999999E-2</v>
      </c>
      <c r="F679" s="30">
        <v>1180354210</v>
      </c>
      <c r="G679" s="30" t="s">
        <v>5427</v>
      </c>
      <c r="H679" s="30"/>
      <c r="I679" s="30">
        <v>134579</v>
      </c>
      <c r="J679" s="30" t="s">
        <v>5435</v>
      </c>
      <c r="K679" s="30" t="s">
        <v>6556</v>
      </c>
    </row>
    <row r="680" spans="1:11" x14ac:dyDescent="0.35">
      <c r="A680" s="30" t="s">
        <v>10400</v>
      </c>
      <c r="B680" s="30" t="s">
        <v>10401</v>
      </c>
      <c r="C680" s="32">
        <v>17.18</v>
      </c>
      <c r="D680" s="30">
        <v>0.17</v>
      </c>
      <c r="E680" s="31">
        <v>9.9900000000000006E-3</v>
      </c>
      <c r="F680" s="30">
        <v>1299211077</v>
      </c>
      <c r="G680" s="30" t="s">
        <v>5427</v>
      </c>
      <c r="H680" s="30">
        <v>2017</v>
      </c>
      <c r="I680" s="30">
        <v>672319</v>
      </c>
      <c r="J680" s="30" t="s">
        <v>5431</v>
      </c>
      <c r="K680" s="30" t="s">
        <v>5430</v>
      </c>
    </row>
    <row r="681" spans="1:11" x14ac:dyDescent="0.35">
      <c r="A681" s="30" t="s">
        <v>10402</v>
      </c>
      <c r="B681" s="30" t="s">
        <v>10403</v>
      </c>
      <c r="C681" s="32">
        <v>10.3</v>
      </c>
      <c r="D681" s="30">
        <v>0.09</v>
      </c>
      <c r="E681" s="31">
        <v>8.8100000000000001E-3</v>
      </c>
      <c r="F681" s="30">
        <v>407171875</v>
      </c>
      <c r="G681" s="30" t="s">
        <v>5427</v>
      </c>
      <c r="H681" s="30">
        <v>2021</v>
      </c>
      <c r="I681" s="30">
        <v>2359</v>
      </c>
      <c r="J681" s="30" t="s">
        <v>5435</v>
      </c>
      <c r="K681" s="30" t="s">
        <v>5482</v>
      </c>
    </row>
    <row r="682" spans="1:11" x14ac:dyDescent="0.35">
      <c r="A682" s="30" t="s">
        <v>10404</v>
      </c>
      <c r="B682" s="30" t="s">
        <v>10405</v>
      </c>
      <c r="C682" s="32">
        <v>18.95</v>
      </c>
      <c r="D682" s="30">
        <v>0.02</v>
      </c>
      <c r="E682" s="31">
        <v>1.06E-3</v>
      </c>
      <c r="F682" s="30">
        <v>2518231561</v>
      </c>
      <c r="G682" s="30" t="s">
        <v>5427</v>
      </c>
      <c r="H682" s="30">
        <v>2020</v>
      </c>
      <c r="I682" s="30">
        <v>1010933</v>
      </c>
      <c r="J682" s="30" t="s">
        <v>5219</v>
      </c>
      <c r="K682" s="30" t="s">
        <v>5812</v>
      </c>
    </row>
    <row r="683" spans="1:11" x14ac:dyDescent="0.35">
      <c r="A683" s="30" t="s">
        <v>10406</v>
      </c>
      <c r="B683" s="30" t="s">
        <v>10407</v>
      </c>
      <c r="C683" s="32">
        <v>9.8000000000000007</v>
      </c>
      <c r="D683" s="30">
        <v>0.01</v>
      </c>
      <c r="E683" s="31">
        <v>1.0200000000000001E-3</v>
      </c>
      <c r="F683" s="30">
        <v>485623712</v>
      </c>
      <c r="G683" s="30" t="s">
        <v>5583</v>
      </c>
      <c r="H683" s="30">
        <v>2021</v>
      </c>
      <c r="I683" s="30">
        <v>8979</v>
      </c>
      <c r="J683" s="30" t="s">
        <v>5219</v>
      </c>
      <c r="K683" s="30" t="s">
        <v>5447</v>
      </c>
    </row>
    <row r="684" spans="1:11" x14ac:dyDescent="0.35">
      <c r="A684" s="30" t="s">
        <v>10408</v>
      </c>
      <c r="B684" s="30" t="s">
        <v>10409</v>
      </c>
      <c r="C684" s="32">
        <v>82.7</v>
      </c>
      <c r="D684" s="30">
        <v>7.89</v>
      </c>
      <c r="E684" s="31">
        <v>0.10546999999999999</v>
      </c>
      <c r="F684" s="30">
        <v>26262198603</v>
      </c>
      <c r="G684" s="30" t="s">
        <v>5427</v>
      </c>
      <c r="H684" s="30">
        <v>2019</v>
      </c>
      <c r="I684" s="30">
        <v>7943769</v>
      </c>
      <c r="J684" s="30" t="s">
        <v>5219</v>
      </c>
      <c r="K684" s="30" t="s">
        <v>5447</v>
      </c>
    </row>
    <row r="685" spans="1:11" x14ac:dyDescent="0.35">
      <c r="A685" s="30" t="s">
        <v>10410</v>
      </c>
      <c r="B685" s="30" t="s">
        <v>10411</v>
      </c>
      <c r="C685" s="32">
        <v>10.350099999999999</v>
      </c>
      <c r="D685" s="30">
        <v>-9.7999999999999997E-3</v>
      </c>
      <c r="E685" s="31">
        <v>-9.5E-4</v>
      </c>
      <c r="F685" s="30">
        <v>112013957</v>
      </c>
      <c r="G685" s="30" t="s">
        <v>5427</v>
      </c>
      <c r="H685" s="30">
        <v>2022</v>
      </c>
      <c r="I685" s="30">
        <v>91047</v>
      </c>
      <c r="J685" s="30" t="s">
        <v>5435</v>
      </c>
      <c r="K685" s="30" t="s">
        <v>5482</v>
      </c>
    </row>
    <row r="686" spans="1:11" x14ac:dyDescent="0.35">
      <c r="A686" s="30" t="s">
        <v>10412</v>
      </c>
      <c r="B686" s="30" t="s">
        <v>10413</v>
      </c>
      <c r="C686" s="32">
        <v>11.92</v>
      </c>
      <c r="D686" s="30">
        <v>-0.1</v>
      </c>
      <c r="E686" s="31">
        <v>-8.3199999999999993E-3</v>
      </c>
      <c r="F686" s="30">
        <v>682220626</v>
      </c>
      <c r="G686" s="30" t="s">
        <v>5427</v>
      </c>
      <c r="H686" s="30"/>
      <c r="I686" s="30">
        <v>810369</v>
      </c>
      <c r="J686" s="30" t="s">
        <v>5442</v>
      </c>
      <c r="K686" s="30" t="s">
        <v>5441</v>
      </c>
    </row>
    <row r="687" spans="1:11" x14ac:dyDescent="0.35">
      <c r="A687" s="30" t="s">
        <v>10414</v>
      </c>
      <c r="B687" s="30" t="s">
        <v>10415</v>
      </c>
      <c r="C687" s="32">
        <v>7</v>
      </c>
      <c r="D687" s="30">
        <v>0.15</v>
      </c>
      <c r="E687" s="31">
        <v>2.1899999999999999E-2</v>
      </c>
      <c r="F687" s="30">
        <v>302909096</v>
      </c>
      <c r="G687" s="30" t="s">
        <v>5427</v>
      </c>
      <c r="H687" s="30">
        <v>2021</v>
      </c>
      <c r="I687" s="30">
        <v>49994</v>
      </c>
      <c r="J687" s="30" t="s">
        <v>5219</v>
      </c>
      <c r="K687" s="30" t="s">
        <v>5965</v>
      </c>
    </row>
    <row r="688" spans="1:11" x14ac:dyDescent="0.35">
      <c r="A688" s="30" t="s">
        <v>10416</v>
      </c>
      <c r="B688" s="30" t="s">
        <v>10417</v>
      </c>
      <c r="C688" s="32">
        <v>1.98</v>
      </c>
      <c r="D688" s="30">
        <v>0.04</v>
      </c>
      <c r="E688" s="31">
        <v>2.0619999999999999E-2</v>
      </c>
      <c r="F688" s="30">
        <v>55089170</v>
      </c>
      <c r="G688" s="30" t="s">
        <v>5515</v>
      </c>
      <c r="H688" s="30"/>
      <c r="I688" s="30">
        <v>298543</v>
      </c>
      <c r="J688" s="30"/>
      <c r="K688" s="30"/>
    </row>
    <row r="689" spans="1:11" x14ac:dyDescent="0.35">
      <c r="A689" s="30" t="s">
        <v>10418</v>
      </c>
      <c r="B689" s="30" t="s">
        <v>10419</v>
      </c>
      <c r="C689" s="32">
        <v>15.22</v>
      </c>
      <c r="D689" s="30">
        <v>0.04</v>
      </c>
      <c r="E689" s="31">
        <v>2.64E-3</v>
      </c>
      <c r="F689" s="30">
        <v>494164117</v>
      </c>
      <c r="G689" s="30" t="s">
        <v>5427</v>
      </c>
      <c r="H689" s="30"/>
      <c r="I689" s="30">
        <v>58937</v>
      </c>
      <c r="J689" s="30" t="s">
        <v>5435</v>
      </c>
      <c r="K689" s="30" t="s">
        <v>5493</v>
      </c>
    </row>
    <row r="690" spans="1:11" x14ac:dyDescent="0.35">
      <c r="A690" s="30" t="s">
        <v>10420</v>
      </c>
      <c r="B690" s="30" t="s">
        <v>10421</v>
      </c>
      <c r="C690" s="32">
        <v>15.2575</v>
      </c>
      <c r="D690" s="30">
        <v>-0.73250000000000004</v>
      </c>
      <c r="E690" s="31">
        <v>-4.5809999999999997E-2</v>
      </c>
      <c r="F690" s="30">
        <v>495381670</v>
      </c>
      <c r="G690" s="30" t="s">
        <v>5427</v>
      </c>
      <c r="H690" s="30">
        <v>1986</v>
      </c>
      <c r="I690" s="30">
        <v>1446</v>
      </c>
      <c r="J690" s="30" t="s">
        <v>5435</v>
      </c>
      <c r="K690" s="30" t="s">
        <v>5493</v>
      </c>
    </row>
    <row r="691" spans="1:11" x14ac:dyDescent="0.35">
      <c r="A691" s="30" t="s">
        <v>10422</v>
      </c>
      <c r="B691" s="30" t="s">
        <v>10423</v>
      </c>
      <c r="C691" s="32">
        <v>34.93</v>
      </c>
      <c r="D691" s="30">
        <v>0.94</v>
      </c>
      <c r="E691" s="31">
        <v>2.7660000000000001E-2</v>
      </c>
      <c r="F691" s="30">
        <v>1245832696</v>
      </c>
      <c r="G691" s="30" t="s">
        <v>5427</v>
      </c>
      <c r="H691" s="30">
        <v>1989</v>
      </c>
      <c r="I691" s="30">
        <v>372044</v>
      </c>
      <c r="J691" s="30" t="s">
        <v>5219</v>
      </c>
      <c r="K691" s="30" t="s">
        <v>7345</v>
      </c>
    </row>
    <row r="692" spans="1:11" x14ac:dyDescent="0.35">
      <c r="A692" s="30" t="s">
        <v>10424</v>
      </c>
      <c r="B692" s="30" t="s">
        <v>10425</v>
      </c>
      <c r="C692" s="32">
        <v>9.8701000000000008</v>
      </c>
      <c r="D692" s="30">
        <v>-9.9000000000000008E-3</v>
      </c>
      <c r="E692" s="31">
        <v>-1E-3</v>
      </c>
      <c r="F692" s="30">
        <v>531351977</v>
      </c>
      <c r="G692" s="30" t="s">
        <v>5427</v>
      </c>
      <c r="H692" s="30">
        <v>2021</v>
      </c>
      <c r="I692" s="30">
        <v>90832</v>
      </c>
      <c r="J692" s="30" t="s">
        <v>5435</v>
      </c>
      <c r="K692" s="30" t="s">
        <v>5482</v>
      </c>
    </row>
    <row r="693" spans="1:11" x14ac:dyDescent="0.35">
      <c r="A693" s="30" t="s">
        <v>10426</v>
      </c>
      <c r="B693" s="30" t="s">
        <v>10427</v>
      </c>
      <c r="C693" s="32">
        <v>13.01</v>
      </c>
      <c r="D693" s="30">
        <v>0.63</v>
      </c>
      <c r="E693" s="31">
        <v>5.0889999999999998E-2</v>
      </c>
      <c r="F693" s="30">
        <v>1367091607</v>
      </c>
      <c r="G693" s="30" t="s">
        <v>5427</v>
      </c>
      <c r="H693" s="30">
        <v>2021</v>
      </c>
      <c r="I693" s="30">
        <v>706519</v>
      </c>
      <c r="J693" s="30" t="s">
        <v>5219</v>
      </c>
      <c r="K693" s="30" t="s">
        <v>5560</v>
      </c>
    </row>
    <row r="694" spans="1:11" x14ac:dyDescent="0.35">
      <c r="A694" s="30" t="s">
        <v>10428</v>
      </c>
      <c r="B694" s="30" t="s">
        <v>10429</v>
      </c>
      <c r="C694" s="32">
        <v>0.73370000000000002</v>
      </c>
      <c r="D694" s="30">
        <v>-5.7700000000000001E-2</v>
      </c>
      <c r="E694" s="31">
        <v>-7.2910000000000003E-2</v>
      </c>
      <c r="F694" s="30">
        <v>175870575</v>
      </c>
      <c r="G694" s="30" t="s">
        <v>5427</v>
      </c>
      <c r="H694" s="30"/>
      <c r="I694" s="30">
        <v>3036852</v>
      </c>
      <c r="J694" s="30" t="s">
        <v>5197</v>
      </c>
      <c r="K694" s="30" t="s">
        <v>5467</v>
      </c>
    </row>
    <row r="695" spans="1:11" x14ac:dyDescent="0.35">
      <c r="A695" s="30" t="s">
        <v>10430</v>
      </c>
      <c r="B695" s="30" t="s">
        <v>10431</v>
      </c>
      <c r="C695" s="32">
        <v>10.16</v>
      </c>
      <c r="D695" s="30">
        <v>0</v>
      </c>
      <c r="E695" s="31">
        <v>0</v>
      </c>
      <c r="F695" s="30">
        <v>393002414</v>
      </c>
      <c r="G695" s="30" t="s">
        <v>5427</v>
      </c>
      <c r="H695" s="30">
        <v>2021</v>
      </c>
      <c r="I695" s="30">
        <v>5322</v>
      </c>
      <c r="J695" s="30" t="s">
        <v>5435</v>
      </c>
      <c r="K695" s="30" t="s">
        <v>5482</v>
      </c>
    </row>
    <row r="696" spans="1:11" x14ac:dyDescent="0.35">
      <c r="A696" s="30" t="s">
        <v>10432</v>
      </c>
      <c r="B696" s="30" t="s">
        <v>10433</v>
      </c>
      <c r="C696" s="32">
        <v>10.26</v>
      </c>
      <c r="D696" s="30">
        <v>0.16</v>
      </c>
      <c r="E696" s="31">
        <v>1.584E-2</v>
      </c>
      <c r="F696" s="30">
        <v>442462500</v>
      </c>
      <c r="G696" s="30" t="s">
        <v>5427</v>
      </c>
      <c r="H696" s="30">
        <v>2021</v>
      </c>
      <c r="I696" s="30">
        <v>5086</v>
      </c>
      <c r="J696" s="30" t="s">
        <v>5457</v>
      </c>
      <c r="K696" s="30" t="s">
        <v>5571</v>
      </c>
    </row>
    <row r="697" spans="1:11" x14ac:dyDescent="0.35">
      <c r="A697" s="30" t="s">
        <v>10434</v>
      </c>
      <c r="B697" s="30" t="s">
        <v>10435</v>
      </c>
      <c r="C697" s="32">
        <v>186.4</v>
      </c>
      <c r="D697" s="30">
        <v>-2.0299999999999998</v>
      </c>
      <c r="E697" s="31">
        <v>-1.077E-2</v>
      </c>
      <c r="F697" s="30">
        <v>562155372</v>
      </c>
      <c r="G697" s="30" t="s">
        <v>5427</v>
      </c>
      <c r="H697" s="30"/>
      <c r="I697" s="30">
        <v>18525</v>
      </c>
      <c r="J697" s="30" t="s">
        <v>5435</v>
      </c>
      <c r="K697" s="30" t="s">
        <v>5434</v>
      </c>
    </row>
    <row r="698" spans="1:11" x14ac:dyDescent="0.35">
      <c r="A698" s="30" t="s">
        <v>10436</v>
      </c>
      <c r="B698" s="30" t="s">
        <v>10437</v>
      </c>
      <c r="C698" s="32">
        <v>6.22</v>
      </c>
      <c r="D698" s="30">
        <v>0.15</v>
      </c>
      <c r="E698" s="31">
        <v>2.4709999999999999E-2</v>
      </c>
      <c r="F698" s="30">
        <v>242149383</v>
      </c>
      <c r="G698" s="30" t="s">
        <v>5427</v>
      </c>
      <c r="H698" s="30">
        <v>2021</v>
      </c>
      <c r="I698" s="30">
        <v>220851</v>
      </c>
      <c r="J698" s="30" t="s">
        <v>5682</v>
      </c>
      <c r="K698" s="30" t="s">
        <v>5746</v>
      </c>
    </row>
    <row r="699" spans="1:11" x14ac:dyDescent="0.35">
      <c r="A699" s="30" t="s">
        <v>10438</v>
      </c>
      <c r="B699" s="30" t="s">
        <v>10439</v>
      </c>
      <c r="C699" s="32">
        <v>31.79</v>
      </c>
      <c r="D699" s="30">
        <v>0.02</v>
      </c>
      <c r="E699" s="31">
        <v>6.3000000000000003E-4</v>
      </c>
      <c r="F699" s="30">
        <v>1515202955</v>
      </c>
      <c r="G699" s="30" t="s">
        <v>5427</v>
      </c>
      <c r="H699" s="30">
        <v>2021</v>
      </c>
      <c r="I699" s="30">
        <v>295226</v>
      </c>
      <c r="J699" s="30" t="s">
        <v>5431</v>
      </c>
      <c r="K699" s="30" t="s">
        <v>5430</v>
      </c>
    </row>
    <row r="700" spans="1:11" x14ac:dyDescent="0.35">
      <c r="A700" s="30" t="s">
        <v>10440</v>
      </c>
      <c r="B700" s="30" t="s">
        <v>10441</v>
      </c>
      <c r="C700" s="32">
        <v>93.35</v>
      </c>
      <c r="D700" s="30">
        <v>4.16</v>
      </c>
      <c r="E700" s="31">
        <v>4.6640000000000001E-2</v>
      </c>
      <c r="F700" s="30">
        <v>4244597709</v>
      </c>
      <c r="G700" s="30" t="s">
        <v>5427</v>
      </c>
      <c r="H700" s="30"/>
      <c r="I700" s="30">
        <v>211045</v>
      </c>
      <c r="J700" s="30" t="s">
        <v>5219</v>
      </c>
      <c r="K700" s="30" t="s">
        <v>5526</v>
      </c>
    </row>
    <row r="701" spans="1:11" x14ac:dyDescent="0.35">
      <c r="A701" s="30" t="s">
        <v>10442</v>
      </c>
      <c r="B701" s="30" t="s">
        <v>10443</v>
      </c>
      <c r="C701" s="32">
        <v>10.164999999999999</v>
      </c>
      <c r="D701" s="30">
        <v>0.01</v>
      </c>
      <c r="E701" s="31">
        <v>9.7999999999999997E-4</v>
      </c>
      <c r="F701" s="30">
        <v>349421875</v>
      </c>
      <c r="G701" s="30" t="s">
        <v>5427</v>
      </c>
      <c r="H701" s="30">
        <v>2021</v>
      </c>
      <c r="I701" s="30">
        <v>623189</v>
      </c>
      <c r="J701" s="30" t="s">
        <v>5435</v>
      </c>
      <c r="K701" s="30" t="s">
        <v>5482</v>
      </c>
    </row>
    <row r="702" spans="1:11" x14ac:dyDescent="0.35">
      <c r="A702" s="30" t="s">
        <v>10444</v>
      </c>
      <c r="B702" s="30" t="s">
        <v>10445</v>
      </c>
      <c r="C702" s="32">
        <v>14.93</v>
      </c>
      <c r="D702" s="30">
        <v>0.54</v>
      </c>
      <c r="E702" s="31">
        <v>3.7530000000000001E-2</v>
      </c>
      <c r="F702" s="30">
        <v>7923447612</v>
      </c>
      <c r="G702" s="30" t="s">
        <v>5427</v>
      </c>
      <c r="H702" s="30">
        <v>1995</v>
      </c>
      <c r="I702" s="30">
        <v>4798720</v>
      </c>
      <c r="J702" s="30" t="s">
        <v>5442</v>
      </c>
      <c r="K702" s="30" t="s">
        <v>5520</v>
      </c>
    </row>
    <row r="703" spans="1:11" x14ac:dyDescent="0.35">
      <c r="A703" s="30" t="s">
        <v>10446</v>
      </c>
      <c r="B703" s="30" t="s">
        <v>10447</v>
      </c>
      <c r="C703" s="32">
        <v>313.74</v>
      </c>
      <c r="D703" s="30">
        <v>7.74</v>
      </c>
      <c r="E703" s="31">
        <v>2.529E-2</v>
      </c>
      <c r="F703" s="30">
        <v>432028137</v>
      </c>
      <c r="G703" s="30" t="s">
        <v>5427</v>
      </c>
      <c r="H703" s="30"/>
      <c r="I703" s="30">
        <v>2272</v>
      </c>
      <c r="J703" s="30" t="s">
        <v>5219</v>
      </c>
      <c r="K703" s="30" t="s">
        <v>5812</v>
      </c>
    </row>
    <row r="704" spans="1:11" x14ac:dyDescent="0.35">
      <c r="A704" s="30" t="s">
        <v>10448</v>
      </c>
      <c r="B704" s="30" t="s">
        <v>10449</v>
      </c>
      <c r="C704" s="32">
        <v>10.59</v>
      </c>
      <c r="D704" s="30">
        <v>-0.01</v>
      </c>
      <c r="E704" s="31">
        <v>-9.3999999999999997E-4</v>
      </c>
      <c r="F704" s="30">
        <v>158428253</v>
      </c>
      <c r="G704" s="30" t="s">
        <v>5775</v>
      </c>
      <c r="H704" s="30">
        <v>2021</v>
      </c>
      <c r="I704" s="30">
        <v>2287</v>
      </c>
      <c r="J704" s="30" t="s">
        <v>5457</v>
      </c>
      <c r="K704" s="30" t="s">
        <v>5571</v>
      </c>
    </row>
    <row r="705" spans="1:11" x14ac:dyDescent="0.35">
      <c r="A705" s="30" t="s">
        <v>10450</v>
      </c>
      <c r="B705" s="30" t="s">
        <v>10451</v>
      </c>
      <c r="C705" s="32">
        <v>16.48</v>
      </c>
      <c r="D705" s="30">
        <v>1.49</v>
      </c>
      <c r="E705" s="31">
        <v>9.9400000000000002E-2</v>
      </c>
      <c r="F705" s="30">
        <v>7397018913</v>
      </c>
      <c r="G705" s="30" t="s">
        <v>5427</v>
      </c>
      <c r="H705" s="30">
        <v>2019</v>
      </c>
      <c r="I705" s="30">
        <v>20490326</v>
      </c>
      <c r="J705" s="30" t="s">
        <v>5442</v>
      </c>
      <c r="K705" s="30" t="s">
        <v>9968</v>
      </c>
    </row>
    <row r="706" spans="1:11" x14ac:dyDescent="0.35">
      <c r="A706" s="30" t="s">
        <v>5050</v>
      </c>
      <c r="B706" s="30" t="s">
        <v>10452</v>
      </c>
      <c r="C706" s="32">
        <v>12.41</v>
      </c>
      <c r="D706" s="30">
        <v>0.1</v>
      </c>
      <c r="E706" s="31">
        <v>8.1200000000000005E-3</v>
      </c>
      <c r="F706" s="30">
        <v>170723985</v>
      </c>
      <c r="G706" s="30" t="s">
        <v>5427</v>
      </c>
      <c r="H706" s="30"/>
      <c r="I706" s="30">
        <v>39666</v>
      </c>
      <c r="J706" s="30" t="s">
        <v>5442</v>
      </c>
      <c r="K706" s="30" t="s">
        <v>5482</v>
      </c>
    </row>
    <row r="707" spans="1:11" x14ac:dyDescent="0.35">
      <c r="A707" s="30" t="s">
        <v>10453</v>
      </c>
      <c r="B707" s="30" t="s">
        <v>10454</v>
      </c>
      <c r="C707" s="32">
        <v>6.85</v>
      </c>
      <c r="D707" s="30">
        <v>0.2</v>
      </c>
      <c r="E707" s="31">
        <v>3.0079999999999999E-2</v>
      </c>
      <c r="F707" s="30">
        <v>228945529</v>
      </c>
      <c r="G707" s="30" t="s">
        <v>5427</v>
      </c>
      <c r="H707" s="30">
        <v>2015</v>
      </c>
      <c r="I707" s="30">
        <v>165256</v>
      </c>
      <c r="J707" s="30" t="s">
        <v>5442</v>
      </c>
      <c r="K707" s="30" t="s">
        <v>5534</v>
      </c>
    </row>
    <row r="708" spans="1:11" x14ac:dyDescent="0.35">
      <c r="A708" s="30" t="s">
        <v>10455</v>
      </c>
      <c r="B708" s="30" t="s">
        <v>10456</v>
      </c>
      <c r="C708" s="32">
        <v>153.54</v>
      </c>
      <c r="D708" s="30">
        <v>3.36</v>
      </c>
      <c r="E708" s="31">
        <v>2.2370000000000001E-2</v>
      </c>
      <c r="F708" s="30">
        <v>33960664906</v>
      </c>
      <c r="G708" s="30" t="s">
        <v>5427</v>
      </c>
      <c r="H708" s="30">
        <v>1995</v>
      </c>
      <c r="I708" s="30">
        <v>1316564</v>
      </c>
      <c r="J708" s="30" t="s">
        <v>5442</v>
      </c>
      <c r="K708" s="30" t="s">
        <v>5534</v>
      </c>
    </row>
    <row r="709" spans="1:11" x14ac:dyDescent="0.35">
      <c r="A709" s="30" t="s">
        <v>10457</v>
      </c>
      <c r="B709" s="30" t="s">
        <v>10458</v>
      </c>
      <c r="C709" s="32">
        <v>10.25</v>
      </c>
      <c r="D709" s="30">
        <v>-0.05</v>
      </c>
      <c r="E709" s="31">
        <v>-4.8500000000000001E-3</v>
      </c>
      <c r="F709" s="30">
        <v>168440300</v>
      </c>
      <c r="G709" s="30" t="s">
        <v>5427</v>
      </c>
      <c r="H709" s="30">
        <v>2021</v>
      </c>
      <c r="I709" s="30">
        <v>101</v>
      </c>
      <c r="J709" s="30" t="s">
        <v>5457</v>
      </c>
      <c r="K709" s="30" t="s">
        <v>5571</v>
      </c>
    </row>
    <row r="710" spans="1:11" x14ac:dyDescent="0.35">
      <c r="A710" s="30" t="s">
        <v>10459</v>
      </c>
      <c r="B710" s="30" t="s">
        <v>10460</v>
      </c>
      <c r="C710" s="32">
        <v>28.74</v>
      </c>
      <c r="D710" s="30">
        <v>-0.45</v>
      </c>
      <c r="E710" s="31">
        <v>-1.542E-2</v>
      </c>
      <c r="F710" s="30">
        <v>1102796709</v>
      </c>
      <c r="G710" s="30" t="s">
        <v>5427</v>
      </c>
      <c r="H710" s="30"/>
      <c r="I710" s="30">
        <v>98666</v>
      </c>
      <c r="J710" s="30" t="s">
        <v>5464</v>
      </c>
      <c r="K710" s="30" t="s">
        <v>5463</v>
      </c>
    </row>
    <row r="711" spans="1:11" x14ac:dyDescent="0.35">
      <c r="A711" s="30" t="s">
        <v>10461</v>
      </c>
      <c r="B711" s="30" t="s">
        <v>10462</v>
      </c>
      <c r="C711" s="32">
        <v>20.74</v>
      </c>
      <c r="D711" s="30">
        <v>0.76</v>
      </c>
      <c r="E711" s="31">
        <v>3.8039999999999997E-2</v>
      </c>
      <c r="F711" s="30">
        <v>415545707</v>
      </c>
      <c r="G711" s="30" t="s">
        <v>5427</v>
      </c>
      <c r="H711" s="30"/>
      <c r="I711" s="30">
        <v>100671</v>
      </c>
      <c r="J711" s="30" t="s">
        <v>5219</v>
      </c>
      <c r="K711" s="30" t="s">
        <v>5447</v>
      </c>
    </row>
    <row r="712" spans="1:11" x14ac:dyDescent="0.35">
      <c r="A712" s="30" t="s">
        <v>10463</v>
      </c>
      <c r="B712" s="30" t="s">
        <v>10464</v>
      </c>
      <c r="C712" s="32">
        <v>5.52</v>
      </c>
      <c r="D712" s="30">
        <v>0.12</v>
      </c>
      <c r="E712" s="31">
        <v>2.222E-2</v>
      </c>
      <c r="F712" s="30">
        <v>166785172</v>
      </c>
      <c r="G712" s="30" t="s">
        <v>5427</v>
      </c>
      <c r="H712" s="30">
        <v>2017</v>
      </c>
      <c r="I712" s="30">
        <v>761036</v>
      </c>
      <c r="J712" s="30" t="s">
        <v>5431</v>
      </c>
      <c r="K712" s="30" t="s">
        <v>6530</v>
      </c>
    </row>
    <row r="713" spans="1:11" x14ac:dyDescent="0.35">
      <c r="A713" s="30" t="s">
        <v>10465</v>
      </c>
      <c r="B713" s="30" t="s">
        <v>10466</v>
      </c>
      <c r="C713" s="32">
        <v>10.14</v>
      </c>
      <c r="D713" s="30">
        <v>0.01</v>
      </c>
      <c r="E713" s="31">
        <v>9.8999999999999999E-4</v>
      </c>
      <c r="F713" s="30">
        <v>323364600</v>
      </c>
      <c r="G713" s="30" t="s">
        <v>5427</v>
      </c>
      <c r="H713" s="30">
        <v>2021</v>
      </c>
      <c r="I713" s="30">
        <v>13470</v>
      </c>
      <c r="J713" s="30" t="s">
        <v>5435</v>
      </c>
      <c r="K713" s="30" t="s">
        <v>5482</v>
      </c>
    </row>
    <row r="714" spans="1:11" x14ac:dyDescent="0.35">
      <c r="A714" s="30" t="s">
        <v>10467</v>
      </c>
      <c r="B714" s="30" t="s">
        <v>10468</v>
      </c>
      <c r="C714" s="32">
        <v>10.11</v>
      </c>
      <c r="D714" s="30">
        <v>0</v>
      </c>
      <c r="E714" s="31">
        <v>0</v>
      </c>
      <c r="F714" s="30">
        <v>322407900</v>
      </c>
      <c r="G714" s="30" t="s">
        <v>5427</v>
      </c>
      <c r="H714" s="30">
        <v>2021</v>
      </c>
      <c r="I714" s="30">
        <v>10379</v>
      </c>
      <c r="J714" s="30" t="s">
        <v>5435</v>
      </c>
      <c r="K714" s="30" t="s">
        <v>5482</v>
      </c>
    </row>
    <row r="715" spans="1:11" x14ac:dyDescent="0.35">
      <c r="A715" s="30" t="s">
        <v>10469</v>
      </c>
      <c r="B715" s="30" t="s">
        <v>10470</v>
      </c>
      <c r="C715" s="32">
        <v>30.88</v>
      </c>
      <c r="D715" s="30">
        <v>0.61</v>
      </c>
      <c r="E715" s="31">
        <v>2.0150000000000001E-2</v>
      </c>
      <c r="F715" s="30">
        <v>4193926068</v>
      </c>
      <c r="G715" s="30" t="s">
        <v>5427</v>
      </c>
      <c r="H715" s="30">
        <v>2017</v>
      </c>
      <c r="I715" s="30">
        <v>656684</v>
      </c>
      <c r="J715" s="30" t="s">
        <v>5431</v>
      </c>
      <c r="K715" s="30" t="s">
        <v>6409</v>
      </c>
    </row>
    <row r="716" spans="1:11" x14ac:dyDescent="0.35">
      <c r="A716" s="30" t="s">
        <v>10471</v>
      </c>
      <c r="B716" s="30" t="s">
        <v>10472</v>
      </c>
      <c r="C716" s="32">
        <v>12.62</v>
      </c>
      <c r="D716" s="30">
        <v>0.42</v>
      </c>
      <c r="E716" s="31">
        <v>3.4430000000000002E-2</v>
      </c>
      <c r="F716" s="30">
        <v>2113056492</v>
      </c>
      <c r="G716" s="30" t="s">
        <v>5427</v>
      </c>
      <c r="H716" s="30">
        <v>2021</v>
      </c>
      <c r="I716" s="30">
        <v>654830</v>
      </c>
      <c r="J716" s="30" t="s">
        <v>5442</v>
      </c>
      <c r="K716" s="30" t="s">
        <v>5716</v>
      </c>
    </row>
    <row r="717" spans="1:11" x14ac:dyDescent="0.35">
      <c r="A717" s="30" t="s">
        <v>10473</v>
      </c>
      <c r="B717" s="30" t="s">
        <v>10474</v>
      </c>
      <c r="C717" s="32">
        <v>63</v>
      </c>
      <c r="D717" s="30">
        <v>2.36</v>
      </c>
      <c r="E717" s="31">
        <v>3.8920000000000003E-2</v>
      </c>
      <c r="F717" s="30">
        <v>12667671324</v>
      </c>
      <c r="G717" s="30" t="s">
        <v>5427</v>
      </c>
      <c r="H717" s="30">
        <v>2018</v>
      </c>
      <c r="I717" s="30">
        <v>3784613</v>
      </c>
      <c r="J717" s="30" t="s">
        <v>5219</v>
      </c>
      <c r="K717" s="30" t="s">
        <v>5447</v>
      </c>
    </row>
    <row r="718" spans="1:11" x14ac:dyDescent="0.35">
      <c r="A718" s="30" t="s">
        <v>10475</v>
      </c>
      <c r="B718" s="30" t="s">
        <v>10476</v>
      </c>
      <c r="C718" s="32">
        <v>17.489999999999998</v>
      </c>
      <c r="D718" s="30">
        <v>1.98</v>
      </c>
      <c r="E718" s="31">
        <v>0.12766</v>
      </c>
      <c r="F718" s="30">
        <v>604191455</v>
      </c>
      <c r="G718" s="30" t="s">
        <v>5427</v>
      </c>
      <c r="H718" s="30">
        <v>2018</v>
      </c>
      <c r="I718" s="30">
        <v>2497681</v>
      </c>
      <c r="J718" s="30" t="s">
        <v>5219</v>
      </c>
      <c r="K718" s="30" t="s">
        <v>5560</v>
      </c>
    </row>
    <row r="719" spans="1:11" x14ac:dyDescent="0.35">
      <c r="A719" s="30" t="s">
        <v>10477</v>
      </c>
      <c r="B719" s="30" t="s">
        <v>10478</v>
      </c>
      <c r="C719" s="32">
        <v>99.12</v>
      </c>
      <c r="D719" s="30">
        <v>2.06</v>
      </c>
      <c r="E719" s="31">
        <v>2.1219999999999999E-2</v>
      </c>
      <c r="F719" s="30">
        <v>3114209154</v>
      </c>
      <c r="G719" s="30" t="s">
        <v>5427</v>
      </c>
      <c r="H719" s="30"/>
      <c r="I719" s="30">
        <v>141005</v>
      </c>
      <c r="J719" s="30" t="s">
        <v>5442</v>
      </c>
      <c r="K719" s="30" t="s">
        <v>5853</v>
      </c>
    </row>
    <row r="720" spans="1:11" x14ac:dyDescent="0.35">
      <c r="A720" s="30" t="s">
        <v>10479</v>
      </c>
      <c r="B720" s="30" t="s">
        <v>10480</v>
      </c>
      <c r="C720" s="32">
        <v>10.33</v>
      </c>
      <c r="D720" s="30">
        <v>0</v>
      </c>
      <c r="E720" s="31">
        <v>0</v>
      </c>
      <c r="F720" s="30">
        <v>296987500</v>
      </c>
      <c r="G720" s="30" t="s">
        <v>5427</v>
      </c>
      <c r="H720" s="30">
        <v>2021</v>
      </c>
      <c r="I720" s="30">
        <v>50000</v>
      </c>
      <c r="J720" s="30" t="s">
        <v>5435</v>
      </c>
      <c r="K720" s="30" t="s">
        <v>5482</v>
      </c>
    </row>
    <row r="721" spans="1:11" x14ac:dyDescent="0.35">
      <c r="A721" s="30" t="s">
        <v>10481</v>
      </c>
      <c r="B721" s="30" t="s">
        <v>10482</v>
      </c>
      <c r="C721" s="32">
        <v>2.21</v>
      </c>
      <c r="D721" s="30">
        <v>0.04</v>
      </c>
      <c r="E721" s="31">
        <v>1.8429999999999998E-2</v>
      </c>
      <c r="F721" s="30">
        <v>74701384</v>
      </c>
      <c r="G721" s="30" t="s">
        <v>5515</v>
      </c>
      <c r="H721" s="30"/>
      <c r="I721" s="30">
        <v>1842093</v>
      </c>
      <c r="J721" s="30" t="s">
        <v>5442</v>
      </c>
      <c r="K721" s="30" t="s">
        <v>5965</v>
      </c>
    </row>
    <row r="722" spans="1:11" x14ac:dyDescent="0.35">
      <c r="A722" s="30" t="s">
        <v>10483</v>
      </c>
      <c r="B722" s="30" t="s">
        <v>10484</v>
      </c>
      <c r="C722" s="32">
        <v>5.24</v>
      </c>
      <c r="D722" s="30">
        <v>-0.51</v>
      </c>
      <c r="E722" s="31">
        <v>-8.8700000000000001E-2</v>
      </c>
      <c r="F722" s="30">
        <v>74292720</v>
      </c>
      <c r="G722" s="30" t="s">
        <v>5427</v>
      </c>
      <c r="H722" s="30">
        <v>2022</v>
      </c>
      <c r="I722" s="30">
        <v>791165</v>
      </c>
      <c r="J722" s="30" t="s">
        <v>5442</v>
      </c>
      <c r="K722" s="30" t="s">
        <v>5856</v>
      </c>
    </row>
    <row r="723" spans="1:11" x14ac:dyDescent="0.35">
      <c r="A723" s="30" t="s">
        <v>10485</v>
      </c>
      <c r="B723" s="30" t="s">
        <v>10486</v>
      </c>
      <c r="C723" s="32">
        <v>6.22</v>
      </c>
      <c r="D723" s="30">
        <v>-0.28999999999999998</v>
      </c>
      <c r="E723" s="31">
        <v>-4.4549999999999999E-2</v>
      </c>
      <c r="F723" s="30">
        <v>141728814</v>
      </c>
      <c r="G723" s="30" t="s">
        <v>5427</v>
      </c>
      <c r="H723" s="30">
        <v>2000</v>
      </c>
      <c r="I723" s="30">
        <v>37656</v>
      </c>
      <c r="J723" s="30" t="s">
        <v>5431</v>
      </c>
      <c r="K723" s="30" t="s">
        <v>5430</v>
      </c>
    </row>
    <row r="724" spans="1:11" x14ac:dyDescent="0.35">
      <c r="A724" s="30" t="s">
        <v>10487</v>
      </c>
      <c r="B724" s="30" t="s">
        <v>10488</v>
      </c>
      <c r="C724" s="32">
        <v>0.62</v>
      </c>
      <c r="D724" s="30">
        <v>-3.0099999999999998E-2</v>
      </c>
      <c r="E724" s="31">
        <v>-4.6300000000000001E-2</v>
      </c>
      <c r="F724" s="30">
        <v>60377082</v>
      </c>
      <c r="G724" s="30" t="s">
        <v>5515</v>
      </c>
      <c r="H724" s="30"/>
      <c r="I724" s="30">
        <v>87910</v>
      </c>
      <c r="J724" s="30"/>
      <c r="K724" s="30"/>
    </row>
    <row r="725" spans="1:11" x14ac:dyDescent="0.35">
      <c r="A725" s="30" t="s">
        <v>10489</v>
      </c>
      <c r="B725" s="30" t="s">
        <v>10490</v>
      </c>
      <c r="C725" s="32">
        <v>29.53</v>
      </c>
      <c r="D725" s="30">
        <v>0.34</v>
      </c>
      <c r="E725" s="31">
        <v>1.1650000000000001E-2</v>
      </c>
      <c r="F725" s="30">
        <v>4943441508</v>
      </c>
      <c r="G725" s="30" t="s">
        <v>5427</v>
      </c>
      <c r="H725" s="30">
        <v>2021</v>
      </c>
      <c r="I725" s="30">
        <v>415236</v>
      </c>
      <c r="J725" s="30"/>
      <c r="K725" s="30"/>
    </row>
    <row r="726" spans="1:11" x14ac:dyDescent="0.35">
      <c r="A726" s="30" t="s">
        <v>10491</v>
      </c>
      <c r="B726" s="30" t="s">
        <v>10492</v>
      </c>
      <c r="C726" s="32">
        <v>6.25</v>
      </c>
      <c r="D726" s="30">
        <v>0.18</v>
      </c>
      <c r="E726" s="31">
        <v>2.9649999999999999E-2</v>
      </c>
      <c r="F726" s="30">
        <v>2026974769</v>
      </c>
      <c r="G726" s="30" t="s">
        <v>5427</v>
      </c>
      <c r="H726" s="30">
        <v>2021</v>
      </c>
      <c r="I726" s="30">
        <v>904042</v>
      </c>
      <c r="J726" s="30" t="s">
        <v>5442</v>
      </c>
      <c r="K726" s="30" t="s">
        <v>5755</v>
      </c>
    </row>
    <row r="727" spans="1:11" x14ac:dyDescent="0.35">
      <c r="A727" s="30" t="s">
        <v>10493</v>
      </c>
      <c r="B727" s="30" t="s">
        <v>10494</v>
      </c>
      <c r="C727" s="32">
        <v>7.97</v>
      </c>
      <c r="D727" s="30">
        <v>0.12</v>
      </c>
      <c r="E727" s="31">
        <v>1.529E-2</v>
      </c>
      <c r="F727" s="30">
        <v>445603266</v>
      </c>
      <c r="G727" s="30" t="s">
        <v>5427</v>
      </c>
      <c r="H727" s="30">
        <v>2021</v>
      </c>
      <c r="I727" s="30">
        <v>343476</v>
      </c>
      <c r="J727" s="30" t="s">
        <v>5431</v>
      </c>
      <c r="K727" s="30" t="s">
        <v>5430</v>
      </c>
    </row>
    <row r="728" spans="1:11" x14ac:dyDescent="0.35">
      <c r="A728" s="30" t="s">
        <v>10495</v>
      </c>
      <c r="B728" s="30" t="s">
        <v>10496</v>
      </c>
      <c r="C728" s="32">
        <v>42.88</v>
      </c>
      <c r="D728" s="30">
        <v>1.58</v>
      </c>
      <c r="E728" s="31">
        <v>3.8260000000000002E-2</v>
      </c>
      <c r="F728" s="30">
        <v>845256435</v>
      </c>
      <c r="G728" s="30" t="s">
        <v>5427</v>
      </c>
      <c r="H728" s="30"/>
      <c r="I728" s="30">
        <v>20024</v>
      </c>
      <c r="J728" s="30" t="s">
        <v>5457</v>
      </c>
      <c r="K728" s="30" t="s">
        <v>5644</v>
      </c>
    </row>
    <row r="729" spans="1:11" x14ac:dyDescent="0.35">
      <c r="A729" s="30" t="s">
        <v>10497</v>
      </c>
      <c r="B729" s="30" t="s">
        <v>10498</v>
      </c>
      <c r="C729" s="32">
        <v>74.680000000000007</v>
      </c>
      <c r="D729" s="30">
        <v>1.66</v>
      </c>
      <c r="E729" s="31">
        <v>2.273E-2</v>
      </c>
      <c r="F729" s="30">
        <v>6334207792</v>
      </c>
      <c r="G729" s="30" t="s">
        <v>5515</v>
      </c>
      <c r="H729" s="30"/>
      <c r="I729" s="30">
        <v>136498</v>
      </c>
      <c r="J729" s="30"/>
      <c r="K729" s="30"/>
    </row>
    <row r="730" spans="1:11" x14ac:dyDescent="0.35">
      <c r="A730" s="30" t="s">
        <v>10499</v>
      </c>
      <c r="B730" s="30" t="s">
        <v>10500</v>
      </c>
      <c r="C730" s="32">
        <v>7.44</v>
      </c>
      <c r="D730" s="30">
        <v>0.46</v>
      </c>
      <c r="E730" s="31">
        <v>6.59E-2</v>
      </c>
      <c r="F730" s="30">
        <v>333870677</v>
      </c>
      <c r="G730" s="30" t="s">
        <v>5427</v>
      </c>
      <c r="H730" s="30">
        <v>2015</v>
      </c>
      <c r="I730" s="30">
        <v>372793</v>
      </c>
      <c r="J730" s="30"/>
      <c r="K730" s="30"/>
    </row>
    <row r="731" spans="1:11" x14ac:dyDescent="0.35">
      <c r="A731" s="30" t="s">
        <v>10501</v>
      </c>
      <c r="B731" s="30" t="s">
        <v>10502</v>
      </c>
      <c r="C731" s="32">
        <v>4.46</v>
      </c>
      <c r="D731" s="30">
        <v>-0.08</v>
      </c>
      <c r="E731" s="31">
        <v>-1.762E-2</v>
      </c>
      <c r="F731" s="30">
        <v>64491975</v>
      </c>
      <c r="G731" s="30" t="s">
        <v>5427</v>
      </c>
      <c r="H731" s="30">
        <v>2021</v>
      </c>
      <c r="I731" s="30">
        <v>50460</v>
      </c>
      <c r="J731" s="30" t="s">
        <v>5219</v>
      </c>
      <c r="K731" s="30" t="s">
        <v>5447</v>
      </c>
    </row>
    <row r="732" spans="1:11" x14ac:dyDescent="0.35">
      <c r="A732" s="30" t="s">
        <v>10503</v>
      </c>
      <c r="B732" s="30" t="s">
        <v>10504</v>
      </c>
      <c r="C732" s="32">
        <v>1.17</v>
      </c>
      <c r="D732" s="30">
        <v>0.01</v>
      </c>
      <c r="E732" s="31">
        <v>8.6199999999999992E-3</v>
      </c>
      <c r="F732" s="30">
        <v>129821977</v>
      </c>
      <c r="G732" s="30" t="s">
        <v>5427</v>
      </c>
      <c r="H732" s="30">
        <v>2019</v>
      </c>
      <c r="I732" s="30">
        <v>368596</v>
      </c>
      <c r="J732" s="30" t="s">
        <v>5431</v>
      </c>
      <c r="K732" s="30" t="s">
        <v>5430</v>
      </c>
    </row>
    <row r="733" spans="1:11" x14ac:dyDescent="0.35">
      <c r="A733" s="30" t="s">
        <v>10505</v>
      </c>
      <c r="B733" s="30" t="s">
        <v>10506</v>
      </c>
      <c r="C733" s="32">
        <v>10.115</v>
      </c>
      <c r="D733" s="30">
        <v>-5.0000000000000001E-3</v>
      </c>
      <c r="E733" s="31">
        <v>-4.8999999999999998E-4</v>
      </c>
      <c r="F733" s="30">
        <v>421669063</v>
      </c>
      <c r="G733" s="30" t="s">
        <v>5427</v>
      </c>
      <c r="H733" s="30">
        <v>2021</v>
      </c>
      <c r="I733" s="30">
        <v>8017</v>
      </c>
      <c r="J733" s="30" t="s">
        <v>5457</v>
      </c>
      <c r="K733" s="30" t="s">
        <v>5571</v>
      </c>
    </row>
    <row r="734" spans="1:11" x14ac:dyDescent="0.35">
      <c r="A734" s="30" t="s">
        <v>10507</v>
      </c>
      <c r="B734" s="30" t="s">
        <v>10508</v>
      </c>
      <c r="C734" s="32">
        <v>10.335000000000001</v>
      </c>
      <c r="D734" s="30">
        <v>-1.4999999999999999E-2</v>
      </c>
      <c r="E734" s="31">
        <v>-1.4499999999999999E-3</v>
      </c>
      <c r="F734" s="30">
        <v>92712939</v>
      </c>
      <c r="G734" s="30" t="s">
        <v>5427</v>
      </c>
      <c r="H734" s="30">
        <v>2021</v>
      </c>
      <c r="I734" s="30">
        <v>3023</v>
      </c>
      <c r="J734" s="30" t="s">
        <v>5457</v>
      </c>
      <c r="K734" s="30" t="s">
        <v>5571</v>
      </c>
    </row>
    <row r="735" spans="1:11" x14ac:dyDescent="0.35">
      <c r="A735" s="30" t="s">
        <v>10509</v>
      </c>
      <c r="B735" s="30" t="s">
        <v>10510</v>
      </c>
      <c r="C735" s="32">
        <v>9.9499999999999993</v>
      </c>
      <c r="D735" s="30">
        <v>0</v>
      </c>
      <c r="E735" s="31">
        <v>0</v>
      </c>
      <c r="F735" s="30">
        <v>54670812</v>
      </c>
      <c r="G735" s="30" t="s">
        <v>5427</v>
      </c>
      <c r="H735" s="30">
        <v>2021</v>
      </c>
      <c r="I735" s="30">
        <v>22</v>
      </c>
      <c r="J735" s="30" t="s">
        <v>5457</v>
      </c>
      <c r="K735" s="30" t="s">
        <v>5571</v>
      </c>
    </row>
    <row r="736" spans="1:11" x14ac:dyDescent="0.35">
      <c r="A736" s="30" t="s">
        <v>10511</v>
      </c>
      <c r="B736" s="30" t="s">
        <v>10512</v>
      </c>
      <c r="C736" s="32">
        <v>97.42</v>
      </c>
      <c r="D736" s="30">
        <v>1.93</v>
      </c>
      <c r="E736" s="31">
        <v>2.0209999999999999E-2</v>
      </c>
      <c r="F736" s="30">
        <v>3913335779</v>
      </c>
      <c r="G736" s="30" t="s">
        <v>5427</v>
      </c>
      <c r="H736" s="30">
        <v>2021</v>
      </c>
      <c r="I736" s="30">
        <v>329875</v>
      </c>
      <c r="J736" s="30" t="s">
        <v>5219</v>
      </c>
      <c r="K736" s="30" t="s">
        <v>5560</v>
      </c>
    </row>
    <row r="737" spans="1:11" x14ac:dyDescent="0.35">
      <c r="A737" s="30" t="s">
        <v>5051</v>
      </c>
      <c r="B737" s="30" t="s">
        <v>10513</v>
      </c>
      <c r="C737" s="32">
        <v>11.4</v>
      </c>
      <c r="D737" s="30">
        <v>0.02</v>
      </c>
      <c r="E737" s="31">
        <v>1.7600000000000001E-3</v>
      </c>
      <c r="F737" s="30">
        <v>1454467621</v>
      </c>
      <c r="G737" s="30" t="s">
        <v>5427</v>
      </c>
      <c r="H737" s="30">
        <v>2004</v>
      </c>
      <c r="I737" s="30">
        <v>1461627</v>
      </c>
      <c r="J737" s="30" t="s">
        <v>5431</v>
      </c>
      <c r="K737" s="30" t="s">
        <v>5430</v>
      </c>
    </row>
    <row r="738" spans="1:11" x14ac:dyDescent="0.35">
      <c r="A738" s="30" t="s">
        <v>10514</v>
      </c>
      <c r="B738" s="30" t="s">
        <v>10515</v>
      </c>
      <c r="C738" s="32">
        <v>15.34</v>
      </c>
      <c r="D738" s="30">
        <v>0.03</v>
      </c>
      <c r="E738" s="31">
        <v>1.9599999999999999E-3</v>
      </c>
      <c r="F738" s="30">
        <v>570874020</v>
      </c>
      <c r="G738" s="30" t="s">
        <v>5427</v>
      </c>
      <c r="H738" s="30">
        <v>2021</v>
      </c>
      <c r="I738" s="30">
        <v>327705</v>
      </c>
      <c r="J738" s="30" t="s">
        <v>5457</v>
      </c>
      <c r="K738" s="30" t="s">
        <v>5571</v>
      </c>
    </row>
    <row r="739" spans="1:11" x14ac:dyDescent="0.35">
      <c r="A739" s="30" t="s">
        <v>10516</v>
      </c>
      <c r="B739" s="30" t="s">
        <v>10517</v>
      </c>
      <c r="C739" s="32">
        <v>107.71</v>
      </c>
      <c r="D739" s="30">
        <v>0.62</v>
      </c>
      <c r="E739" s="31">
        <v>5.79E-3</v>
      </c>
      <c r="F739" s="30">
        <v>41603862644</v>
      </c>
      <c r="G739" s="30" t="s">
        <v>5427</v>
      </c>
      <c r="H739" s="30">
        <v>2005</v>
      </c>
      <c r="I739" s="30">
        <v>2894342</v>
      </c>
      <c r="J739" s="30" t="s">
        <v>5431</v>
      </c>
      <c r="K739" s="30" t="s">
        <v>5610</v>
      </c>
    </row>
    <row r="740" spans="1:11" x14ac:dyDescent="0.35">
      <c r="A740" s="30" t="s">
        <v>10518</v>
      </c>
      <c r="B740" s="30" t="s">
        <v>10519</v>
      </c>
      <c r="C740" s="32">
        <v>7.39</v>
      </c>
      <c r="D740" s="30">
        <v>0.26</v>
      </c>
      <c r="E740" s="31">
        <v>3.6470000000000002E-2</v>
      </c>
      <c r="F740" s="30">
        <v>461647824</v>
      </c>
      <c r="G740" s="30" t="s">
        <v>5427</v>
      </c>
      <c r="H740" s="30"/>
      <c r="I740" s="30">
        <v>567955</v>
      </c>
      <c r="J740" s="30" t="s">
        <v>5442</v>
      </c>
      <c r="K740" s="30" t="s">
        <v>7318</v>
      </c>
    </row>
    <row r="741" spans="1:11" x14ac:dyDescent="0.35">
      <c r="A741" s="30" t="s">
        <v>10520</v>
      </c>
      <c r="B741" s="30" t="s">
        <v>10521</v>
      </c>
      <c r="C741" s="32">
        <v>30.56</v>
      </c>
      <c r="D741" s="30">
        <v>0.26</v>
      </c>
      <c r="E741" s="31">
        <v>8.5800000000000008E-3</v>
      </c>
      <c r="F741" s="30">
        <v>573449629</v>
      </c>
      <c r="G741" s="30" t="s">
        <v>5427</v>
      </c>
      <c r="H741" s="30"/>
      <c r="I741" s="30">
        <v>48542</v>
      </c>
      <c r="J741" s="30" t="s">
        <v>5457</v>
      </c>
      <c r="K741" s="30" t="s">
        <v>5644</v>
      </c>
    </row>
    <row r="742" spans="1:11" x14ac:dyDescent="0.35">
      <c r="A742" s="30" t="s">
        <v>10522</v>
      </c>
      <c r="B742" s="30" t="s">
        <v>10523</v>
      </c>
      <c r="C742" s="32">
        <v>1.82</v>
      </c>
      <c r="D742" s="30">
        <v>0.05</v>
      </c>
      <c r="E742" s="31">
        <v>2.8250000000000001E-2</v>
      </c>
      <c r="F742" s="30">
        <v>51984842</v>
      </c>
      <c r="G742" s="30" t="s">
        <v>5427</v>
      </c>
      <c r="H742" s="30"/>
      <c r="I742" s="30">
        <v>25400</v>
      </c>
      <c r="J742" s="30" t="s">
        <v>5431</v>
      </c>
      <c r="K742" s="30" t="s">
        <v>6409</v>
      </c>
    </row>
    <row r="743" spans="1:11" x14ac:dyDescent="0.35">
      <c r="A743" s="30" t="s">
        <v>10524</v>
      </c>
      <c r="B743" s="30" t="s">
        <v>10525</v>
      </c>
      <c r="C743" s="32">
        <v>14.61</v>
      </c>
      <c r="D743" s="30">
        <v>0.01</v>
      </c>
      <c r="E743" s="31">
        <v>6.8000000000000005E-4</v>
      </c>
      <c r="F743" s="30">
        <v>761573892</v>
      </c>
      <c r="G743" s="30" t="s">
        <v>5427</v>
      </c>
      <c r="H743" s="30">
        <v>2020</v>
      </c>
      <c r="I743" s="30">
        <v>246598</v>
      </c>
      <c r="J743" s="30" t="s">
        <v>5431</v>
      </c>
      <c r="K743" s="30" t="s">
        <v>5685</v>
      </c>
    </row>
    <row r="744" spans="1:11" x14ac:dyDescent="0.35">
      <c r="A744" s="30" t="s">
        <v>10526</v>
      </c>
      <c r="B744" s="30" t="s">
        <v>10527</v>
      </c>
      <c r="C744" s="32">
        <v>12.89</v>
      </c>
      <c r="D744" s="30">
        <v>0.19</v>
      </c>
      <c r="E744" s="31">
        <v>1.4959999999999999E-2</v>
      </c>
      <c r="F744" s="30">
        <v>397488440</v>
      </c>
      <c r="G744" s="30" t="s">
        <v>5427</v>
      </c>
      <c r="H744" s="30"/>
      <c r="I744" s="30">
        <v>126626</v>
      </c>
      <c r="J744" s="30" t="s">
        <v>5426</v>
      </c>
      <c r="K744" s="30" t="s">
        <v>5520</v>
      </c>
    </row>
    <row r="745" spans="1:11" x14ac:dyDescent="0.35">
      <c r="A745" s="30" t="s">
        <v>10528</v>
      </c>
      <c r="B745" s="30" t="s">
        <v>10529</v>
      </c>
      <c r="C745" s="32">
        <v>116.76</v>
      </c>
      <c r="D745" s="30">
        <v>-11.92</v>
      </c>
      <c r="E745" s="31">
        <v>-9.2630000000000004E-2</v>
      </c>
      <c r="F745" s="30">
        <v>32235128122</v>
      </c>
      <c r="G745" s="30" t="s">
        <v>5427</v>
      </c>
      <c r="H745" s="30"/>
      <c r="I745" s="30">
        <v>14485335</v>
      </c>
      <c r="J745" s="30" t="s">
        <v>5442</v>
      </c>
      <c r="K745" s="30" t="s">
        <v>5641</v>
      </c>
    </row>
    <row r="746" spans="1:11" x14ac:dyDescent="0.35">
      <c r="A746" s="30" t="s">
        <v>10530</v>
      </c>
      <c r="B746" s="30" t="s">
        <v>10531</v>
      </c>
      <c r="C746" s="32">
        <v>10.15</v>
      </c>
      <c r="D746" s="30">
        <v>-0.04</v>
      </c>
      <c r="E746" s="31">
        <v>-3.9300000000000003E-3</v>
      </c>
      <c r="F746" s="30">
        <v>350175000</v>
      </c>
      <c r="G746" s="30" t="s">
        <v>5427</v>
      </c>
      <c r="H746" s="30">
        <v>2021</v>
      </c>
      <c r="I746" s="30">
        <v>602</v>
      </c>
      <c r="J746" s="30" t="s">
        <v>5457</v>
      </c>
      <c r="K746" s="30" t="s">
        <v>5571</v>
      </c>
    </row>
    <row r="747" spans="1:11" x14ac:dyDescent="0.35">
      <c r="A747" s="30" t="s">
        <v>10532</v>
      </c>
      <c r="B747" s="30" t="s">
        <v>10533</v>
      </c>
      <c r="C747" s="32">
        <v>11.58</v>
      </c>
      <c r="D747" s="30">
        <v>0.63</v>
      </c>
      <c r="E747" s="31">
        <v>5.7529999999999998E-2</v>
      </c>
      <c r="F747" s="30">
        <v>240016854</v>
      </c>
      <c r="G747" s="30" t="s">
        <v>5427</v>
      </c>
      <c r="H747" s="30">
        <v>2020</v>
      </c>
      <c r="I747" s="30">
        <v>101588</v>
      </c>
      <c r="J747" s="30" t="s">
        <v>5431</v>
      </c>
      <c r="K747" s="30" t="s">
        <v>5610</v>
      </c>
    </row>
    <row r="748" spans="1:11" x14ac:dyDescent="0.35">
      <c r="A748" s="30" t="s">
        <v>10534</v>
      </c>
      <c r="B748" s="30" t="s">
        <v>10535</v>
      </c>
      <c r="C748" s="32">
        <v>10.154999999999999</v>
      </c>
      <c r="D748" s="30">
        <v>5.0000000000000001E-3</v>
      </c>
      <c r="E748" s="31">
        <v>4.8999999999999998E-4</v>
      </c>
      <c r="F748" s="30">
        <v>166527539</v>
      </c>
      <c r="G748" s="30" t="s">
        <v>6073</v>
      </c>
      <c r="H748" s="30">
        <v>2021</v>
      </c>
      <c r="I748" s="30">
        <v>511632</v>
      </c>
      <c r="J748" s="30" t="s">
        <v>5435</v>
      </c>
      <c r="K748" s="30" t="s">
        <v>5482</v>
      </c>
    </row>
    <row r="749" spans="1:11" x14ac:dyDescent="0.35">
      <c r="A749" s="30" t="s">
        <v>10536</v>
      </c>
      <c r="B749" s="30" t="s">
        <v>10537</v>
      </c>
      <c r="C749" s="32">
        <v>50.4</v>
      </c>
      <c r="D749" s="30">
        <v>0.9</v>
      </c>
      <c r="E749" s="31">
        <v>1.8180000000000002E-2</v>
      </c>
      <c r="F749" s="30">
        <v>27350017985</v>
      </c>
      <c r="G749" s="30" t="s">
        <v>5427</v>
      </c>
      <c r="H749" s="30">
        <v>1998</v>
      </c>
      <c r="I749" s="30">
        <v>4564632</v>
      </c>
      <c r="J749" s="30" t="s">
        <v>5442</v>
      </c>
      <c r="K749" s="30" t="s">
        <v>5618</v>
      </c>
    </row>
    <row r="750" spans="1:11" x14ac:dyDescent="0.35">
      <c r="A750" s="30" t="s">
        <v>10538</v>
      </c>
      <c r="B750" s="30" t="s">
        <v>10539</v>
      </c>
      <c r="C750" s="32">
        <v>15.85</v>
      </c>
      <c r="D750" s="30">
        <v>-0.32</v>
      </c>
      <c r="E750" s="31">
        <v>-1.9789999999999999E-2</v>
      </c>
      <c r="F750" s="30">
        <v>2792327357</v>
      </c>
      <c r="G750" s="30" t="s">
        <v>5427</v>
      </c>
      <c r="H750" s="30">
        <v>2020</v>
      </c>
      <c r="I750" s="30">
        <v>986888</v>
      </c>
      <c r="J750" s="30" t="s">
        <v>5435</v>
      </c>
      <c r="K750" s="30" t="s">
        <v>5579</v>
      </c>
    </row>
    <row r="751" spans="1:11" x14ac:dyDescent="0.35">
      <c r="A751" s="30" t="s">
        <v>10540</v>
      </c>
      <c r="B751" s="30" t="s">
        <v>10541</v>
      </c>
      <c r="C751" s="32">
        <v>19.420000000000002</v>
      </c>
      <c r="D751" s="30">
        <v>0.36</v>
      </c>
      <c r="E751" s="31">
        <v>1.8890000000000001E-2</v>
      </c>
      <c r="F751" s="30">
        <v>600153719</v>
      </c>
      <c r="G751" s="30" t="s">
        <v>5427</v>
      </c>
      <c r="H751" s="30"/>
      <c r="I751" s="30">
        <v>478126</v>
      </c>
      <c r="J751" s="30" t="s">
        <v>5219</v>
      </c>
      <c r="K751" s="30" t="s">
        <v>5447</v>
      </c>
    </row>
    <row r="752" spans="1:11" x14ac:dyDescent="0.35">
      <c r="A752" s="30" t="s">
        <v>10542</v>
      </c>
      <c r="B752" s="30" t="s">
        <v>10543</v>
      </c>
      <c r="C752" s="32">
        <v>16.600000000000001</v>
      </c>
      <c r="D752" s="30">
        <v>-0.13</v>
      </c>
      <c r="E752" s="31">
        <v>-7.77E-3</v>
      </c>
      <c r="F752" s="30">
        <v>132900148</v>
      </c>
      <c r="G752" s="30" t="s">
        <v>5427</v>
      </c>
      <c r="H752" s="30">
        <v>2010</v>
      </c>
      <c r="I752" s="30">
        <v>8722</v>
      </c>
      <c r="J752" s="30" t="s">
        <v>5435</v>
      </c>
      <c r="K752" s="30" t="s">
        <v>6556</v>
      </c>
    </row>
    <row r="753" spans="1:11" x14ac:dyDescent="0.35">
      <c r="A753" s="30" t="s">
        <v>10544</v>
      </c>
      <c r="B753" s="30" t="s">
        <v>10545</v>
      </c>
      <c r="C753" s="32">
        <v>35.479999999999997</v>
      </c>
      <c r="D753" s="30">
        <v>-0.06</v>
      </c>
      <c r="E753" s="31">
        <v>-1.6900000000000001E-3</v>
      </c>
      <c r="F753" s="30">
        <v>430497148</v>
      </c>
      <c r="G753" s="30" t="s">
        <v>5427</v>
      </c>
      <c r="H753" s="30"/>
      <c r="I753" s="30">
        <v>65030</v>
      </c>
      <c r="J753" s="30" t="s">
        <v>5435</v>
      </c>
      <c r="K753" s="30" t="s">
        <v>5579</v>
      </c>
    </row>
    <row r="754" spans="1:11" x14ac:dyDescent="0.35">
      <c r="A754" s="30" t="s">
        <v>10546</v>
      </c>
      <c r="B754" s="30" t="s">
        <v>10547</v>
      </c>
      <c r="C754" s="32">
        <v>15.78</v>
      </c>
      <c r="D754" s="30">
        <v>0.03</v>
      </c>
      <c r="E754" s="31">
        <v>1.9E-3</v>
      </c>
      <c r="F754" s="30">
        <v>144785398</v>
      </c>
      <c r="G754" s="30" t="s">
        <v>5427</v>
      </c>
      <c r="H754" s="30">
        <v>2022</v>
      </c>
      <c r="I754" s="30">
        <v>9396</v>
      </c>
      <c r="J754" s="30" t="s">
        <v>5435</v>
      </c>
      <c r="K754" s="30" t="s">
        <v>6698</v>
      </c>
    </row>
    <row r="755" spans="1:11" x14ac:dyDescent="0.35">
      <c r="A755" s="30" t="s">
        <v>10548</v>
      </c>
      <c r="B755" s="30" t="s">
        <v>10549</v>
      </c>
      <c r="C755" s="32">
        <v>55.29</v>
      </c>
      <c r="D755" s="30">
        <v>-0.43</v>
      </c>
      <c r="E755" s="31">
        <v>-7.7200000000000003E-3</v>
      </c>
      <c r="F755" s="30">
        <v>1292998007</v>
      </c>
      <c r="G755" s="30" t="s">
        <v>5427</v>
      </c>
      <c r="H755" s="30"/>
      <c r="I755" s="30">
        <v>355419</v>
      </c>
      <c r="J755" s="30"/>
      <c r="K755" s="30"/>
    </row>
    <row r="756" spans="1:11" x14ac:dyDescent="0.35">
      <c r="A756" s="30" t="s">
        <v>10550</v>
      </c>
      <c r="B756" s="30" t="s">
        <v>10551</v>
      </c>
      <c r="C756" s="32">
        <v>10.65</v>
      </c>
      <c r="D756" s="30">
        <v>-0.35</v>
      </c>
      <c r="E756" s="31">
        <v>-3.1820000000000001E-2</v>
      </c>
      <c r="F756" s="30">
        <v>384947477</v>
      </c>
      <c r="G756" s="30" t="s">
        <v>5847</v>
      </c>
      <c r="H756" s="30">
        <v>1997</v>
      </c>
      <c r="I756" s="30">
        <v>36742</v>
      </c>
      <c r="J756" s="30" t="s">
        <v>5431</v>
      </c>
      <c r="K756" s="30" t="s">
        <v>6537</v>
      </c>
    </row>
    <row r="757" spans="1:11" x14ac:dyDescent="0.35">
      <c r="A757" s="30" t="s">
        <v>10552</v>
      </c>
      <c r="B757" s="30" t="s">
        <v>10553</v>
      </c>
      <c r="C757" s="32">
        <v>10.41</v>
      </c>
      <c r="D757" s="30">
        <v>0.52</v>
      </c>
      <c r="E757" s="31">
        <v>5.2580000000000002E-2</v>
      </c>
      <c r="F757" s="30">
        <v>715822414</v>
      </c>
      <c r="G757" s="30" t="s">
        <v>5427</v>
      </c>
      <c r="H757" s="30">
        <v>2016</v>
      </c>
      <c r="I757" s="30">
        <v>2433594</v>
      </c>
      <c r="J757" s="30" t="s">
        <v>5431</v>
      </c>
      <c r="K757" s="30" t="s">
        <v>5430</v>
      </c>
    </row>
    <row r="758" spans="1:11" x14ac:dyDescent="0.35">
      <c r="A758" s="30" t="s">
        <v>10554</v>
      </c>
      <c r="B758" s="30" t="s">
        <v>10555</v>
      </c>
      <c r="C758" s="32">
        <v>115.45</v>
      </c>
      <c r="D758" s="30">
        <v>2.77</v>
      </c>
      <c r="E758" s="31">
        <v>2.4580000000000001E-2</v>
      </c>
      <c r="F758" s="30">
        <v>5725613100</v>
      </c>
      <c r="G758" s="30" t="s">
        <v>5427</v>
      </c>
      <c r="H758" s="30">
        <v>1997</v>
      </c>
      <c r="I758" s="30">
        <v>256031</v>
      </c>
      <c r="J758" s="30" t="s">
        <v>5219</v>
      </c>
      <c r="K758" s="30" t="s">
        <v>5447</v>
      </c>
    </row>
    <row r="759" spans="1:11" x14ac:dyDescent="0.35">
      <c r="A759" s="30" t="s">
        <v>10556</v>
      </c>
      <c r="B759" s="30" t="s">
        <v>10557</v>
      </c>
      <c r="C759" s="32">
        <v>10.16</v>
      </c>
      <c r="D759" s="30">
        <v>0.03</v>
      </c>
      <c r="E759" s="31">
        <v>2.96E-3</v>
      </c>
      <c r="F759" s="30">
        <v>148666200</v>
      </c>
      <c r="G759" s="30" t="s">
        <v>5427</v>
      </c>
      <c r="H759" s="30">
        <v>2022</v>
      </c>
      <c r="I759" s="30">
        <v>9822</v>
      </c>
      <c r="J759" s="30" t="s">
        <v>5457</v>
      </c>
      <c r="K759" s="30" t="s">
        <v>5571</v>
      </c>
    </row>
    <row r="760" spans="1:11" x14ac:dyDescent="0.35">
      <c r="A760" s="30" t="s">
        <v>10558</v>
      </c>
      <c r="B760" s="30" t="s">
        <v>10559</v>
      </c>
      <c r="C760" s="32">
        <v>53.58</v>
      </c>
      <c r="D760" s="30">
        <v>0.26</v>
      </c>
      <c r="E760" s="31">
        <v>4.8799999999999998E-3</v>
      </c>
      <c r="F760" s="30">
        <v>1996015740</v>
      </c>
      <c r="G760" s="30" t="s">
        <v>5427</v>
      </c>
      <c r="H760" s="30"/>
      <c r="I760" s="30">
        <v>171892</v>
      </c>
      <c r="J760" s="30" t="s">
        <v>5435</v>
      </c>
      <c r="K760" s="30" t="s">
        <v>5579</v>
      </c>
    </row>
    <row r="761" spans="1:11" x14ac:dyDescent="0.35">
      <c r="A761" s="30" t="s">
        <v>10560</v>
      </c>
      <c r="B761" s="30" t="s">
        <v>10561</v>
      </c>
      <c r="C761" s="32">
        <v>9.82</v>
      </c>
      <c r="D761" s="30">
        <v>0.1</v>
      </c>
      <c r="E761" s="31">
        <v>1.0290000000000001E-2</v>
      </c>
      <c r="F761" s="30">
        <v>313910195</v>
      </c>
      <c r="G761" s="30" t="s">
        <v>5427</v>
      </c>
      <c r="H761" s="30">
        <v>1999</v>
      </c>
      <c r="I761" s="30">
        <v>32501</v>
      </c>
      <c r="J761" s="30" t="s">
        <v>5219</v>
      </c>
      <c r="K761" s="30" t="s">
        <v>5560</v>
      </c>
    </row>
    <row r="762" spans="1:11" x14ac:dyDescent="0.35">
      <c r="A762" s="30" t="s">
        <v>10562</v>
      </c>
      <c r="B762" s="30" t="s">
        <v>10563</v>
      </c>
      <c r="C762" s="32">
        <v>47.71</v>
      </c>
      <c r="D762" s="30">
        <v>0.22</v>
      </c>
      <c r="E762" s="31">
        <v>4.6299999999999996E-3</v>
      </c>
      <c r="F762" s="30">
        <v>1495560742</v>
      </c>
      <c r="G762" s="30" t="s">
        <v>5427</v>
      </c>
      <c r="H762" s="30"/>
      <c r="I762" s="30">
        <v>217796</v>
      </c>
      <c r="J762" s="30" t="s">
        <v>5435</v>
      </c>
      <c r="K762" s="30" t="s">
        <v>5579</v>
      </c>
    </row>
    <row r="763" spans="1:11" x14ac:dyDescent="0.35">
      <c r="A763" s="30" t="s">
        <v>10564</v>
      </c>
      <c r="B763" s="30" t="s">
        <v>10565</v>
      </c>
      <c r="C763" s="32">
        <v>5.01</v>
      </c>
      <c r="D763" s="30">
        <v>0.3</v>
      </c>
      <c r="E763" s="31">
        <v>6.3689999999999997E-2</v>
      </c>
      <c r="F763" s="30">
        <v>559558388</v>
      </c>
      <c r="G763" s="30" t="s">
        <v>5427</v>
      </c>
      <c r="H763" s="30"/>
      <c r="I763" s="30">
        <v>2150369</v>
      </c>
      <c r="J763" s="30" t="s">
        <v>5219</v>
      </c>
      <c r="K763" s="30" t="s">
        <v>5447</v>
      </c>
    </row>
    <row r="764" spans="1:11" x14ac:dyDescent="0.35">
      <c r="A764" s="30" t="s">
        <v>10566</v>
      </c>
      <c r="B764" s="30" t="s">
        <v>10567</v>
      </c>
      <c r="C764" s="32">
        <v>1.57</v>
      </c>
      <c r="D764" s="30">
        <v>0</v>
      </c>
      <c r="E764" s="31">
        <v>0</v>
      </c>
      <c r="F764" s="30">
        <v>347888097</v>
      </c>
      <c r="G764" s="30" t="s">
        <v>5427</v>
      </c>
      <c r="H764" s="30">
        <v>2007</v>
      </c>
      <c r="I764" s="30">
        <v>645986</v>
      </c>
      <c r="J764" s="30" t="s">
        <v>5219</v>
      </c>
      <c r="K764" s="30" t="s">
        <v>6076</v>
      </c>
    </row>
    <row r="765" spans="1:11" x14ac:dyDescent="0.35">
      <c r="A765" s="30" t="s">
        <v>10568</v>
      </c>
      <c r="B765" s="30" t="s">
        <v>10569</v>
      </c>
      <c r="C765" s="32">
        <v>1</v>
      </c>
      <c r="D765" s="30">
        <v>0.12</v>
      </c>
      <c r="E765" s="31">
        <v>0.13636000000000001</v>
      </c>
      <c r="F765" s="30">
        <v>151055477</v>
      </c>
      <c r="G765" s="30" t="s">
        <v>5515</v>
      </c>
      <c r="H765" s="30"/>
      <c r="I765" s="30">
        <v>789131</v>
      </c>
      <c r="J765" s="30" t="s">
        <v>5682</v>
      </c>
      <c r="K765" s="30" t="s">
        <v>6734</v>
      </c>
    </row>
    <row r="766" spans="1:11" x14ac:dyDescent="0.35">
      <c r="A766" s="30" t="s">
        <v>10570</v>
      </c>
      <c r="B766" s="30" t="s">
        <v>10571</v>
      </c>
      <c r="C766" s="32">
        <v>33.6</v>
      </c>
      <c r="D766" s="30">
        <v>-0.34</v>
      </c>
      <c r="E766" s="31">
        <v>-1.0019999999999999E-2</v>
      </c>
      <c r="F766" s="30">
        <v>437332762</v>
      </c>
      <c r="G766" s="30" t="s">
        <v>5427</v>
      </c>
      <c r="H766" s="30">
        <v>2014</v>
      </c>
      <c r="I766" s="30">
        <v>98932</v>
      </c>
      <c r="J766" s="30" t="s">
        <v>5431</v>
      </c>
      <c r="K766" s="30" t="s">
        <v>5430</v>
      </c>
    </row>
    <row r="767" spans="1:11" x14ac:dyDescent="0.35">
      <c r="A767" s="30" t="s">
        <v>10572</v>
      </c>
      <c r="B767" s="30" t="s">
        <v>10573</v>
      </c>
      <c r="C767" s="32">
        <v>8.39</v>
      </c>
      <c r="D767" s="30">
        <v>0.09</v>
      </c>
      <c r="E767" s="31">
        <v>1.0840000000000001E-2</v>
      </c>
      <c r="F767" s="30">
        <v>230073273</v>
      </c>
      <c r="G767" s="30" t="s">
        <v>5427</v>
      </c>
      <c r="H767" s="30">
        <v>2006</v>
      </c>
      <c r="I767" s="30">
        <v>1066194</v>
      </c>
      <c r="J767" s="30" t="s">
        <v>5435</v>
      </c>
      <c r="K767" s="30" t="s">
        <v>6066</v>
      </c>
    </row>
    <row r="768" spans="1:11" x14ac:dyDescent="0.35">
      <c r="A768" s="30" t="s">
        <v>10574</v>
      </c>
      <c r="B768" s="30" t="s">
        <v>10575</v>
      </c>
      <c r="C768" s="32">
        <v>1.98</v>
      </c>
      <c r="D768" s="30">
        <v>0.08</v>
      </c>
      <c r="E768" s="31">
        <v>4.2110000000000002E-2</v>
      </c>
      <c r="F768" s="30">
        <v>87267082</v>
      </c>
      <c r="G768" s="30" t="s">
        <v>5427</v>
      </c>
      <c r="H768" s="30">
        <v>2014</v>
      </c>
      <c r="I768" s="30">
        <v>1077914</v>
      </c>
      <c r="J768" s="30" t="s">
        <v>5431</v>
      </c>
      <c r="K768" s="30" t="s">
        <v>6409</v>
      </c>
    </row>
    <row r="769" spans="1:11" x14ac:dyDescent="0.35">
      <c r="A769" s="30" t="s">
        <v>10576</v>
      </c>
      <c r="B769" s="30" t="s">
        <v>10577</v>
      </c>
      <c r="C769" s="32">
        <v>2.3214000000000001</v>
      </c>
      <c r="D769" s="30">
        <v>-1.8599999999999998E-2</v>
      </c>
      <c r="E769" s="31">
        <v>-7.9500000000000005E-3</v>
      </c>
      <c r="F769" s="30">
        <v>81642243</v>
      </c>
      <c r="G769" s="30" t="s">
        <v>5515</v>
      </c>
      <c r="H769" s="30"/>
      <c r="I769" s="30">
        <v>25361</v>
      </c>
      <c r="J769" s="30"/>
      <c r="K769" s="30"/>
    </row>
    <row r="770" spans="1:11" x14ac:dyDescent="0.35">
      <c r="A770" s="30" t="s">
        <v>10578</v>
      </c>
      <c r="B770" s="30" t="s">
        <v>10579</v>
      </c>
      <c r="C770" s="32">
        <v>3.49</v>
      </c>
      <c r="D770" s="30">
        <v>-0.01</v>
      </c>
      <c r="E770" s="31">
        <v>-2.8600000000000001E-3</v>
      </c>
      <c r="F770" s="30">
        <v>92721207</v>
      </c>
      <c r="G770" s="30" t="s">
        <v>5427</v>
      </c>
      <c r="H770" s="30">
        <v>2021</v>
      </c>
      <c r="I770" s="30">
        <v>2698</v>
      </c>
      <c r="J770" s="30" t="s">
        <v>5431</v>
      </c>
      <c r="K770" s="30" t="s">
        <v>5430</v>
      </c>
    </row>
    <row r="771" spans="1:11" x14ac:dyDescent="0.35">
      <c r="A771" s="30" t="s">
        <v>10580</v>
      </c>
      <c r="B771" s="30" t="s">
        <v>10581</v>
      </c>
      <c r="C771" s="32">
        <v>27.36</v>
      </c>
      <c r="D771" s="30">
        <v>0.97</v>
      </c>
      <c r="E771" s="31">
        <v>3.6760000000000001E-2</v>
      </c>
      <c r="F771" s="30">
        <v>1565201304</v>
      </c>
      <c r="G771" s="30" t="s">
        <v>5427</v>
      </c>
      <c r="H771" s="30"/>
      <c r="I771" s="30">
        <v>580714</v>
      </c>
      <c r="J771" s="30" t="s">
        <v>5431</v>
      </c>
      <c r="K771" s="30" t="s">
        <v>5685</v>
      </c>
    </row>
    <row r="772" spans="1:11" x14ac:dyDescent="0.35">
      <c r="A772" s="30" t="s">
        <v>10582</v>
      </c>
      <c r="B772" s="30" t="s">
        <v>10583</v>
      </c>
      <c r="C772" s="32">
        <v>4.95</v>
      </c>
      <c r="D772" s="30">
        <v>0.65</v>
      </c>
      <c r="E772" s="31">
        <v>0.15115999999999999</v>
      </c>
      <c r="F772" s="30">
        <v>115938271</v>
      </c>
      <c r="G772" s="30" t="s">
        <v>5427</v>
      </c>
      <c r="H772" s="30"/>
      <c r="I772" s="30">
        <v>446118</v>
      </c>
      <c r="J772" s="30" t="s">
        <v>5219</v>
      </c>
      <c r="K772" s="30" t="s">
        <v>5560</v>
      </c>
    </row>
    <row r="773" spans="1:11" x14ac:dyDescent="0.35">
      <c r="A773" s="30" t="s">
        <v>10584</v>
      </c>
      <c r="B773" s="30" t="s">
        <v>10585</v>
      </c>
      <c r="C773" s="32">
        <v>10.31</v>
      </c>
      <c r="D773" s="30">
        <v>0</v>
      </c>
      <c r="E773" s="31">
        <v>0</v>
      </c>
      <c r="F773" s="30">
        <v>99890982</v>
      </c>
      <c r="G773" s="30" t="s">
        <v>5427</v>
      </c>
      <c r="H773" s="30">
        <v>2022</v>
      </c>
      <c r="I773" s="30">
        <v>1053775</v>
      </c>
      <c r="J773" s="30" t="s">
        <v>5435</v>
      </c>
      <c r="K773" s="30" t="s">
        <v>5482</v>
      </c>
    </row>
    <row r="774" spans="1:11" x14ac:dyDescent="0.35">
      <c r="A774" s="30" t="s">
        <v>10586</v>
      </c>
      <c r="B774" s="30" t="s">
        <v>10587</v>
      </c>
      <c r="C774" s="32">
        <v>21.99</v>
      </c>
      <c r="D774" s="30">
        <v>0.28999999999999998</v>
      </c>
      <c r="E774" s="31">
        <v>1.336E-2</v>
      </c>
      <c r="F774" s="30">
        <v>136670555</v>
      </c>
      <c r="G774" s="30" t="s">
        <v>5427</v>
      </c>
      <c r="H774" s="30"/>
      <c r="I774" s="30">
        <v>13748</v>
      </c>
      <c r="J774" s="30" t="s">
        <v>5457</v>
      </c>
      <c r="K774" s="30" t="s">
        <v>5438</v>
      </c>
    </row>
    <row r="775" spans="1:11" x14ac:dyDescent="0.35">
      <c r="A775" s="30" t="s">
        <v>10588</v>
      </c>
      <c r="B775" s="30" t="s">
        <v>10589</v>
      </c>
      <c r="C775" s="32">
        <v>10.11</v>
      </c>
      <c r="D775" s="30">
        <v>0</v>
      </c>
      <c r="E775" s="31">
        <v>0</v>
      </c>
      <c r="F775" s="30">
        <v>348396302</v>
      </c>
      <c r="G775" s="30" t="s">
        <v>5427</v>
      </c>
      <c r="H775" s="30">
        <v>2022</v>
      </c>
      <c r="I775" s="30">
        <v>1074</v>
      </c>
      <c r="J775" s="30" t="s">
        <v>5457</v>
      </c>
      <c r="K775" s="30" t="s">
        <v>5571</v>
      </c>
    </row>
    <row r="776" spans="1:11" x14ac:dyDescent="0.35">
      <c r="A776" s="30" t="s">
        <v>10590</v>
      </c>
      <c r="B776" s="30" t="s">
        <v>10591</v>
      </c>
      <c r="C776" s="32">
        <v>10.18</v>
      </c>
      <c r="D776" s="30">
        <v>0</v>
      </c>
      <c r="E776" s="31">
        <v>0</v>
      </c>
      <c r="F776" s="30">
        <v>264629100</v>
      </c>
      <c r="G776" s="30" t="s">
        <v>5427</v>
      </c>
      <c r="H776" s="30">
        <v>2021</v>
      </c>
      <c r="I776" s="30">
        <v>4285</v>
      </c>
      <c r="J776" s="30" t="s">
        <v>5457</v>
      </c>
      <c r="K776" s="30" t="s">
        <v>5571</v>
      </c>
    </row>
    <row r="777" spans="1:11" x14ac:dyDescent="0.35">
      <c r="A777" s="30" t="s">
        <v>10592</v>
      </c>
      <c r="B777" s="30" t="s">
        <v>10593</v>
      </c>
      <c r="C777" s="32">
        <v>1.1200000000000001</v>
      </c>
      <c r="D777" s="30">
        <v>-0.1</v>
      </c>
      <c r="E777" s="31">
        <v>-8.1970000000000001E-2</v>
      </c>
      <c r="F777" s="30">
        <v>59303963</v>
      </c>
      <c r="G777" s="30" t="s">
        <v>5427</v>
      </c>
      <c r="H777" s="30"/>
      <c r="I777" s="30">
        <v>75404</v>
      </c>
      <c r="J777" s="30" t="s">
        <v>5431</v>
      </c>
      <c r="K777" s="30" t="s">
        <v>5430</v>
      </c>
    </row>
    <row r="778" spans="1:11" x14ac:dyDescent="0.35">
      <c r="A778" s="30" t="s">
        <v>10594</v>
      </c>
      <c r="B778" s="30" t="s">
        <v>10595</v>
      </c>
      <c r="C778" s="32">
        <v>227.14</v>
      </c>
      <c r="D778" s="30">
        <v>5.76</v>
      </c>
      <c r="E778" s="31">
        <v>2.6020000000000001E-2</v>
      </c>
      <c r="F778" s="30">
        <v>30873680144</v>
      </c>
      <c r="G778" s="30" t="s">
        <v>5427</v>
      </c>
      <c r="H778" s="30">
        <v>2012</v>
      </c>
      <c r="I778" s="30">
        <v>4133947</v>
      </c>
      <c r="J778" s="30" t="s">
        <v>5219</v>
      </c>
      <c r="K778" s="30" t="s">
        <v>5647</v>
      </c>
    </row>
    <row r="779" spans="1:11" x14ac:dyDescent="0.35">
      <c r="A779" s="30" t="s">
        <v>10596</v>
      </c>
      <c r="B779" s="30" t="s">
        <v>10597</v>
      </c>
      <c r="C779" s="32">
        <v>93.99</v>
      </c>
      <c r="D779" s="30">
        <v>0.74</v>
      </c>
      <c r="E779" s="31">
        <v>7.9399999999999991E-3</v>
      </c>
      <c r="F779" s="30">
        <v>5214965785</v>
      </c>
      <c r="G779" s="30" t="s">
        <v>5427</v>
      </c>
      <c r="H779" s="30">
        <v>2007</v>
      </c>
      <c r="I779" s="30">
        <v>272208</v>
      </c>
      <c r="J779" s="30" t="s">
        <v>5431</v>
      </c>
      <c r="K779" s="30" t="s">
        <v>5785</v>
      </c>
    </row>
    <row r="780" spans="1:11" x14ac:dyDescent="0.35">
      <c r="A780" s="30" t="s">
        <v>10598</v>
      </c>
      <c r="B780" s="30" t="s">
        <v>10599</v>
      </c>
      <c r="C780" s="32">
        <v>51.91</v>
      </c>
      <c r="D780" s="30">
        <v>-1.47</v>
      </c>
      <c r="E780" s="31">
        <v>-2.7539999999999999E-2</v>
      </c>
      <c r="F780" s="30">
        <v>1084214737</v>
      </c>
      <c r="G780" s="30" t="s">
        <v>5427</v>
      </c>
      <c r="H780" s="30">
        <v>2013</v>
      </c>
      <c r="I780" s="30">
        <v>132009</v>
      </c>
      <c r="J780" s="30" t="s">
        <v>5431</v>
      </c>
      <c r="K780" s="30" t="s">
        <v>9105</v>
      </c>
    </row>
    <row r="781" spans="1:11" x14ac:dyDescent="0.35">
      <c r="A781" s="30" t="s">
        <v>10600</v>
      </c>
      <c r="B781" s="30" t="s">
        <v>10601</v>
      </c>
      <c r="C781" s="32">
        <v>10.35</v>
      </c>
      <c r="D781" s="30">
        <v>0</v>
      </c>
      <c r="E781" s="31">
        <v>0</v>
      </c>
      <c r="F781" s="30">
        <v>395370000</v>
      </c>
      <c r="G781" s="30" t="s">
        <v>5427</v>
      </c>
      <c r="H781" s="30">
        <v>2021</v>
      </c>
      <c r="I781" s="30">
        <v>910</v>
      </c>
      <c r="J781" s="30" t="s">
        <v>5435</v>
      </c>
      <c r="K781" s="30" t="s">
        <v>5482</v>
      </c>
    </row>
    <row r="782" spans="1:11" x14ac:dyDescent="0.35">
      <c r="A782" s="30" t="s">
        <v>10602</v>
      </c>
      <c r="B782" s="30" t="s">
        <v>10603</v>
      </c>
      <c r="C782" s="32">
        <v>85.07</v>
      </c>
      <c r="D782" s="30">
        <v>4.3600000000000003</v>
      </c>
      <c r="E782" s="31">
        <v>5.4019999999999999E-2</v>
      </c>
      <c r="F782" s="30">
        <v>12678372061</v>
      </c>
      <c r="G782" s="30" t="s">
        <v>5427</v>
      </c>
      <c r="H782" s="30">
        <v>2000</v>
      </c>
      <c r="I782" s="30">
        <v>2183444</v>
      </c>
      <c r="J782" s="30" t="s">
        <v>5219</v>
      </c>
      <c r="K782" s="30" t="s">
        <v>5526</v>
      </c>
    </row>
    <row r="783" spans="1:11" x14ac:dyDescent="0.35">
      <c r="A783" s="30" t="s">
        <v>10604</v>
      </c>
      <c r="B783" s="30" t="s">
        <v>10605</v>
      </c>
      <c r="C783" s="32">
        <v>8.1999999999999993</v>
      </c>
      <c r="D783" s="30">
        <v>0.26</v>
      </c>
      <c r="E783" s="31">
        <v>3.2750000000000001E-2</v>
      </c>
      <c r="F783" s="30">
        <v>1288252529</v>
      </c>
      <c r="G783" s="30" t="s">
        <v>5427</v>
      </c>
      <c r="H783" s="30">
        <v>2021</v>
      </c>
      <c r="I783" s="30">
        <v>4106702</v>
      </c>
      <c r="J783" s="30" t="s">
        <v>5457</v>
      </c>
      <c r="K783" s="30" t="s">
        <v>5644</v>
      </c>
    </row>
    <row r="784" spans="1:11" x14ac:dyDescent="0.35">
      <c r="A784" s="30" t="s">
        <v>10606</v>
      </c>
      <c r="B784" s="30" t="s">
        <v>10607</v>
      </c>
      <c r="C784" s="32">
        <v>10.62</v>
      </c>
      <c r="D784" s="30">
        <v>0.23</v>
      </c>
      <c r="E784" s="31">
        <v>2.214E-2</v>
      </c>
      <c r="F784" s="30">
        <v>597338573</v>
      </c>
      <c r="G784" s="30" t="s">
        <v>5427</v>
      </c>
      <c r="H784" s="30">
        <v>2018</v>
      </c>
      <c r="I784" s="30">
        <v>340832</v>
      </c>
      <c r="J784" s="30" t="s">
        <v>5431</v>
      </c>
      <c r="K784" s="30" t="s">
        <v>5685</v>
      </c>
    </row>
    <row r="785" spans="1:11" x14ac:dyDescent="0.35">
      <c r="A785" s="30" t="s">
        <v>10608</v>
      </c>
      <c r="B785" s="30" t="s">
        <v>10609</v>
      </c>
      <c r="C785" s="32">
        <v>1.46</v>
      </c>
      <c r="D785" s="30">
        <v>-0.01</v>
      </c>
      <c r="E785" s="31">
        <v>-6.7999999999999996E-3</v>
      </c>
      <c r="F785" s="30">
        <v>120577857</v>
      </c>
      <c r="G785" s="30" t="s">
        <v>5427</v>
      </c>
      <c r="H785" s="30"/>
      <c r="I785" s="30">
        <v>1743367</v>
      </c>
      <c r="J785" s="30" t="s">
        <v>5219</v>
      </c>
      <c r="K785" s="30" t="s">
        <v>5965</v>
      </c>
    </row>
    <row r="786" spans="1:11" x14ac:dyDescent="0.35">
      <c r="A786" s="30" t="s">
        <v>10610</v>
      </c>
      <c r="B786" s="30" t="s">
        <v>10611</v>
      </c>
      <c r="C786" s="32">
        <v>2.76</v>
      </c>
      <c r="D786" s="30">
        <v>-0.08</v>
      </c>
      <c r="E786" s="31">
        <v>-2.8170000000000001E-2</v>
      </c>
      <c r="F786" s="30">
        <v>80063490</v>
      </c>
      <c r="G786" s="30" t="s">
        <v>5515</v>
      </c>
      <c r="H786" s="30"/>
      <c r="I786" s="30">
        <v>172937</v>
      </c>
      <c r="J786" s="30" t="s">
        <v>5431</v>
      </c>
      <c r="K786" s="30" t="s">
        <v>8643</v>
      </c>
    </row>
    <row r="787" spans="1:11" x14ac:dyDescent="0.35">
      <c r="A787" s="30" t="s">
        <v>10612</v>
      </c>
      <c r="B787" s="30" t="s">
        <v>10613</v>
      </c>
      <c r="C787" s="32">
        <v>5.85</v>
      </c>
      <c r="D787" s="30">
        <v>-0.06</v>
      </c>
      <c r="E787" s="31">
        <v>-1.0149999999999999E-2</v>
      </c>
      <c r="F787" s="30">
        <v>135235292</v>
      </c>
      <c r="G787" s="30" t="s">
        <v>5427</v>
      </c>
      <c r="H787" s="30"/>
      <c r="I787" s="30">
        <v>361030</v>
      </c>
      <c r="J787" s="30"/>
      <c r="K787" s="30"/>
    </row>
    <row r="788" spans="1:11" x14ac:dyDescent="0.35">
      <c r="A788" s="30" t="s">
        <v>10614</v>
      </c>
      <c r="B788" s="30" t="s">
        <v>10615</v>
      </c>
      <c r="C788" s="32">
        <v>29.96</v>
      </c>
      <c r="D788" s="30">
        <v>0.11</v>
      </c>
      <c r="E788" s="31">
        <v>3.6900000000000001E-3</v>
      </c>
      <c r="F788" s="30">
        <v>477266156</v>
      </c>
      <c r="G788" s="30" t="s">
        <v>5427</v>
      </c>
      <c r="H788" s="30">
        <v>2015</v>
      </c>
      <c r="I788" s="30">
        <v>58615</v>
      </c>
      <c r="J788" s="30" t="s">
        <v>5435</v>
      </c>
      <c r="K788" s="30" t="s">
        <v>5598</v>
      </c>
    </row>
    <row r="789" spans="1:11" x14ac:dyDescent="0.35">
      <c r="A789" s="30" t="s">
        <v>10616</v>
      </c>
      <c r="B789" s="30" t="s">
        <v>10617</v>
      </c>
      <c r="C789" s="32">
        <v>738.13</v>
      </c>
      <c r="D789" s="30">
        <v>0</v>
      </c>
      <c r="E789" s="31">
        <v>0</v>
      </c>
      <c r="F789" s="30">
        <v>68305158825</v>
      </c>
      <c r="G789" s="30" t="s">
        <v>5427</v>
      </c>
      <c r="H789" s="30">
        <v>2000</v>
      </c>
      <c r="I789" s="30">
        <v>413999</v>
      </c>
      <c r="J789" s="30" t="s">
        <v>5197</v>
      </c>
      <c r="K789" s="30" t="s">
        <v>5467</v>
      </c>
    </row>
    <row r="790" spans="1:11" x14ac:dyDescent="0.35">
      <c r="A790" s="30" t="s">
        <v>10618</v>
      </c>
      <c r="B790" s="30" t="s">
        <v>10619</v>
      </c>
      <c r="C790" s="32">
        <v>2.46</v>
      </c>
      <c r="D790" s="30">
        <v>0.01</v>
      </c>
      <c r="E790" s="31">
        <v>4.0800000000000003E-3</v>
      </c>
      <c r="F790" s="30">
        <v>1201546098</v>
      </c>
      <c r="G790" s="30" t="s">
        <v>5427</v>
      </c>
      <c r="H790" s="30">
        <v>2021</v>
      </c>
      <c r="I790" s="30">
        <v>2273480</v>
      </c>
      <c r="J790" s="30" t="s">
        <v>5431</v>
      </c>
      <c r="K790" s="30" t="s">
        <v>5430</v>
      </c>
    </row>
    <row r="791" spans="1:11" x14ac:dyDescent="0.35">
      <c r="A791" s="30" t="s">
        <v>10620</v>
      </c>
      <c r="B791" s="30" t="s">
        <v>10621</v>
      </c>
      <c r="C791" s="32">
        <v>4</v>
      </c>
      <c r="D791" s="30">
        <v>0</v>
      </c>
      <c r="E791" s="31">
        <v>0</v>
      </c>
      <c r="F791" s="30">
        <v>600215696</v>
      </c>
      <c r="G791" s="30" t="s">
        <v>5427</v>
      </c>
      <c r="H791" s="30">
        <v>2021</v>
      </c>
      <c r="I791" s="30">
        <v>857702</v>
      </c>
      <c r="J791" s="30" t="s">
        <v>5431</v>
      </c>
      <c r="K791" s="30" t="s">
        <v>5430</v>
      </c>
    </row>
    <row r="792" spans="1:11" x14ac:dyDescent="0.35">
      <c r="A792" s="30" t="s">
        <v>10622</v>
      </c>
      <c r="B792" s="30" t="s">
        <v>10623</v>
      </c>
      <c r="C792" s="32">
        <v>10.169499999999999</v>
      </c>
      <c r="D792" s="30">
        <v>-2.0500000000000001E-2</v>
      </c>
      <c r="E792" s="31">
        <v>-2.0100000000000001E-3</v>
      </c>
      <c r="F792" s="30">
        <v>186549023</v>
      </c>
      <c r="G792" s="30" t="s">
        <v>5427</v>
      </c>
      <c r="H792" s="30">
        <v>2020</v>
      </c>
      <c r="I792" s="30">
        <v>1682</v>
      </c>
      <c r="J792" s="30" t="s">
        <v>5457</v>
      </c>
      <c r="K792" s="30" t="s">
        <v>5571</v>
      </c>
    </row>
    <row r="793" spans="1:11" x14ac:dyDescent="0.35">
      <c r="A793" s="30" t="s">
        <v>10624</v>
      </c>
      <c r="B793" s="30" t="s">
        <v>10625</v>
      </c>
      <c r="C793" s="32">
        <v>5.88</v>
      </c>
      <c r="D793" s="30">
        <v>0.11</v>
      </c>
      <c r="E793" s="31">
        <v>1.9060000000000001E-2</v>
      </c>
      <c r="F793" s="30">
        <v>19580400000</v>
      </c>
      <c r="G793" s="30" t="s">
        <v>8891</v>
      </c>
      <c r="H793" s="30"/>
      <c r="I793" s="30">
        <v>13640403</v>
      </c>
      <c r="J793" s="30" t="s">
        <v>5219</v>
      </c>
      <c r="K793" s="30" t="s">
        <v>5560</v>
      </c>
    </row>
    <row r="794" spans="1:11" x14ac:dyDescent="0.35">
      <c r="A794" s="30" t="s">
        <v>10626</v>
      </c>
      <c r="B794" s="30" t="s">
        <v>10627</v>
      </c>
      <c r="C794" s="32">
        <v>243.89</v>
      </c>
      <c r="D794" s="30">
        <v>-0.46</v>
      </c>
      <c r="E794" s="31">
        <v>-1.8799999999999999E-3</v>
      </c>
      <c r="F794" s="30">
        <v>12752975907</v>
      </c>
      <c r="G794" s="30" t="s">
        <v>5427</v>
      </c>
      <c r="H794" s="30"/>
      <c r="I794" s="30">
        <v>81157</v>
      </c>
      <c r="J794" s="30" t="s">
        <v>5435</v>
      </c>
      <c r="K794" s="30" t="s">
        <v>6066</v>
      </c>
    </row>
    <row r="795" spans="1:11" x14ac:dyDescent="0.35">
      <c r="A795" s="30" t="s">
        <v>10628</v>
      </c>
      <c r="B795" s="30" t="s">
        <v>10629</v>
      </c>
      <c r="C795" s="32">
        <v>22.3</v>
      </c>
      <c r="D795" s="30">
        <v>0.17</v>
      </c>
      <c r="E795" s="31">
        <v>7.6800000000000002E-3</v>
      </c>
      <c r="F795" s="30">
        <v>1248710109</v>
      </c>
      <c r="G795" s="30" t="s">
        <v>5427</v>
      </c>
      <c r="H795" s="30">
        <v>2008</v>
      </c>
      <c r="I795" s="30">
        <v>226302</v>
      </c>
      <c r="J795" s="30" t="s">
        <v>5219</v>
      </c>
      <c r="K795" s="30" t="s">
        <v>5644</v>
      </c>
    </row>
    <row r="796" spans="1:11" x14ac:dyDescent="0.35">
      <c r="A796" s="30" t="s">
        <v>10630</v>
      </c>
      <c r="B796" s="30" t="s">
        <v>10631</v>
      </c>
      <c r="C796" s="32">
        <v>10.4</v>
      </c>
      <c r="D796" s="30">
        <v>0.02</v>
      </c>
      <c r="E796" s="31">
        <v>1.9300000000000001E-3</v>
      </c>
      <c r="F796" s="30">
        <v>358800000</v>
      </c>
      <c r="G796" s="30" t="s">
        <v>5427</v>
      </c>
      <c r="H796" s="30">
        <v>2021</v>
      </c>
      <c r="I796" s="30">
        <v>70291</v>
      </c>
      <c r="J796" s="30" t="s">
        <v>5435</v>
      </c>
      <c r="K796" s="30" t="s">
        <v>5482</v>
      </c>
    </row>
    <row r="797" spans="1:11" x14ac:dyDescent="0.35">
      <c r="A797" s="30" t="s">
        <v>10632</v>
      </c>
      <c r="B797" s="30" t="s">
        <v>10633</v>
      </c>
      <c r="C797" s="32">
        <v>12.57</v>
      </c>
      <c r="D797" s="30">
        <v>0.08</v>
      </c>
      <c r="E797" s="31">
        <v>6.4099999999999999E-3</v>
      </c>
      <c r="F797" s="30">
        <v>170831416</v>
      </c>
      <c r="G797" s="30" t="s">
        <v>5427</v>
      </c>
      <c r="H797" s="30"/>
      <c r="I797" s="30">
        <v>10928</v>
      </c>
      <c r="J797" s="30" t="s">
        <v>5442</v>
      </c>
      <c r="K797" s="30" t="s">
        <v>5641</v>
      </c>
    </row>
    <row r="798" spans="1:11" x14ac:dyDescent="0.35">
      <c r="A798" s="30" t="s">
        <v>10634</v>
      </c>
      <c r="B798" s="30" t="s">
        <v>10635</v>
      </c>
      <c r="C798" s="32">
        <v>20.2</v>
      </c>
      <c r="D798" s="30">
        <v>0.45</v>
      </c>
      <c r="E798" s="31">
        <v>2.2780000000000002E-2</v>
      </c>
      <c r="F798" s="30">
        <v>143747361</v>
      </c>
      <c r="G798" s="30" t="s">
        <v>5911</v>
      </c>
      <c r="H798" s="30"/>
      <c r="I798" s="30">
        <v>26490</v>
      </c>
      <c r="J798" s="30" t="s">
        <v>5442</v>
      </c>
      <c r="K798" s="30" t="s">
        <v>5910</v>
      </c>
    </row>
    <row r="799" spans="1:11" x14ac:dyDescent="0.35">
      <c r="A799" s="30" t="s">
        <v>10636</v>
      </c>
      <c r="B799" s="30" t="s">
        <v>10637</v>
      </c>
      <c r="C799" s="32">
        <v>6.4</v>
      </c>
      <c r="D799" s="30">
        <v>0.04</v>
      </c>
      <c r="E799" s="31">
        <v>6.2899999999999996E-3</v>
      </c>
      <c r="F799" s="30">
        <v>477440000</v>
      </c>
      <c r="G799" s="30" t="s">
        <v>5427</v>
      </c>
      <c r="H799" s="30">
        <v>2013</v>
      </c>
      <c r="I799" s="30">
        <v>1994790</v>
      </c>
      <c r="J799" s="30" t="s">
        <v>5431</v>
      </c>
      <c r="K799" s="30" t="s">
        <v>5430</v>
      </c>
    </row>
    <row r="800" spans="1:11" x14ac:dyDescent="0.35">
      <c r="A800" s="30" t="s">
        <v>10638</v>
      </c>
      <c r="B800" s="30" t="s">
        <v>10639</v>
      </c>
      <c r="C800" s="32">
        <v>46.02</v>
      </c>
      <c r="D800" s="30">
        <v>-0.52</v>
      </c>
      <c r="E800" s="31">
        <v>-1.1169999999999999E-2</v>
      </c>
      <c r="F800" s="30">
        <v>377149225</v>
      </c>
      <c r="G800" s="30" t="s">
        <v>5427</v>
      </c>
      <c r="H800" s="30">
        <v>2017</v>
      </c>
      <c r="I800" s="30">
        <v>20218</v>
      </c>
      <c r="J800" s="30" t="s">
        <v>5435</v>
      </c>
      <c r="K800" s="30" t="s">
        <v>5582</v>
      </c>
    </row>
    <row r="801" spans="1:11" x14ac:dyDescent="0.35">
      <c r="A801" s="30" t="s">
        <v>10640</v>
      </c>
      <c r="B801" s="30" t="s">
        <v>10641</v>
      </c>
      <c r="C801" s="32">
        <v>21.02</v>
      </c>
      <c r="D801" s="30">
        <v>0.52</v>
      </c>
      <c r="E801" s="31">
        <v>2.537E-2</v>
      </c>
      <c r="F801" s="30">
        <v>218647307</v>
      </c>
      <c r="G801" s="30" t="s">
        <v>5427</v>
      </c>
      <c r="H801" s="30">
        <v>2007</v>
      </c>
      <c r="I801" s="30">
        <v>16847</v>
      </c>
      <c r="J801" s="30" t="s">
        <v>5435</v>
      </c>
      <c r="K801" s="30" t="s">
        <v>6698</v>
      </c>
    </row>
    <row r="802" spans="1:11" x14ac:dyDescent="0.35">
      <c r="A802" s="30" t="s">
        <v>10642</v>
      </c>
      <c r="B802" s="30" t="s">
        <v>10643</v>
      </c>
      <c r="C802" s="32">
        <v>12.05</v>
      </c>
      <c r="D802" s="30">
        <v>0.37</v>
      </c>
      <c r="E802" s="31">
        <v>3.168E-2</v>
      </c>
      <c r="F802" s="30">
        <v>560770489</v>
      </c>
      <c r="G802" s="30" t="s">
        <v>5427</v>
      </c>
      <c r="H802" s="30">
        <v>2019</v>
      </c>
      <c r="I802" s="30">
        <v>1296396</v>
      </c>
      <c r="J802" s="30" t="s">
        <v>5431</v>
      </c>
      <c r="K802" s="30" t="s">
        <v>5430</v>
      </c>
    </row>
    <row r="803" spans="1:11" x14ac:dyDescent="0.35">
      <c r="A803" s="30" t="s">
        <v>10644</v>
      </c>
      <c r="B803" s="30" t="s">
        <v>10645</v>
      </c>
      <c r="C803" s="32">
        <v>3.48</v>
      </c>
      <c r="D803" s="30">
        <v>0</v>
      </c>
      <c r="E803" s="31">
        <v>0</v>
      </c>
      <c r="F803" s="30">
        <v>88033689</v>
      </c>
      <c r="G803" s="30" t="s">
        <v>5427</v>
      </c>
      <c r="H803" s="30">
        <v>2018</v>
      </c>
      <c r="I803" s="30">
        <v>39753</v>
      </c>
      <c r="J803" s="30" t="s">
        <v>5431</v>
      </c>
      <c r="K803" s="30" t="s">
        <v>5430</v>
      </c>
    </row>
    <row r="804" spans="1:11" x14ac:dyDescent="0.35">
      <c r="A804" s="30" t="s">
        <v>10646</v>
      </c>
      <c r="B804" s="30" t="s">
        <v>10647</v>
      </c>
      <c r="C804" s="32">
        <v>139.58000000000001</v>
      </c>
      <c r="D804" s="30">
        <v>2</v>
      </c>
      <c r="E804" s="31">
        <v>1.4540000000000001E-2</v>
      </c>
      <c r="F804" s="30">
        <v>17543575147</v>
      </c>
      <c r="G804" s="30" t="s">
        <v>5427</v>
      </c>
      <c r="H804" s="30">
        <v>2015</v>
      </c>
      <c r="I804" s="30">
        <v>3168992</v>
      </c>
      <c r="J804" s="30" t="s">
        <v>5442</v>
      </c>
      <c r="K804" s="30" t="s">
        <v>5618</v>
      </c>
    </row>
    <row r="805" spans="1:11" x14ac:dyDescent="0.35">
      <c r="A805" s="30" t="s">
        <v>10648</v>
      </c>
      <c r="B805" s="30" t="s">
        <v>10649</v>
      </c>
      <c r="C805" s="32">
        <v>33.130000000000003</v>
      </c>
      <c r="D805" s="30">
        <v>1.17</v>
      </c>
      <c r="E805" s="31">
        <v>3.6609999999999997E-2</v>
      </c>
      <c r="F805" s="30">
        <v>1322734764</v>
      </c>
      <c r="G805" s="30" t="s">
        <v>5427</v>
      </c>
      <c r="H805" s="30">
        <v>2016</v>
      </c>
      <c r="I805" s="30">
        <v>638087</v>
      </c>
      <c r="J805" s="30" t="s">
        <v>5219</v>
      </c>
      <c r="K805" s="30" t="s">
        <v>5812</v>
      </c>
    </row>
    <row r="806" spans="1:11" x14ac:dyDescent="0.35">
      <c r="A806" s="30" t="s">
        <v>10650</v>
      </c>
      <c r="B806" s="30" t="s">
        <v>10651</v>
      </c>
      <c r="C806" s="32">
        <v>10.85</v>
      </c>
      <c r="D806" s="30">
        <v>0.52</v>
      </c>
      <c r="E806" s="31">
        <v>5.0340000000000003E-2</v>
      </c>
      <c r="F806" s="30">
        <v>2096232553</v>
      </c>
      <c r="G806" s="30" t="s">
        <v>5427</v>
      </c>
      <c r="H806" s="30">
        <v>2021</v>
      </c>
      <c r="I806" s="30">
        <v>154989</v>
      </c>
      <c r="J806" s="30" t="s">
        <v>5219</v>
      </c>
      <c r="K806" s="30" t="s">
        <v>5447</v>
      </c>
    </row>
    <row r="807" spans="1:11" x14ac:dyDescent="0.35">
      <c r="A807" s="30" t="s">
        <v>10652</v>
      </c>
      <c r="B807" s="30" t="s">
        <v>10653</v>
      </c>
      <c r="C807" s="32">
        <v>16.04</v>
      </c>
      <c r="D807" s="30">
        <v>0.44</v>
      </c>
      <c r="E807" s="31">
        <v>2.8209999999999999E-2</v>
      </c>
      <c r="F807" s="30">
        <v>515771028</v>
      </c>
      <c r="G807" s="30" t="s">
        <v>5427</v>
      </c>
      <c r="H807" s="30">
        <v>2018</v>
      </c>
      <c r="I807" s="30">
        <v>817514</v>
      </c>
      <c r="J807" s="30" t="s">
        <v>5219</v>
      </c>
      <c r="K807" s="30" t="s">
        <v>5447</v>
      </c>
    </row>
    <row r="808" spans="1:11" x14ac:dyDescent="0.35">
      <c r="A808" s="30" t="s">
        <v>10654</v>
      </c>
      <c r="B808" s="30" t="s">
        <v>10655</v>
      </c>
      <c r="C808" s="32">
        <v>6.93</v>
      </c>
      <c r="D808" s="30">
        <v>0.04</v>
      </c>
      <c r="E808" s="31">
        <v>5.8100000000000001E-3</v>
      </c>
      <c r="F808" s="30">
        <v>480657898</v>
      </c>
      <c r="G808" s="30" t="s">
        <v>5427</v>
      </c>
      <c r="H808" s="30"/>
      <c r="I808" s="30">
        <v>3646878</v>
      </c>
      <c r="J808" s="30" t="s">
        <v>5442</v>
      </c>
      <c r="K808" s="30" t="s">
        <v>5618</v>
      </c>
    </row>
    <row r="809" spans="1:11" x14ac:dyDescent="0.35">
      <c r="A809" s="30" t="s">
        <v>10656</v>
      </c>
      <c r="B809" s="30" t="s">
        <v>10657</v>
      </c>
      <c r="C809" s="32">
        <v>0.77890000000000004</v>
      </c>
      <c r="D809" s="30">
        <v>-0.2611</v>
      </c>
      <c r="E809" s="31">
        <v>-0.25106000000000001</v>
      </c>
      <c r="F809" s="30">
        <v>85378810</v>
      </c>
      <c r="G809" s="30" t="s">
        <v>5427</v>
      </c>
      <c r="H809" s="30">
        <v>2018</v>
      </c>
      <c r="I809" s="30">
        <v>1237164</v>
      </c>
      <c r="J809" s="30" t="s">
        <v>5431</v>
      </c>
      <c r="K809" s="30" t="s">
        <v>5685</v>
      </c>
    </row>
    <row r="810" spans="1:11" x14ac:dyDescent="0.35">
      <c r="A810" s="30" t="s">
        <v>10658</v>
      </c>
      <c r="B810" s="30" t="s">
        <v>10659</v>
      </c>
      <c r="C810" s="32">
        <v>3.11</v>
      </c>
      <c r="D810" s="30">
        <v>0.05</v>
      </c>
      <c r="E810" s="31">
        <v>1.634E-2</v>
      </c>
      <c r="F810" s="30">
        <v>449779321</v>
      </c>
      <c r="G810" s="30" t="s">
        <v>5427</v>
      </c>
      <c r="H810" s="30">
        <v>2020</v>
      </c>
      <c r="I810" s="30">
        <v>388756</v>
      </c>
      <c r="J810" s="30" t="s">
        <v>5219</v>
      </c>
      <c r="K810" s="30" t="s">
        <v>6786</v>
      </c>
    </row>
    <row r="811" spans="1:11" x14ac:dyDescent="0.35">
      <c r="A811" s="30" t="s">
        <v>10660</v>
      </c>
      <c r="B811" s="30" t="s">
        <v>10661</v>
      </c>
      <c r="C811" s="32">
        <v>9.85</v>
      </c>
      <c r="D811" s="30">
        <v>0.1</v>
      </c>
      <c r="E811" s="31">
        <v>1.026E-2</v>
      </c>
      <c r="F811" s="30">
        <v>3485967264</v>
      </c>
      <c r="G811" s="30" t="s">
        <v>6263</v>
      </c>
      <c r="H811" s="30">
        <v>2021</v>
      </c>
      <c r="I811" s="30">
        <v>7908</v>
      </c>
      <c r="J811" s="30" t="s">
        <v>5431</v>
      </c>
      <c r="K811" s="30" t="s">
        <v>5430</v>
      </c>
    </row>
    <row r="812" spans="1:11" x14ac:dyDescent="0.35">
      <c r="A812" s="30" t="s">
        <v>10662</v>
      </c>
      <c r="B812" s="30" t="s">
        <v>10663</v>
      </c>
      <c r="C812" s="32">
        <v>33.869999999999997</v>
      </c>
      <c r="D812" s="30">
        <v>0</v>
      </c>
      <c r="E812" s="31">
        <v>0</v>
      </c>
      <c r="F812" s="30">
        <v>1404733627</v>
      </c>
      <c r="G812" s="30" t="s">
        <v>5427</v>
      </c>
      <c r="H812" s="30">
        <v>2018</v>
      </c>
      <c r="I812" s="30">
        <v>411425</v>
      </c>
      <c r="J812" s="30" t="s">
        <v>5219</v>
      </c>
      <c r="K812" s="30" t="s">
        <v>5447</v>
      </c>
    </row>
    <row r="813" spans="1:11" x14ac:dyDescent="0.35">
      <c r="A813" s="30" t="s">
        <v>10664</v>
      </c>
      <c r="B813" s="30" t="s">
        <v>10665</v>
      </c>
      <c r="C813" s="32">
        <v>62.89</v>
      </c>
      <c r="D813" s="30">
        <v>0.24</v>
      </c>
      <c r="E813" s="31">
        <v>3.8300000000000001E-3</v>
      </c>
      <c r="F813" s="30">
        <v>14435543253</v>
      </c>
      <c r="G813" s="30" t="s">
        <v>5427</v>
      </c>
      <c r="H813" s="30"/>
      <c r="I813" s="30">
        <v>1761686</v>
      </c>
      <c r="J813" s="30" t="s">
        <v>5426</v>
      </c>
      <c r="K813" s="30" t="s">
        <v>5593</v>
      </c>
    </row>
    <row r="814" spans="1:11" x14ac:dyDescent="0.35">
      <c r="A814" s="30" t="s">
        <v>10666</v>
      </c>
      <c r="B814" s="30" t="s">
        <v>10667</v>
      </c>
      <c r="C814" s="32">
        <v>3.75</v>
      </c>
      <c r="D814" s="30">
        <v>0.28000000000000003</v>
      </c>
      <c r="E814" s="31">
        <v>8.0689999999999998E-2</v>
      </c>
      <c r="F814" s="30">
        <v>56236845</v>
      </c>
      <c r="G814" s="30" t="s">
        <v>5427</v>
      </c>
      <c r="H814" s="30"/>
      <c r="I814" s="30">
        <v>49838</v>
      </c>
      <c r="J814" s="30" t="s">
        <v>5442</v>
      </c>
      <c r="K814" s="30" t="s">
        <v>5926</v>
      </c>
    </row>
    <row r="815" spans="1:11" x14ac:dyDescent="0.35">
      <c r="A815" s="30" t="s">
        <v>10668</v>
      </c>
      <c r="B815" s="30" t="s">
        <v>10669</v>
      </c>
      <c r="C815" s="32">
        <v>79.91</v>
      </c>
      <c r="D815" s="30">
        <v>1.39</v>
      </c>
      <c r="E815" s="31">
        <v>1.77E-2</v>
      </c>
      <c r="F815" s="30">
        <v>11263154680</v>
      </c>
      <c r="G815" s="30" t="s">
        <v>5427</v>
      </c>
      <c r="H815" s="30"/>
      <c r="I815" s="30">
        <v>967051</v>
      </c>
      <c r="J815" s="30" t="s">
        <v>5435</v>
      </c>
      <c r="K815" s="30" t="s">
        <v>5582</v>
      </c>
    </row>
    <row r="816" spans="1:11" x14ac:dyDescent="0.35">
      <c r="A816" s="30" t="s">
        <v>10670</v>
      </c>
      <c r="B816" s="30" t="s">
        <v>10671</v>
      </c>
      <c r="C816" s="32">
        <v>19.23</v>
      </c>
      <c r="D816" s="30">
        <v>0.39</v>
      </c>
      <c r="E816" s="31">
        <v>2.07E-2</v>
      </c>
      <c r="F816" s="30">
        <v>870454815</v>
      </c>
      <c r="G816" s="30" t="s">
        <v>5427</v>
      </c>
      <c r="H816" s="30">
        <v>2021</v>
      </c>
      <c r="I816" s="30">
        <v>346966</v>
      </c>
      <c r="J816" s="30" t="s">
        <v>5442</v>
      </c>
      <c r="K816" s="30" t="s">
        <v>6240</v>
      </c>
    </row>
    <row r="817" spans="1:11" x14ac:dyDescent="0.35">
      <c r="A817" s="30" t="s">
        <v>10672</v>
      </c>
      <c r="B817" s="30" t="s">
        <v>10673</v>
      </c>
      <c r="C817" s="32">
        <v>10.3</v>
      </c>
      <c r="D817" s="30">
        <v>7.0000000000000007E-2</v>
      </c>
      <c r="E817" s="31">
        <v>6.8399999999999997E-3</v>
      </c>
      <c r="F817" s="30">
        <v>651099647</v>
      </c>
      <c r="G817" s="30" t="s">
        <v>5427</v>
      </c>
      <c r="H817" s="30">
        <v>2021</v>
      </c>
      <c r="I817" s="30">
        <v>167871</v>
      </c>
      <c r="J817" s="30" t="s">
        <v>5431</v>
      </c>
      <c r="K817" s="30" t="s">
        <v>5430</v>
      </c>
    </row>
    <row r="818" spans="1:11" x14ac:dyDescent="0.35">
      <c r="A818" s="30" t="s">
        <v>10674</v>
      </c>
      <c r="B818" s="30" t="s">
        <v>10675</v>
      </c>
      <c r="C818" s="32">
        <v>8.02</v>
      </c>
      <c r="D818" s="30">
        <v>0.98</v>
      </c>
      <c r="E818" s="31">
        <v>0.13919999999999999</v>
      </c>
      <c r="F818" s="30">
        <v>985485402</v>
      </c>
      <c r="G818" s="30" t="s">
        <v>5775</v>
      </c>
      <c r="H818" s="30">
        <v>2021</v>
      </c>
      <c r="I818" s="30">
        <v>1338211</v>
      </c>
      <c r="J818" s="30" t="s">
        <v>5431</v>
      </c>
      <c r="K818" s="30" t="s">
        <v>6409</v>
      </c>
    </row>
    <row r="819" spans="1:11" x14ac:dyDescent="0.35">
      <c r="A819" s="30" t="s">
        <v>10676</v>
      </c>
      <c r="B819" s="30" t="s">
        <v>10677</v>
      </c>
      <c r="C819" s="32">
        <v>68.11</v>
      </c>
      <c r="D819" s="30">
        <v>0.59</v>
      </c>
      <c r="E819" s="31">
        <v>8.7399999999999995E-3</v>
      </c>
      <c r="F819" s="30">
        <v>12102059896</v>
      </c>
      <c r="G819" s="30" t="s">
        <v>5427</v>
      </c>
      <c r="H819" s="30">
        <v>2001</v>
      </c>
      <c r="I819" s="30">
        <v>1920549</v>
      </c>
      <c r="J819" s="30" t="s">
        <v>5431</v>
      </c>
      <c r="K819" s="30" t="s">
        <v>9124</v>
      </c>
    </row>
    <row r="820" spans="1:11" x14ac:dyDescent="0.35">
      <c r="A820" s="30" t="s">
        <v>10678</v>
      </c>
      <c r="B820" s="30" t="s">
        <v>10679</v>
      </c>
      <c r="C820" s="32">
        <v>42.3</v>
      </c>
      <c r="D820" s="30">
        <v>0.11</v>
      </c>
      <c r="E820" s="31">
        <v>2.6099999999999999E-3</v>
      </c>
      <c r="F820" s="30">
        <v>42035287869</v>
      </c>
      <c r="G820" s="30" t="s">
        <v>5427</v>
      </c>
      <c r="H820" s="30"/>
      <c r="I820" s="30">
        <v>6373820</v>
      </c>
      <c r="J820" s="30" t="s">
        <v>5426</v>
      </c>
      <c r="K820" s="30" t="s">
        <v>5593</v>
      </c>
    </row>
    <row r="821" spans="1:11" x14ac:dyDescent="0.35">
      <c r="A821" s="30" t="s">
        <v>10680</v>
      </c>
      <c r="B821" s="30" t="s">
        <v>10681</v>
      </c>
      <c r="C821" s="32">
        <v>17.559999999999999</v>
      </c>
      <c r="D821" s="30">
        <v>-0.06</v>
      </c>
      <c r="E821" s="31">
        <v>-3.4099999999999998E-3</v>
      </c>
      <c r="F821" s="30">
        <v>5664178500</v>
      </c>
      <c r="G821" s="30" t="s">
        <v>5427</v>
      </c>
      <c r="H821" s="30">
        <v>2000</v>
      </c>
      <c r="I821" s="30">
        <v>3301560</v>
      </c>
      <c r="J821" s="30" t="s">
        <v>5431</v>
      </c>
      <c r="K821" s="30" t="s">
        <v>9124</v>
      </c>
    </row>
    <row r="822" spans="1:11" x14ac:dyDescent="0.35">
      <c r="A822" s="30" t="s">
        <v>10682</v>
      </c>
      <c r="B822" s="30" t="s">
        <v>10683</v>
      </c>
      <c r="C822" s="32">
        <v>10.55</v>
      </c>
      <c r="D822" s="30">
        <v>0.14000000000000001</v>
      </c>
      <c r="E822" s="31">
        <v>1.345E-2</v>
      </c>
      <c r="F822" s="30">
        <v>872141028</v>
      </c>
      <c r="G822" s="30" t="s">
        <v>5427</v>
      </c>
      <c r="H822" s="30">
        <v>2021</v>
      </c>
      <c r="I822" s="30">
        <v>555891</v>
      </c>
      <c r="J822" s="30" t="s">
        <v>5219</v>
      </c>
      <c r="K822" s="30" t="s">
        <v>5560</v>
      </c>
    </row>
    <row r="823" spans="1:11" x14ac:dyDescent="0.35">
      <c r="A823" s="30" t="s">
        <v>10684</v>
      </c>
      <c r="B823" s="30" t="s">
        <v>10685</v>
      </c>
      <c r="C823" s="32">
        <v>169.32</v>
      </c>
      <c r="D823" s="30">
        <v>-1.28</v>
      </c>
      <c r="E823" s="31">
        <v>-7.4999999999999997E-3</v>
      </c>
      <c r="F823" s="30">
        <v>5598499935</v>
      </c>
      <c r="G823" s="30" t="s">
        <v>5427</v>
      </c>
      <c r="H823" s="30">
        <v>2006</v>
      </c>
      <c r="I823" s="30">
        <v>608747</v>
      </c>
      <c r="J823" s="30" t="s">
        <v>5219</v>
      </c>
      <c r="K823" s="30" t="s">
        <v>5812</v>
      </c>
    </row>
    <row r="824" spans="1:11" x14ac:dyDescent="0.35">
      <c r="A824" s="30" t="s">
        <v>5055</v>
      </c>
      <c r="B824" s="30" t="s">
        <v>10686</v>
      </c>
      <c r="C824" s="32">
        <v>113.66</v>
      </c>
      <c r="D824" s="30">
        <v>5.51</v>
      </c>
      <c r="E824" s="31">
        <v>5.0950000000000002E-2</v>
      </c>
      <c r="F824" s="30">
        <v>18087441405</v>
      </c>
      <c r="G824" s="30" t="s">
        <v>5427</v>
      </c>
      <c r="H824" s="30"/>
      <c r="I824" s="30">
        <v>1948319</v>
      </c>
      <c r="J824" s="30" t="s">
        <v>5442</v>
      </c>
      <c r="K824" s="30" t="s">
        <v>6032</v>
      </c>
    </row>
    <row r="825" spans="1:11" x14ac:dyDescent="0.35">
      <c r="A825" s="30" t="s">
        <v>10687</v>
      </c>
      <c r="B825" s="30" t="s">
        <v>10688</v>
      </c>
      <c r="C825" s="32">
        <v>117.9</v>
      </c>
      <c r="D825" s="30">
        <v>3.6</v>
      </c>
      <c r="E825" s="31">
        <v>3.15E-2</v>
      </c>
      <c r="F825" s="30">
        <v>18403114280</v>
      </c>
      <c r="G825" s="30" t="s">
        <v>5427</v>
      </c>
      <c r="H825" s="30"/>
      <c r="I825" s="30">
        <v>1826132</v>
      </c>
      <c r="J825" s="30" t="s">
        <v>5442</v>
      </c>
      <c r="K825" s="30" t="s">
        <v>5914</v>
      </c>
    </row>
    <row r="826" spans="1:11" x14ac:dyDescent="0.35">
      <c r="A826" s="30" t="s">
        <v>10689</v>
      </c>
      <c r="B826" s="30" t="s">
        <v>10690</v>
      </c>
      <c r="C826" s="32">
        <v>16.600000000000001</v>
      </c>
      <c r="D826" s="30">
        <v>1.01</v>
      </c>
      <c r="E826" s="31">
        <v>6.479E-2</v>
      </c>
      <c r="F826" s="30">
        <v>2534854495</v>
      </c>
      <c r="G826" s="30" t="s">
        <v>5427</v>
      </c>
      <c r="H826" s="30"/>
      <c r="I826" s="30">
        <v>812068</v>
      </c>
      <c r="J826" s="30" t="s">
        <v>5435</v>
      </c>
      <c r="K826" s="30" t="s">
        <v>5197</v>
      </c>
    </row>
    <row r="827" spans="1:11" x14ac:dyDescent="0.35">
      <c r="A827" s="30" t="s">
        <v>10691</v>
      </c>
      <c r="B827" s="30" t="s">
        <v>10692</v>
      </c>
      <c r="C827" s="32">
        <v>103.55</v>
      </c>
      <c r="D827" s="30">
        <v>1.01</v>
      </c>
      <c r="E827" s="31">
        <v>9.8499999999999994E-3</v>
      </c>
      <c r="F827" s="30">
        <v>5243588613</v>
      </c>
      <c r="G827" s="30" t="s">
        <v>5427</v>
      </c>
      <c r="H827" s="30"/>
      <c r="I827" s="30">
        <v>159721</v>
      </c>
      <c r="J827" s="30" t="s">
        <v>5442</v>
      </c>
      <c r="K827" s="30" t="s">
        <v>5994</v>
      </c>
    </row>
    <row r="828" spans="1:11" x14ac:dyDescent="0.35">
      <c r="A828" s="30" t="s">
        <v>10693</v>
      </c>
      <c r="B828" s="30" t="s">
        <v>10694</v>
      </c>
      <c r="C828" s="32">
        <v>18.22</v>
      </c>
      <c r="D828" s="30">
        <v>0.19</v>
      </c>
      <c r="E828" s="31">
        <v>1.0540000000000001E-2</v>
      </c>
      <c r="F828" s="30">
        <v>2353703838</v>
      </c>
      <c r="G828" s="30" t="s">
        <v>5427</v>
      </c>
      <c r="H828" s="30">
        <v>1999</v>
      </c>
      <c r="I828" s="30">
        <v>1371280</v>
      </c>
      <c r="J828" s="30" t="s">
        <v>5732</v>
      </c>
      <c r="K828" s="30" t="s">
        <v>5520</v>
      </c>
    </row>
    <row r="829" spans="1:11" x14ac:dyDescent="0.35">
      <c r="A829" s="30" t="s">
        <v>10695</v>
      </c>
      <c r="B829" s="30" t="s">
        <v>10696</v>
      </c>
      <c r="C829" s="32">
        <v>41.98</v>
      </c>
      <c r="D829" s="30">
        <v>0.88</v>
      </c>
      <c r="E829" s="31">
        <v>2.1409999999999998E-2</v>
      </c>
      <c r="F829" s="30">
        <v>3312745029</v>
      </c>
      <c r="G829" s="30" t="s">
        <v>5427</v>
      </c>
      <c r="H829" s="30">
        <v>2017</v>
      </c>
      <c r="I829" s="30">
        <v>610258</v>
      </c>
      <c r="J829" s="30" t="s">
        <v>5431</v>
      </c>
      <c r="K829" s="30" t="s">
        <v>8316</v>
      </c>
    </row>
    <row r="830" spans="1:11" x14ac:dyDescent="0.35">
      <c r="A830" s="30" t="s">
        <v>10697</v>
      </c>
      <c r="B830" s="30" t="s">
        <v>10698</v>
      </c>
      <c r="C830" s="32">
        <v>2.46</v>
      </c>
      <c r="D830" s="30">
        <v>0.1</v>
      </c>
      <c r="E830" s="31">
        <v>4.2369999999999998E-2</v>
      </c>
      <c r="F830" s="30">
        <v>88858086</v>
      </c>
      <c r="G830" s="30" t="s">
        <v>5427</v>
      </c>
      <c r="H830" s="30">
        <v>2018</v>
      </c>
      <c r="I830" s="30">
        <v>296460</v>
      </c>
      <c r="J830" s="30" t="s">
        <v>5431</v>
      </c>
      <c r="K830" s="30" t="s">
        <v>5430</v>
      </c>
    </row>
    <row r="831" spans="1:11" x14ac:dyDescent="0.35">
      <c r="A831" s="30" t="s">
        <v>10699</v>
      </c>
      <c r="B831" s="30" t="s">
        <v>10700</v>
      </c>
      <c r="C831" s="32">
        <v>4.75</v>
      </c>
      <c r="D831" s="30">
        <v>0.09</v>
      </c>
      <c r="E831" s="31">
        <v>1.9310000000000001E-2</v>
      </c>
      <c r="F831" s="30">
        <v>161893937</v>
      </c>
      <c r="G831" s="30" t="s">
        <v>5427</v>
      </c>
      <c r="H831" s="30"/>
      <c r="I831" s="30">
        <v>220477</v>
      </c>
      <c r="J831" s="30" t="s">
        <v>5431</v>
      </c>
      <c r="K831" s="30" t="s">
        <v>5430</v>
      </c>
    </row>
    <row r="832" spans="1:11" x14ac:dyDescent="0.35">
      <c r="A832" s="30" t="s">
        <v>10701</v>
      </c>
      <c r="B832" s="30" t="s">
        <v>10702</v>
      </c>
      <c r="C832" s="32">
        <v>9.0299999999999994</v>
      </c>
      <c r="D832" s="30">
        <v>-0.08</v>
      </c>
      <c r="E832" s="31">
        <v>-8.7799999999999996E-3</v>
      </c>
      <c r="F832" s="30">
        <v>508471661</v>
      </c>
      <c r="G832" s="30" t="s">
        <v>5427</v>
      </c>
      <c r="H832" s="30">
        <v>1991</v>
      </c>
      <c r="I832" s="30">
        <v>715848</v>
      </c>
      <c r="J832" s="30" t="s">
        <v>5682</v>
      </c>
      <c r="K832" s="30" t="s">
        <v>5746</v>
      </c>
    </row>
    <row r="833" spans="1:11" x14ac:dyDescent="0.35">
      <c r="A833" s="30" t="s">
        <v>10703</v>
      </c>
      <c r="B833" s="30" t="s">
        <v>10704</v>
      </c>
      <c r="C833" s="32">
        <v>13.82</v>
      </c>
      <c r="D833" s="30">
        <v>-0.06</v>
      </c>
      <c r="E833" s="31">
        <v>-4.3200000000000001E-3</v>
      </c>
      <c r="F833" s="30">
        <v>2099665994</v>
      </c>
      <c r="G833" s="30" t="s">
        <v>5427</v>
      </c>
      <c r="H833" s="30">
        <v>2021</v>
      </c>
      <c r="I833" s="30">
        <v>281482</v>
      </c>
      <c r="J833" s="30" t="s">
        <v>5442</v>
      </c>
      <c r="K833" s="30" t="s">
        <v>5482</v>
      </c>
    </row>
    <row r="834" spans="1:11" x14ac:dyDescent="0.35">
      <c r="A834" s="30" t="s">
        <v>10705</v>
      </c>
      <c r="B834" s="30" t="s">
        <v>10706</v>
      </c>
      <c r="C834" s="32">
        <v>143.35</v>
      </c>
      <c r="D834" s="30">
        <v>-2.77</v>
      </c>
      <c r="E834" s="31">
        <v>-1.8960000000000001E-2</v>
      </c>
      <c r="F834" s="30">
        <v>26078028013</v>
      </c>
      <c r="G834" s="30" t="s">
        <v>5427</v>
      </c>
      <c r="H834" s="30">
        <v>2012</v>
      </c>
      <c r="I834" s="30">
        <v>2551187</v>
      </c>
      <c r="J834" s="30" t="s">
        <v>5464</v>
      </c>
      <c r="K834" s="30" t="s">
        <v>5463</v>
      </c>
    </row>
    <row r="835" spans="1:11" x14ac:dyDescent="0.35">
      <c r="A835" s="30" t="s">
        <v>10707</v>
      </c>
      <c r="B835" s="30" t="s">
        <v>10708</v>
      </c>
      <c r="C835" s="32">
        <v>5.01</v>
      </c>
      <c r="D835" s="30">
        <v>0.13</v>
      </c>
      <c r="E835" s="31">
        <v>2.664E-2</v>
      </c>
      <c r="F835" s="30">
        <v>97918857</v>
      </c>
      <c r="G835" s="30" t="s">
        <v>5427</v>
      </c>
      <c r="H835" s="30"/>
      <c r="I835" s="30">
        <v>30260</v>
      </c>
      <c r="J835" s="30" t="s">
        <v>5541</v>
      </c>
      <c r="K835" s="30" t="s">
        <v>5716</v>
      </c>
    </row>
    <row r="836" spans="1:11" x14ac:dyDescent="0.35">
      <c r="A836" s="30" t="s">
        <v>10709</v>
      </c>
      <c r="B836" s="30" t="s">
        <v>10710</v>
      </c>
      <c r="C836" s="32">
        <v>29</v>
      </c>
      <c r="D836" s="30">
        <v>1.52</v>
      </c>
      <c r="E836" s="31">
        <v>5.5309999999999998E-2</v>
      </c>
      <c r="F836" s="30">
        <v>544614664</v>
      </c>
      <c r="G836" s="30" t="s">
        <v>5427</v>
      </c>
      <c r="H836" s="30">
        <v>1997</v>
      </c>
      <c r="I836" s="30">
        <v>456665</v>
      </c>
      <c r="J836" s="30" t="s">
        <v>5457</v>
      </c>
      <c r="K836" s="30" t="s">
        <v>5644</v>
      </c>
    </row>
    <row r="837" spans="1:11" x14ac:dyDescent="0.35">
      <c r="A837" s="30" t="s">
        <v>10711</v>
      </c>
      <c r="B837" s="30" t="s">
        <v>10712</v>
      </c>
      <c r="C837" s="32">
        <v>51.9</v>
      </c>
      <c r="D837" s="30">
        <v>1.7</v>
      </c>
      <c r="E837" s="31">
        <v>3.3860000000000001E-2</v>
      </c>
      <c r="F837" s="30">
        <v>29625125881</v>
      </c>
      <c r="G837" s="30" t="s">
        <v>5427</v>
      </c>
      <c r="H837" s="30">
        <v>1987</v>
      </c>
      <c r="I837" s="30">
        <v>3574442</v>
      </c>
      <c r="J837" s="30" t="s">
        <v>6250</v>
      </c>
      <c r="K837" s="30" t="s">
        <v>10713</v>
      </c>
    </row>
    <row r="838" spans="1:11" x14ac:dyDescent="0.35">
      <c r="A838" s="30" t="s">
        <v>10714</v>
      </c>
      <c r="B838" s="30" t="s">
        <v>10715</v>
      </c>
      <c r="C838" s="32">
        <v>6.95</v>
      </c>
      <c r="D838" s="30">
        <v>0.25509999999999999</v>
      </c>
      <c r="E838" s="31">
        <v>3.8100000000000002E-2</v>
      </c>
      <c r="F838" s="30">
        <v>115241946</v>
      </c>
      <c r="G838" s="30" t="s">
        <v>5427</v>
      </c>
      <c r="H838" s="30">
        <v>2017</v>
      </c>
      <c r="I838" s="30">
        <v>18324</v>
      </c>
      <c r="J838" s="30" t="s">
        <v>5442</v>
      </c>
      <c r="K838" s="30" t="s">
        <v>5441</v>
      </c>
    </row>
    <row r="839" spans="1:11" x14ac:dyDescent="0.35">
      <c r="A839" s="30" t="s">
        <v>10716</v>
      </c>
      <c r="B839" s="30" t="s">
        <v>10717</v>
      </c>
      <c r="C839" s="32">
        <v>5.99</v>
      </c>
      <c r="D839" s="30">
        <v>0.05</v>
      </c>
      <c r="E839" s="31">
        <v>8.4200000000000004E-3</v>
      </c>
      <c r="F839" s="30">
        <v>99323634</v>
      </c>
      <c r="G839" s="30" t="s">
        <v>5427</v>
      </c>
      <c r="H839" s="30"/>
      <c r="I839" s="30">
        <v>2219</v>
      </c>
      <c r="J839" s="30" t="s">
        <v>5442</v>
      </c>
      <c r="K839" s="30" t="s">
        <v>5441</v>
      </c>
    </row>
    <row r="840" spans="1:11" x14ac:dyDescent="0.35">
      <c r="A840" s="30" t="s">
        <v>10718</v>
      </c>
      <c r="B840" s="30" t="s">
        <v>10719</v>
      </c>
      <c r="C840" s="32">
        <v>6.37</v>
      </c>
      <c r="D840" s="30">
        <v>0.41</v>
      </c>
      <c r="E840" s="31">
        <v>6.8790000000000004E-2</v>
      </c>
      <c r="F840" s="30">
        <v>618975722</v>
      </c>
      <c r="G840" s="30" t="s">
        <v>5427</v>
      </c>
      <c r="H840" s="30">
        <v>2013</v>
      </c>
      <c r="I840" s="30">
        <v>2456464</v>
      </c>
      <c r="J840" s="30" t="s">
        <v>5431</v>
      </c>
      <c r="K840" s="30" t="s">
        <v>6409</v>
      </c>
    </row>
    <row r="841" spans="1:11" x14ac:dyDescent="0.35">
      <c r="A841" s="30" t="s">
        <v>10720</v>
      </c>
      <c r="B841" s="30" t="s">
        <v>10721</v>
      </c>
      <c r="C841" s="32">
        <v>10.31</v>
      </c>
      <c r="D841" s="30">
        <v>-0.05</v>
      </c>
      <c r="E841" s="31">
        <v>-4.8300000000000001E-3</v>
      </c>
      <c r="F841" s="30">
        <v>149391900</v>
      </c>
      <c r="G841" s="30" t="s">
        <v>5752</v>
      </c>
      <c r="H841" s="30">
        <v>2021</v>
      </c>
      <c r="I841" s="30">
        <v>328</v>
      </c>
      <c r="J841" s="30" t="s">
        <v>5442</v>
      </c>
      <c r="K841" s="30" t="s">
        <v>5441</v>
      </c>
    </row>
    <row r="842" spans="1:11" x14ac:dyDescent="0.35">
      <c r="A842" s="30" t="s">
        <v>10722</v>
      </c>
      <c r="B842" s="30" t="s">
        <v>10723</v>
      </c>
      <c r="C842" s="32">
        <v>0.83399999999999996</v>
      </c>
      <c r="D842" s="30">
        <v>-3.5999999999999997E-2</v>
      </c>
      <c r="E842" s="31">
        <v>-4.138E-2</v>
      </c>
      <c r="F842" s="30">
        <v>60470712</v>
      </c>
      <c r="G842" s="30" t="s">
        <v>5427</v>
      </c>
      <c r="H842" s="30">
        <v>2021</v>
      </c>
      <c r="I842" s="30">
        <v>5903302</v>
      </c>
      <c r="J842" s="30" t="s">
        <v>5457</v>
      </c>
      <c r="K842" s="30" t="s">
        <v>5644</v>
      </c>
    </row>
    <row r="843" spans="1:11" x14ac:dyDescent="0.35">
      <c r="A843" s="30" t="s">
        <v>10724</v>
      </c>
      <c r="B843" s="30" t="s">
        <v>10725</v>
      </c>
      <c r="C843" s="32">
        <v>0.90149999999999997</v>
      </c>
      <c r="D843" s="30">
        <v>-8.5000000000000006E-3</v>
      </c>
      <c r="E843" s="31">
        <v>-9.3399999999999993E-3</v>
      </c>
      <c r="F843" s="30">
        <v>97916639</v>
      </c>
      <c r="G843" s="30" t="s">
        <v>5427</v>
      </c>
      <c r="H843" s="30"/>
      <c r="I843" s="30">
        <v>302478</v>
      </c>
      <c r="J843" s="30" t="s">
        <v>5431</v>
      </c>
      <c r="K843" s="30" t="s">
        <v>5430</v>
      </c>
    </row>
    <row r="844" spans="1:11" x14ac:dyDescent="0.35">
      <c r="A844" s="30" t="s">
        <v>10726</v>
      </c>
      <c r="B844" s="30" t="s">
        <v>10727</v>
      </c>
      <c r="C844" s="32">
        <v>35.85</v>
      </c>
      <c r="D844" s="30">
        <v>0.05</v>
      </c>
      <c r="E844" s="31">
        <v>1.4E-3</v>
      </c>
      <c r="F844" s="30">
        <v>299780747</v>
      </c>
      <c r="G844" s="30" t="s">
        <v>5427</v>
      </c>
      <c r="H844" s="30"/>
      <c r="I844" s="30">
        <v>22862</v>
      </c>
      <c r="J844" s="30" t="s">
        <v>5435</v>
      </c>
      <c r="K844" s="30" t="s">
        <v>5579</v>
      </c>
    </row>
    <row r="845" spans="1:11" x14ac:dyDescent="0.35">
      <c r="A845" s="30" t="s">
        <v>10728</v>
      </c>
      <c r="B845" s="30" t="s">
        <v>10729</v>
      </c>
      <c r="C845" s="32">
        <v>31.08</v>
      </c>
      <c r="D845" s="30">
        <v>0.43</v>
      </c>
      <c r="E845" s="31">
        <v>1.4030000000000001E-2</v>
      </c>
      <c r="F845" s="30">
        <v>961888828</v>
      </c>
      <c r="G845" s="30" t="s">
        <v>5427</v>
      </c>
      <c r="H845" s="30"/>
      <c r="I845" s="30">
        <v>139084</v>
      </c>
      <c r="J845" s="30" t="s">
        <v>5435</v>
      </c>
      <c r="K845" s="30" t="s">
        <v>5579</v>
      </c>
    </row>
    <row r="846" spans="1:11" x14ac:dyDescent="0.35">
      <c r="A846" s="30" t="s">
        <v>10730</v>
      </c>
      <c r="B846" s="30" t="s">
        <v>10731</v>
      </c>
      <c r="C846" s="32">
        <v>41.04</v>
      </c>
      <c r="D846" s="30">
        <v>1.19</v>
      </c>
      <c r="E846" s="31">
        <v>2.9860000000000001E-2</v>
      </c>
      <c r="F846" s="30">
        <v>1660746884</v>
      </c>
      <c r="G846" s="30" t="s">
        <v>5427</v>
      </c>
      <c r="H846" s="30">
        <v>1987</v>
      </c>
      <c r="I846" s="30">
        <v>229060</v>
      </c>
      <c r="J846" s="30" t="s">
        <v>5435</v>
      </c>
      <c r="K846" s="30" t="s">
        <v>5579</v>
      </c>
    </row>
    <row r="847" spans="1:11" x14ac:dyDescent="0.35">
      <c r="A847" s="30" t="s">
        <v>10732</v>
      </c>
      <c r="B847" s="30" t="s">
        <v>10733</v>
      </c>
      <c r="C847" s="32">
        <v>25.95</v>
      </c>
      <c r="D847" s="30">
        <v>-0.55000000000000004</v>
      </c>
      <c r="E847" s="31">
        <v>-2.0750000000000001E-2</v>
      </c>
      <c r="F847" s="30">
        <v>87486844</v>
      </c>
      <c r="G847" s="30" t="s">
        <v>5427</v>
      </c>
      <c r="H847" s="30"/>
      <c r="I847" s="30">
        <v>5639</v>
      </c>
      <c r="J847" s="30" t="s">
        <v>5435</v>
      </c>
      <c r="K847" s="30" t="s">
        <v>6556</v>
      </c>
    </row>
    <row r="848" spans="1:11" x14ac:dyDescent="0.35">
      <c r="A848" s="30" t="s">
        <v>10734</v>
      </c>
      <c r="B848" s="30" t="s">
        <v>10735</v>
      </c>
      <c r="C848" s="32">
        <v>32.43</v>
      </c>
      <c r="D848" s="30">
        <v>-0.08</v>
      </c>
      <c r="E848" s="31">
        <v>-2.4599999999999999E-3</v>
      </c>
      <c r="F848" s="30">
        <v>526189690</v>
      </c>
      <c r="G848" s="30" t="s">
        <v>5427</v>
      </c>
      <c r="H848" s="30"/>
      <c r="I848" s="30">
        <v>31043</v>
      </c>
      <c r="J848" s="30" t="s">
        <v>5435</v>
      </c>
      <c r="K848" s="30" t="s">
        <v>5579</v>
      </c>
    </row>
    <row r="849" spans="1:11" x14ac:dyDescent="0.35">
      <c r="A849" s="30" t="s">
        <v>10736</v>
      </c>
      <c r="B849" s="30" t="s">
        <v>10737</v>
      </c>
      <c r="C849" s="32">
        <v>20.55</v>
      </c>
      <c r="D849" s="30">
        <v>-0.01</v>
      </c>
      <c r="E849" s="31">
        <v>-4.8999999999999998E-4</v>
      </c>
      <c r="F849" s="30">
        <v>155726092</v>
      </c>
      <c r="G849" s="30" t="s">
        <v>5427</v>
      </c>
      <c r="H849" s="30"/>
      <c r="I849" s="30">
        <v>8076</v>
      </c>
      <c r="J849" s="30" t="s">
        <v>5435</v>
      </c>
      <c r="K849" s="30" t="s">
        <v>5579</v>
      </c>
    </row>
    <row r="850" spans="1:11" x14ac:dyDescent="0.35">
      <c r="A850" s="30" t="s">
        <v>10738</v>
      </c>
      <c r="B850" s="30" t="s">
        <v>10739</v>
      </c>
      <c r="C850" s="32">
        <v>3.86</v>
      </c>
      <c r="D850" s="30">
        <v>0.2</v>
      </c>
      <c r="E850" s="31">
        <v>5.4640000000000001E-2</v>
      </c>
      <c r="F850" s="30">
        <v>1566091104</v>
      </c>
      <c r="G850" s="30" t="s">
        <v>5427</v>
      </c>
      <c r="H850" s="30"/>
      <c r="I850" s="30">
        <v>10802121</v>
      </c>
      <c r="J850" s="30" t="s">
        <v>5426</v>
      </c>
      <c r="K850" s="30" t="s">
        <v>6000</v>
      </c>
    </row>
    <row r="851" spans="1:11" x14ac:dyDescent="0.35">
      <c r="A851" s="30" t="s">
        <v>10740</v>
      </c>
      <c r="B851" s="30" t="s">
        <v>10741</v>
      </c>
      <c r="C851" s="32">
        <v>91.76</v>
      </c>
      <c r="D851" s="30">
        <v>-0.42</v>
      </c>
      <c r="E851" s="31">
        <v>-4.5599999999999998E-3</v>
      </c>
      <c r="F851" s="30">
        <v>4250145644</v>
      </c>
      <c r="G851" s="30" t="s">
        <v>5427</v>
      </c>
      <c r="H851" s="30">
        <v>1991</v>
      </c>
      <c r="I851" s="30">
        <v>208908</v>
      </c>
      <c r="J851" s="30" t="s">
        <v>5682</v>
      </c>
      <c r="K851" s="30" t="s">
        <v>5746</v>
      </c>
    </row>
    <row r="852" spans="1:11" x14ac:dyDescent="0.35">
      <c r="A852" s="30" t="s">
        <v>10742</v>
      </c>
      <c r="B852" s="30" t="s">
        <v>10743</v>
      </c>
      <c r="C852" s="32">
        <v>780.6</v>
      </c>
      <c r="D852" s="30">
        <v>2.92</v>
      </c>
      <c r="E852" s="31">
        <v>3.7499999999999999E-3</v>
      </c>
      <c r="F852" s="30">
        <v>11323539720</v>
      </c>
      <c r="G852" s="30" t="s">
        <v>5427</v>
      </c>
      <c r="H852" s="30"/>
      <c r="I852" s="30">
        <v>88072</v>
      </c>
      <c r="J852" s="30" t="s">
        <v>5435</v>
      </c>
      <c r="K852" s="30" t="s">
        <v>5579</v>
      </c>
    </row>
    <row r="853" spans="1:11" x14ac:dyDescent="0.35">
      <c r="A853" s="30" t="s">
        <v>10744</v>
      </c>
      <c r="B853" s="30" t="s">
        <v>10745</v>
      </c>
      <c r="C853" s="32">
        <v>4.7149999999999999</v>
      </c>
      <c r="D853" s="30">
        <v>2.5000000000000001E-2</v>
      </c>
      <c r="E853" s="31">
        <v>5.3299999999999997E-3</v>
      </c>
      <c r="F853" s="30">
        <v>145633902</v>
      </c>
      <c r="G853" s="30" t="s">
        <v>5427</v>
      </c>
      <c r="H853" s="30">
        <v>2010</v>
      </c>
      <c r="I853" s="30">
        <v>70085</v>
      </c>
      <c r="J853" s="30" t="s">
        <v>5435</v>
      </c>
      <c r="K853" s="30" t="s">
        <v>5985</v>
      </c>
    </row>
    <row r="854" spans="1:11" x14ac:dyDescent="0.35">
      <c r="A854" s="30" t="s">
        <v>10746</v>
      </c>
      <c r="B854" s="30" t="s">
        <v>10747</v>
      </c>
      <c r="C854" s="32">
        <v>6.6</v>
      </c>
      <c r="D854" s="30">
        <v>0.8</v>
      </c>
      <c r="E854" s="31">
        <v>0.13793</v>
      </c>
      <c r="F854" s="30">
        <v>287304039</v>
      </c>
      <c r="G854" s="30" t="s">
        <v>5427</v>
      </c>
      <c r="H854" s="30"/>
      <c r="I854" s="30">
        <v>93662</v>
      </c>
      <c r="J854" s="30" t="s">
        <v>5457</v>
      </c>
      <c r="K854" s="30" t="s">
        <v>5644</v>
      </c>
    </row>
    <row r="855" spans="1:11" x14ac:dyDescent="0.35">
      <c r="A855" s="30" t="s">
        <v>10748</v>
      </c>
      <c r="B855" s="30" t="s">
        <v>10749</v>
      </c>
      <c r="C855" s="32">
        <v>48.99</v>
      </c>
      <c r="D855" s="30">
        <v>1.28</v>
      </c>
      <c r="E855" s="31">
        <v>2.683E-2</v>
      </c>
      <c r="F855" s="30">
        <v>275852745</v>
      </c>
      <c r="G855" s="30" t="s">
        <v>5427</v>
      </c>
      <c r="H855" s="30"/>
      <c r="I855" s="30">
        <v>21570</v>
      </c>
      <c r="J855" s="30" t="s">
        <v>5435</v>
      </c>
      <c r="K855" s="30" t="s">
        <v>5579</v>
      </c>
    </row>
    <row r="856" spans="1:11" x14ac:dyDescent="0.35">
      <c r="A856" s="30" t="s">
        <v>10750</v>
      </c>
      <c r="B856" s="30" t="s">
        <v>10751</v>
      </c>
      <c r="C856" s="32">
        <v>21.48</v>
      </c>
      <c r="D856" s="30">
        <v>0.43</v>
      </c>
      <c r="E856" s="31">
        <v>2.043E-2</v>
      </c>
      <c r="F856" s="30">
        <v>695788279</v>
      </c>
      <c r="G856" s="30" t="s">
        <v>5427</v>
      </c>
      <c r="H856" s="30">
        <v>2020</v>
      </c>
      <c r="I856" s="30">
        <v>333685</v>
      </c>
      <c r="J856" s="30" t="s">
        <v>5431</v>
      </c>
      <c r="K856" s="30" t="s">
        <v>5430</v>
      </c>
    </row>
    <row r="857" spans="1:11" x14ac:dyDescent="0.35">
      <c r="A857" s="30" t="s">
        <v>10752</v>
      </c>
      <c r="B857" s="30" t="s">
        <v>10753</v>
      </c>
      <c r="C857" s="32">
        <v>20.51</v>
      </c>
      <c r="D857" s="30">
        <v>0.21</v>
      </c>
      <c r="E857" s="31">
        <v>1.034E-2</v>
      </c>
      <c r="F857" s="30">
        <v>501211074</v>
      </c>
      <c r="G857" s="30" t="s">
        <v>5427</v>
      </c>
      <c r="H857" s="30">
        <v>2011</v>
      </c>
      <c r="I857" s="30">
        <v>47502</v>
      </c>
      <c r="J857" s="30" t="s">
        <v>5435</v>
      </c>
      <c r="K857" s="30" t="s">
        <v>5985</v>
      </c>
    </row>
    <row r="858" spans="1:11" x14ac:dyDescent="0.35">
      <c r="A858" s="30" t="s">
        <v>10754</v>
      </c>
      <c r="B858" s="30" t="s">
        <v>10755</v>
      </c>
      <c r="C858" s="32">
        <v>9.41</v>
      </c>
      <c r="D858" s="30">
        <v>-0.44</v>
      </c>
      <c r="E858" s="31">
        <v>-4.4670000000000001E-2</v>
      </c>
      <c r="F858" s="30">
        <v>412997109</v>
      </c>
      <c r="G858" s="30" t="s">
        <v>5427</v>
      </c>
      <c r="H858" s="30"/>
      <c r="I858" s="30">
        <v>178908</v>
      </c>
      <c r="J858" s="30" t="s">
        <v>5457</v>
      </c>
      <c r="K858" s="30" t="s">
        <v>5555</v>
      </c>
    </row>
    <row r="859" spans="1:11" x14ac:dyDescent="0.35">
      <c r="A859" s="30" t="s">
        <v>10756</v>
      </c>
      <c r="B859" s="30" t="s">
        <v>10757</v>
      </c>
      <c r="C859" s="32">
        <v>5.95</v>
      </c>
      <c r="D859" s="30">
        <v>-0.05</v>
      </c>
      <c r="E859" s="31">
        <v>-8.3300000000000006E-3</v>
      </c>
      <c r="F859" s="30">
        <v>55595116</v>
      </c>
      <c r="G859" s="30" t="s">
        <v>5427</v>
      </c>
      <c r="H859" s="30"/>
      <c r="I859" s="30">
        <v>3666</v>
      </c>
      <c r="J859" s="30" t="s">
        <v>5457</v>
      </c>
      <c r="K859" s="30" t="s">
        <v>5647</v>
      </c>
    </row>
    <row r="860" spans="1:11" x14ac:dyDescent="0.35">
      <c r="A860" s="30" t="s">
        <v>10758</v>
      </c>
      <c r="B860" s="30" t="s">
        <v>10759</v>
      </c>
      <c r="C860" s="32">
        <v>90.68</v>
      </c>
      <c r="D860" s="30">
        <v>0.60499999999999998</v>
      </c>
      <c r="E860" s="31">
        <v>6.7200000000000003E-3</v>
      </c>
      <c r="F860" s="30">
        <v>4200164754</v>
      </c>
      <c r="G860" s="30" t="s">
        <v>5427</v>
      </c>
      <c r="H860" s="30"/>
      <c r="I860" s="30">
        <v>170026</v>
      </c>
      <c r="J860" s="30" t="s">
        <v>5442</v>
      </c>
      <c r="K860" s="30" t="s">
        <v>5634</v>
      </c>
    </row>
    <row r="861" spans="1:11" x14ac:dyDescent="0.35">
      <c r="A861" s="30" t="s">
        <v>10760</v>
      </c>
      <c r="B861" s="30" t="s">
        <v>10761</v>
      </c>
      <c r="C861" s="32">
        <v>10.210000000000001</v>
      </c>
      <c r="D861" s="30">
        <v>0.2</v>
      </c>
      <c r="E861" s="31">
        <v>1.9980000000000001E-2</v>
      </c>
      <c r="F861" s="30">
        <v>268121155</v>
      </c>
      <c r="G861" s="30" t="s">
        <v>5427</v>
      </c>
      <c r="H861" s="30"/>
      <c r="I861" s="30">
        <v>97280</v>
      </c>
      <c r="J861" s="30" t="s">
        <v>5431</v>
      </c>
      <c r="K861" s="30" t="s">
        <v>8643</v>
      </c>
    </row>
    <row r="862" spans="1:11" x14ac:dyDescent="0.35">
      <c r="A862" s="30" t="s">
        <v>10762</v>
      </c>
      <c r="B862" s="30" t="s">
        <v>10763</v>
      </c>
      <c r="C862" s="32">
        <v>10.34</v>
      </c>
      <c r="D862" s="30">
        <v>0</v>
      </c>
      <c r="E862" s="31">
        <v>0</v>
      </c>
      <c r="F862" s="30">
        <v>149232050</v>
      </c>
      <c r="G862" s="30" t="s">
        <v>5427</v>
      </c>
      <c r="H862" s="30">
        <v>2022</v>
      </c>
      <c r="I862" s="30">
        <v>2</v>
      </c>
      <c r="J862" s="30" t="s">
        <v>5457</v>
      </c>
      <c r="K862" s="30" t="s">
        <v>5571</v>
      </c>
    </row>
    <row r="863" spans="1:11" x14ac:dyDescent="0.35">
      <c r="A863" s="30" t="s">
        <v>10764</v>
      </c>
      <c r="B863" s="30" t="s">
        <v>10765</v>
      </c>
      <c r="C863" s="32">
        <v>25.54</v>
      </c>
      <c r="D863" s="30">
        <v>0.21</v>
      </c>
      <c r="E863" s="31">
        <v>8.2900000000000005E-3</v>
      </c>
      <c r="F863" s="30">
        <v>2423518668</v>
      </c>
      <c r="G863" s="30" t="s">
        <v>5427</v>
      </c>
      <c r="H863" s="30"/>
      <c r="I863" s="30">
        <v>402559</v>
      </c>
      <c r="J863" s="30" t="s">
        <v>5435</v>
      </c>
      <c r="K863" s="30" t="s">
        <v>5579</v>
      </c>
    </row>
    <row r="864" spans="1:11" x14ac:dyDescent="0.35">
      <c r="A864" s="30" t="s">
        <v>10766</v>
      </c>
      <c r="B864" s="30" t="s">
        <v>10767</v>
      </c>
      <c r="C864" s="32">
        <v>11.8</v>
      </c>
      <c r="D864" s="30">
        <v>-0.44</v>
      </c>
      <c r="E864" s="31">
        <v>-3.5950000000000003E-2</v>
      </c>
      <c r="F864" s="30">
        <v>65540870</v>
      </c>
      <c r="G864" s="30" t="s">
        <v>5427</v>
      </c>
      <c r="H864" s="30">
        <v>2017</v>
      </c>
      <c r="I864" s="30">
        <v>24847</v>
      </c>
      <c r="J864" s="30" t="s">
        <v>5435</v>
      </c>
      <c r="K864" s="30" t="s">
        <v>5579</v>
      </c>
    </row>
    <row r="865" spans="1:11" x14ac:dyDescent="0.35">
      <c r="A865" s="30" t="s">
        <v>10768</v>
      </c>
      <c r="B865" s="30" t="s">
        <v>10769</v>
      </c>
      <c r="C865" s="32">
        <v>19.46</v>
      </c>
      <c r="D865" s="30">
        <v>0.27</v>
      </c>
      <c r="E865" s="31">
        <v>1.4069999999999999E-2</v>
      </c>
      <c r="F865" s="30">
        <v>573602960</v>
      </c>
      <c r="G865" s="30" t="s">
        <v>5427</v>
      </c>
      <c r="H865" s="30"/>
      <c r="I865" s="30">
        <v>202763</v>
      </c>
      <c r="J865" s="30" t="s">
        <v>5435</v>
      </c>
      <c r="K865" s="30" t="s">
        <v>5579</v>
      </c>
    </row>
    <row r="866" spans="1:11" x14ac:dyDescent="0.35">
      <c r="A866" s="30" t="s">
        <v>10770</v>
      </c>
      <c r="B866" s="30" t="s">
        <v>10771</v>
      </c>
      <c r="C866" s="32">
        <v>0.89190000000000003</v>
      </c>
      <c r="D866" s="30">
        <v>4.19E-2</v>
      </c>
      <c r="E866" s="31">
        <v>4.929E-2</v>
      </c>
      <c r="F866" s="30">
        <v>530841731</v>
      </c>
      <c r="G866" s="30" t="s">
        <v>5427</v>
      </c>
      <c r="H866" s="30">
        <v>2020</v>
      </c>
      <c r="I866" s="30">
        <v>56350670</v>
      </c>
      <c r="J866" s="30" t="s">
        <v>5442</v>
      </c>
      <c r="K866" s="30" t="s">
        <v>5926</v>
      </c>
    </row>
    <row r="867" spans="1:11" x14ac:dyDescent="0.35">
      <c r="A867" s="30" t="s">
        <v>10772</v>
      </c>
      <c r="B867" s="30" t="s">
        <v>10773</v>
      </c>
      <c r="C867" s="32">
        <v>36.200000000000003</v>
      </c>
      <c r="D867" s="30">
        <v>0.57999999999999996</v>
      </c>
      <c r="E867" s="31">
        <v>1.6279999999999999E-2</v>
      </c>
      <c r="F867" s="30">
        <v>5164214930</v>
      </c>
      <c r="G867" s="30" t="s">
        <v>5427</v>
      </c>
      <c r="H867" s="30"/>
      <c r="I867" s="30">
        <v>450691</v>
      </c>
      <c r="J867" s="30" t="s">
        <v>5435</v>
      </c>
      <c r="K867" s="30" t="s">
        <v>5579</v>
      </c>
    </row>
    <row r="868" spans="1:11" x14ac:dyDescent="0.35">
      <c r="A868" s="30" t="s">
        <v>10774</v>
      </c>
      <c r="B868" s="30" t="s">
        <v>10775</v>
      </c>
      <c r="C868" s="32">
        <v>150.35</v>
      </c>
      <c r="D868" s="30">
        <v>2.69</v>
      </c>
      <c r="E868" s="31">
        <v>1.822E-2</v>
      </c>
      <c r="F868" s="30">
        <v>9038685069</v>
      </c>
      <c r="G868" s="30" t="s">
        <v>5427</v>
      </c>
      <c r="H868" s="30">
        <v>1999</v>
      </c>
      <c r="I868" s="30">
        <v>772658</v>
      </c>
      <c r="J868" s="30" t="s">
        <v>5219</v>
      </c>
      <c r="K868" s="30" t="s">
        <v>5447</v>
      </c>
    </row>
    <row r="869" spans="1:11" x14ac:dyDescent="0.35">
      <c r="A869" s="30" t="s">
        <v>10776</v>
      </c>
      <c r="B869" s="30" t="s">
        <v>10777</v>
      </c>
      <c r="C869" s="32">
        <v>15.11</v>
      </c>
      <c r="D869" s="30">
        <v>0.06</v>
      </c>
      <c r="E869" s="31">
        <v>3.9899999999999996E-3</v>
      </c>
      <c r="F869" s="30">
        <v>137917960</v>
      </c>
      <c r="G869" s="30" t="s">
        <v>5427</v>
      </c>
      <c r="H869" s="30">
        <v>2007</v>
      </c>
      <c r="I869" s="30">
        <v>5608</v>
      </c>
      <c r="J869" s="30" t="s">
        <v>5435</v>
      </c>
      <c r="K869" s="30" t="s">
        <v>6698</v>
      </c>
    </row>
    <row r="870" spans="1:11" x14ac:dyDescent="0.35">
      <c r="A870" s="30" t="s">
        <v>10778</v>
      </c>
      <c r="B870" s="30" t="s">
        <v>10779</v>
      </c>
      <c r="C870" s="32">
        <v>16.04</v>
      </c>
      <c r="D870" s="30">
        <v>0.51</v>
      </c>
      <c r="E870" s="31">
        <v>3.2840000000000001E-2</v>
      </c>
      <c r="F870" s="30">
        <v>903456882</v>
      </c>
      <c r="G870" s="30" t="s">
        <v>5427</v>
      </c>
      <c r="H870" s="30"/>
      <c r="I870" s="30">
        <v>631630</v>
      </c>
      <c r="J870" s="30" t="s">
        <v>5435</v>
      </c>
      <c r="K870" s="30" t="s">
        <v>5579</v>
      </c>
    </row>
    <row r="871" spans="1:11" x14ac:dyDescent="0.35">
      <c r="A871" s="30" t="s">
        <v>10780</v>
      </c>
      <c r="B871" s="30" t="s">
        <v>10781</v>
      </c>
      <c r="C871" s="32">
        <v>21.78</v>
      </c>
      <c r="D871" s="30">
        <v>-0.13</v>
      </c>
      <c r="E871" s="31">
        <v>-5.9300000000000004E-3</v>
      </c>
      <c r="F871" s="30">
        <v>233411817</v>
      </c>
      <c r="G871" s="30" t="s">
        <v>5427</v>
      </c>
      <c r="H871" s="30"/>
      <c r="I871" s="30">
        <v>12824</v>
      </c>
      <c r="J871" s="30" t="s">
        <v>5435</v>
      </c>
      <c r="K871" s="30" t="s">
        <v>5579</v>
      </c>
    </row>
    <row r="872" spans="1:11" x14ac:dyDescent="0.35">
      <c r="A872" s="30" t="s">
        <v>10782</v>
      </c>
      <c r="B872" s="30" t="s">
        <v>10783</v>
      </c>
      <c r="C872" s="32">
        <v>24.39</v>
      </c>
      <c r="D872" s="30">
        <v>0.79</v>
      </c>
      <c r="E872" s="31">
        <v>3.347E-2</v>
      </c>
      <c r="F872" s="30">
        <v>2291628010</v>
      </c>
      <c r="G872" s="30" t="s">
        <v>5427</v>
      </c>
      <c r="H872" s="30">
        <v>2014</v>
      </c>
      <c r="I872" s="30">
        <v>1114533</v>
      </c>
      <c r="J872" s="30" t="s">
        <v>5431</v>
      </c>
      <c r="K872" s="30" t="s">
        <v>5430</v>
      </c>
    </row>
    <row r="873" spans="1:11" x14ac:dyDescent="0.35">
      <c r="A873" s="30" t="s">
        <v>10784</v>
      </c>
      <c r="B873" s="30" t="s">
        <v>10785</v>
      </c>
      <c r="C873" s="32">
        <v>10.3</v>
      </c>
      <c r="D873" s="30">
        <v>-0.01</v>
      </c>
      <c r="E873" s="31">
        <v>-9.7000000000000005E-4</v>
      </c>
      <c r="F873" s="30">
        <v>104624825</v>
      </c>
      <c r="G873" s="30" t="s">
        <v>5427</v>
      </c>
      <c r="H873" s="30">
        <v>2022</v>
      </c>
      <c r="I873" s="30">
        <v>10220</v>
      </c>
      <c r="J873" s="30" t="s">
        <v>5457</v>
      </c>
      <c r="K873" s="30" t="s">
        <v>5571</v>
      </c>
    </row>
    <row r="874" spans="1:11" x14ac:dyDescent="0.35">
      <c r="A874" s="30" t="s">
        <v>10786</v>
      </c>
      <c r="B874" s="30" t="s">
        <v>10787</v>
      </c>
      <c r="C874" s="32">
        <v>27.44</v>
      </c>
      <c r="D874" s="30">
        <v>0</v>
      </c>
      <c r="E874" s="31">
        <v>0</v>
      </c>
      <c r="F874" s="30">
        <v>3494849693</v>
      </c>
      <c r="G874" s="30" t="s">
        <v>5427</v>
      </c>
      <c r="H874" s="30">
        <v>2016</v>
      </c>
      <c r="I874" s="30">
        <v>550689</v>
      </c>
      <c r="J874" s="30" t="s">
        <v>5435</v>
      </c>
      <c r="K874" s="30" t="s">
        <v>5579</v>
      </c>
    </row>
    <row r="875" spans="1:11" x14ac:dyDescent="0.35">
      <c r="A875" s="30" t="s">
        <v>10788</v>
      </c>
      <c r="B875" s="30" t="s">
        <v>10789</v>
      </c>
      <c r="C875" s="32">
        <v>9.76</v>
      </c>
      <c r="D875" s="30">
        <v>0</v>
      </c>
      <c r="E875" s="31">
        <v>0</v>
      </c>
      <c r="F875" s="30">
        <v>64333401</v>
      </c>
      <c r="G875" s="30" t="s">
        <v>5427</v>
      </c>
      <c r="H875" s="30">
        <v>2021</v>
      </c>
      <c r="I875" s="30">
        <v>1</v>
      </c>
      <c r="J875" s="30" t="s">
        <v>5457</v>
      </c>
      <c r="K875" s="30" t="s">
        <v>5571</v>
      </c>
    </row>
    <row r="876" spans="1:11" x14ac:dyDescent="0.35">
      <c r="A876" s="30" t="s">
        <v>10790</v>
      </c>
      <c r="B876" s="30" t="s">
        <v>10791</v>
      </c>
      <c r="C876" s="32">
        <v>8.9</v>
      </c>
      <c r="D876" s="30">
        <v>0.3</v>
      </c>
      <c r="E876" s="31">
        <v>3.4880000000000001E-2</v>
      </c>
      <c r="F876" s="30">
        <v>372037159</v>
      </c>
      <c r="G876" s="30" t="s">
        <v>5427</v>
      </c>
      <c r="H876" s="30">
        <v>2020</v>
      </c>
      <c r="I876" s="30">
        <v>47349</v>
      </c>
      <c r="J876" s="30" t="s">
        <v>5431</v>
      </c>
      <c r="K876" s="30" t="s">
        <v>5685</v>
      </c>
    </row>
    <row r="877" spans="1:11" x14ac:dyDescent="0.35">
      <c r="A877" s="30" t="s">
        <v>10792</v>
      </c>
      <c r="B877" s="30" t="s">
        <v>10793</v>
      </c>
      <c r="C877" s="32">
        <v>10.28</v>
      </c>
      <c r="D877" s="30">
        <v>0</v>
      </c>
      <c r="E877" s="31">
        <v>0</v>
      </c>
      <c r="F877" s="30">
        <v>295550000</v>
      </c>
      <c r="G877" s="30" t="s">
        <v>5427</v>
      </c>
      <c r="H877" s="30">
        <v>2021</v>
      </c>
      <c r="I877" s="30">
        <v>60172</v>
      </c>
      <c r="J877" s="30" t="s">
        <v>5457</v>
      </c>
      <c r="K877" s="30" t="s">
        <v>5571</v>
      </c>
    </row>
    <row r="878" spans="1:11" x14ac:dyDescent="0.35">
      <c r="A878" s="30" t="s">
        <v>10794</v>
      </c>
      <c r="B878" s="30" t="s">
        <v>10795</v>
      </c>
      <c r="C878" s="32">
        <v>36.6</v>
      </c>
      <c r="D878" s="30">
        <v>0.72</v>
      </c>
      <c r="E878" s="31">
        <v>2.0070000000000001E-2</v>
      </c>
      <c r="F878" s="30">
        <v>3822577200</v>
      </c>
      <c r="G878" s="30" t="s">
        <v>5427</v>
      </c>
      <c r="H878" s="30">
        <v>2010</v>
      </c>
      <c r="I878" s="30">
        <v>1107359</v>
      </c>
      <c r="J878" s="30" t="s">
        <v>5435</v>
      </c>
      <c r="K878" s="30" t="s">
        <v>5579</v>
      </c>
    </row>
    <row r="879" spans="1:11" x14ac:dyDescent="0.35">
      <c r="A879" s="30" t="s">
        <v>10796</v>
      </c>
      <c r="B879" s="30" t="s">
        <v>10797</v>
      </c>
      <c r="C879" s="32">
        <v>10.11</v>
      </c>
      <c r="D879" s="30">
        <v>0.01</v>
      </c>
      <c r="E879" s="31">
        <v>9.8999999999999999E-4</v>
      </c>
      <c r="F879" s="30">
        <v>252750000</v>
      </c>
      <c r="G879" s="30" t="s">
        <v>5427</v>
      </c>
      <c r="H879" s="30">
        <v>2021</v>
      </c>
      <c r="I879" s="30">
        <v>2800</v>
      </c>
      <c r="J879" s="30" t="s">
        <v>5435</v>
      </c>
      <c r="K879" s="30" t="s">
        <v>5482</v>
      </c>
    </row>
    <row r="880" spans="1:11" x14ac:dyDescent="0.35">
      <c r="A880" s="30" t="s">
        <v>10798</v>
      </c>
      <c r="B880" s="30" t="s">
        <v>10799</v>
      </c>
      <c r="C880" s="32">
        <v>8.7100000000000009</v>
      </c>
      <c r="D880" s="30">
        <v>0.02</v>
      </c>
      <c r="E880" s="31">
        <v>2.3E-3</v>
      </c>
      <c r="F880" s="30">
        <v>111761015</v>
      </c>
      <c r="G880" s="30" t="s">
        <v>5427</v>
      </c>
      <c r="H880" s="30">
        <v>2021</v>
      </c>
      <c r="I880" s="30">
        <v>22455</v>
      </c>
      <c r="J880" s="30" t="s">
        <v>5435</v>
      </c>
      <c r="K880" s="30" t="s">
        <v>5582</v>
      </c>
    </row>
    <row r="881" spans="1:11" x14ac:dyDescent="0.35">
      <c r="A881" s="30" t="s">
        <v>10800</v>
      </c>
      <c r="B881" s="30" t="s">
        <v>10801</v>
      </c>
      <c r="C881" s="32">
        <v>3.29</v>
      </c>
      <c r="D881" s="30">
        <v>-0.02</v>
      </c>
      <c r="E881" s="31">
        <v>-6.0400000000000002E-3</v>
      </c>
      <c r="F881" s="30">
        <v>327072379</v>
      </c>
      <c r="G881" s="30" t="s">
        <v>5427</v>
      </c>
      <c r="H881" s="30"/>
      <c r="I881" s="30">
        <v>420701</v>
      </c>
      <c r="J881" s="30" t="s">
        <v>5457</v>
      </c>
      <c r="K881" s="30" t="s">
        <v>5571</v>
      </c>
    </row>
    <row r="882" spans="1:11" x14ac:dyDescent="0.35">
      <c r="A882" s="30" t="s">
        <v>10802</v>
      </c>
      <c r="B882" s="30" t="s">
        <v>10803</v>
      </c>
      <c r="C882" s="32">
        <v>24.94</v>
      </c>
      <c r="D882" s="30">
        <v>0.23</v>
      </c>
      <c r="E882" s="31">
        <v>9.3100000000000006E-3</v>
      </c>
      <c r="F882" s="30">
        <v>382455723</v>
      </c>
      <c r="G882" s="30" t="s">
        <v>5427</v>
      </c>
      <c r="H882" s="30">
        <v>1999</v>
      </c>
      <c r="I882" s="30">
        <v>58255</v>
      </c>
      <c r="J882" s="30" t="s">
        <v>5435</v>
      </c>
      <c r="K882" s="30" t="s">
        <v>5579</v>
      </c>
    </row>
    <row r="883" spans="1:11" x14ac:dyDescent="0.35">
      <c r="A883" s="30" t="s">
        <v>10804</v>
      </c>
      <c r="B883" s="30" t="s">
        <v>10805</v>
      </c>
      <c r="C883" s="32">
        <v>108.16</v>
      </c>
      <c r="D883" s="30">
        <v>1.48</v>
      </c>
      <c r="E883" s="31">
        <v>1.387E-2</v>
      </c>
      <c r="F883" s="30">
        <v>68684636700</v>
      </c>
      <c r="G883" s="30" t="s">
        <v>5427</v>
      </c>
      <c r="H883" s="30">
        <v>1986</v>
      </c>
      <c r="I883" s="30">
        <v>2906196</v>
      </c>
      <c r="J883" s="30" t="s">
        <v>5442</v>
      </c>
      <c r="K883" s="30" t="s">
        <v>5482</v>
      </c>
    </row>
    <row r="884" spans="1:11" x14ac:dyDescent="0.35">
      <c r="A884" s="30" t="s">
        <v>10806</v>
      </c>
      <c r="B884" s="30" t="s">
        <v>10807</v>
      </c>
      <c r="C884" s="32">
        <v>36.78</v>
      </c>
      <c r="D884" s="30">
        <v>0.49</v>
      </c>
      <c r="E884" s="31">
        <v>1.35E-2</v>
      </c>
      <c r="F884" s="30">
        <v>25134937080</v>
      </c>
      <c r="G884" s="30" t="s">
        <v>5427</v>
      </c>
      <c r="H884" s="30"/>
      <c r="I884" s="30">
        <v>5609323</v>
      </c>
      <c r="J884" s="30" t="s">
        <v>5435</v>
      </c>
      <c r="K884" s="30" t="s">
        <v>5579</v>
      </c>
    </row>
    <row r="885" spans="1:11" x14ac:dyDescent="0.35">
      <c r="A885" s="30" t="s">
        <v>10808</v>
      </c>
      <c r="B885" s="30" t="s">
        <v>10809</v>
      </c>
      <c r="C885" s="32">
        <v>198.35</v>
      </c>
      <c r="D885" s="30">
        <v>1.22</v>
      </c>
      <c r="E885" s="31">
        <v>6.1900000000000002E-3</v>
      </c>
      <c r="F885" s="30">
        <v>11011140412</v>
      </c>
      <c r="G885" s="30" t="s">
        <v>5427</v>
      </c>
      <c r="H885" s="30">
        <v>2012</v>
      </c>
      <c r="I885" s="30">
        <v>539185</v>
      </c>
      <c r="J885" s="30" t="s">
        <v>5442</v>
      </c>
      <c r="K885" s="30" t="s">
        <v>5534</v>
      </c>
    </row>
    <row r="886" spans="1:11" x14ac:dyDescent="0.35">
      <c r="A886" s="30" t="s">
        <v>10810</v>
      </c>
      <c r="B886" s="30" t="s">
        <v>10811</v>
      </c>
      <c r="C886" s="32">
        <v>81.98</v>
      </c>
      <c r="D886" s="30">
        <v>3.2</v>
      </c>
      <c r="E886" s="31">
        <v>4.0620000000000003E-2</v>
      </c>
      <c r="F886" s="30">
        <v>5780032200</v>
      </c>
      <c r="G886" s="30" t="s">
        <v>5427</v>
      </c>
      <c r="H886" s="30">
        <v>2014</v>
      </c>
      <c r="I886" s="30">
        <v>1439222</v>
      </c>
      <c r="J886" s="30" t="s">
        <v>5219</v>
      </c>
      <c r="K886" s="30" t="s">
        <v>5447</v>
      </c>
    </row>
    <row r="887" spans="1:11" x14ac:dyDescent="0.35">
      <c r="A887" s="30" t="s">
        <v>10812</v>
      </c>
      <c r="B887" s="30" t="s">
        <v>10813</v>
      </c>
      <c r="C887" s="32">
        <v>1.59</v>
      </c>
      <c r="D887" s="30">
        <v>0.02</v>
      </c>
      <c r="E887" s="31">
        <v>1.274E-2</v>
      </c>
      <c r="F887" s="30">
        <v>91394170</v>
      </c>
      <c r="G887" s="30" t="s">
        <v>5427</v>
      </c>
      <c r="H887" s="30">
        <v>2018</v>
      </c>
      <c r="I887" s="30">
        <v>68695</v>
      </c>
      <c r="J887" s="30" t="s">
        <v>5431</v>
      </c>
      <c r="K887" s="30" t="s">
        <v>5430</v>
      </c>
    </row>
    <row r="888" spans="1:11" x14ac:dyDescent="0.35">
      <c r="A888" s="30" t="s">
        <v>10814</v>
      </c>
      <c r="B888" s="30" t="s">
        <v>10815</v>
      </c>
      <c r="C888" s="32">
        <v>45.18</v>
      </c>
      <c r="D888" s="30">
        <v>0.98</v>
      </c>
      <c r="E888" s="31">
        <v>2.2169999999999999E-2</v>
      </c>
      <c r="F888" s="30">
        <v>4217686100</v>
      </c>
      <c r="G888" s="30" t="s">
        <v>5427</v>
      </c>
      <c r="H888" s="30"/>
      <c r="I888" s="30">
        <v>127769</v>
      </c>
      <c r="J888" s="30" t="s">
        <v>5541</v>
      </c>
      <c r="K888" s="30" t="s">
        <v>5997</v>
      </c>
    </row>
    <row r="889" spans="1:11" x14ac:dyDescent="0.35">
      <c r="A889" s="30" t="s">
        <v>10816</v>
      </c>
      <c r="B889" s="30" t="s">
        <v>10817</v>
      </c>
      <c r="C889" s="32">
        <v>5.04</v>
      </c>
      <c r="D889" s="30">
        <v>-0.05</v>
      </c>
      <c r="E889" s="31">
        <v>-9.8200000000000006E-3</v>
      </c>
      <c r="F889" s="30">
        <v>58888771</v>
      </c>
      <c r="G889" s="30" t="s">
        <v>5427</v>
      </c>
      <c r="H889" s="30"/>
      <c r="I889" s="30">
        <v>4831</v>
      </c>
      <c r="J889" s="30" t="s">
        <v>5426</v>
      </c>
      <c r="K889" s="30" t="s">
        <v>5520</v>
      </c>
    </row>
    <row r="890" spans="1:11" x14ac:dyDescent="0.35">
      <c r="A890" s="30" t="s">
        <v>10818</v>
      </c>
      <c r="B890" s="30" t="s">
        <v>10819</v>
      </c>
      <c r="C890" s="32">
        <v>23.78</v>
      </c>
      <c r="D890" s="30">
        <v>0.43</v>
      </c>
      <c r="E890" s="31">
        <v>1.8419999999999999E-2</v>
      </c>
      <c r="F890" s="30">
        <v>10726706560</v>
      </c>
      <c r="G890" s="30" t="s">
        <v>5752</v>
      </c>
      <c r="H890" s="30">
        <v>1994</v>
      </c>
      <c r="I890" s="30">
        <v>5143955</v>
      </c>
      <c r="J890" s="30" t="s">
        <v>5219</v>
      </c>
      <c r="K890" s="30" t="s">
        <v>5647</v>
      </c>
    </row>
    <row r="891" spans="1:11" x14ac:dyDescent="0.35">
      <c r="A891" s="30" t="s">
        <v>10820</v>
      </c>
      <c r="B891" s="30" t="s">
        <v>10821</v>
      </c>
      <c r="C891" s="32">
        <v>10.27</v>
      </c>
      <c r="D891" s="30">
        <v>-0.01</v>
      </c>
      <c r="E891" s="31">
        <v>-9.7000000000000005E-4</v>
      </c>
      <c r="F891" s="30">
        <v>131226209</v>
      </c>
      <c r="G891" s="30" t="s">
        <v>5427</v>
      </c>
      <c r="H891" s="30">
        <v>2022</v>
      </c>
      <c r="I891" s="30">
        <v>1300</v>
      </c>
      <c r="J891" s="30" t="s">
        <v>5457</v>
      </c>
      <c r="K891" s="30" t="s">
        <v>5571</v>
      </c>
    </row>
    <row r="892" spans="1:11" x14ac:dyDescent="0.35">
      <c r="A892" s="30" t="s">
        <v>10822</v>
      </c>
      <c r="B892" s="30" t="s">
        <v>10823</v>
      </c>
      <c r="C892" s="32">
        <v>0.4088</v>
      </c>
      <c r="D892" s="30">
        <v>0.1168</v>
      </c>
      <c r="E892" s="31">
        <v>0.4</v>
      </c>
      <c r="F892" s="30">
        <v>54536136</v>
      </c>
      <c r="G892" s="30" t="s">
        <v>5515</v>
      </c>
      <c r="H892" s="30">
        <v>2021</v>
      </c>
      <c r="I892" s="30">
        <v>41721261</v>
      </c>
      <c r="J892" s="30" t="s">
        <v>5431</v>
      </c>
      <c r="K892" s="30" t="s">
        <v>8643</v>
      </c>
    </row>
    <row r="893" spans="1:11" x14ac:dyDescent="0.35">
      <c r="A893" s="30" t="s">
        <v>5056</v>
      </c>
      <c r="B893" s="30" t="s">
        <v>10824</v>
      </c>
      <c r="C893" s="32">
        <v>34.75</v>
      </c>
      <c r="D893" s="30">
        <v>0.97</v>
      </c>
      <c r="E893" s="31">
        <v>2.8719999999999999E-2</v>
      </c>
      <c r="F893" s="30">
        <v>1050320105</v>
      </c>
      <c r="G893" s="30" t="s">
        <v>5427</v>
      </c>
      <c r="H893" s="30">
        <v>2016</v>
      </c>
      <c r="I893" s="30">
        <v>177397</v>
      </c>
      <c r="J893" s="30" t="s">
        <v>5431</v>
      </c>
      <c r="K893" s="30" t="s">
        <v>5610</v>
      </c>
    </row>
    <row r="894" spans="1:11" x14ac:dyDescent="0.35">
      <c r="A894" s="30" t="s">
        <v>10825</v>
      </c>
      <c r="B894" s="30" t="s">
        <v>10826</v>
      </c>
      <c r="C894" s="32">
        <v>17.309999999999999</v>
      </c>
      <c r="D894" s="30">
        <v>-0.35</v>
      </c>
      <c r="E894" s="31">
        <v>-1.9820000000000001E-2</v>
      </c>
      <c r="F894" s="30">
        <v>388494908</v>
      </c>
      <c r="G894" s="30" t="s">
        <v>5427</v>
      </c>
      <c r="H894" s="30"/>
      <c r="I894" s="30">
        <v>101280</v>
      </c>
      <c r="J894" s="30" t="s">
        <v>5435</v>
      </c>
      <c r="K894" s="30" t="s">
        <v>5579</v>
      </c>
    </row>
    <row r="895" spans="1:11" x14ac:dyDescent="0.35">
      <c r="A895" s="30" t="s">
        <v>10827</v>
      </c>
      <c r="B895" s="30" t="s">
        <v>10828</v>
      </c>
      <c r="C895" s="32">
        <v>8.8000000000000007</v>
      </c>
      <c r="D895" s="30">
        <v>-0.02</v>
      </c>
      <c r="E895" s="31">
        <v>-2.2699999999999999E-3</v>
      </c>
      <c r="F895" s="30">
        <v>302711939</v>
      </c>
      <c r="G895" s="30" t="s">
        <v>5427</v>
      </c>
      <c r="H895" s="30"/>
      <c r="I895" s="30">
        <v>133669</v>
      </c>
      <c r="J895" s="30" t="s">
        <v>5442</v>
      </c>
      <c r="K895" s="30" t="s">
        <v>5450</v>
      </c>
    </row>
    <row r="896" spans="1:11" x14ac:dyDescent="0.35">
      <c r="A896" s="30" t="s">
        <v>10829</v>
      </c>
      <c r="B896" s="30" t="s">
        <v>10830</v>
      </c>
      <c r="C896" s="32">
        <v>24.38</v>
      </c>
      <c r="D896" s="30">
        <v>0.24</v>
      </c>
      <c r="E896" s="31">
        <v>9.9399999999999992E-3</v>
      </c>
      <c r="F896" s="30">
        <v>4176700293</v>
      </c>
      <c r="G896" s="30" t="s">
        <v>5427</v>
      </c>
      <c r="H896" s="30">
        <v>2021</v>
      </c>
      <c r="I896" s="30">
        <v>1810110</v>
      </c>
      <c r="J896" s="30" t="s">
        <v>5426</v>
      </c>
      <c r="K896" s="30" t="s">
        <v>5593</v>
      </c>
    </row>
    <row r="897" spans="1:11" x14ac:dyDescent="0.35">
      <c r="A897" s="30" t="s">
        <v>10831</v>
      </c>
      <c r="B897" s="30" t="s">
        <v>10832</v>
      </c>
      <c r="C897" s="32">
        <v>1.34</v>
      </c>
      <c r="D897" s="30">
        <v>-9.9000000000000008E-3</v>
      </c>
      <c r="E897" s="31">
        <v>-7.3299999999999997E-3</v>
      </c>
      <c r="F897" s="30">
        <v>107134532</v>
      </c>
      <c r="G897" s="30" t="s">
        <v>5427</v>
      </c>
      <c r="H897" s="30"/>
      <c r="I897" s="30">
        <v>73807</v>
      </c>
      <c r="J897" s="30" t="s">
        <v>5442</v>
      </c>
      <c r="K897" s="30" t="s">
        <v>5447</v>
      </c>
    </row>
    <row r="898" spans="1:11" x14ac:dyDescent="0.35">
      <c r="A898" s="30" t="s">
        <v>10833</v>
      </c>
      <c r="B898" s="30" t="s">
        <v>10834</v>
      </c>
      <c r="C898" s="32">
        <v>5.46</v>
      </c>
      <c r="D898" s="30">
        <v>0.02</v>
      </c>
      <c r="E898" s="31">
        <v>3.6800000000000001E-3</v>
      </c>
      <c r="F898" s="30">
        <v>87517827</v>
      </c>
      <c r="G898" s="30" t="s">
        <v>5427</v>
      </c>
      <c r="H898" s="30"/>
      <c r="I898" s="30">
        <v>109223</v>
      </c>
      <c r="J898" s="30" t="s">
        <v>5457</v>
      </c>
      <c r="K898" s="30" t="s">
        <v>5647</v>
      </c>
    </row>
    <row r="899" spans="1:11" x14ac:dyDescent="0.35">
      <c r="A899" s="30" t="s">
        <v>10835</v>
      </c>
      <c r="B899" s="30" t="s">
        <v>10836</v>
      </c>
      <c r="C899" s="32">
        <v>10.220000000000001</v>
      </c>
      <c r="D899" s="30">
        <v>0.25</v>
      </c>
      <c r="E899" s="31">
        <v>2.5080000000000002E-2</v>
      </c>
      <c r="F899" s="30">
        <v>660524201</v>
      </c>
      <c r="G899" s="30" t="s">
        <v>5427</v>
      </c>
      <c r="H899" s="30">
        <v>1999</v>
      </c>
      <c r="I899" s="30">
        <v>677459</v>
      </c>
      <c r="J899" s="30" t="s">
        <v>5442</v>
      </c>
      <c r="K899" s="30" t="s">
        <v>5618</v>
      </c>
    </row>
    <row r="900" spans="1:11" x14ac:dyDescent="0.35">
      <c r="A900" s="30" t="s">
        <v>10837</v>
      </c>
      <c r="B900" s="30" t="s">
        <v>10838</v>
      </c>
      <c r="C900" s="32">
        <v>19.32</v>
      </c>
      <c r="D900" s="30">
        <v>0.06</v>
      </c>
      <c r="E900" s="31">
        <v>3.1199999999999999E-3</v>
      </c>
      <c r="F900" s="30">
        <v>101881895</v>
      </c>
      <c r="G900" s="30" t="s">
        <v>5427</v>
      </c>
      <c r="H900" s="30"/>
      <c r="I900" s="30">
        <v>11587</v>
      </c>
      <c r="J900" s="30" t="s">
        <v>5442</v>
      </c>
      <c r="K900" s="30" t="s">
        <v>5894</v>
      </c>
    </row>
    <row r="901" spans="1:11" x14ac:dyDescent="0.35">
      <c r="A901" s="30" t="s">
        <v>10839</v>
      </c>
      <c r="B901" s="30" t="s">
        <v>10840</v>
      </c>
      <c r="C901" s="32">
        <v>28.28</v>
      </c>
      <c r="D901" s="30">
        <v>1.31</v>
      </c>
      <c r="E901" s="31">
        <v>4.8570000000000002E-2</v>
      </c>
      <c r="F901" s="30">
        <v>3082505719</v>
      </c>
      <c r="G901" s="30" t="s">
        <v>5427</v>
      </c>
      <c r="H901" s="30">
        <v>2021</v>
      </c>
      <c r="I901" s="30">
        <v>952426</v>
      </c>
      <c r="J901" s="30" t="s">
        <v>5219</v>
      </c>
      <c r="K901" s="30" t="s">
        <v>5447</v>
      </c>
    </row>
    <row r="902" spans="1:11" x14ac:dyDescent="0.35">
      <c r="A902" s="30" t="s">
        <v>10841</v>
      </c>
      <c r="B902" s="30" t="s">
        <v>10842</v>
      </c>
      <c r="C902" s="32">
        <v>28.08</v>
      </c>
      <c r="D902" s="30">
        <v>-0.37</v>
      </c>
      <c r="E902" s="31">
        <v>-1.3010000000000001E-2</v>
      </c>
      <c r="F902" s="30">
        <v>382074760</v>
      </c>
      <c r="G902" s="30" t="s">
        <v>5427</v>
      </c>
      <c r="H902" s="30"/>
      <c r="I902" s="30">
        <v>68738</v>
      </c>
      <c r="J902" s="30" t="s">
        <v>5435</v>
      </c>
      <c r="K902" s="30" t="s">
        <v>6556</v>
      </c>
    </row>
    <row r="903" spans="1:11" x14ac:dyDescent="0.35">
      <c r="A903" s="30" t="s">
        <v>10843</v>
      </c>
      <c r="B903" s="30" t="s">
        <v>10844</v>
      </c>
      <c r="C903" s="32">
        <v>32.5</v>
      </c>
      <c r="D903" s="30">
        <v>0.37</v>
      </c>
      <c r="E903" s="31">
        <v>1.1520000000000001E-2</v>
      </c>
      <c r="F903" s="30">
        <v>664702220</v>
      </c>
      <c r="G903" s="30" t="s">
        <v>5427</v>
      </c>
      <c r="H903" s="30"/>
      <c r="I903" s="30">
        <v>35459</v>
      </c>
      <c r="J903" s="30" t="s">
        <v>5435</v>
      </c>
      <c r="K903" s="30" t="s">
        <v>5579</v>
      </c>
    </row>
    <row r="904" spans="1:11" x14ac:dyDescent="0.35">
      <c r="A904" s="30" t="s">
        <v>10845</v>
      </c>
      <c r="B904" s="30" t="s">
        <v>10846</v>
      </c>
      <c r="C904" s="32">
        <v>10.1</v>
      </c>
      <c r="D904" s="30">
        <v>0.01</v>
      </c>
      <c r="E904" s="31">
        <v>9.8999999999999999E-4</v>
      </c>
      <c r="F904" s="30">
        <v>434339552</v>
      </c>
      <c r="G904" s="30" t="s">
        <v>5427</v>
      </c>
      <c r="H904" s="30">
        <v>2021</v>
      </c>
      <c r="I904" s="30">
        <v>40160</v>
      </c>
      <c r="J904" s="30" t="s">
        <v>5457</v>
      </c>
      <c r="K904" s="30" t="s">
        <v>5571</v>
      </c>
    </row>
    <row r="905" spans="1:11" x14ac:dyDescent="0.35">
      <c r="A905" s="30" t="s">
        <v>10847</v>
      </c>
      <c r="B905" s="30" t="s">
        <v>10848</v>
      </c>
      <c r="C905" s="32">
        <v>14.32</v>
      </c>
      <c r="D905" s="30">
        <v>-0.06</v>
      </c>
      <c r="E905" s="31">
        <v>-4.1700000000000001E-3</v>
      </c>
      <c r="F905" s="30">
        <v>571945984</v>
      </c>
      <c r="G905" s="30" t="s">
        <v>5427</v>
      </c>
      <c r="H905" s="30"/>
      <c r="I905" s="30">
        <v>171104</v>
      </c>
      <c r="J905" s="30" t="s">
        <v>5435</v>
      </c>
      <c r="K905" s="30" t="s">
        <v>5579</v>
      </c>
    </row>
    <row r="906" spans="1:11" x14ac:dyDescent="0.35">
      <c r="A906" s="30" t="s">
        <v>10849</v>
      </c>
      <c r="B906" s="30" t="s">
        <v>10850</v>
      </c>
      <c r="C906" s="32">
        <v>8.11</v>
      </c>
      <c r="D906" s="30">
        <v>-7.0000000000000007E-2</v>
      </c>
      <c r="E906" s="31">
        <v>-8.5599999999999999E-3</v>
      </c>
      <c r="F906" s="30">
        <v>159618133</v>
      </c>
      <c r="G906" s="30" t="s">
        <v>5427</v>
      </c>
      <c r="H906" s="30"/>
      <c r="I906" s="30">
        <v>7556</v>
      </c>
      <c r="J906" s="30" t="s">
        <v>5435</v>
      </c>
      <c r="K906" s="30" t="s">
        <v>5579</v>
      </c>
    </row>
    <row r="907" spans="1:11" x14ac:dyDescent="0.35">
      <c r="A907" s="30" t="s">
        <v>10851</v>
      </c>
      <c r="B907" s="30" t="s">
        <v>10852</v>
      </c>
      <c r="C907" s="32">
        <v>3.56</v>
      </c>
      <c r="D907" s="30">
        <v>0.08</v>
      </c>
      <c r="E907" s="31">
        <v>2.299E-2</v>
      </c>
      <c r="F907" s="30">
        <v>164887221</v>
      </c>
      <c r="G907" s="30" t="s">
        <v>5427</v>
      </c>
      <c r="H907" s="30"/>
      <c r="I907" s="30">
        <v>69609</v>
      </c>
      <c r="J907" s="30" t="s">
        <v>5442</v>
      </c>
      <c r="K907" s="30" t="s">
        <v>5520</v>
      </c>
    </row>
    <row r="908" spans="1:11" x14ac:dyDescent="0.35">
      <c r="A908" s="30" t="s">
        <v>10853</v>
      </c>
      <c r="B908" s="30" t="s">
        <v>10854</v>
      </c>
      <c r="C908" s="32">
        <v>11.5</v>
      </c>
      <c r="D908" s="30">
        <v>-0.6</v>
      </c>
      <c r="E908" s="31">
        <v>-4.9590000000000002E-2</v>
      </c>
      <c r="F908" s="30">
        <v>542612481</v>
      </c>
      <c r="G908" s="30" t="s">
        <v>5427</v>
      </c>
      <c r="H908" s="30">
        <v>2017</v>
      </c>
      <c r="I908" s="30">
        <v>1460033</v>
      </c>
      <c r="J908" s="30" t="s">
        <v>5442</v>
      </c>
      <c r="K908" s="30" t="s">
        <v>5641</v>
      </c>
    </row>
    <row r="909" spans="1:11" x14ac:dyDescent="0.35">
      <c r="A909" s="30" t="s">
        <v>10855</v>
      </c>
      <c r="B909" s="30" t="s">
        <v>10856</v>
      </c>
      <c r="C909" s="32">
        <v>29.8</v>
      </c>
      <c r="D909" s="30">
        <v>0.14000000000000001</v>
      </c>
      <c r="E909" s="31">
        <v>4.7200000000000002E-3</v>
      </c>
      <c r="F909" s="30">
        <v>329146543</v>
      </c>
      <c r="G909" s="30" t="s">
        <v>5427</v>
      </c>
      <c r="H909" s="30"/>
      <c r="I909" s="30">
        <v>12754</v>
      </c>
      <c r="J909" s="30" t="s">
        <v>5435</v>
      </c>
      <c r="K909" s="30" t="s">
        <v>5579</v>
      </c>
    </row>
    <row r="910" spans="1:11" x14ac:dyDescent="0.35">
      <c r="A910" s="30" t="s">
        <v>10857</v>
      </c>
      <c r="B910" s="30" t="s">
        <v>10858</v>
      </c>
      <c r="C910" s="32">
        <v>15.11</v>
      </c>
      <c r="D910" s="30">
        <v>-0.04</v>
      </c>
      <c r="E910" s="31">
        <v>-2.64E-3</v>
      </c>
      <c r="F910" s="30">
        <v>146621109</v>
      </c>
      <c r="G910" s="30" t="s">
        <v>5427</v>
      </c>
      <c r="H910" s="30">
        <v>2015</v>
      </c>
      <c r="I910" s="30">
        <v>20649</v>
      </c>
      <c r="J910" s="30" t="s">
        <v>5435</v>
      </c>
      <c r="K910" s="30" t="s">
        <v>6698</v>
      </c>
    </row>
    <row r="911" spans="1:11" x14ac:dyDescent="0.35">
      <c r="A911" s="30" t="s">
        <v>10859</v>
      </c>
      <c r="B911" s="30" t="s">
        <v>10860</v>
      </c>
      <c r="C911" s="32">
        <v>36.700000000000003</v>
      </c>
      <c r="D911" s="30">
        <v>-0.02</v>
      </c>
      <c r="E911" s="31">
        <v>-5.4000000000000001E-4</v>
      </c>
      <c r="F911" s="30">
        <v>157751317</v>
      </c>
      <c r="G911" s="30" t="s">
        <v>5427</v>
      </c>
      <c r="H911" s="30"/>
      <c r="I911" s="30">
        <v>2219</v>
      </c>
      <c r="J911" s="30" t="s">
        <v>5435</v>
      </c>
      <c r="K911" s="30" t="s">
        <v>6556</v>
      </c>
    </row>
    <row r="912" spans="1:11" x14ac:dyDescent="0.35">
      <c r="A912" s="30" t="s">
        <v>10861</v>
      </c>
      <c r="B912" s="30" t="s">
        <v>10862</v>
      </c>
      <c r="C912" s="32">
        <v>46.27</v>
      </c>
      <c r="D912" s="30">
        <v>1.1200000000000001</v>
      </c>
      <c r="E912" s="31">
        <v>2.4809999999999999E-2</v>
      </c>
      <c r="F912" s="30">
        <v>3047616674</v>
      </c>
      <c r="G912" s="30" t="s">
        <v>5427</v>
      </c>
      <c r="H912" s="30">
        <v>2018</v>
      </c>
      <c r="I912" s="30">
        <v>471846</v>
      </c>
      <c r="J912" s="30" t="s">
        <v>5435</v>
      </c>
      <c r="K912" s="30" t="s">
        <v>5434</v>
      </c>
    </row>
    <row r="913" spans="1:11" x14ac:dyDescent="0.35">
      <c r="A913" s="30" t="s">
        <v>10863</v>
      </c>
      <c r="B913" s="30" t="s">
        <v>10864</v>
      </c>
      <c r="C913" s="32">
        <v>13.16</v>
      </c>
      <c r="D913" s="30">
        <v>0.12</v>
      </c>
      <c r="E913" s="31">
        <v>9.1999999999999998E-3</v>
      </c>
      <c r="F913" s="30">
        <v>3697239451</v>
      </c>
      <c r="G913" s="30" t="s">
        <v>5427</v>
      </c>
      <c r="H913" s="30">
        <v>2007</v>
      </c>
      <c r="I913" s="30">
        <v>3021359</v>
      </c>
      <c r="J913" s="30" t="s">
        <v>5431</v>
      </c>
      <c r="K913" s="30" t="s">
        <v>5430</v>
      </c>
    </row>
    <row r="914" spans="1:11" x14ac:dyDescent="0.35">
      <c r="A914" s="30" t="s">
        <v>10865</v>
      </c>
      <c r="B914" s="30" t="s">
        <v>10866</v>
      </c>
      <c r="C914" s="32">
        <v>17.920000000000002</v>
      </c>
      <c r="D914" s="30">
        <v>-0.11</v>
      </c>
      <c r="E914" s="31">
        <v>-6.1000000000000004E-3</v>
      </c>
      <c r="F914" s="30">
        <v>119451100</v>
      </c>
      <c r="G914" s="30" t="s">
        <v>5427</v>
      </c>
      <c r="H914" s="30">
        <v>1981</v>
      </c>
      <c r="I914" s="30">
        <v>14505</v>
      </c>
      <c r="J914" s="30" t="s">
        <v>5431</v>
      </c>
      <c r="K914" s="30" t="s">
        <v>6537</v>
      </c>
    </row>
    <row r="915" spans="1:11" x14ac:dyDescent="0.35">
      <c r="A915" s="30" t="s">
        <v>10867</v>
      </c>
      <c r="B915" s="30" t="s">
        <v>10868</v>
      </c>
      <c r="C915" s="32">
        <v>3.55</v>
      </c>
      <c r="D915" s="30">
        <v>0.01</v>
      </c>
      <c r="E915" s="31">
        <v>2.82E-3</v>
      </c>
      <c r="F915" s="30">
        <v>115576331</v>
      </c>
      <c r="G915" s="30" t="s">
        <v>5427</v>
      </c>
      <c r="H915" s="30"/>
      <c r="I915" s="30">
        <v>30825</v>
      </c>
      <c r="J915" s="30" t="s">
        <v>5219</v>
      </c>
      <c r="K915" s="30" t="s">
        <v>5560</v>
      </c>
    </row>
    <row r="916" spans="1:11" x14ac:dyDescent="0.35">
      <c r="A916" s="30" t="s">
        <v>10869</v>
      </c>
      <c r="B916" s="30" t="s">
        <v>10870</v>
      </c>
      <c r="C916" s="32">
        <v>29.18</v>
      </c>
      <c r="D916" s="30">
        <v>1.04</v>
      </c>
      <c r="E916" s="31">
        <v>3.696E-2</v>
      </c>
      <c r="F916" s="30">
        <v>2247592506</v>
      </c>
      <c r="G916" s="30" t="s">
        <v>5427</v>
      </c>
      <c r="H916" s="30">
        <v>2003</v>
      </c>
      <c r="I916" s="30">
        <v>498750</v>
      </c>
      <c r="J916" s="30" t="s">
        <v>5219</v>
      </c>
      <c r="K916" s="30" t="s">
        <v>5526</v>
      </c>
    </row>
    <row r="917" spans="1:11" x14ac:dyDescent="0.35">
      <c r="A917" s="30" t="s">
        <v>10871</v>
      </c>
      <c r="B917" s="30" t="s">
        <v>10872</v>
      </c>
      <c r="C917" s="32">
        <v>37.880000000000003</v>
      </c>
      <c r="D917" s="30">
        <v>0.82</v>
      </c>
      <c r="E917" s="31">
        <v>2.213E-2</v>
      </c>
      <c r="F917" s="30">
        <v>721689760</v>
      </c>
      <c r="G917" s="30" t="s">
        <v>5427</v>
      </c>
      <c r="H917" s="30">
        <v>1996</v>
      </c>
      <c r="I917" s="30">
        <v>81194</v>
      </c>
      <c r="J917" s="30" t="s">
        <v>5442</v>
      </c>
      <c r="K917" s="30" t="s">
        <v>5447</v>
      </c>
    </row>
    <row r="918" spans="1:11" x14ac:dyDescent="0.35">
      <c r="A918" s="30" t="s">
        <v>10873</v>
      </c>
      <c r="B918" s="30" t="s">
        <v>10874</v>
      </c>
      <c r="C918" s="32">
        <v>5.8</v>
      </c>
      <c r="D918" s="30">
        <v>0.12</v>
      </c>
      <c r="E918" s="31">
        <v>2.1129999999999999E-2</v>
      </c>
      <c r="F918" s="30">
        <v>300651445</v>
      </c>
      <c r="G918" s="30" t="s">
        <v>5427</v>
      </c>
      <c r="H918" s="30">
        <v>1993</v>
      </c>
      <c r="I918" s="30">
        <v>617947</v>
      </c>
      <c r="J918" s="30" t="s">
        <v>5442</v>
      </c>
      <c r="K918" s="30" t="s">
        <v>6994</v>
      </c>
    </row>
    <row r="919" spans="1:11" x14ac:dyDescent="0.35">
      <c r="A919" s="30" t="s">
        <v>10875</v>
      </c>
      <c r="B919" s="30" t="s">
        <v>10876</v>
      </c>
      <c r="C919" s="32">
        <v>32.01</v>
      </c>
      <c r="D919" s="30">
        <v>0.31</v>
      </c>
      <c r="E919" s="31">
        <v>9.7800000000000005E-3</v>
      </c>
      <c r="F919" s="30">
        <v>17371621560</v>
      </c>
      <c r="G919" s="30" t="s">
        <v>5427</v>
      </c>
      <c r="H919" s="30"/>
      <c r="I919" s="30">
        <v>827527</v>
      </c>
      <c r="J919" s="30" t="s">
        <v>5457</v>
      </c>
      <c r="K919" s="30" t="s">
        <v>5834</v>
      </c>
    </row>
    <row r="920" spans="1:11" x14ac:dyDescent="0.35">
      <c r="A920" s="30" t="s">
        <v>10877</v>
      </c>
      <c r="B920" s="30" t="s">
        <v>10878</v>
      </c>
      <c r="C920" s="32">
        <v>34.31</v>
      </c>
      <c r="D920" s="30">
        <v>0.37</v>
      </c>
      <c r="E920" s="31">
        <v>1.09E-2</v>
      </c>
      <c r="F920" s="30">
        <v>18619816798</v>
      </c>
      <c r="G920" s="30" t="s">
        <v>5427</v>
      </c>
      <c r="H920" s="30"/>
      <c r="I920" s="30">
        <v>2376452</v>
      </c>
      <c r="J920" s="30" t="s">
        <v>5457</v>
      </c>
      <c r="K920" s="30" t="s">
        <v>5834</v>
      </c>
    </row>
    <row r="921" spans="1:11" x14ac:dyDescent="0.35">
      <c r="A921" s="30" t="s">
        <v>10879</v>
      </c>
      <c r="B921" s="30" t="s">
        <v>10880</v>
      </c>
      <c r="C921" s="32">
        <v>119.35</v>
      </c>
      <c r="D921" s="30">
        <v>1.26</v>
      </c>
      <c r="E921" s="31">
        <v>1.0670000000000001E-2</v>
      </c>
      <c r="F921" s="30">
        <v>5044621709</v>
      </c>
      <c r="G921" s="30" t="s">
        <v>5427</v>
      </c>
      <c r="H921" s="30">
        <v>2013</v>
      </c>
      <c r="I921" s="30">
        <v>253256</v>
      </c>
      <c r="J921" s="30" t="s">
        <v>5442</v>
      </c>
      <c r="K921" s="30" t="s">
        <v>5853</v>
      </c>
    </row>
    <row r="922" spans="1:11" x14ac:dyDescent="0.35">
      <c r="A922" s="30" t="s">
        <v>10881</v>
      </c>
      <c r="B922" s="30" t="s">
        <v>10882</v>
      </c>
      <c r="C922" s="32">
        <v>33.49</v>
      </c>
      <c r="D922" s="30">
        <v>0.24</v>
      </c>
      <c r="E922" s="31">
        <v>7.2199999999999999E-3</v>
      </c>
      <c r="F922" s="30">
        <v>147021100</v>
      </c>
      <c r="G922" s="30" t="s">
        <v>5427</v>
      </c>
      <c r="H922" s="30"/>
      <c r="I922" s="30">
        <v>1802</v>
      </c>
      <c r="J922" s="30" t="s">
        <v>5435</v>
      </c>
      <c r="K922" s="30" t="s">
        <v>5579</v>
      </c>
    </row>
    <row r="923" spans="1:11" x14ac:dyDescent="0.35">
      <c r="A923" s="30" t="s">
        <v>10883</v>
      </c>
      <c r="B923" s="30" t="s">
        <v>10884</v>
      </c>
      <c r="C923" s="32">
        <v>13.73</v>
      </c>
      <c r="D923" s="30">
        <v>0.2</v>
      </c>
      <c r="E923" s="31">
        <v>1.478E-2</v>
      </c>
      <c r="F923" s="30">
        <v>266956344</v>
      </c>
      <c r="G923" s="30" t="s">
        <v>5427</v>
      </c>
      <c r="H923" s="30">
        <v>2013</v>
      </c>
      <c r="I923" s="30">
        <v>39898</v>
      </c>
      <c r="J923" s="30" t="s">
        <v>5435</v>
      </c>
      <c r="K923" s="30" t="s">
        <v>5579</v>
      </c>
    </row>
    <row r="924" spans="1:11" x14ac:dyDescent="0.35">
      <c r="A924" s="30" t="s">
        <v>10885</v>
      </c>
      <c r="B924" s="30" t="s">
        <v>10886</v>
      </c>
      <c r="C924" s="32">
        <v>2.23</v>
      </c>
      <c r="D924" s="30">
        <v>0.03</v>
      </c>
      <c r="E924" s="31">
        <v>1.3639999999999999E-2</v>
      </c>
      <c r="F924" s="30">
        <v>142248498</v>
      </c>
      <c r="G924" s="30" t="s">
        <v>5427</v>
      </c>
      <c r="H924" s="30"/>
      <c r="I924" s="30">
        <v>212314</v>
      </c>
      <c r="J924" s="30" t="s">
        <v>5435</v>
      </c>
      <c r="K924" s="30" t="s">
        <v>5579</v>
      </c>
    </row>
    <row r="925" spans="1:11" x14ac:dyDescent="0.35">
      <c r="A925" s="30" t="s">
        <v>10887</v>
      </c>
      <c r="B925" s="30" t="s">
        <v>10888</v>
      </c>
      <c r="C925" s="32">
        <v>10.38</v>
      </c>
      <c r="D925" s="30">
        <v>-0.01</v>
      </c>
      <c r="E925" s="31">
        <v>-9.6000000000000002E-4</v>
      </c>
      <c r="F925" s="30">
        <v>164133750</v>
      </c>
      <c r="G925" s="30" t="s">
        <v>5427</v>
      </c>
      <c r="H925" s="30">
        <v>2022</v>
      </c>
      <c r="I925" s="30">
        <v>1502</v>
      </c>
      <c r="J925" s="30" t="s">
        <v>5435</v>
      </c>
      <c r="K925" s="30" t="s">
        <v>5482</v>
      </c>
    </row>
    <row r="926" spans="1:11" x14ac:dyDescent="0.35">
      <c r="A926" s="30" t="s">
        <v>10889</v>
      </c>
      <c r="B926" s="30" t="s">
        <v>10890</v>
      </c>
      <c r="C926" s="32">
        <v>3.79</v>
      </c>
      <c r="D926" s="30">
        <v>0</v>
      </c>
      <c r="E926" s="31">
        <v>0</v>
      </c>
      <c r="F926" s="30">
        <v>159115358</v>
      </c>
      <c r="G926" s="30" t="s">
        <v>5427</v>
      </c>
      <c r="H926" s="30">
        <v>2019</v>
      </c>
      <c r="I926" s="30">
        <v>506829</v>
      </c>
      <c r="J926" s="30" t="s">
        <v>5682</v>
      </c>
      <c r="K926" s="30" t="s">
        <v>5894</v>
      </c>
    </row>
    <row r="927" spans="1:11" x14ac:dyDescent="0.35">
      <c r="A927" s="30" t="s">
        <v>10891</v>
      </c>
      <c r="B927" s="30" t="s">
        <v>10892</v>
      </c>
      <c r="C927" s="32">
        <v>4.0599999999999996</v>
      </c>
      <c r="D927" s="30">
        <v>-0.48</v>
      </c>
      <c r="E927" s="31">
        <v>-0.10573</v>
      </c>
      <c r="F927" s="30">
        <v>143164057</v>
      </c>
      <c r="G927" s="30" t="s">
        <v>5427</v>
      </c>
      <c r="H927" s="30">
        <v>2019</v>
      </c>
      <c r="I927" s="30">
        <v>426065</v>
      </c>
      <c r="J927" s="30" t="s">
        <v>5431</v>
      </c>
      <c r="K927" s="30" t="s">
        <v>5430</v>
      </c>
    </row>
    <row r="928" spans="1:11" x14ac:dyDescent="0.35">
      <c r="A928" s="30" t="s">
        <v>10893</v>
      </c>
      <c r="B928" s="30" t="s">
        <v>10894</v>
      </c>
      <c r="C928" s="32">
        <v>31.81</v>
      </c>
      <c r="D928" s="30">
        <v>0.92</v>
      </c>
      <c r="E928" s="31">
        <v>2.9780000000000001E-2</v>
      </c>
      <c r="F928" s="30">
        <v>1215327484</v>
      </c>
      <c r="G928" s="30" t="s">
        <v>5427</v>
      </c>
      <c r="H928" s="30"/>
      <c r="I928" s="30">
        <v>311583</v>
      </c>
      <c r="J928" s="30" t="s">
        <v>5682</v>
      </c>
      <c r="K928" s="30" t="s">
        <v>5746</v>
      </c>
    </row>
    <row r="929" spans="1:11" x14ac:dyDescent="0.35">
      <c r="A929" s="30" t="s">
        <v>10895</v>
      </c>
      <c r="B929" s="30" t="s">
        <v>10896</v>
      </c>
      <c r="C929" s="32">
        <v>8.64</v>
      </c>
      <c r="D929" s="30">
        <v>0.16</v>
      </c>
      <c r="E929" s="31">
        <v>1.8870000000000001E-2</v>
      </c>
      <c r="F929" s="30">
        <v>224553764</v>
      </c>
      <c r="G929" s="30" t="s">
        <v>5427</v>
      </c>
      <c r="H929" s="30"/>
      <c r="I929" s="30">
        <v>16989</v>
      </c>
      <c r="J929" s="30" t="s">
        <v>5442</v>
      </c>
      <c r="K929" s="30" t="s">
        <v>5441</v>
      </c>
    </row>
    <row r="930" spans="1:11" x14ac:dyDescent="0.35">
      <c r="A930" s="30" t="s">
        <v>10897</v>
      </c>
      <c r="B930" s="30" t="s">
        <v>10898</v>
      </c>
      <c r="C930" s="32">
        <v>42.46</v>
      </c>
      <c r="D930" s="30">
        <v>-0.18</v>
      </c>
      <c r="E930" s="31">
        <v>-4.2199999999999998E-3</v>
      </c>
      <c r="F930" s="30">
        <v>2512382954</v>
      </c>
      <c r="G930" s="30" t="s">
        <v>5427</v>
      </c>
      <c r="H930" s="30"/>
      <c r="I930" s="30">
        <v>182589</v>
      </c>
      <c r="J930" s="30" t="s">
        <v>5435</v>
      </c>
      <c r="K930" s="30" t="s">
        <v>5579</v>
      </c>
    </row>
    <row r="931" spans="1:11" x14ac:dyDescent="0.35">
      <c r="A931" s="30" t="s">
        <v>10899</v>
      </c>
      <c r="B931" s="30" t="s">
        <v>10900</v>
      </c>
      <c r="C931" s="32">
        <v>26.29</v>
      </c>
      <c r="D931" s="30">
        <v>0.57999999999999996</v>
      </c>
      <c r="E931" s="31">
        <v>2.256E-2</v>
      </c>
      <c r="F931" s="30">
        <v>2636613899</v>
      </c>
      <c r="G931" s="30" t="s">
        <v>5427</v>
      </c>
      <c r="H931" s="30">
        <v>2020</v>
      </c>
      <c r="I931" s="30">
        <v>1975146</v>
      </c>
      <c r="J931" s="30" t="s">
        <v>5219</v>
      </c>
      <c r="K931" s="30" t="s">
        <v>5560</v>
      </c>
    </row>
    <row r="932" spans="1:11" x14ac:dyDescent="0.35">
      <c r="A932" s="30" t="s">
        <v>10901</v>
      </c>
      <c r="B932" s="30" t="s">
        <v>10902</v>
      </c>
      <c r="C932" s="32">
        <v>10.14</v>
      </c>
      <c r="D932" s="30">
        <v>0</v>
      </c>
      <c r="E932" s="31">
        <v>0</v>
      </c>
      <c r="F932" s="30">
        <v>298217400</v>
      </c>
      <c r="G932" s="30" t="s">
        <v>5427</v>
      </c>
      <c r="H932" s="30">
        <v>2021</v>
      </c>
      <c r="I932" s="30">
        <v>11</v>
      </c>
      <c r="J932" s="30" t="s">
        <v>5435</v>
      </c>
      <c r="K932" s="30" t="s">
        <v>5482</v>
      </c>
    </row>
    <row r="933" spans="1:11" x14ac:dyDescent="0.35">
      <c r="A933" s="30" t="s">
        <v>10903</v>
      </c>
      <c r="B933" s="30" t="s">
        <v>10904</v>
      </c>
      <c r="C933" s="32">
        <v>56.8</v>
      </c>
      <c r="D933" s="30">
        <v>0.63</v>
      </c>
      <c r="E933" s="31">
        <v>1.1220000000000001E-2</v>
      </c>
      <c r="F933" s="30">
        <v>537049453</v>
      </c>
      <c r="G933" s="30" t="s">
        <v>5427</v>
      </c>
      <c r="H933" s="30"/>
      <c r="I933" s="30">
        <v>16027</v>
      </c>
      <c r="J933" s="30" t="s">
        <v>5435</v>
      </c>
      <c r="K933" s="30" t="s">
        <v>5197</v>
      </c>
    </row>
    <row r="934" spans="1:11" x14ac:dyDescent="0.35">
      <c r="A934" s="30" t="s">
        <v>10905</v>
      </c>
      <c r="B934" s="30" t="s">
        <v>10906</v>
      </c>
      <c r="C934" s="32">
        <v>64.42</v>
      </c>
      <c r="D934" s="30">
        <v>1.0900000000000001</v>
      </c>
      <c r="E934" s="31">
        <v>1.721E-2</v>
      </c>
      <c r="F934" s="30">
        <v>3093452909</v>
      </c>
      <c r="G934" s="30" t="s">
        <v>5427</v>
      </c>
      <c r="H934" s="30">
        <v>2014</v>
      </c>
      <c r="I934" s="30">
        <v>838115</v>
      </c>
      <c r="J934" s="30"/>
      <c r="K934" s="30"/>
    </row>
    <row r="935" spans="1:11" x14ac:dyDescent="0.35">
      <c r="A935" s="30" t="s">
        <v>10907</v>
      </c>
      <c r="B935" s="30" t="s">
        <v>10908</v>
      </c>
      <c r="C935" s="32">
        <v>10.11</v>
      </c>
      <c r="D935" s="30">
        <v>0</v>
      </c>
      <c r="E935" s="31">
        <v>0</v>
      </c>
      <c r="F935" s="30">
        <v>281107984</v>
      </c>
      <c r="G935" s="30" t="s">
        <v>5427</v>
      </c>
      <c r="H935" s="30">
        <v>2021</v>
      </c>
      <c r="I935" s="30">
        <v>18894</v>
      </c>
      <c r="J935" s="30" t="s">
        <v>5457</v>
      </c>
      <c r="K935" s="30" t="s">
        <v>5571</v>
      </c>
    </row>
    <row r="936" spans="1:11" x14ac:dyDescent="0.35">
      <c r="A936" s="30" t="s">
        <v>10909</v>
      </c>
      <c r="B936" s="30" t="s">
        <v>10910</v>
      </c>
      <c r="C936" s="32">
        <v>16.96</v>
      </c>
      <c r="D936" s="30">
        <v>0.78</v>
      </c>
      <c r="E936" s="31">
        <v>4.8210000000000003E-2</v>
      </c>
      <c r="F936" s="30">
        <v>4883069776</v>
      </c>
      <c r="G936" s="30" t="s">
        <v>5427</v>
      </c>
      <c r="H936" s="30">
        <v>2021</v>
      </c>
      <c r="I936" s="30">
        <v>2935895</v>
      </c>
      <c r="J936" s="30" t="s">
        <v>5219</v>
      </c>
      <c r="K936" s="30" t="s">
        <v>5447</v>
      </c>
    </row>
    <row r="937" spans="1:11" x14ac:dyDescent="0.35">
      <c r="A937" s="30" t="s">
        <v>10911</v>
      </c>
      <c r="B937" s="30" t="s">
        <v>10912</v>
      </c>
      <c r="C937" s="32">
        <v>11.96</v>
      </c>
      <c r="D937" s="30">
        <v>0.12</v>
      </c>
      <c r="E937" s="31">
        <v>1.014E-2</v>
      </c>
      <c r="F937" s="30">
        <v>295173960</v>
      </c>
      <c r="G937" s="30" t="s">
        <v>5427</v>
      </c>
      <c r="H937" s="30">
        <v>2006</v>
      </c>
      <c r="I937" s="30">
        <v>64632</v>
      </c>
      <c r="J937" s="30" t="s">
        <v>5435</v>
      </c>
      <c r="K937" s="30" t="s">
        <v>5579</v>
      </c>
    </row>
    <row r="938" spans="1:11" x14ac:dyDescent="0.35">
      <c r="A938" s="30" t="s">
        <v>10913</v>
      </c>
      <c r="B938" s="30" t="s">
        <v>10914</v>
      </c>
      <c r="C938" s="32">
        <v>28.18</v>
      </c>
      <c r="D938" s="30">
        <v>1.22</v>
      </c>
      <c r="E938" s="31">
        <v>4.5249999999999999E-2</v>
      </c>
      <c r="F938" s="30">
        <v>485982417</v>
      </c>
      <c r="G938" s="30" t="s">
        <v>5427</v>
      </c>
      <c r="H938" s="30">
        <v>2021</v>
      </c>
      <c r="I938" s="30">
        <v>32312</v>
      </c>
      <c r="J938" s="30" t="s">
        <v>5435</v>
      </c>
      <c r="K938" s="30" t="s">
        <v>6698</v>
      </c>
    </row>
    <row r="939" spans="1:11" x14ac:dyDescent="0.35">
      <c r="A939" s="30" t="s">
        <v>10915</v>
      </c>
      <c r="B939" s="30" t="s">
        <v>10916</v>
      </c>
      <c r="C939" s="32">
        <v>35.89</v>
      </c>
      <c r="D939" s="30">
        <v>-0.06</v>
      </c>
      <c r="E939" s="31">
        <v>-1.67E-3</v>
      </c>
      <c r="F939" s="30">
        <v>277651680</v>
      </c>
      <c r="G939" s="30" t="s">
        <v>5427</v>
      </c>
      <c r="H939" s="30">
        <v>2012</v>
      </c>
      <c r="I939" s="30">
        <v>54418</v>
      </c>
      <c r="J939" s="30" t="s">
        <v>5435</v>
      </c>
      <c r="K939" s="30" t="s">
        <v>6698</v>
      </c>
    </row>
    <row r="940" spans="1:11" x14ac:dyDescent="0.35">
      <c r="A940" s="30" t="s">
        <v>10917</v>
      </c>
      <c r="B940" s="30" t="s">
        <v>10918</v>
      </c>
      <c r="C940" s="32">
        <v>10.3</v>
      </c>
      <c r="D940" s="30">
        <v>-0.01</v>
      </c>
      <c r="E940" s="31">
        <v>-9.7000000000000005E-4</v>
      </c>
      <c r="F940" s="30">
        <v>75719245</v>
      </c>
      <c r="G940" s="30" t="s">
        <v>5427</v>
      </c>
      <c r="H940" s="30">
        <v>2019</v>
      </c>
      <c r="I940" s="30">
        <v>39935</v>
      </c>
      <c r="J940" s="30" t="s">
        <v>5435</v>
      </c>
      <c r="K940" s="30" t="s">
        <v>5582</v>
      </c>
    </row>
    <row r="941" spans="1:11" x14ac:dyDescent="0.35">
      <c r="A941" s="30" t="s">
        <v>10919</v>
      </c>
      <c r="B941" s="30" t="s">
        <v>10920</v>
      </c>
      <c r="C941" s="32">
        <v>19.8</v>
      </c>
      <c r="D941" s="30">
        <v>-0.08</v>
      </c>
      <c r="E941" s="31">
        <v>-4.0200000000000001E-3</v>
      </c>
      <c r="F941" s="30">
        <v>136974836</v>
      </c>
      <c r="G941" s="30" t="s">
        <v>5427</v>
      </c>
      <c r="H941" s="30">
        <v>2008</v>
      </c>
      <c r="I941" s="30">
        <v>1871</v>
      </c>
      <c r="J941" s="30" t="s">
        <v>5435</v>
      </c>
      <c r="K941" s="30" t="s">
        <v>5579</v>
      </c>
    </row>
    <row r="942" spans="1:11" x14ac:dyDescent="0.35">
      <c r="A942" s="30" t="s">
        <v>10921</v>
      </c>
      <c r="B942" s="30" t="s">
        <v>10922</v>
      </c>
      <c r="C942" s="32">
        <v>180.15</v>
      </c>
      <c r="D942" s="30">
        <v>2.5499999999999998</v>
      </c>
      <c r="E942" s="31">
        <v>1.436E-2</v>
      </c>
      <c r="F942" s="30">
        <v>19205000642</v>
      </c>
      <c r="G942" s="30" t="s">
        <v>5427</v>
      </c>
      <c r="H942" s="30">
        <v>2006</v>
      </c>
      <c r="I942" s="30">
        <v>1928398</v>
      </c>
      <c r="J942" s="30" t="s">
        <v>5219</v>
      </c>
      <c r="K942" s="30" t="s">
        <v>5526</v>
      </c>
    </row>
    <row r="943" spans="1:11" x14ac:dyDescent="0.35">
      <c r="A943" s="30" t="s">
        <v>10923</v>
      </c>
      <c r="B943" s="30" t="s">
        <v>10924</v>
      </c>
      <c r="C943" s="32">
        <v>10.1</v>
      </c>
      <c r="D943" s="30">
        <v>0</v>
      </c>
      <c r="E943" s="31">
        <v>0</v>
      </c>
      <c r="F943" s="30">
        <v>386830000</v>
      </c>
      <c r="G943" s="30" t="s">
        <v>5427</v>
      </c>
      <c r="H943" s="30">
        <v>2021</v>
      </c>
      <c r="I943" s="30">
        <v>366343</v>
      </c>
      <c r="J943" s="30" t="s">
        <v>5457</v>
      </c>
      <c r="K943" s="30" t="s">
        <v>5571</v>
      </c>
    </row>
    <row r="944" spans="1:11" x14ac:dyDescent="0.35">
      <c r="A944" s="30" t="s">
        <v>10925</v>
      </c>
      <c r="B944" s="30" t="s">
        <v>10926</v>
      </c>
      <c r="C944" s="32">
        <v>11.47</v>
      </c>
      <c r="D944" s="30">
        <v>-0.36</v>
      </c>
      <c r="E944" s="31">
        <v>-3.0429999999999999E-2</v>
      </c>
      <c r="F944" s="30">
        <v>125359025</v>
      </c>
      <c r="G944" s="30" t="s">
        <v>5427</v>
      </c>
      <c r="H944" s="30"/>
      <c r="I944" s="30">
        <v>3791</v>
      </c>
      <c r="J944" s="30" t="s">
        <v>5457</v>
      </c>
      <c r="K944" s="30" t="s">
        <v>5634</v>
      </c>
    </row>
    <row r="945" spans="1:11" x14ac:dyDescent="0.35">
      <c r="A945" s="30" t="s">
        <v>10927</v>
      </c>
      <c r="B945" s="30" t="s">
        <v>10928</v>
      </c>
      <c r="C945" s="32">
        <v>4.9400000000000004</v>
      </c>
      <c r="D945" s="30">
        <v>0.83</v>
      </c>
      <c r="E945" s="31">
        <v>0.20194999999999999</v>
      </c>
      <c r="F945" s="30">
        <v>108590680</v>
      </c>
      <c r="G945" s="30" t="s">
        <v>5427</v>
      </c>
      <c r="H945" s="30">
        <v>2016</v>
      </c>
      <c r="I945" s="30">
        <v>1959578</v>
      </c>
      <c r="J945" s="30" t="s">
        <v>5431</v>
      </c>
      <c r="K945" s="30" t="s">
        <v>5430</v>
      </c>
    </row>
    <row r="946" spans="1:11" x14ac:dyDescent="0.35">
      <c r="A946" s="30" t="s">
        <v>10929</v>
      </c>
      <c r="B946" s="30" t="s">
        <v>10930</v>
      </c>
      <c r="C946" s="32">
        <v>144.25</v>
      </c>
      <c r="D946" s="30">
        <v>1.35</v>
      </c>
      <c r="E946" s="31">
        <v>9.4500000000000001E-3</v>
      </c>
      <c r="F946" s="30">
        <v>6377859547</v>
      </c>
      <c r="G946" s="30" t="s">
        <v>5515</v>
      </c>
      <c r="H946" s="30"/>
      <c r="I946" s="30">
        <v>52194</v>
      </c>
      <c r="J946" s="30"/>
      <c r="K946" s="30"/>
    </row>
    <row r="947" spans="1:11" x14ac:dyDescent="0.35">
      <c r="A947" s="30" t="s">
        <v>10931</v>
      </c>
      <c r="B947" s="30" t="s">
        <v>10932</v>
      </c>
      <c r="C947" s="32">
        <v>10.14</v>
      </c>
      <c r="D947" s="30">
        <v>-0.02</v>
      </c>
      <c r="E947" s="31">
        <v>-1.97E-3</v>
      </c>
      <c r="F947" s="30">
        <v>346923197</v>
      </c>
      <c r="G947" s="30" t="s">
        <v>5427</v>
      </c>
      <c r="H947" s="30">
        <v>2021</v>
      </c>
      <c r="I947" s="30">
        <v>146752</v>
      </c>
      <c r="J947" s="30" t="s">
        <v>5435</v>
      </c>
      <c r="K947" s="30" t="s">
        <v>5482</v>
      </c>
    </row>
    <row r="948" spans="1:11" x14ac:dyDescent="0.35">
      <c r="A948" s="30" t="s">
        <v>10933</v>
      </c>
      <c r="B948" s="30" t="s">
        <v>10934</v>
      </c>
      <c r="C948" s="32">
        <v>22.86</v>
      </c>
      <c r="D948" s="30">
        <v>0.5</v>
      </c>
      <c r="E948" s="31">
        <v>2.2360000000000001E-2</v>
      </c>
      <c r="F948" s="30">
        <v>2278324138</v>
      </c>
      <c r="G948" s="30" t="s">
        <v>5427</v>
      </c>
      <c r="H948" s="30"/>
      <c r="I948" s="30">
        <v>851592</v>
      </c>
      <c r="J948" s="30" t="s">
        <v>5442</v>
      </c>
      <c r="K948" s="30" t="s">
        <v>5746</v>
      </c>
    </row>
    <row r="949" spans="1:11" x14ac:dyDescent="0.35">
      <c r="A949" s="30" t="s">
        <v>10935</v>
      </c>
      <c r="B949" s="30" t="s">
        <v>10936</v>
      </c>
      <c r="C949" s="32">
        <v>2.82</v>
      </c>
      <c r="D949" s="30">
        <v>7.0000000000000007E-2</v>
      </c>
      <c r="E949" s="31">
        <v>2.545E-2</v>
      </c>
      <c r="F949" s="30">
        <v>291264983</v>
      </c>
      <c r="G949" s="30" t="s">
        <v>5427</v>
      </c>
      <c r="H949" s="30">
        <v>2021</v>
      </c>
      <c r="I949" s="30">
        <v>757244</v>
      </c>
      <c r="J949" s="30" t="s">
        <v>5219</v>
      </c>
      <c r="K949" s="30" t="s">
        <v>5526</v>
      </c>
    </row>
    <row r="950" spans="1:11" x14ac:dyDescent="0.35">
      <c r="A950" s="30" t="s">
        <v>10937</v>
      </c>
      <c r="B950" s="30" t="s">
        <v>10938</v>
      </c>
      <c r="C950" s="32">
        <v>27.55</v>
      </c>
      <c r="D950" s="30">
        <v>0.37</v>
      </c>
      <c r="E950" s="31">
        <v>1.3610000000000001E-2</v>
      </c>
      <c r="F950" s="30">
        <v>2245125566</v>
      </c>
      <c r="G950" s="30" t="s">
        <v>5427</v>
      </c>
      <c r="H950" s="30"/>
      <c r="I950" s="30">
        <v>708991</v>
      </c>
      <c r="J950" s="30" t="s">
        <v>5442</v>
      </c>
      <c r="K950" s="30" t="s">
        <v>5914</v>
      </c>
    </row>
    <row r="951" spans="1:11" x14ac:dyDescent="0.35">
      <c r="A951" s="30" t="s">
        <v>10939</v>
      </c>
      <c r="B951" s="30" t="s">
        <v>10940</v>
      </c>
      <c r="C951" s="32">
        <v>6.15</v>
      </c>
      <c r="D951" s="30">
        <v>0.8</v>
      </c>
      <c r="E951" s="31">
        <v>0.14953</v>
      </c>
      <c r="F951" s="30">
        <v>105008679</v>
      </c>
      <c r="G951" s="30" t="s">
        <v>5427</v>
      </c>
      <c r="H951" s="30">
        <v>2020</v>
      </c>
      <c r="I951" s="30">
        <v>61164</v>
      </c>
      <c r="J951" s="30" t="s">
        <v>5435</v>
      </c>
      <c r="K951" s="30" t="s">
        <v>5197</v>
      </c>
    </row>
    <row r="952" spans="1:11" x14ac:dyDescent="0.35">
      <c r="A952" s="30" t="s">
        <v>10941</v>
      </c>
      <c r="B952" s="30" t="s">
        <v>10942</v>
      </c>
      <c r="C952" s="32">
        <v>10.33</v>
      </c>
      <c r="D952" s="30">
        <v>0</v>
      </c>
      <c r="E952" s="31">
        <v>0</v>
      </c>
      <c r="F952" s="30">
        <v>155054075</v>
      </c>
      <c r="G952" s="30" t="s">
        <v>5427</v>
      </c>
      <c r="H952" s="30">
        <v>2022</v>
      </c>
      <c r="I952" s="30">
        <v>79698</v>
      </c>
      <c r="J952" s="30" t="s">
        <v>5457</v>
      </c>
      <c r="K952" s="30" t="s">
        <v>5571</v>
      </c>
    </row>
    <row r="953" spans="1:11" x14ac:dyDescent="0.35">
      <c r="A953" s="30" t="s">
        <v>10943</v>
      </c>
      <c r="B953" s="30" t="s">
        <v>10944</v>
      </c>
      <c r="C953" s="32">
        <v>53.09</v>
      </c>
      <c r="D953" s="30">
        <v>0.75</v>
      </c>
      <c r="E953" s="31">
        <v>1.4330000000000001E-2</v>
      </c>
      <c r="F953" s="30">
        <v>41857837891</v>
      </c>
      <c r="G953" s="30" t="s">
        <v>5427</v>
      </c>
      <c r="H953" s="30">
        <v>2009</v>
      </c>
      <c r="I953" s="30">
        <v>9169747</v>
      </c>
      <c r="J953" s="30" t="s">
        <v>5219</v>
      </c>
      <c r="K953" s="30" t="s">
        <v>6786</v>
      </c>
    </row>
    <row r="954" spans="1:11" x14ac:dyDescent="0.35">
      <c r="A954" s="30" t="s">
        <v>10945</v>
      </c>
      <c r="B954" s="30" t="s">
        <v>10946</v>
      </c>
      <c r="C954" s="32">
        <v>10.09</v>
      </c>
      <c r="D954" s="30">
        <v>-0.01</v>
      </c>
      <c r="E954" s="31">
        <v>-9.8999999999999999E-4</v>
      </c>
      <c r="F954" s="30">
        <v>345616130</v>
      </c>
      <c r="G954" s="30" t="s">
        <v>5427</v>
      </c>
      <c r="H954" s="30">
        <v>2021</v>
      </c>
      <c r="I954" s="30">
        <v>2700</v>
      </c>
      <c r="J954" s="30" t="s">
        <v>5457</v>
      </c>
      <c r="K954" s="30" t="s">
        <v>5571</v>
      </c>
    </row>
    <row r="955" spans="1:11" x14ac:dyDescent="0.35">
      <c r="A955" s="30" t="s">
        <v>10947</v>
      </c>
      <c r="B955" s="30" t="s">
        <v>10948</v>
      </c>
      <c r="C955" s="32">
        <v>12.62</v>
      </c>
      <c r="D955" s="30">
        <v>0.01</v>
      </c>
      <c r="E955" s="31">
        <v>7.9000000000000001E-4</v>
      </c>
      <c r="F955" s="30">
        <v>778234877</v>
      </c>
      <c r="G955" s="30" t="s">
        <v>5427</v>
      </c>
      <c r="H955" s="30">
        <v>2019</v>
      </c>
      <c r="I955" s="30">
        <v>1069447</v>
      </c>
      <c r="J955" s="30" t="s">
        <v>5431</v>
      </c>
      <c r="K955" s="30" t="s">
        <v>5430</v>
      </c>
    </row>
    <row r="956" spans="1:11" x14ac:dyDescent="0.35">
      <c r="A956" s="30" t="s">
        <v>10949</v>
      </c>
      <c r="B956" s="30" t="s">
        <v>10950</v>
      </c>
      <c r="C956" s="32">
        <v>16.91</v>
      </c>
      <c r="D956" s="30">
        <v>0.18</v>
      </c>
      <c r="E956" s="31">
        <v>1.076E-2</v>
      </c>
      <c r="F956" s="30">
        <v>2834099090</v>
      </c>
      <c r="G956" s="30" t="s">
        <v>5427</v>
      </c>
      <c r="H956" s="30"/>
      <c r="I956" s="30">
        <v>1233375</v>
      </c>
      <c r="J956" s="30" t="s">
        <v>5435</v>
      </c>
      <c r="K956" s="30" t="s">
        <v>5579</v>
      </c>
    </row>
    <row r="957" spans="1:11" x14ac:dyDescent="0.35">
      <c r="A957" s="30" t="s">
        <v>10951</v>
      </c>
      <c r="B957" s="30" t="s">
        <v>10952</v>
      </c>
      <c r="C957" s="32">
        <v>19.36</v>
      </c>
      <c r="D957" s="30">
        <v>-0.08</v>
      </c>
      <c r="E957" s="31">
        <v>-4.1200000000000004E-3</v>
      </c>
      <c r="F957" s="30">
        <v>128867710</v>
      </c>
      <c r="G957" s="30" t="s">
        <v>5427</v>
      </c>
      <c r="H957" s="30"/>
      <c r="I957" s="30">
        <v>12747</v>
      </c>
      <c r="J957" s="30" t="s">
        <v>5435</v>
      </c>
      <c r="K957" s="30" t="s">
        <v>5579</v>
      </c>
    </row>
    <row r="958" spans="1:11" x14ac:dyDescent="0.35">
      <c r="A958" s="30" t="s">
        <v>10953</v>
      </c>
      <c r="B958" s="30" t="s">
        <v>10954</v>
      </c>
      <c r="C958" s="32">
        <v>8.74</v>
      </c>
      <c r="D958" s="30">
        <v>0.04</v>
      </c>
      <c r="E958" s="31">
        <v>4.5999999999999999E-3</v>
      </c>
      <c r="F958" s="30">
        <v>258997288</v>
      </c>
      <c r="G958" s="30" t="s">
        <v>5427</v>
      </c>
      <c r="H958" s="30"/>
      <c r="I958" s="30">
        <v>110358</v>
      </c>
      <c r="J958" s="30" t="s">
        <v>5435</v>
      </c>
      <c r="K958" s="30" t="s">
        <v>5434</v>
      </c>
    </row>
    <row r="959" spans="1:11" x14ac:dyDescent="0.35">
      <c r="A959" s="30" t="s">
        <v>10955</v>
      </c>
      <c r="B959" s="30" t="s">
        <v>10956</v>
      </c>
      <c r="C959" s="32">
        <v>9.2200000000000006</v>
      </c>
      <c r="D959" s="30">
        <v>-2.9899999999999999E-2</v>
      </c>
      <c r="E959" s="31">
        <v>-3.2299999999999998E-3</v>
      </c>
      <c r="F959" s="30">
        <v>53589019</v>
      </c>
      <c r="G959" s="30" t="s">
        <v>5427</v>
      </c>
      <c r="H959" s="30"/>
      <c r="I959" s="30">
        <v>4660</v>
      </c>
      <c r="J959" s="30" t="s">
        <v>5435</v>
      </c>
      <c r="K959" s="30" t="s">
        <v>5579</v>
      </c>
    </row>
    <row r="960" spans="1:11" x14ac:dyDescent="0.35">
      <c r="A960" s="30" t="s">
        <v>10957</v>
      </c>
      <c r="B960" s="30" t="s">
        <v>10958</v>
      </c>
      <c r="C960" s="32">
        <v>3.18</v>
      </c>
      <c r="D960" s="30">
        <v>0.15</v>
      </c>
      <c r="E960" s="31">
        <v>4.9500000000000002E-2</v>
      </c>
      <c r="F960" s="30">
        <v>142344795</v>
      </c>
      <c r="G960" s="30" t="s">
        <v>5515</v>
      </c>
      <c r="H960" s="30">
        <v>2020</v>
      </c>
      <c r="I960" s="30">
        <v>62137</v>
      </c>
      <c r="J960" s="30" t="s">
        <v>5431</v>
      </c>
      <c r="K960" s="30" t="s">
        <v>8643</v>
      </c>
    </row>
    <row r="961" spans="1:11" x14ac:dyDescent="0.35">
      <c r="A961" s="30" t="s">
        <v>10959</v>
      </c>
      <c r="B961" s="30" t="s">
        <v>10960</v>
      </c>
      <c r="C961" s="32">
        <v>55.98</v>
      </c>
      <c r="D961" s="30">
        <v>5.22</v>
      </c>
      <c r="E961" s="31">
        <v>0.10284</v>
      </c>
      <c r="F961" s="30">
        <v>7860066934</v>
      </c>
      <c r="G961" s="30" t="s">
        <v>6387</v>
      </c>
      <c r="H961" s="30">
        <v>2019</v>
      </c>
      <c r="I961" s="30">
        <v>3708317</v>
      </c>
      <c r="J961" s="30" t="s">
        <v>5435</v>
      </c>
      <c r="K961" s="30" t="s">
        <v>6221</v>
      </c>
    </row>
    <row r="962" spans="1:11" x14ac:dyDescent="0.35">
      <c r="A962" s="30" t="s">
        <v>10961</v>
      </c>
      <c r="B962" s="30" t="s">
        <v>10962</v>
      </c>
      <c r="C962" s="32">
        <v>13.64</v>
      </c>
      <c r="D962" s="30">
        <v>-6.4000000000000001E-2</v>
      </c>
      <c r="E962" s="31">
        <v>-4.6699999999999997E-3</v>
      </c>
      <c r="F962" s="30">
        <v>190848561</v>
      </c>
      <c r="G962" s="30" t="s">
        <v>5427</v>
      </c>
      <c r="H962" s="30"/>
      <c r="I962" s="30">
        <v>63186</v>
      </c>
      <c r="J962" s="30" t="s">
        <v>5435</v>
      </c>
      <c r="K962" s="30" t="s">
        <v>5582</v>
      </c>
    </row>
    <row r="963" spans="1:11" x14ac:dyDescent="0.35">
      <c r="A963" s="30" t="s">
        <v>10963</v>
      </c>
      <c r="B963" s="30" t="s">
        <v>10964</v>
      </c>
      <c r="C963" s="32">
        <v>10.119999999999999</v>
      </c>
      <c r="D963" s="30">
        <v>-5.0000000000000001E-3</v>
      </c>
      <c r="E963" s="31">
        <v>-4.8999999999999998E-4</v>
      </c>
      <c r="F963" s="30">
        <v>357053840</v>
      </c>
      <c r="G963" s="30" t="s">
        <v>5427</v>
      </c>
      <c r="H963" s="30">
        <v>2021</v>
      </c>
      <c r="I963" s="30">
        <v>106</v>
      </c>
      <c r="J963" s="30" t="s">
        <v>5435</v>
      </c>
      <c r="K963" s="30" t="s">
        <v>5482</v>
      </c>
    </row>
    <row r="964" spans="1:11" x14ac:dyDescent="0.35">
      <c r="A964" s="30" t="s">
        <v>10965</v>
      </c>
      <c r="B964" s="30" t="s">
        <v>10966</v>
      </c>
      <c r="C964" s="32">
        <v>63.93</v>
      </c>
      <c r="D964" s="30">
        <v>0.25</v>
      </c>
      <c r="E964" s="31">
        <v>3.9300000000000003E-3</v>
      </c>
      <c r="F964" s="30">
        <v>14948245319</v>
      </c>
      <c r="G964" s="30" t="s">
        <v>5427</v>
      </c>
      <c r="H964" s="30"/>
      <c r="I964" s="30">
        <v>274820</v>
      </c>
      <c r="J964" s="30" t="s">
        <v>5442</v>
      </c>
      <c r="K964" s="30" t="s">
        <v>5450</v>
      </c>
    </row>
    <row r="965" spans="1:11" x14ac:dyDescent="0.35">
      <c r="A965" s="30" t="s">
        <v>10967</v>
      </c>
      <c r="B965" s="30" t="s">
        <v>10968</v>
      </c>
      <c r="C965" s="32">
        <v>70.930000000000007</v>
      </c>
      <c r="D965" s="30">
        <v>0.13</v>
      </c>
      <c r="E965" s="31">
        <v>1.8400000000000001E-3</v>
      </c>
      <c r="F965" s="30">
        <v>16584999851</v>
      </c>
      <c r="G965" s="30" t="s">
        <v>5427</v>
      </c>
      <c r="H965" s="30"/>
      <c r="I965" s="30">
        <v>1240983</v>
      </c>
      <c r="J965" s="30" t="s">
        <v>5442</v>
      </c>
      <c r="K965" s="30" t="s">
        <v>5450</v>
      </c>
    </row>
    <row r="966" spans="1:11" x14ac:dyDescent="0.35">
      <c r="A966" s="30" t="s">
        <v>10969</v>
      </c>
      <c r="B966" s="30" t="s">
        <v>10970</v>
      </c>
      <c r="C966" s="32">
        <v>110.54</v>
      </c>
      <c r="D966" s="30">
        <v>2.69</v>
      </c>
      <c r="E966" s="31">
        <v>2.494E-2</v>
      </c>
      <c r="F966" s="30">
        <v>2939225106</v>
      </c>
      <c r="G966" s="30" t="s">
        <v>5427</v>
      </c>
      <c r="H966" s="30"/>
      <c r="I966" s="30">
        <v>170274</v>
      </c>
      <c r="J966" s="30" t="s">
        <v>5442</v>
      </c>
      <c r="K966" s="30" t="s">
        <v>6032</v>
      </c>
    </row>
    <row r="967" spans="1:11" x14ac:dyDescent="0.35">
      <c r="A967" s="30" t="s">
        <v>10971</v>
      </c>
      <c r="B967" s="30" t="s">
        <v>10972</v>
      </c>
      <c r="C967" s="32">
        <v>15.76</v>
      </c>
      <c r="D967" s="30">
        <v>-0.44</v>
      </c>
      <c r="E967" s="31">
        <v>-2.716E-2</v>
      </c>
      <c r="F967" s="30">
        <v>932985995</v>
      </c>
      <c r="G967" s="30" t="s">
        <v>5427</v>
      </c>
      <c r="H967" s="30">
        <v>2021</v>
      </c>
      <c r="I967" s="30">
        <v>199206</v>
      </c>
      <c r="J967" s="30" t="s">
        <v>5442</v>
      </c>
      <c r="K967" s="30" t="s">
        <v>5441</v>
      </c>
    </row>
    <row r="968" spans="1:11" x14ac:dyDescent="0.35">
      <c r="A968" s="30" t="s">
        <v>10973</v>
      </c>
      <c r="B968" s="30" t="s">
        <v>10974</v>
      </c>
      <c r="C968" s="32">
        <v>17.22</v>
      </c>
      <c r="D968" s="30">
        <v>0.06</v>
      </c>
      <c r="E968" s="31">
        <v>3.5000000000000001E-3</v>
      </c>
      <c r="F968" s="30">
        <v>107881785</v>
      </c>
      <c r="G968" s="30" t="s">
        <v>5427</v>
      </c>
      <c r="H968" s="30"/>
      <c r="I968" s="30">
        <v>1397</v>
      </c>
      <c r="J968" s="30" t="s">
        <v>5435</v>
      </c>
      <c r="K968" s="30" t="s">
        <v>5579</v>
      </c>
    </row>
    <row r="969" spans="1:11" x14ac:dyDescent="0.35">
      <c r="A969" s="30" t="s">
        <v>10975</v>
      </c>
      <c r="B969" s="30" t="s">
        <v>10976</v>
      </c>
      <c r="C969" s="32">
        <v>30.22</v>
      </c>
      <c r="D969" s="30">
        <v>0.61</v>
      </c>
      <c r="E969" s="31">
        <v>2.06E-2</v>
      </c>
      <c r="F969" s="30">
        <v>7404020880</v>
      </c>
      <c r="G969" s="30" t="s">
        <v>5427</v>
      </c>
      <c r="H969" s="30"/>
      <c r="I969" s="30">
        <v>1087838</v>
      </c>
      <c r="J969" s="30" t="s">
        <v>5442</v>
      </c>
      <c r="K969" s="30" t="s">
        <v>5520</v>
      </c>
    </row>
    <row r="970" spans="1:11" x14ac:dyDescent="0.35">
      <c r="A970" s="30" t="s">
        <v>10977</v>
      </c>
      <c r="B970" s="30" t="s">
        <v>10978</v>
      </c>
      <c r="C970" s="32">
        <v>39.76</v>
      </c>
      <c r="D970" s="30">
        <v>1.24</v>
      </c>
      <c r="E970" s="31">
        <v>3.2190000000000003E-2</v>
      </c>
      <c r="F970" s="30">
        <v>1172328411</v>
      </c>
      <c r="G970" s="30" t="s">
        <v>5427</v>
      </c>
      <c r="H970" s="30"/>
      <c r="I970" s="30">
        <v>92862</v>
      </c>
      <c r="J970" s="30" t="s">
        <v>5435</v>
      </c>
      <c r="K970" s="30" t="s">
        <v>5579</v>
      </c>
    </row>
    <row r="971" spans="1:11" x14ac:dyDescent="0.35">
      <c r="A971" s="30" t="s">
        <v>10979</v>
      </c>
      <c r="B971" s="30" t="s">
        <v>10980</v>
      </c>
      <c r="C971" s="32">
        <v>3.49</v>
      </c>
      <c r="D971" s="30">
        <v>-0.16</v>
      </c>
      <c r="E971" s="31">
        <v>-4.3839999999999997E-2</v>
      </c>
      <c r="F971" s="30">
        <v>72613589</v>
      </c>
      <c r="G971" s="30" t="s">
        <v>5427</v>
      </c>
      <c r="H971" s="30">
        <v>1999</v>
      </c>
      <c r="I971" s="30">
        <v>30714</v>
      </c>
      <c r="J971" s="30" t="s">
        <v>5442</v>
      </c>
      <c r="K971" s="30" t="s">
        <v>5450</v>
      </c>
    </row>
    <row r="972" spans="1:11" x14ac:dyDescent="0.35">
      <c r="A972" s="30" t="s">
        <v>10981</v>
      </c>
      <c r="B972" s="30" t="s">
        <v>10982</v>
      </c>
      <c r="C972" s="32">
        <v>13.72</v>
      </c>
      <c r="D972" s="30">
        <v>0.12</v>
      </c>
      <c r="E972" s="31">
        <v>8.8199999999999997E-3</v>
      </c>
      <c r="F972" s="30">
        <v>455979576</v>
      </c>
      <c r="G972" s="30" t="s">
        <v>5427</v>
      </c>
      <c r="H972" s="30">
        <v>2005</v>
      </c>
      <c r="I972" s="30">
        <v>290429</v>
      </c>
      <c r="J972" s="30" t="s">
        <v>5435</v>
      </c>
      <c r="K972" s="30" t="s">
        <v>5985</v>
      </c>
    </row>
    <row r="973" spans="1:11" x14ac:dyDescent="0.35">
      <c r="A973" s="30" t="s">
        <v>10983</v>
      </c>
      <c r="B973" s="30" t="s">
        <v>10984</v>
      </c>
      <c r="C973" s="32">
        <v>1.1499999999999999</v>
      </c>
      <c r="D973" s="30">
        <v>-0.01</v>
      </c>
      <c r="E973" s="31">
        <v>-8.6199999999999992E-3</v>
      </c>
      <c r="F973" s="30">
        <v>68339906</v>
      </c>
      <c r="G973" s="30" t="s">
        <v>5427</v>
      </c>
      <c r="H973" s="30"/>
      <c r="I973" s="30">
        <v>56817</v>
      </c>
      <c r="J973" s="30" t="s">
        <v>5431</v>
      </c>
      <c r="K973" s="30" t="s">
        <v>5430</v>
      </c>
    </row>
    <row r="974" spans="1:11" x14ac:dyDescent="0.35">
      <c r="A974" s="30" t="s">
        <v>10985</v>
      </c>
      <c r="B974" s="30" t="s">
        <v>10986</v>
      </c>
      <c r="C974" s="32">
        <v>9.68</v>
      </c>
      <c r="D974" s="30">
        <v>0.11</v>
      </c>
      <c r="E974" s="31">
        <v>1.149E-2</v>
      </c>
      <c r="F974" s="30">
        <v>353003454</v>
      </c>
      <c r="G974" s="30" t="s">
        <v>8150</v>
      </c>
      <c r="H974" s="30">
        <v>2021</v>
      </c>
      <c r="I974" s="30">
        <v>53970</v>
      </c>
      <c r="J974" s="30" t="s">
        <v>5442</v>
      </c>
      <c r="K974" s="30" t="s">
        <v>9968</v>
      </c>
    </row>
    <row r="975" spans="1:11" x14ac:dyDescent="0.35">
      <c r="A975" s="30" t="s">
        <v>10987</v>
      </c>
      <c r="B975" s="30" t="s">
        <v>10988</v>
      </c>
      <c r="C975" s="32">
        <v>10.119999999999999</v>
      </c>
      <c r="D975" s="30">
        <v>0.03</v>
      </c>
      <c r="E975" s="31">
        <v>2.97E-3</v>
      </c>
      <c r="F975" s="30">
        <v>363687500</v>
      </c>
      <c r="G975" s="30" t="s">
        <v>5427</v>
      </c>
      <c r="H975" s="30">
        <v>2021</v>
      </c>
      <c r="I975" s="30">
        <v>6763</v>
      </c>
      <c r="J975" s="30" t="s">
        <v>5457</v>
      </c>
      <c r="K975" s="30" t="s">
        <v>5571</v>
      </c>
    </row>
    <row r="976" spans="1:11" x14ac:dyDescent="0.35">
      <c r="A976" s="30" t="s">
        <v>10989</v>
      </c>
      <c r="B976" s="30" t="s">
        <v>10990</v>
      </c>
      <c r="C976" s="32">
        <v>2.31</v>
      </c>
      <c r="D976" s="30">
        <v>0.03</v>
      </c>
      <c r="E976" s="31">
        <v>1.316E-2</v>
      </c>
      <c r="F976" s="30">
        <v>98382928</v>
      </c>
      <c r="G976" s="30" t="s">
        <v>5775</v>
      </c>
      <c r="H976" s="30">
        <v>2020</v>
      </c>
      <c r="I976" s="30">
        <v>208209</v>
      </c>
      <c r="J976" s="30" t="s">
        <v>5219</v>
      </c>
      <c r="K976" s="30" t="s">
        <v>10991</v>
      </c>
    </row>
    <row r="977" spans="1:11" x14ac:dyDescent="0.35">
      <c r="A977" s="30" t="s">
        <v>10992</v>
      </c>
      <c r="B977" s="30" t="s">
        <v>10993</v>
      </c>
      <c r="C977" s="32">
        <v>2.71</v>
      </c>
      <c r="D977" s="30">
        <v>-0.04</v>
      </c>
      <c r="E977" s="31">
        <v>-1.455E-2</v>
      </c>
      <c r="F977" s="30">
        <v>103527911</v>
      </c>
      <c r="G977" s="30" t="s">
        <v>5911</v>
      </c>
      <c r="H977" s="30">
        <v>2005</v>
      </c>
      <c r="I977" s="30">
        <v>143528</v>
      </c>
      <c r="J977" s="30" t="s">
        <v>5442</v>
      </c>
      <c r="K977" s="30" t="s">
        <v>5910</v>
      </c>
    </row>
    <row r="978" spans="1:11" x14ac:dyDescent="0.35">
      <c r="A978" s="30" t="s">
        <v>10994</v>
      </c>
      <c r="B978" s="30" t="s">
        <v>10995</v>
      </c>
      <c r="C978" s="32">
        <v>10.09</v>
      </c>
      <c r="D978" s="30">
        <v>0.05</v>
      </c>
      <c r="E978" s="31">
        <v>4.9800000000000001E-3</v>
      </c>
      <c r="F978" s="30">
        <v>415842530</v>
      </c>
      <c r="G978" s="30" t="s">
        <v>5427</v>
      </c>
      <c r="H978" s="30">
        <v>2021</v>
      </c>
      <c r="I978" s="30">
        <v>1100</v>
      </c>
      <c r="J978" s="30" t="s">
        <v>5457</v>
      </c>
      <c r="K978" s="30" t="s">
        <v>5571</v>
      </c>
    </row>
    <row r="979" spans="1:11" x14ac:dyDescent="0.35">
      <c r="A979" s="30" t="s">
        <v>10996</v>
      </c>
      <c r="B979" s="30" t="s">
        <v>10997</v>
      </c>
      <c r="C979" s="32">
        <v>10.16</v>
      </c>
      <c r="D979" s="30">
        <v>0.02</v>
      </c>
      <c r="E979" s="31">
        <v>1.97E-3</v>
      </c>
      <c r="F979" s="30">
        <v>223647000</v>
      </c>
      <c r="G979" s="30" t="s">
        <v>5427</v>
      </c>
      <c r="H979" s="30">
        <v>2022</v>
      </c>
      <c r="I979" s="30">
        <v>78913</v>
      </c>
      <c r="J979" s="30" t="s">
        <v>5457</v>
      </c>
      <c r="K979" s="30" t="s">
        <v>5571</v>
      </c>
    </row>
    <row r="980" spans="1:11" x14ac:dyDescent="0.35">
      <c r="A980" s="30" t="s">
        <v>10998</v>
      </c>
      <c r="B980" s="30" t="s">
        <v>10999</v>
      </c>
      <c r="C980" s="32">
        <v>13.96</v>
      </c>
      <c r="D980" s="30">
        <v>0.26</v>
      </c>
      <c r="E980" s="31">
        <v>1.898E-2</v>
      </c>
      <c r="F980" s="30">
        <v>2385703553</v>
      </c>
      <c r="G980" s="30" t="s">
        <v>5427</v>
      </c>
      <c r="H980" s="30">
        <v>2010</v>
      </c>
      <c r="I980" s="30">
        <v>1208844</v>
      </c>
      <c r="J980" s="30" t="s">
        <v>5435</v>
      </c>
      <c r="K980" s="30" t="s">
        <v>5434</v>
      </c>
    </row>
    <row r="981" spans="1:11" x14ac:dyDescent="0.35">
      <c r="A981" s="30" t="s">
        <v>11000</v>
      </c>
      <c r="B981" s="30" t="s">
        <v>11001</v>
      </c>
      <c r="C981" s="32">
        <v>6.17</v>
      </c>
      <c r="D981" s="30">
        <v>0.27</v>
      </c>
      <c r="E981" s="31">
        <v>4.5760000000000002E-2</v>
      </c>
      <c r="F981" s="30">
        <v>366638040</v>
      </c>
      <c r="G981" s="30" t="s">
        <v>5427</v>
      </c>
      <c r="H981" s="30">
        <v>2020</v>
      </c>
      <c r="I981" s="30">
        <v>394199</v>
      </c>
      <c r="J981" s="30" t="s">
        <v>5431</v>
      </c>
      <c r="K981" s="30" t="s">
        <v>5430</v>
      </c>
    </row>
    <row r="982" spans="1:11" x14ac:dyDescent="0.35">
      <c r="A982" s="30" t="s">
        <v>11002</v>
      </c>
      <c r="B982" s="30" t="s">
        <v>11003</v>
      </c>
      <c r="C982" s="32">
        <v>2.1800000000000002</v>
      </c>
      <c r="D982" s="30">
        <v>0.04</v>
      </c>
      <c r="E982" s="31">
        <v>1.8689999999999998E-2</v>
      </c>
      <c r="F982" s="30">
        <v>64171668</v>
      </c>
      <c r="G982" s="30" t="s">
        <v>5515</v>
      </c>
      <c r="H982" s="30"/>
      <c r="I982" s="30">
        <v>2531</v>
      </c>
      <c r="J982" s="30"/>
      <c r="K982" s="30"/>
    </row>
    <row r="983" spans="1:11" x14ac:dyDescent="0.35">
      <c r="A983" s="30" t="s">
        <v>11004</v>
      </c>
      <c r="B983" s="30" t="s">
        <v>11005</v>
      </c>
      <c r="C983" s="32">
        <v>10.445</v>
      </c>
      <c r="D983" s="30">
        <v>0</v>
      </c>
      <c r="E983" s="31">
        <v>0</v>
      </c>
      <c r="F983" s="30">
        <v>79029481</v>
      </c>
      <c r="G983" s="30" t="s">
        <v>6387</v>
      </c>
      <c r="H983" s="30">
        <v>2021</v>
      </c>
      <c r="I983" s="30">
        <v>117</v>
      </c>
      <c r="J983" s="30" t="s">
        <v>5435</v>
      </c>
      <c r="K983" s="30" t="s">
        <v>5482</v>
      </c>
    </row>
    <row r="984" spans="1:11" x14ac:dyDescent="0.35">
      <c r="A984" s="30" t="s">
        <v>11006</v>
      </c>
      <c r="B984" s="30" t="s">
        <v>11007</v>
      </c>
      <c r="C984" s="32">
        <v>50.35</v>
      </c>
      <c r="D984" s="30">
        <v>1.4</v>
      </c>
      <c r="E984" s="31">
        <v>2.86E-2</v>
      </c>
      <c r="F984" s="30">
        <v>428650395</v>
      </c>
      <c r="G984" s="30" t="s">
        <v>5427</v>
      </c>
      <c r="H984" s="30"/>
      <c r="I984" s="30">
        <v>20249</v>
      </c>
      <c r="J984" s="30" t="s">
        <v>5435</v>
      </c>
      <c r="K984" s="30" t="s">
        <v>6698</v>
      </c>
    </row>
    <row r="985" spans="1:11" x14ac:dyDescent="0.35">
      <c r="A985" s="30" t="s">
        <v>11008</v>
      </c>
      <c r="B985" s="30" t="s">
        <v>11009</v>
      </c>
      <c r="C985" s="32">
        <v>9.1199999999999992</v>
      </c>
      <c r="D985" s="30">
        <v>0.16</v>
      </c>
      <c r="E985" s="31">
        <v>1.7860000000000001E-2</v>
      </c>
      <c r="F985" s="30">
        <v>1679448985</v>
      </c>
      <c r="G985" s="30" t="s">
        <v>5427</v>
      </c>
      <c r="H985" s="30"/>
      <c r="I985" s="30">
        <v>202972</v>
      </c>
      <c r="J985" s="30" t="s">
        <v>5435</v>
      </c>
      <c r="K985" s="30" t="s">
        <v>5985</v>
      </c>
    </row>
    <row r="986" spans="1:11" x14ac:dyDescent="0.35">
      <c r="A986" s="30" t="s">
        <v>11010</v>
      </c>
      <c r="B986" s="30" t="s">
        <v>11011</v>
      </c>
      <c r="C986" s="32">
        <v>5.84</v>
      </c>
      <c r="D986" s="30">
        <v>-0.01</v>
      </c>
      <c r="E986" s="31">
        <v>-1.7099999999999999E-3</v>
      </c>
      <c r="F986" s="30">
        <v>237597749</v>
      </c>
      <c r="G986" s="30" t="s">
        <v>6387</v>
      </c>
      <c r="H986" s="30">
        <v>2022</v>
      </c>
      <c r="I986" s="30">
        <v>225223</v>
      </c>
      <c r="J986" s="30" t="s">
        <v>5442</v>
      </c>
      <c r="K986" s="30" t="s">
        <v>5618</v>
      </c>
    </row>
    <row r="987" spans="1:11" x14ac:dyDescent="0.35">
      <c r="A987" s="30" t="s">
        <v>11012</v>
      </c>
      <c r="B987" s="30" t="s">
        <v>11013</v>
      </c>
      <c r="C987" s="32">
        <v>40.659999999999997</v>
      </c>
      <c r="D987" s="30">
        <v>1.1599999999999999</v>
      </c>
      <c r="E987" s="31">
        <v>2.937E-2</v>
      </c>
      <c r="F987" s="30">
        <v>1159029035</v>
      </c>
      <c r="G987" s="30" t="s">
        <v>5427</v>
      </c>
      <c r="H987" s="30"/>
      <c r="I987" s="30">
        <v>207316</v>
      </c>
      <c r="J987" s="30" t="s">
        <v>5442</v>
      </c>
      <c r="K987" s="30" t="s">
        <v>5704</v>
      </c>
    </row>
    <row r="988" spans="1:11" x14ac:dyDescent="0.35">
      <c r="A988" s="30" t="s">
        <v>11014</v>
      </c>
      <c r="B988" s="30" t="s">
        <v>11015</v>
      </c>
      <c r="C988" s="32">
        <v>5.91</v>
      </c>
      <c r="D988" s="30">
        <v>0.32</v>
      </c>
      <c r="E988" s="31">
        <v>5.7250000000000002E-2</v>
      </c>
      <c r="F988" s="30">
        <v>2341481044</v>
      </c>
      <c r="G988" s="30" t="s">
        <v>5427</v>
      </c>
      <c r="H988" s="30">
        <v>2020</v>
      </c>
      <c r="I988" s="30">
        <v>3548977</v>
      </c>
      <c r="J988" s="30" t="s">
        <v>5219</v>
      </c>
      <c r="K988" s="30" t="s">
        <v>5812</v>
      </c>
    </row>
    <row r="989" spans="1:11" x14ac:dyDescent="0.35">
      <c r="A989" s="30" t="s">
        <v>11016</v>
      </c>
      <c r="B989" s="30" t="s">
        <v>11017</v>
      </c>
      <c r="C989" s="32">
        <v>10.26</v>
      </c>
      <c r="D989" s="30">
        <v>1.01E-2</v>
      </c>
      <c r="E989" s="31">
        <v>9.8999999999999999E-4</v>
      </c>
      <c r="F989" s="30">
        <v>77937525</v>
      </c>
      <c r="G989" s="30" t="s">
        <v>5427</v>
      </c>
      <c r="H989" s="30">
        <v>2022</v>
      </c>
      <c r="I989" s="30">
        <v>10918</v>
      </c>
      <c r="J989" s="30" t="s">
        <v>5457</v>
      </c>
      <c r="K989" s="30" t="s">
        <v>5571</v>
      </c>
    </row>
    <row r="990" spans="1:11" x14ac:dyDescent="0.35">
      <c r="A990" s="30" t="s">
        <v>11018</v>
      </c>
      <c r="B990" s="30" t="s">
        <v>11019</v>
      </c>
      <c r="C990" s="32">
        <v>13.24</v>
      </c>
      <c r="D990" s="30">
        <v>0.72</v>
      </c>
      <c r="E990" s="31">
        <v>5.7509999999999999E-2</v>
      </c>
      <c r="F990" s="30">
        <v>673135859</v>
      </c>
      <c r="G990" s="30" t="s">
        <v>5427</v>
      </c>
      <c r="H990" s="30">
        <v>2018</v>
      </c>
      <c r="I990" s="30">
        <v>413718</v>
      </c>
      <c r="J990" s="30" t="s">
        <v>5219</v>
      </c>
      <c r="K990" s="30" t="s">
        <v>5447</v>
      </c>
    </row>
    <row r="991" spans="1:11" x14ac:dyDescent="0.35">
      <c r="A991" s="30" t="s">
        <v>11020</v>
      </c>
      <c r="B991" s="30" t="s">
        <v>11021</v>
      </c>
      <c r="C991" s="32">
        <v>9.24</v>
      </c>
      <c r="D991" s="30">
        <v>0.2</v>
      </c>
      <c r="E991" s="31">
        <v>2.2120000000000001E-2</v>
      </c>
      <c r="F991" s="30">
        <v>70242092</v>
      </c>
      <c r="G991" s="30" t="s">
        <v>5427</v>
      </c>
      <c r="H991" s="30"/>
      <c r="I991" s="30">
        <v>7965</v>
      </c>
      <c r="J991" s="30" t="s">
        <v>5435</v>
      </c>
      <c r="K991" s="30" t="s">
        <v>5985</v>
      </c>
    </row>
    <row r="992" spans="1:11" x14ac:dyDescent="0.35">
      <c r="A992" s="30" t="s">
        <v>11022</v>
      </c>
      <c r="B992" s="30" t="s">
        <v>11023</v>
      </c>
      <c r="C992" s="32">
        <v>10.414999999999999</v>
      </c>
      <c r="D992" s="30">
        <v>-5.0000000000000001E-3</v>
      </c>
      <c r="E992" s="31">
        <v>-4.8000000000000001E-4</v>
      </c>
      <c r="F992" s="30">
        <v>260375000</v>
      </c>
      <c r="G992" s="30" t="s">
        <v>5427</v>
      </c>
      <c r="H992" s="30">
        <v>2022</v>
      </c>
      <c r="I992" s="30">
        <v>1117</v>
      </c>
      <c r="J992" s="30" t="s">
        <v>5435</v>
      </c>
      <c r="K992" s="30" t="s">
        <v>5482</v>
      </c>
    </row>
    <row r="993" spans="1:11" x14ac:dyDescent="0.35">
      <c r="A993" s="30" t="s">
        <v>11024</v>
      </c>
      <c r="B993" s="30" t="s">
        <v>11025</v>
      </c>
      <c r="C993" s="32">
        <v>2.16</v>
      </c>
      <c r="D993" s="30">
        <v>-3.0099999999999998E-2</v>
      </c>
      <c r="E993" s="31">
        <v>-1.374E-2</v>
      </c>
      <c r="F993" s="30">
        <v>64848436</v>
      </c>
      <c r="G993" s="30" t="s">
        <v>5427</v>
      </c>
      <c r="H993" s="30"/>
      <c r="I993" s="30">
        <v>11988</v>
      </c>
      <c r="J993" s="30" t="s">
        <v>5431</v>
      </c>
      <c r="K993" s="30" t="s">
        <v>6734</v>
      </c>
    </row>
    <row r="994" spans="1:11" x14ac:dyDescent="0.35">
      <c r="A994" s="30" t="s">
        <v>11026</v>
      </c>
      <c r="B994" s="30" t="s">
        <v>11027</v>
      </c>
      <c r="C994" s="32">
        <v>70.010000000000005</v>
      </c>
      <c r="D994" s="30">
        <v>0.49</v>
      </c>
      <c r="E994" s="31">
        <v>7.0499999999999998E-3</v>
      </c>
      <c r="F994" s="30">
        <v>31834247380</v>
      </c>
      <c r="G994" s="30" t="s">
        <v>5427</v>
      </c>
      <c r="H994" s="30"/>
      <c r="I994" s="30">
        <v>2698694</v>
      </c>
      <c r="J994" s="30" t="s">
        <v>5219</v>
      </c>
      <c r="K994" s="30" t="s">
        <v>5560</v>
      </c>
    </row>
    <row r="995" spans="1:11" x14ac:dyDescent="0.35">
      <c r="A995" s="30" t="s">
        <v>11028</v>
      </c>
      <c r="B995" s="30" t="s">
        <v>11029</v>
      </c>
      <c r="C995" s="32">
        <v>23.36</v>
      </c>
      <c r="D995" s="30">
        <v>0.35</v>
      </c>
      <c r="E995" s="31">
        <v>1.521E-2</v>
      </c>
      <c r="F995" s="30">
        <v>243452269123</v>
      </c>
      <c r="G995" s="30" t="s">
        <v>5427</v>
      </c>
      <c r="H995" s="30"/>
      <c r="I995" s="30">
        <v>3661390</v>
      </c>
      <c r="J995" s="30" t="s">
        <v>5219</v>
      </c>
      <c r="K995" s="30" t="s">
        <v>5560</v>
      </c>
    </row>
    <row r="996" spans="1:11" x14ac:dyDescent="0.35">
      <c r="A996" s="30" t="s">
        <v>11030</v>
      </c>
      <c r="B996" s="30" t="s">
        <v>11031</v>
      </c>
      <c r="C996" s="32">
        <v>10.42</v>
      </c>
      <c r="D996" s="30">
        <v>0.02</v>
      </c>
      <c r="E996" s="31">
        <v>1.92E-3</v>
      </c>
      <c r="F996" s="30">
        <v>116721777</v>
      </c>
      <c r="G996" s="30" t="s">
        <v>5427</v>
      </c>
      <c r="H996" s="30">
        <v>2022</v>
      </c>
      <c r="I996" s="30">
        <v>12569</v>
      </c>
      <c r="J996" s="30" t="s">
        <v>5457</v>
      </c>
      <c r="K996" s="30" t="s">
        <v>5571</v>
      </c>
    </row>
    <row r="997" spans="1:11" x14ac:dyDescent="0.35">
      <c r="A997" s="30" t="s">
        <v>11032</v>
      </c>
      <c r="B997" s="30" t="s">
        <v>11033</v>
      </c>
      <c r="C997" s="32">
        <v>4.8099999999999996</v>
      </c>
      <c r="D997" s="30">
        <v>0.05</v>
      </c>
      <c r="E997" s="31">
        <v>1.0500000000000001E-2</v>
      </c>
      <c r="F997" s="30">
        <v>63160057</v>
      </c>
      <c r="G997" s="30" t="s">
        <v>5427</v>
      </c>
      <c r="H997" s="30"/>
      <c r="I997" s="30">
        <v>7695</v>
      </c>
      <c r="J997" s="30" t="s">
        <v>5457</v>
      </c>
      <c r="K997" s="30" t="s">
        <v>5644</v>
      </c>
    </row>
    <row r="998" spans="1:11" x14ac:dyDescent="0.35">
      <c r="A998" s="30" t="s">
        <v>11034</v>
      </c>
      <c r="B998" s="30" t="s">
        <v>11035</v>
      </c>
      <c r="C998" s="32">
        <v>3.38</v>
      </c>
      <c r="D998" s="30">
        <v>0.08</v>
      </c>
      <c r="E998" s="31">
        <v>2.4240000000000001E-2</v>
      </c>
      <c r="F998" s="30">
        <v>1518440620</v>
      </c>
      <c r="G998" s="30" t="s">
        <v>5427</v>
      </c>
      <c r="H998" s="30">
        <v>1996</v>
      </c>
      <c r="I998" s="30">
        <v>4135077</v>
      </c>
      <c r="J998" s="30" t="s">
        <v>5431</v>
      </c>
      <c r="K998" s="30" t="s">
        <v>5430</v>
      </c>
    </row>
    <row r="999" spans="1:11" x14ac:dyDescent="0.35">
      <c r="A999" s="30" t="s">
        <v>11036</v>
      </c>
      <c r="B999" s="30" t="s">
        <v>11037</v>
      </c>
      <c r="C999" s="32">
        <v>2.13</v>
      </c>
      <c r="D999" s="30">
        <v>0.01</v>
      </c>
      <c r="E999" s="31">
        <v>4.7200000000000002E-3</v>
      </c>
      <c r="F999" s="30">
        <v>505282289</v>
      </c>
      <c r="G999" s="30" t="s">
        <v>5427</v>
      </c>
      <c r="H999" s="30">
        <v>2011</v>
      </c>
      <c r="I999" s="30">
        <v>7081049</v>
      </c>
      <c r="J999" s="30" t="s">
        <v>5431</v>
      </c>
      <c r="K999" s="30" t="s">
        <v>9124</v>
      </c>
    </row>
    <row r="1000" spans="1:11" x14ac:dyDescent="0.35">
      <c r="A1000" s="30" t="s">
        <v>11038</v>
      </c>
      <c r="B1000" s="30" t="s">
        <v>11039</v>
      </c>
      <c r="C1000" s="32">
        <v>10.1</v>
      </c>
      <c r="D1000" s="30">
        <v>0</v>
      </c>
      <c r="E1000" s="31">
        <v>0</v>
      </c>
      <c r="F1000" s="30">
        <v>327492500</v>
      </c>
      <c r="G1000" s="30" t="s">
        <v>5427</v>
      </c>
      <c r="H1000" s="30">
        <v>2022</v>
      </c>
      <c r="I1000" s="30">
        <v>9125</v>
      </c>
      <c r="J1000" s="30" t="s">
        <v>5435</v>
      </c>
      <c r="K1000" s="30" t="s">
        <v>5482</v>
      </c>
    </row>
    <row r="1001" spans="1:11" x14ac:dyDescent="0.35">
      <c r="A1001" s="30" t="s">
        <v>11040</v>
      </c>
      <c r="B1001" s="30" t="s">
        <v>11041</v>
      </c>
      <c r="C1001" s="32">
        <v>63.19</v>
      </c>
      <c r="D1001" s="30">
        <v>3.91</v>
      </c>
      <c r="E1001" s="31">
        <v>6.5960000000000005E-2</v>
      </c>
      <c r="F1001" s="30">
        <v>34443191053</v>
      </c>
      <c r="G1001" s="30" t="s">
        <v>5427</v>
      </c>
      <c r="H1001" s="30">
        <v>2021</v>
      </c>
      <c r="I1001" s="30">
        <v>1633880</v>
      </c>
      <c r="J1001" s="30" t="s">
        <v>5219</v>
      </c>
      <c r="K1001" s="30" t="s">
        <v>5526</v>
      </c>
    </row>
    <row r="1002" spans="1:11" x14ac:dyDescent="0.35">
      <c r="A1002" s="30" t="s">
        <v>11042</v>
      </c>
      <c r="B1002" s="30" t="s">
        <v>11043</v>
      </c>
      <c r="C1002" s="32">
        <v>10.41</v>
      </c>
      <c r="D1002" s="30">
        <v>0</v>
      </c>
      <c r="E1002" s="31">
        <v>0</v>
      </c>
      <c r="F1002" s="30">
        <v>329216250</v>
      </c>
      <c r="G1002" s="30" t="s">
        <v>5799</v>
      </c>
      <c r="H1002" s="30">
        <v>2022</v>
      </c>
      <c r="I1002" s="30">
        <v>200054</v>
      </c>
      <c r="J1002" s="30" t="s">
        <v>5435</v>
      </c>
      <c r="K1002" s="30" t="s">
        <v>5482</v>
      </c>
    </row>
    <row r="1003" spans="1:11" x14ac:dyDescent="0.35">
      <c r="A1003" s="30" t="s">
        <v>11044</v>
      </c>
      <c r="B1003" s="30" t="s">
        <v>11045</v>
      </c>
      <c r="C1003" s="32">
        <v>4.8499999999999996</v>
      </c>
      <c r="D1003" s="30">
        <v>0.15</v>
      </c>
      <c r="E1003" s="31">
        <v>3.1910000000000001E-2</v>
      </c>
      <c r="F1003" s="30">
        <v>1160275928</v>
      </c>
      <c r="G1003" s="30" t="s">
        <v>5771</v>
      </c>
      <c r="H1003" s="30"/>
      <c r="I1003" s="30">
        <v>268329</v>
      </c>
      <c r="J1003" s="30" t="s">
        <v>5442</v>
      </c>
      <c r="K1003" s="30" t="s">
        <v>5926</v>
      </c>
    </row>
    <row r="1004" spans="1:11" x14ac:dyDescent="0.35">
      <c r="A1004" s="30" t="s">
        <v>11046</v>
      </c>
      <c r="B1004" s="30" t="s">
        <v>11047</v>
      </c>
      <c r="C1004" s="32">
        <v>32.01</v>
      </c>
      <c r="D1004" s="30">
        <v>0.57999999999999996</v>
      </c>
      <c r="E1004" s="31">
        <v>1.8450000000000001E-2</v>
      </c>
      <c r="F1004" s="30">
        <v>3278981770</v>
      </c>
      <c r="G1004" s="30" t="s">
        <v>5427</v>
      </c>
      <c r="H1004" s="30">
        <v>2018</v>
      </c>
      <c r="I1004" s="30">
        <v>1740108</v>
      </c>
      <c r="J1004" s="30" t="s">
        <v>5431</v>
      </c>
      <c r="K1004" s="30" t="s">
        <v>5610</v>
      </c>
    </row>
    <row r="1005" spans="1:11" x14ac:dyDescent="0.35">
      <c r="A1005" s="30" t="s">
        <v>11048</v>
      </c>
      <c r="B1005" s="30" t="s">
        <v>11049</v>
      </c>
      <c r="C1005" s="32">
        <v>9.99</v>
      </c>
      <c r="D1005" s="30">
        <v>0</v>
      </c>
      <c r="E1005" s="31">
        <v>0</v>
      </c>
      <c r="F1005" s="30">
        <v>655593750</v>
      </c>
      <c r="G1005" s="30" t="s">
        <v>5427</v>
      </c>
      <c r="H1005" s="30">
        <v>2022</v>
      </c>
      <c r="I1005" s="30">
        <v>438013</v>
      </c>
      <c r="J1005" s="30" t="s">
        <v>5457</v>
      </c>
      <c r="K1005" s="30" t="s">
        <v>5571</v>
      </c>
    </row>
    <row r="1006" spans="1:11" x14ac:dyDescent="0.35">
      <c r="A1006" s="30" t="s">
        <v>11050</v>
      </c>
      <c r="B1006" s="30" t="s">
        <v>11051</v>
      </c>
      <c r="C1006" s="32">
        <v>9.09</v>
      </c>
      <c r="D1006" s="30">
        <v>0.2</v>
      </c>
      <c r="E1006" s="31">
        <v>2.2499999999999999E-2</v>
      </c>
      <c r="F1006" s="30">
        <v>472869517</v>
      </c>
      <c r="G1006" s="30" t="s">
        <v>5512</v>
      </c>
      <c r="H1006" s="30">
        <v>2021</v>
      </c>
      <c r="I1006" s="30">
        <v>1262313</v>
      </c>
      <c r="J1006" s="30" t="s">
        <v>5431</v>
      </c>
      <c r="K1006" s="30" t="s">
        <v>5430</v>
      </c>
    </row>
    <row r="1007" spans="1:11" x14ac:dyDescent="0.35">
      <c r="A1007" s="30" t="s">
        <v>11052</v>
      </c>
      <c r="B1007" s="30" t="s">
        <v>11053</v>
      </c>
      <c r="C1007" s="32">
        <v>4.4749999999999996</v>
      </c>
      <c r="D1007" s="30">
        <v>-0.42499999999999999</v>
      </c>
      <c r="E1007" s="31">
        <v>-8.6730000000000002E-2</v>
      </c>
      <c r="F1007" s="30">
        <v>71256316</v>
      </c>
      <c r="G1007" s="30" t="s">
        <v>5427</v>
      </c>
      <c r="H1007" s="30">
        <v>1997</v>
      </c>
      <c r="I1007" s="30">
        <v>136307</v>
      </c>
      <c r="J1007" s="30" t="s">
        <v>5457</v>
      </c>
      <c r="K1007" s="30" t="s">
        <v>5634</v>
      </c>
    </row>
    <row r="1008" spans="1:11" x14ac:dyDescent="0.35">
      <c r="A1008" s="30" t="s">
        <v>11054</v>
      </c>
      <c r="B1008" s="30" t="s">
        <v>11055</v>
      </c>
      <c r="C1008" s="32">
        <v>17.22</v>
      </c>
      <c r="D1008" s="30">
        <v>0.3</v>
      </c>
      <c r="E1008" s="31">
        <v>1.7729999999999999E-2</v>
      </c>
      <c r="F1008" s="30">
        <v>817760563</v>
      </c>
      <c r="G1008" s="30" t="s">
        <v>5427</v>
      </c>
      <c r="H1008" s="30">
        <v>1989</v>
      </c>
      <c r="I1008" s="30">
        <v>542143</v>
      </c>
      <c r="J1008" s="30" t="s">
        <v>5442</v>
      </c>
      <c r="K1008" s="30" t="s">
        <v>5692</v>
      </c>
    </row>
    <row r="1009" spans="1:11" x14ac:dyDescent="0.35">
      <c r="A1009" s="30" t="s">
        <v>11056</v>
      </c>
      <c r="B1009" s="30" t="s">
        <v>11057</v>
      </c>
      <c r="C1009" s="32">
        <v>84</v>
      </c>
      <c r="D1009" s="30">
        <v>0.06</v>
      </c>
      <c r="E1009" s="31">
        <v>7.1000000000000002E-4</v>
      </c>
      <c r="F1009" s="30">
        <v>105356482980</v>
      </c>
      <c r="G1009" s="30" t="s">
        <v>5427</v>
      </c>
      <c r="H1009" s="30">
        <v>1992</v>
      </c>
      <c r="I1009" s="30">
        <v>6673159</v>
      </c>
      <c r="J1009" s="30" t="s">
        <v>5431</v>
      </c>
      <c r="K1009" s="30" t="s">
        <v>5430</v>
      </c>
    </row>
    <row r="1010" spans="1:11" x14ac:dyDescent="0.35">
      <c r="A1010" s="30" t="s">
        <v>11058</v>
      </c>
      <c r="B1010" s="30" t="s">
        <v>11059</v>
      </c>
      <c r="C1010" s="32">
        <v>10.33</v>
      </c>
      <c r="D1010" s="30">
        <v>0</v>
      </c>
      <c r="E1010" s="31">
        <v>0</v>
      </c>
      <c r="F1010" s="30">
        <v>366944791</v>
      </c>
      <c r="G1010" s="30" t="s">
        <v>5427</v>
      </c>
      <c r="H1010" s="30">
        <v>2001</v>
      </c>
      <c r="I1010" s="30">
        <v>186405</v>
      </c>
      <c r="J1010" s="30" t="s">
        <v>5435</v>
      </c>
      <c r="K1010" s="30" t="s">
        <v>5985</v>
      </c>
    </row>
    <row r="1011" spans="1:11" x14ac:dyDescent="0.35">
      <c r="A1011" s="30" t="s">
        <v>11060</v>
      </c>
      <c r="B1011" s="30" t="s">
        <v>11061</v>
      </c>
      <c r="C1011" s="32">
        <v>6.86</v>
      </c>
      <c r="D1011" s="30">
        <v>-0.02</v>
      </c>
      <c r="E1011" s="31">
        <v>-2.9099999999999998E-3</v>
      </c>
      <c r="F1011" s="30">
        <v>453925919</v>
      </c>
      <c r="G1011" s="30" t="s">
        <v>5427</v>
      </c>
      <c r="H1011" s="30"/>
      <c r="I1011" s="30">
        <v>426439</v>
      </c>
      <c r="J1011" s="30" t="s">
        <v>5457</v>
      </c>
      <c r="K1011" s="30" t="s">
        <v>5588</v>
      </c>
    </row>
    <row r="1012" spans="1:11" x14ac:dyDescent="0.35">
      <c r="A1012" s="30" t="s">
        <v>11062</v>
      </c>
      <c r="B1012" s="30" t="s">
        <v>11063</v>
      </c>
      <c r="C1012" s="32">
        <v>10.24</v>
      </c>
      <c r="D1012" s="30">
        <v>-0.01</v>
      </c>
      <c r="E1012" s="31">
        <v>-9.7999999999999997E-4</v>
      </c>
      <c r="F1012" s="30">
        <v>153036800</v>
      </c>
      <c r="G1012" s="30" t="s">
        <v>5427</v>
      </c>
      <c r="H1012" s="30">
        <v>2021</v>
      </c>
      <c r="I1012" s="30">
        <v>5837</v>
      </c>
      <c r="J1012" s="30" t="s">
        <v>5457</v>
      </c>
      <c r="K1012" s="30" t="s">
        <v>5571</v>
      </c>
    </row>
    <row r="1013" spans="1:11" x14ac:dyDescent="0.35">
      <c r="A1013" s="30" t="s">
        <v>11064</v>
      </c>
      <c r="B1013" s="30" t="s">
        <v>11065</v>
      </c>
      <c r="C1013" s="32">
        <v>43.67</v>
      </c>
      <c r="D1013" s="30">
        <v>-0.5</v>
      </c>
      <c r="E1013" s="31">
        <v>-1.132E-2</v>
      </c>
      <c r="F1013" s="30">
        <v>2875036765</v>
      </c>
      <c r="G1013" s="30" t="s">
        <v>8520</v>
      </c>
      <c r="H1013" s="30">
        <v>2015</v>
      </c>
      <c r="I1013" s="30">
        <v>94528</v>
      </c>
      <c r="J1013" s="30" t="s">
        <v>5431</v>
      </c>
      <c r="K1013" s="30" t="s">
        <v>5430</v>
      </c>
    </row>
    <row r="1014" spans="1:11" x14ac:dyDescent="0.35">
      <c r="A1014" s="30" t="s">
        <v>11066</v>
      </c>
      <c r="B1014" s="30" t="s">
        <v>11067</v>
      </c>
      <c r="C1014" s="32">
        <v>53.7</v>
      </c>
      <c r="D1014" s="30">
        <v>0.14000000000000001</v>
      </c>
      <c r="E1014" s="31">
        <v>2.6099999999999999E-3</v>
      </c>
      <c r="F1014" s="30">
        <v>13828658873</v>
      </c>
      <c r="G1014" s="30" t="s">
        <v>5427</v>
      </c>
      <c r="H1014" s="30"/>
      <c r="I1014" s="30">
        <v>1183381</v>
      </c>
      <c r="J1014" s="30" t="s">
        <v>5197</v>
      </c>
      <c r="K1014" s="30" t="s">
        <v>5467</v>
      </c>
    </row>
    <row r="1015" spans="1:11" x14ac:dyDescent="0.35">
      <c r="A1015" s="30" t="s">
        <v>11068</v>
      </c>
      <c r="B1015" s="30" t="s">
        <v>11069</v>
      </c>
      <c r="C1015" s="32">
        <v>20.079999999999998</v>
      </c>
      <c r="D1015" s="30">
        <v>0.24</v>
      </c>
      <c r="E1015" s="31">
        <v>1.21E-2</v>
      </c>
      <c r="F1015" s="30">
        <v>257991153</v>
      </c>
      <c r="G1015" s="30" t="s">
        <v>5427</v>
      </c>
      <c r="H1015" s="30">
        <v>2020</v>
      </c>
      <c r="I1015" s="30">
        <v>98918</v>
      </c>
      <c r="J1015" s="30" t="s">
        <v>5431</v>
      </c>
      <c r="K1015" s="30" t="s">
        <v>5430</v>
      </c>
    </row>
    <row r="1016" spans="1:11" x14ac:dyDescent="0.35">
      <c r="A1016" s="30" t="s">
        <v>11070</v>
      </c>
      <c r="B1016" s="30" t="s">
        <v>11071</v>
      </c>
      <c r="C1016" s="32">
        <v>10.16</v>
      </c>
      <c r="D1016" s="30">
        <v>0</v>
      </c>
      <c r="E1016" s="31">
        <v>0</v>
      </c>
      <c r="F1016" s="30">
        <v>127317551</v>
      </c>
      <c r="G1016" s="30" t="s">
        <v>5427</v>
      </c>
      <c r="H1016" s="30">
        <v>2022</v>
      </c>
      <c r="I1016" s="30">
        <v>33473</v>
      </c>
      <c r="J1016" s="30" t="s">
        <v>5457</v>
      </c>
      <c r="K1016" s="30" t="s">
        <v>5571</v>
      </c>
    </row>
    <row r="1017" spans="1:11" x14ac:dyDescent="0.35">
      <c r="A1017" s="30" t="s">
        <v>11072</v>
      </c>
      <c r="B1017" s="30" t="s">
        <v>11073</v>
      </c>
      <c r="C1017" s="32">
        <v>2.4300000000000002</v>
      </c>
      <c r="D1017" s="30">
        <v>0.13</v>
      </c>
      <c r="E1017" s="31">
        <v>5.6520000000000001E-2</v>
      </c>
      <c r="F1017" s="30">
        <v>62161900</v>
      </c>
      <c r="G1017" s="30" t="s">
        <v>6723</v>
      </c>
      <c r="H1017" s="30">
        <v>2020</v>
      </c>
      <c r="I1017" s="30">
        <v>71838</v>
      </c>
      <c r="J1017" s="30" t="s">
        <v>5431</v>
      </c>
      <c r="K1017" s="30" t="s">
        <v>5430</v>
      </c>
    </row>
    <row r="1018" spans="1:11" x14ac:dyDescent="0.35">
      <c r="A1018" s="30" t="s">
        <v>11074</v>
      </c>
      <c r="B1018" s="30" t="s">
        <v>11075</v>
      </c>
      <c r="C1018" s="32">
        <v>7.23</v>
      </c>
      <c r="D1018" s="30">
        <v>-0.17</v>
      </c>
      <c r="E1018" s="31">
        <v>-2.2970000000000001E-2</v>
      </c>
      <c r="F1018" s="30">
        <v>349925175</v>
      </c>
      <c r="G1018" s="30" t="s">
        <v>5427</v>
      </c>
      <c r="H1018" s="30">
        <v>2021</v>
      </c>
      <c r="I1018" s="30">
        <v>121437</v>
      </c>
      <c r="J1018" s="30" t="s">
        <v>5431</v>
      </c>
      <c r="K1018" s="30" t="s">
        <v>5430</v>
      </c>
    </row>
    <row r="1019" spans="1:11" x14ac:dyDescent="0.35">
      <c r="A1019" s="30" t="s">
        <v>11076</v>
      </c>
      <c r="B1019" s="30" t="s">
        <v>11077</v>
      </c>
      <c r="C1019" s="32">
        <v>3.09</v>
      </c>
      <c r="D1019" s="30">
        <v>0.18</v>
      </c>
      <c r="E1019" s="31">
        <v>6.1859999999999998E-2</v>
      </c>
      <c r="F1019" s="30">
        <v>161989987</v>
      </c>
      <c r="G1019" s="30" t="s">
        <v>5427</v>
      </c>
      <c r="H1019" s="30">
        <v>2014</v>
      </c>
      <c r="I1019" s="30">
        <v>735105</v>
      </c>
      <c r="J1019" s="30" t="s">
        <v>5431</v>
      </c>
      <c r="K1019" s="30" t="s">
        <v>5430</v>
      </c>
    </row>
    <row r="1020" spans="1:11" x14ac:dyDescent="0.35">
      <c r="A1020" s="30" t="s">
        <v>11078</v>
      </c>
      <c r="B1020" s="30" t="s">
        <v>11079</v>
      </c>
      <c r="C1020" s="32">
        <v>39.119999999999997</v>
      </c>
      <c r="D1020" s="30">
        <v>-0.03</v>
      </c>
      <c r="E1020" s="31">
        <v>-7.6999999999999996E-4</v>
      </c>
      <c r="F1020" s="30">
        <v>25804167358</v>
      </c>
      <c r="G1020" s="30" t="s">
        <v>6723</v>
      </c>
      <c r="H1020" s="30">
        <v>2019</v>
      </c>
      <c r="I1020" s="30">
        <v>424893</v>
      </c>
      <c r="J1020" s="30" t="s">
        <v>5431</v>
      </c>
      <c r="K1020" s="30" t="s">
        <v>9124</v>
      </c>
    </row>
    <row r="1021" spans="1:11" x14ac:dyDescent="0.35">
      <c r="A1021" s="30" t="s">
        <v>11080</v>
      </c>
      <c r="B1021" s="30" t="s">
        <v>11081</v>
      </c>
      <c r="C1021" s="32">
        <v>10.26</v>
      </c>
      <c r="D1021" s="30">
        <v>0</v>
      </c>
      <c r="E1021" s="31">
        <v>0</v>
      </c>
      <c r="F1021" s="30">
        <v>152909910</v>
      </c>
      <c r="G1021" s="30" t="s">
        <v>5427</v>
      </c>
      <c r="H1021" s="30">
        <v>2022</v>
      </c>
      <c r="I1021" s="30">
        <v>4353</v>
      </c>
      <c r="J1021" s="30" t="s">
        <v>5457</v>
      </c>
      <c r="K1021" s="30" t="s">
        <v>5571</v>
      </c>
    </row>
    <row r="1022" spans="1:11" x14ac:dyDescent="0.35">
      <c r="A1022" s="30" t="s">
        <v>11082</v>
      </c>
      <c r="B1022" s="30" t="s">
        <v>11083</v>
      </c>
      <c r="C1022" s="32">
        <v>3.27</v>
      </c>
      <c r="D1022" s="30">
        <v>0.01</v>
      </c>
      <c r="E1022" s="31">
        <v>3.0699999999999998E-3</v>
      </c>
      <c r="F1022" s="30">
        <v>116328700</v>
      </c>
      <c r="G1022" s="30" t="s">
        <v>5427</v>
      </c>
      <c r="H1022" s="30"/>
      <c r="I1022" s="30">
        <v>12799</v>
      </c>
      <c r="J1022" s="30" t="s">
        <v>5219</v>
      </c>
      <c r="K1022" s="30" t="s">
        <v>5560</v>
      </c>
    </row>
    <row r="1023" spans="1:11" x14ac:dyDescent="0.35">
      <c r="A1023" s="30" t="s">
        <v>11084</v>
      </c>
      <c r="B1023" s="30" t="s">
        <v>11085</v>
      </c>
      <c r="C1023" s="32">
        <v>4.41</v>
      </c>
      <c r="D1023" s="30">
        <v>0.12</v>
      </c>
      <c r="E1023" s="31">
        <v>2.7969999999999998E-2</v>
      </c>
      <c r="F1023" s="30">
        <v>219686306</v>
      </c>
      <c r="G1023" s="30" t="s">
        <v>5847</v>
      </c>
      <c r="H1023" s="30">
        <v>2019</v>
      </c>
      <c r="I1023" s="30">
        <v>10042</v>
      </c>
      <c r="J1023" s="30" t="s">
        <v>5431</v>
      </c>
      <c r="K1023" s="30" t="s">
        <v>6409</v>
      </c>
    </row>
    <row r="1024" spans="1:11" x14ac:dyDescent="0.35">
      <c r="A1024" s="30" t="s">
        <v>11086</v>
      </c>
      <c r="B1024" s="30" t="s">
        <v>11087</v>
      </c>
      <c r="C1024" s="32">
        <v>5.7500999999999998</v>
      </c>
      <c r="D1024" s="30">
        <v>2.29E-2</v>
      </c>
      <c r="E1024" s="31">
        <v>4.0000000000000001E-3</v>
      </c>
      <c r="F1024" s="30">
        <v>135975156</v>
      </c>
      <c r="G1024" s="30" t="s">
        <v>5427</v>
      </c>
      <c r="H1024" s="30">
        <v>2023</v>
      </c>
      <c r="I1024" s="30">
        <v>13703</v>
      </c>
      <c r="J1024" s="30" t="s">
        <v>5431</v>
      </c>
      <c r="K1024" s="30" t="s">
        <v>5430</v>
      </c>
    </row>
    <row r="1025" spans="1:11" x14ac:dyDescent="0.35">
      <c r="A1025" s="30" t="s">
        <v>11088</v>
      </c>
      <c r="B1025" s="30" t="s">
        <v>11089</v>
      </c>
      <c r="C1025" s="32">
        <v>1.47</v>
      </c>
      <c r="D1025" s="30">
        <v>0</v>
      </c>
      <c r="E1025" s="31">
        <v>0</v>
      </c>
      <c r="F1025" s="30">
        <v>70597226</v>
      </c>
      <c r="G1025" s="30" t="s">
        <v>5427</v>
      </c>
      <c r="H1025" s="30">
        <v>2018</v>
      </c>
      <c r="I1025" s="30">
        <v>100013</v>
      </c>
      <c r="J1025" s="30" t="s">
        <v>5431</v>
      </c>
      <c r="K1025" s="30" t="s">
        <v>5430</v>
      </c>
    </row>
    <row r="1026" spans="1:11" x14ac:dyDescent="0.35">
      <c r="A1026" s="30" t="s">
        <v>11090</v>
      </c>
      <c r="B1026" s="30" t="s">
        <v>11091</v>
      </c>
      <c r="C1026" s="32">
        <v>3.63</v>
      </c>
      <c r="D1026" s="30">
        <v>0.03</v>
      </c>
      <c r="E1026" s="31">
        <v>8.3300000000000006E-3</v>
      </c>
      <c r="F1026" s="30">
        <v>133380735</v>
      </c>
      <c r="G1026" s="30" t="s">
        <v>5427</v>
      </c>
      <c r="H1026" s="30"/>
      <c r="I1026" s="30">
        <v>49419</v>
      </c>
      <c r="J1026" s="30" t="s">
        <v>5457</v>
      </c>
      <c r="K1026" s="30" t="s">
        <v>5644</v>
      </c>
    </row>
    <row r="1027" spans="1:11" x14ac:dyDescent="0.35">
      <c r="A1027" s="30" t="s">
        <v>11092</v>
      </c>
      <c r="B1027" s="30" t="s">
        <v>11093</v>
      </c>
      <c r="C1027" s="32">
        <v>6</v>
      </c>
      <c r="D1027" s="30">
        <v>-0.14000000000000001</v>
      </c>
      <c r="E1027" s="31">
        <v>-2.2800000000000001E-2</v>
      </c>
      <c r="F1027" s="30">
        <v>109301148</v>
      </c>
      <c r="G1027" s="30" t="s">
        <v>6741</v>
      </c>
      <c r="H1027" s="30">
        <v>2021</v>
      </c>
      <c r="I1027" s="30">
        <v>7914</v>
      </c>
      <c r="J1027" s="30" t="s">
        <v>5431</v>
      </c>
      <c r="K1027" s="30" t="s">
        <v>6409</v>
      </c>
    </row>
    <row r="1028" spans="1:11" x14ac:dyDescent="0.35">
      <c r="A1028" s="30" t="s">
        <v>11094</v>
      </c>
      <c r="B1028" s="30" t="s">
        <v>11095</v>
      </c>
      <c r="C1028" s="32">
        <v>29.69</v>
      </c>
      <c r="D1028" s="30">
        <v>0.18</v>
      </c>
      <c r="E1028" s="31">
        <v>6.1000000000000004E-3</v>
      </c>
      <c r="F1028" s="30">
        <v>6964743915</v>
      </c>
      <c r="G1028" s="30" t="s">
        <v>5427</v>
      </c>
      <c r="H1028" s="30"/>
      <c r="I1028" s="30">
        <v>1486059</v>
      </c>
      <c r="J1028" s="30" t="s">
        <v>5442</v>
      </c>
      <c r="K1028" s="30" t="s">
        <v>5853</v>
      </c>
    </row>
    <row r="1029" spans="1:11" x14ac:dyDescent="0.35">
      <c r="A1029" s="30" t="s">
        <v>11096</v>
      </c>
      <c r="B1029" s="30" t="s">
        <v>11097</v>
      </c>
      <c r="C1029" s="32">
        <v>33.19</v>
      </c>
      <c r="D1029" s="30">
        <v>0.21</v>
      </c>
      <c r="E1029" s="31">
        <v>6.3699999999999998E-3</v>
      </c>
      <c r="F1029" s="30">
        <v>396344094</v>
      </c>
      <c r="G1029" s="30" t="s">
        <v>5427</v>
      </c>
      <c r="H1029" s="30">
        <v>2017</v>
      </c>
      <c r="I1029" s="30">
        <v>16914</v>
      </c>
      <c r="J1029" s="30" t="s">
        <v>5435</v>
      </c>
      <c r="K1029" s="30" t="s">
        <v>5579</v>
      </c>
    </row>
    <row r="1030" spans="1:11" x14ac:dyDescent="0.35">
      <c r="A1030" s="30" t="s">
        <v>11098</v>
      </c>
      <c r="B1030" s="30" t="s">
        <v>11099</v>
      </c>
      <c r="C1030" s="32">
        <v>0.7117</v>
      </c>
      <c r="D1030" s="30">
        <v>-1.83E-2</v>
      </c>
      <c r="E1030" s="31">
        <v>-2.5069999999999999E-2</v>
      </c>
      <c r="F1030" s="30">
        <v>155883578</v>
      </c>
      <c r="G1030" s="30" t="s">
        <v>5427</v>
      </c>
      <c r="H1030" s="30"/>
      <c r="I1030" s="30">
        <v>1639361</v>
      </c>
      <c r="J1030" s="30" t="s">
        <v>5442</v>
      </c>
      <c r="K1030" s="30" t="s">
        <v>11100</v>
      </c>
    </row>
    <row r="1031" spans="1:11" x14ac:dyDescent="0.35">
      <c r="A1031" s="30" t="s">
        <v>11101</v>
      </c>
      <c r="B1031" s="30" t="s">
        <v>11102</v>
      </c>
      <c r="C1031" s="32">
        <v>31.49</v>
      </c>
      <c r="D1031" s="30">
        <v>1.1000000000000001</v>
      </c>
      <c r="E1031" s="31">
        <v>3.6200000000000003E-2</v>
      </c>
      <c r="F1031" s="30">
        <v>3063314986</v>
      </c>
      <c r="G1031" s="30" t="s">
        <v>5427</v>
      </c>
      <c r="H1031" s="30">
        <v>2019</v>
      </c>
      <c r="I1031" s="30">
        <v>828410</v>
      </c>
      <c r="J1031" s="30" t="s">
        <v>5442</v>
      </c>
      <c r="K1031" s="30" t="s">
        <v>5716</v>
      </c>
    </row>
    <row r="1032" spans="1:11" x14ac:dyDescent="0.35">
      <c r="A1032" s="30" t="s">
        <v>11103</v>
      </c>
      <c r="B1032" s="30" t="s">
        <v>11104</v>
      </c>
      <c r="C1032" s="32">
        <v>16.5</v>
      </c>
      <c r="D1032" s="30">
        <v>1.02</v>
      </c>
      <c r="E1032" s="31">
        <v>6.5890000000000004E-2</v>
      </c>
      <c r="F1032" s="30">
        <v>146692739</v>
      </c>
      <c r="G1032" s="30" t="s">
        <v>5427</v>
      </c>
      <c r="H1032" s="30">
        <v>2020</v>
      </c>
      <c r="I1032" s="30">
        <v>60848</v>
      </c>
      <c r="J1032" s="30" t="s">
        <v>5435</v>
      </c>
      <c r="K1032" s="30" t="s">
        <v>6066</v>
      </c>
    </row>
    <row r="1033" spans="1:11" x14ac:dyDescent="0.35">
      <c r="A1033" s="30" t="s">
        <v>11105</v>
      </c>
      <c r="B1033" s="30" t="s">
        <v>11106</v>
      </c>
      <c r="C1033" s="32">
        <v>1.21</v>
      </c>
      <c r="D1033" s="30">
        <v>0.01</v>
      </c>
      <c r="E1033" s="31">
        <v>8.3300000000000006E-3</v>
      </c>
      <c r="F1033" s="30">
        <v>431238514</v>
      </c>
      <c r="G1033" s="30" t="s">
        <v>5427</v>
      </c>
      <c r="H1033" s="30">
        <v>2019</v>
      </c>
      <c r="I1033" s="30">
        <v>31735096</v>
      </c>
      <c r="J1033" s="30"/>
      <c r="K1033" s="30"/>
    </row>
    <row r="1034" spans="1:11" x14ac:dyDescent="0.35">
      <c r="A1034" s="30" t="s">
        <v>11107</v>
      </c>
      <c r="B1034" s="30" t="s">
        <v>11108</v>
      </c>
      <c r="C1034" s="32">
        <v>17.03</v>
      </c>
      <c r="D1034" s="30">
        <v>0.26</v>
      </c>
      <c r="E1034" s="31">
        <v>1.55E-2</v>
      </c>
      <c r="F1034" s="30">
        <v>2167412494</v>
      </c>
      <c r="G1034" s="30" t="s">
        <v>5427</v>
      </c>
      <c r="H1034" s="30">
        <v>2013</v>
      </c>
      <c r="I1034" s="30">
        <v>647392</v>
      </c>
      <c r="J1034" s="30" t="s">
        <v>5442</v>
      </c>
      <c r="K1034" s="30" t="s">
        <v>5520</v>
      </c>
    </row>
    <row r="1035" spans="1:11" x14ac:dyDescent="0.35">
      <c r="A1035" s="30" t="s">
        <v>11109</v>
      </c>
      <c r="B1035" s="30" t="s">
        <v>11110</v>
      </c>
      <c r="C1035" s="32">
        <v>16.89</v>
      </c>
      <c r="D1035" s="30">
        <v>-0.1</v>
      </c>
      <c r="E1035" s="31">
        <v>-5.8900000000000003E-3</v>
      </c>
      <c r="F1035" s="30">
        <v>668962382</v>
      </c>
      <c r="G1035" s="30" t="s">
        <v>5427</v>
      </c>
      <c r="H1035" s="30">
        <v>2003</v>
      </c>
      <c r="I1035" s="30">
        <v>384985</v>
      </c>
      <c r="J1035" s="30" t="s">
        <v>5197</v>
      </c>
      <c r="K1035" s="30" t="s">
        <v>5467</v>
      </c>
    </row>
    <row r="1036" spans="1:11" x14ac:dyDescent="0.35">
      <c r="A1036" s="30" t="s">
        <v>11111</v>
      </c>
      <c r="B1036" s="30" t="s">
        <v>11112</v>
      </c>
      <c r="C1036" s="32">
        <v>101.43</v>
      </c>
      <c r="D1036" s="30">
        <v>1.56</v>
      </c>
      <c r="E1036" s="31">
        <v>1.562E-2</v>
      </c>
      <c r="F1036" s="30">
        <v>1312808490000</v>
      </c>
      <c r="G1036" s="30" t="s">
        <v>5427</v>
      </c>
      <c r="H1036" s="30">
        <v>2004</v>
      </c>
      <c r="I1036" s="30">
        <v>26263844</v>
      </c>
      <c r="J1036" s="30" t="s">
        <v>5219</v>
      </c>
      <c r="K1036" s="30" t="s">
        <v>5453</v>
      </c>
    </row>
    <row r="1037" spans="1:11" x14ac:dyDescent="0.35">
      <c r="A1037" s="30" t="s">
        <v>11113</v>
      </c>
      <c r="B1037" s="30" t="s">
        <v>11114</v>
      </c>
      <c r="C1037" s="32">
        <v>100.43</v>
      </c>
      <c r="D1037" s="30">
        <v>1.59</v>
      </c>
      <c r="E1037" s="31">
        <v>1.609E-2</v>
      </c>
      <c r="F1037" s="30">
        <v>1299865490000</v>
      </c>
      <c r="G1037" s="30" t="s">
        <v>5427</v>
      </c>
      <c r="H1037" s="30">
        <v>2004</v>
      </c>
      <c r="I1037" s="30">
        <v>35303435</v>
      </c>
      <c r="J1037" s="30" t="s">
        <v>5219</v>
      </c>
      <c r="K1037" s="30" t="s">
        <v>5453</v>
      </c>
    </row>
    <row r="1038" spans="1:11" x14ac:dyDescent="0.35">
      <c r="A1038" s="30" t="s">
        <v>11115</v>
      </c>
      <c r="B1038" s="30" t="s">
        <v>11116</v>
      </c>
      <c r="C1038" s="32">
        <v>2.83</v>
      </c>
      <c r="D1038" s="30">
        <v>0.19</v>
      </c>
      <c r="E1038" s="31">
        <v>7.1970000000000006E-2</v>
      </c>
      <c r="F1038" s="30">
        <v>267369347</v>
      </c>
      <c r="G1038" s="30" t="s">
        <v>5427</v>
      </c>
      <c r="H1038" s="30">
        <v>2019</v>
      </c>
      <c r="I1038" s="30">
        <v>3269632</v>
      </c>
      <c r="J1038" s="30" t="s">
        <v>5431</v>
      </c>
      <c r="K1038" s="30" t="s">
        <v>5430</v>
      </c>
    </row>
    <row r="1039" spans="1:11" x14ac:dyDescent="0.35">
      <c r="A1039" s="30" t="s">
        <v>11117</v>
      </c>
      <c r="B1039" s="30" t="s">
        <v>11118</v>
      </c>
      <c r="C1039" s="32">
        <v>3.67</v>
      </c>
      <c r="D1039" s="30">
        <v>0</v>
      </c>
      <c r="E1039" s="31">
        <v>0</v>
      </c>
      <c r="F1039" s="30">
        <v>86159034</v>
      </c>
      <c r="G1039" s="30" t="s">
        <v>5515</v>
      </c>
      <c r="H1039" s="30"/>
      <c r="I1039" s="30">
        <v>145391</v>
      </c>
      <c r="J1039" s="30" t="s">
        <v>5442</v>
      </c>
      <c r="K1039" s="30" t="s">
        <v>5926</v>
      </c>
    </row>
    <row r="1040" spans="1:11" x14ac:dyDescent="0.35">
      <c r="A1040" s="30" t="s">
        <v>11119</v>
      </c>
      <c r="B1040" s="30" t="s">
        <v>11120</v>
      </c>
      <c r="C1040" s="32">
        <v>10.24</v>
      </c>
      <c r="D1040" s="30">
        <v>0</v>
      </c>
      <c r="E1040" s="31">
        <v>0</v>
      </c>
      <c r="F1040" s="30">
        <v>384000000</v>
      </c>
      <c r="G1040" s="30" t="s">
        <v>5427</v>
      </c>
      <c r="H1040" s="30">
        <v>2021</v>
      </c>
      <c r="I1040" s="30">
        <v>2947</v>
      </c>
      <c r="J1040" s="30" t="s">
        <v>5435</v>
      </c>
      <c r="K1040" s="30" t="s">
        <v>5482</v>
      </c>
    </row>
    <row r="1041" spans="1:11" x14ac:dyDescent="0.35">
      <c r="A1041" s="30" t="s">
        <v>11121</v>
      </c>
      <c r="B1041" s="30" t="s">
        <v>11122</v>
      </c>
      <c r="C1041" s="32">
        <v>13.79</v>
      </c>
      <c r="D1041" s="30">
        <v>0.06</v>
      </c>
      <c r="E1041" s="31">
        <v>4.3699999999999998E-3</v>
      </c>
      <c r="F1041" s="30">
        <v>320573675</v>
      </c>
      <c r="G1041" s="30" t="s">
        <v>5427</v>
      </c>
      <c r="H1041" s="30">
        <v>2015</v>
      </c>
      <c r="I1041" s="30">
        <v>452358</v>
      </c>
      <c r="J1041" s="30"/>
      <c r="K1041" s="30"/>
    </row>
    <row r="1042" spans="1:11" x14ac:dyDescent="0.35">
      <c r="A1042" s="30" t="s">
        <v>11123</v>
      </c>
      <c r="B1042" s="30" t="s">
        <v>11124</v>
      </c>
      <c r="C1042" s="32">
        <v>34.94</v>
      </c>
      <c r="D1042" s="30">
        <v>0.17</v>
      </c>
      <c r="E1042" s="31">
        <v>4.8900000000000002E-3</v>
      </c>
      <c r="F1042" s="30">
        <v>2071784630</v>
      </c>
      <c r="G1042" s="30" t="s">
        <v>5427</v>
      </c>
      <c r="H1042" s="30"/>
      <c r="I1042" s="30">
        <v>1066310</v>
      </c>
      <c r="J1042" s="30" t="s">
        <v>5457</v>
      </c>
      <c r="K1042" s="30" t="s">
        <v>5438</v>
      </c>
    </row>
    <row r="1043" spans="1:11" x14ac:dyDescent="0.35">
      <c r="A1043" s="30" t="s">
        <v>5058</v>
      </c>
      <c r="B1043" s="30" t="s">
        <v>11125</v>
      </c>
      <c r="C1043" s="32">
        <v>6.3</v>
      </c>
      <c r="D1043" s="30">
        <v>0.15</v>
      </c>
      <c r="E1043" s="31">
        <v>2.4389999999999998E-2</v>
      </c>
      <c r="F1043" s="30">
        <v>982340024</v>
      </c>
      <c r="G1043" s="30" t="s">
        <v>5427</v>
      </c>
      <c r="H1043" s="30">
        <v>2014</v>
      </c>
      <c r="I1043" s="30">
        <v>2140036</v>
      </c>
      <c r="J1043" s="30" t="s">
        <v>5442</v>
      </c>
      <c r="K1043" s="30" t="s">
        <v>5644</v>
      </c>
    </row>
    <row r="1044" spans="1:11" x14ac:dyDescent="0.35">
      <c r="A1044" s="30" t="s">
        <v>11126</v>
      </c>
      <c r="B1044" s="30" t="s">
        <v>11127</v>
      </c>
      <c r="C1044" s="32">
        <v>3.72</v>
      </c>
      <c r="D1044" s="30">
        <v>-7.0000000000000007E-2</v>
      </c>
      <c r="E1044" s="31">
        <v>-1.847E-2</v>
      </c>
      <c r="F1044" s="30">
        <v>14326939702</v>
      </c>
      <c r="G1044" s="30" t="s">
        <v>5752</v>
      </c>
      <c r="H1044" s="30"/>
      <c r="I1044" s="30">
        <v>19123851</v>
      </c>
      <c r="J1044" s="30" t="s">
        <v>5442</v>
      </c>
      <c r="K1044" s="30" t="s">
        <v>5482</v>
      </c>
    </row>
    <row r="1045" spans="1:11" x14ac:dyDescent="0.35">
      <c r="A1045" s="30" t="s">
        <v>11128</v>
      </c>
      <c r="B1045" s="30" t="s">
        <v>11129</v>
      </c>
      <c r="C1045" s="32">
        <v>9.33</v>
      </c>
      <c r="D1045" s="30">
        <v>0.22</v>
      </c>
      <c r="E1045" s="31">
        <v>2.4150000000000001E-2</v>
      </c>
      <c r="F1045" s="30">
        <v>6334236775</v>
      </c>
      <c r="G1045" s="30" t="s">
        <v>5605</v>
      </c>
      <c r="H1045" s="30"/>
      <c r="I1045" s="30">
        <v>801595</v>
      </c>
      <c r="J1045" s="30" t="s">
        <v>5431</v>
      </c>
      <c r="K1045" s="30" t="s">
        <v>5430</v>
      </c>
    </row>
    <row r="1046" spans="1:11" x14ac:dyDescent="0.35">
      <c r="A1046" s="30" t="s">
        <v>11130</v>
      </c>
      <c r="B1046" s="30" t="s">
        <v>11131</v>
      </c>
      <c r="C1046" s="32">
        <v>15.37</v>
      </c>
      <c r="D1046" s="30">
        <v>0.62</v>
      </c>
      <c r="E1046" s="31">
        <v>4.2029999999999998E-2</v>
      </c>
      <c r="F1046" s="30">
        <v>291976097</v>
      </c>
      <c r="G1046" s="30" t="s">
        <v>5752</v>
      </c>
      <c r="H1046" s="30"/>
      <c r="I1046" s="30">
        <v>95591</v>
      </c>
      <c r="J1046" s="30" t="s">
        <v>5442</v>
      </c>
      <c r="K1046" s="30" t="s">
        <v>5910</v>
      </c>
    </row>
    <row r="1047" spans="1:11" x14ac:dyDescent="0.35">
      <c r="A1047" s="30" t="s">
        <v>11132</v>
      </c>
      <c r="B1047" s="30" t="s">
        <v>11133</v>
      </c>
      <c r="C1047" s="32">
        <v>1.0900000000000001</v>
      </c>
      <c r="D1047" s="30">
        <v>0</v>
      </c>
      <c r="E1047" s="31">
        <v>0</v>
      </c>
      <c r="F1047" s="30">
        <v>165191751</v>
      </c>
      <c r="G1047" s="30" t="s">
        <v>5427</v>
      </c>
      <c r="H1047" s="30">
        <v>2021</v>
      </c>
      <c r="I1047" s="30">
        <v>209157</v>
      </c>
      <c r="J1047" s="30" t="s">
        <v>5431</v>
      </c>
      <c r="K1047" s="30" t="s">
        <v>5430</v>
      </c>
    </row>
    <row r="1048" spans="1:11" x14ac:dyDescent="0.35">
      <c r="A1048" s="30" t="s">
        <v>11134</v>
      </c>
      <c r="B1048" s="30" t="s">
        <v>11135</v>
      </c>
      <c r="C1048" s="32">
        <v>3.19</v>
      </c>
      <c r="D1048" s="30">
        <v>6.0100000000000001E-2</v>
      </c>
      <c r="E1048" s="31">
        <v>1.9199999999999998E-2</v>
      </c>
      <c r="F1048" s="30">
        <v>54066816</v>
      </c>
      <c r="G1048" s="30" t="s">
        <v>5427</v>
      </c>
      <c r="H1048" s="30"/>
      <c r="I1048" s="30">
        <v>16369</v>
      </c>
      <c r="J1048" s="30" t="s">
        <v>5435</v>
      </c>
      <c r="K1048" s="30" t="s">
        <v>5434</v>
      </c>
    </row>
    <row r="1049" spans="1:11" x14ac:dyDescent="0.35">
      <c r="A1049" s="30" t="s">
        <v>11136</v>
      </c>
      <c r="B1049" s="30" t="s">
        <v>11137</v>
      </c>
      <c r="C1049" s="32">
        <v>2.25</v>
      </c>
      <c r="D1049" s="30">
        <v>0.1</v>
      </c>
      <c r="E1049" s="31">
        <v>4.6510000000000003E-2</v>
      </c>
      <c r="F1049" s="30">
        <v>130842713</v>
      </c>
      <c r="G1049" s="30" t="s">
        <v>5427</v>
      </c>
      <c r="H1049" s="30">
        <v>2021</v>
      </c>
      <c r="I1049" s="30">
        <v>72346</v>
      </c>
      <c r="J1049" s="30" t="s">
        <v>5431</v>
      </c>
      <c r="K1049" s="30" t="s">
        <v>5685</v>
      </c>
    </row>
    <row r="1050" spans="1:11" x14ac:dyDescent="0.35">
      <c r="A1050" s="30" t="s">
        <v>11138</v>
      </c>
      <c r="B1050" s="30" t="s">
        <v>11139</v>
      </c>
      <c r="C1050" s="32">
        <v>8.73</v>
      </c>
      <c r="D1050" s="30">
        <v>0.47</v>
      </c>
      <c r="E1050" s="31">
        <v>5.6899999999999999E-2</v>
      </c>
      <c r="F1050" s="30">
        <v>265718327</v>
      </c>
      <c r="G1050" s="30" t="s">
        <v>5427</v>
      </c>
      <c r="H1050" s="30">
        <v>2011</v>
      </c>
      <c r="I1050" s="30">
        <v>1339811</v>
      </c>
      <c r="J1050" s="30" t="s">
        <v>5442</v>
      </c>
      <c r="K1050" s="30" t="s">
        <v>5856</v>
      </c>
    </row>
    <row r="1051" spans="1:11" x14ac:dyDescent="0.35">
      <c r="A1051" s="30" t="s">
        <v>11140</v>
      </c>
      <c r="B1051" s="30" t="s">
        <v>11141</v>
      </c>
      <c r="C1051" s="32">
        <v>6.88</v>
      </c>
      <c r="D1051" s="30">
        <v>0.01</v>
      </c>
      <c r="E1051" s="31">
        <v>1.4599999999999999E-3</v>
      </c>
      <c r="F1051" s="30">
        <v>501719349</v>
      </c>
      <c r="G1051" s="30" t="s">
        <v>5771</v>
      </c>
      <c r="H1051" s="30"/>
      <c r="I1051" s="30">
        <v>48437</v>
      </c>
      <c r="J1051" s="30" t="s">
        <v>5219</v>
      </c>
      <c r="K1051" s="30" t="s">
        <v>5560</v>
      </c>
    </row>
    <row r="1052" spans="1:11" x14ac:dyDescent="0.35">
      <c r="A1052" s="30" t="s">
        <v>11142</v>
      </c>
      <c r="B1052" s="30" t="s">
        <v>11143</v>
      </c>
      <c r="C1052" s="32">
        <v>3.25</v>
      </c>
      <c r="D1052" s="30">
        <v>7.0000000000000007E-2</v>
      </c>
      <c r="E1052" s="31">
        <v>2.2009999999999998E-2</v>
      </c>
      <c r="F1052" s="30">
        <v>270940400</v>
      </c>
      <c r="G1052" s="30" t="s">
        <v>5427</v>
      </c>
      <c r="H1052" s="30">
        <v>2018</v>
      </c>
      <c r="I1052" s="30">
        <v>543829</v>
      </c>
      <c r="J1052" s="30" t="s">
        <v>5431</v>
      </c>
      <c r="K1052" s="30" t="s">
        <v>6409</v>
      </c>
    </row>
    <row r="1053" spans="1:11" x14ac:dyDescent="0.35">
      <c r="A1053" s="30" t="s">
        <v>11144</v>
      </c>
      <c r="B1053" s="30" t="s">
        <v>11145</v>
      </c>
      <c r="C1053" s="32">
        <v>2.4700000000000002</v>
      </c>
      <c r="D1053" s="30">
        <v>0.02</v>
      </c>
      <c r="E1053" s="31">
        <v>8.1600000000000006E-3</v>
      </c>
      <c r="F1053" s="30">
        <v>70395163</v>
      </c>
      <c r="G1053" s="30" t="s">
        <v>5427</v>
      </c>
      <c r="H1053" s="30">
        <v>2019</v>
      </c>
      <c r="I1053" s="30">
        <v>166577</v>
      </c>
      <c r="J1053" s="30" t="s">
        <v>5431</v>
      </c>
      <c r="K1053" s="30" t="s">
        <v>5685</v>
      </c>
    </row>
    <row r="1054" spans="1:11" x14ac:dyDescent="0.35">
      <c r="A1054" s="30" t="s">
        <v>11146</v>
      </c>
      <c r="B1054" s="30" t="s">
        <v>11147</v>
      </c>
      <c r="C1054" s="32">
        <v>50.35</v>
      </c>
      <c r="D1054" s="30">
        <v>0.23</v>
      </c>
      <c r="E1054" s="31">
        <v>4.5900000000000003E-3</v>
      </c>
      <c r="F1054" s="30">
        <v>349877115</v>
      </c>
      <c r="G1054" s="30" t="s">
        <v>5583</v>
      </c>
      <c r="H1054" s="30">
        <v>2005</v>
      </c>
      <c r="I1054" s="30">
        <v>37793</v>
      </c>
      <c r="J1054" s="30" t="s">
        <v>5219</v>
      </c>
      <c r="K1054" s="30" t="s">
        <v>6076</v>
      </c>
    </row>
    <row r="1055" spans="1:11" x14ac:dyDescent="0.35">
      <c r="A1055" s="30" t="s">
        <v>11148</v>
      </c>
      <c r="B1055" s="30" t="s">
        <v>11149</v>
      </c>
      <c r="C1055" s="32">
        <v>5.66</v>
      </c>
      <c r="D1055" s="30">
        <v>0.5</v>
      </c>
      <c r="E1055" s="31">
        <v>9.69E-2</v>
      </c>
      <c r="F1055" s="30">
        <v>344858678</v>
      </c>
      <c r="G1055" s="30" t="s">
        <v>5427</v>
      </c>
      <c r="H1055" s="30"/>
      <c r="I1055" s="30">
        <v>2281845</v>
      </c>
      <c r="J1055" s="30" t="s">
        <v>5442</v>
      </c>
      <c r="K1055" s="30" t="s">
        <v>5508</v>
      </c>
    </row>
    <row r="1056" spans="1:11" x14ac:dyDescent="0.35">
      <c r="A1056" s="30" t="s">
        <v>11150</v>
      </c>
      <c r="B1056" s="30" t="s">
        <v>11151</v>
      </c>
      <c r="C1056" s="32">
        <v>57.8</v>
      </c>
      <c r="D1056" s="30">
        <v>-0.64</v>
      </c>
      <c r="E1056" s="31">
        <v>-1.095E-2</v>
      </c>
      <c r="F1056" s="30">
        <v>706968562</v>
      </c>
      <c r="G1056" s="30" t="s">
        <v>5427</v>
      </c>
      <c r="H1056" s="30">
        <v>1989</v>
      </c>
      <c r="I1056" s="30">
        <v>47893</v>
      </c>
      <c r="J1056" s="30" t="s">
        <v>5435</v>
      </c>
      <c r="K1056" s="30" t="s">
        <v>5579</v>
      </c>
    </row>
    <row r="1057" spans="1:11" x14ac:dyDescent="0.35">
      <c r="A1057" s="30" t="s">
        <v>11152</v>
      </c>
      <c r="B1057" s="30" t="s">
        <v>11153</v>
      </c>
      <c r="C1057" s="32">
        <v>10.43</v>
      </c>
      <c r="D1057" s="30">
        <v>-1.4999999999999999E-2</v>
      </c>
      <c r="E1057" s="31">
        <v>-1.4400000000000001E-3</v>
      </c>
      <c r="F1057" s="30">
        <v>138984444</v>
      </c>
      <c r="G1057" s="30" t="s">
        <v>5427</v>
      </c>
      <c r="H1057" s="30">
        <v>2021</v>
      </c>
      <c r="I1057" s="30">
        <v>117766</v>
      </c>
      <c r="J1057" s="30" t="s">
        <v>5457</v>
      </c>
      <c r="K1057" s="30" t="s">
        <v>5571</v>
      </c>
    </row>
    <row r="1058" spans="1:11" x14ac:dyDescent="0.35">
      <c r="A1058" s="30" t="s">
        <v>11154</v>
      </c>
      <c r="B1058" s="30" t="s">
        <v>11155</v>
      </c>
      <c r="C1058" s="32">
        <v>40.92</v>
      </c>
      <c r="D1058" s="30">
        <v>1.87</v>
      </c>
      <c r="E1058" s="31">
        <v>4.7890000000000002E-2</v>
      </c>
      <c r="F1058" s="30">
        <v>928190406</v>
      </c>
      <c r="G1058" s="30" t="s">
        <v>5427</v>
      </c>
      <c r="H1058" s="30">
        <v>2018</v>
      </c>
      <c r="I1058" s="30">
        <v>370409</v>
      </c>
      <c r="J1058" s="30" t="s">
        <v>5435</v>
      </c>
      <c r="K1058" s="30" t="s">
        <v>6066</v>
      </c>
    </row>
    <row r="1059" spans="1:11" x14ac:dyDescent="0.35">
      <c r="A1059" s="30" t="s">
        <v>11156</v>
      </c>
      <c r="B1059" s="30" t="s">
        <v>11157</v>
      </c>
      <c r="C1059" s="32">
        <v>4.7</v>
      </c>
      <c r="D1059" s="30">
        <v>-0.05</v>
      </c>
      <c r="E1059" s="31">
        <v>-1.0529999999999999E-2</v>
      </c>
      <c r="F1059" s="30">
        <v>880373262</v>
      </c>
      <c r="G1059" s="30" t="s">
        <v>5775</v>
      </c>
      <c r="H1059" s="30"/>
      <c r="I1059" s="30">
        <v>1048187</v>
      </c>
      <c r="J1059" s="30" t="s">
        <v>6250</v>
      </c>
      <c r="K1059" s="30" t="s">
        <v>6914</v>
      </c>
    </row>
    <row r="1060" spans="1:11" x14ac:dyDescent="0.35">
      <c r="A1060" s="30" t="s">
        <v>11158</v>
      </c>
      <c r="B1060" s="30" t="s">
        <v>11159</v>
      </c>
      <c r="C1060" s="32">
        <v>10.199999999999999</v>
      </c>
      <c r="D1060" s="30">
        <v>-1.4999999999999999E-2</v>
      </c>
      <c r="E1060" s="31">
        <v>-1.47E-3</v>
      </c>
      <c r="F1060" s="30">
        <v>403218750</v>
      </c>
      <c r="G1060" s="30" t="s">
        <v>5427</v>
      </c>
      <c r="H1060" s="30">
        <v>2022</v>
      </c>
      <c r="I1060" s="30">
        <v>34874</v>
      </c>
      <c r="J1060" s="30" t="s">
        <v>5457</v>
      </c>
      <c r="K1060" s="30" t="s">
        <v>5571</v>
      </c>
    </row>
    <row r="1061" spans="1:11" x14ac:dyDescent="0.35">
      <c r="A1061" s="30" t="s">
        <v>11160</v>
      </c>
      <c r="B1061" s="30" t="s">
        <v>11161</v>
      </c>
      <c r="C1061" s="32">
        <v>11.51</v>
      </c>
      <c r="D1061" s="30">
        <v>0.26</v>
      </c>
      <c r="E1061" s="31">
        <v>2.3109999999999999E-2</v>
      </c>
      <c r="F1061" s="30">
        <v>3255730317</v>
      </c>
      <c r="G1061" s="30" t="s">
        <v>5427</v>
      </c>
      <c r="H1061" s="30"/>
      <c r="I1061" s="30">
        <v>4002449</v>
      </c>
      <c r="J1061" s="30" t="s">
        <v>5442</v>
      </c>
      <c r="K1061" s="30" t="s">
        <v>5625</v>
      </c>
    </row>
    <row r="1062" spans="1:11" x14ac:dyDescent="0.35">
      <c r="A1062" s="30" t="s">
        <v>11162</v>
      </c>
      <c r="B1062" s="30" t="s">
        <v>11163</v>
      </c>
      <c r="C1062" s="32">
        <v>10.36</v>
      </c>
      <c r="D1062" s="30">
        <v>9.9000000000000008E-3</v>
      </c>
      <c r="E1062" s="31">
        <v>9.6000000000000002E-4</v>
      </c>
      <c r="F1062" s="30">
        <v>259000000</v>
      </c>
      <c r="G1062" s="30" t="s">
        <v>5427</v>
      </c>
      <c r="H1062" s="30">
        <v>2021</v>
      </c>
      <c r="I1062" s="30">
        <v>17698</v>
      </c>
      <c r="J1062" s="30" t="s">
        <v>5435</v>
      </c>
      <c r="K1062" s="30" t="s">
        <v>5482</v>
      </c>
    </row>
    <row r="1063" spans="1:11" x14ac:dyDescent="0.35">
      <c r="A1063" s="30" t="s">
        <v>11164</v>
      </c>
      <c r="B1063" s="30" t="s">
        <v>11165</v>
      </c>
      <c r="C1063" s="32">
        <v>10.38</v>
      </c>
      <c r="D1063" s="30">
        <v>0.03</v>
      </c>
      <c r="E1063" s="31">
        <v>2.8999999999999998E-3</v>
      </c>
      <c r="F1063" s="30">
        <v>259500000</v>
      </c>
      <c r="G1063" s="30" t="s">
        <v>5427</v>
      </c>
      <c r="H1063" s="30">
        <v>2021</v>
      </c>
      <c r="I1063" s="30">
        <v>700</v>
      </c>
      <c r="J1063" s="30" t="s">
        <v>5435</v>
      </c>
      <c r="K1063" s="30" t="s">
        <v>5482</v>
      </c>
    </row>
    <row r="1064" spans="1:11" x14ac:dyDescent="0.35">
      <c r="A1064" s="30" t="s">
        <v>11166</v>
      </c>
      <c r="B1064" s="30" t="s">
        <v>11167</v>
      </c>
      <c r="C1064" s="32">
        <v>8.16</v>
      </c>
      <c r="D1064" s="30">
        <v>0.18</v>
      </c>
      <c r="E1064" s="31">
        <v>2.256E-2</v>
      </c>
      <c r="F1064" s="30">
        <v>412994581</v>
      </c>
      <c r="G1064" s="30" t="s">
        <v>5427</v>
      </c>
      <c r="H1064" s="30">
        <v>2017</v>
      </c>
      <c r="I1064" s="30">
        <v>1007302</v>
      </c>
      <c r="J1064" s="30" t="s">
        <v>5431</v>
      </c>
      <c r="K1064" s="30" t="s">
        <v>5430</v>
      </c>
    </row>
    <row r="1065" spans="1:11" x14ac:dyDescent="0.35">
      <c r="A1065" s="30" t="s">
        <v>11168</v>
      </c>
      <c r="B1065" s="30" t="s">
        <v>11169</v>
      </c>
      <c r="C1065" s="32">
        <v>54.15</v>
      </c>
      <c r="D1065" s="30">
        <v>4.74</v>
      </c>
      <c r="E1065" s="31">
        <v>9.5930000000000001E-2</v>
      </c>
      <c r="F1065" s="30">
        <v>8106255000</v>
      </c>
      <c r="G1065" s="30" t="s">
        <v>5427</v>
      </c>
      <c r="H1065" s="30">
        <v>2021</v>
      </c>
      <c r="I1065" s="30">
        <v>1976740</v>
      </c>
      <c r="J1065" s="30" t="s">
        <v>5219</v>
      </c>
      <c r="K1065" s="30" t="s">
        <v>5447</v>
      </c>
    </row>
    <row r="1066" spans="1:11" x14ac:dyDescent="0.35">
      <c r="A1066" s="30" t="s">
        <v>5057</v>
      </c>
      <c r="B1066" s="30" t="s">
        <v>11170</v>
      </c>
      <c r="C1066" s="32">
        <v>8.3800000000000008</v>
      </c>
      <c r="D1066" s="30">
        <v>0.38</v>
      </c>
      <c r="E1066" s="31">
        <v>4.7500000000000001E-2</v>
      </c>
      <c r="F1066" s="30">
        <v>543177832</v>
      </c>
      <c r="G1066" s="30" t="s">
        <v>5799</v>
      </c>
      <c r="H1066" s="30"/>
      <c r="I1066" s="30">
        <v>298821</v>
      </c>
      <c r="J1066" s="30" t="s">
        <v>5442</v>
      </c>
      <c r="K1066" s="30" t="s">
        <v>5853</v>
      </c>
    </row>
    <row r="1067" spans="1:11" x14ac:dyDescent="0.35">
      <c r="A1067" s="30" t="s">
        <v>11171</v>
      </c>
      <c r="B1067" s="30" t="s">
        <v>11172</v>
      </c>
      <c r="C1067" s="32">
        <v>10.39</v>
      </c>
      <c r="D1067" s="30">
        <v>0</v>
      </c>
      <c r="E1067" s="31">
        <v>0</v>
      </c>
      <c r="F1067" s="30">
        <v>259879875</v>
      </c>
      <c r="G1067" s="30" t="s">
        <v>5427</v>
      </c>
      <c r="H1067" s="30">
        <v>2021</v>
      </c>
      <c r="I1067" s="30">
        <v>1</v>
      </c>
      <c r="J1067" s="30" t="s">
        <v>5435</v>
      </c>
      <c r="K1067" s="30" t="s">
        <v>5482</v>
      </c>
    </row>
    <row r="1068" spans="1:11" x14ac:dyDescent="0.35">
      <c r="A1068" s="30" t="s">
        <v>11173</v>
      </c>
      <c r="B1068" s="30" t="s">
        <v>11174</v>
      </c>
      <c r="C1068" s="32">
        <v>10.42</v>
      </c>
      <c r="D1068" s="30">
        <v>0.22</v>
      </c>
      <c r="E1068" s="31">
        <v>2.1569999999999999E-2</v>
      </c>
      <c r="F1068" s="30">
        <v>92471977</v>
      </c>
      <c r="G1068" s="30" t="s">
        <v>5427</v>
      </c>
      <c r="H1068" s="30">
        <v>2021</v>
      </c>
      <c r="I1068" s="30">
        <v>577</v>
      </c>
      <c r="J1068" s="30" t="s">
        <v>5457</v>
      </c>
      <c r="K1068" s="30" t="s">
        <v>5571</v>
      </c>
    </row>
    <row r="1069" spans="1:11" x14ac:dyDescent="0.35">
      <c r="A1069" s="30" t="s">
        <v>11175</v>
      </c>
      <c r="B1069" s="30" t="s">
        <v>11176</v>
      </c>
      <c r="C1069" s="32">
        <v>14.77</v>
      </c>
      <c r="D1069" s="30">
        <v>0.54</v>
      </c>
      <c r="E1069" s="31">
        <v>3.7949999999999998E-2</v>
      </c>
      <c r="F1069" s="30">
        <v>352505044</v>
      </c>
      <c r="G1069" s="30" t="s">
        <v>5427</v>
      </c>
      <c r="H1069" s="30">
        <v>2016</v>
      </c>
      <c r="I1069" s="30">
        <v>43780</v>
      </c>
      <c r="J1069" s="30" t="s">
        <v>5426</v>
      </c>
      <c r="K1069" s="30" t="s">
        <v>5490</v>
      </c>
    </row>
    <row r="1070" spans="1:11" x14ac:dyDescent="0.35">
      <c r="A1070" s="30" t="s">
        <v>11177</v>
      </c>
      <c r="B1070" s="30" t="s">
        <v>11178</v>
      </c>
      <c r="C1070" s="32">
        <v>10.095000000000001</v>
      </c>
      <c r="D1070" s="30">
        <v>5.0000000000000001E-3</v>
      </c>
      <c r="E1070" s="31">
        <v>5.0000000000000001E-4</v>
      </c>
      <c r="F1070" s="30">
        <v>378562500</v>
      </c>
      <c r="G1070" s="30" t="s">
        <v>5427</v>
      </c>
      <c r="H1070" s="30">
        <v>2021</v>
      </c>
      <c r="I1070" s="30">
        <v>4535</v>
      </c>
      <c r="J1070" s="30" t="s">
        <v>5457</v>
      </c>
      <c r="K1070" s="30" t="s">
        <v>5571</v>
      </c>
    </row>
    <row r="1071" spans="1:11" x14ac:dyDescent="0.35">
      <c r="A1071" s="30" t="s">
        <v>11179</v>
      </c>
      <c r="B1071" s="30" t="s">
        <v>11180</v>
      </c>
      <c r="C1071" s="32">
        <v>11.05</v>
      </c>
      <c r="D1071" s="30">
        <v>-1.27</v>
      </c>
      <c r="E1071" s="31">
        <v>-0.10308</v>
      </c>
      <c r="F1071" s="30">
        <v>568095263</v>
      </c>
      <c r="G1071" s="30" t="s">
        <v>5427</v>
      </c>
      <c r="H1071" s="30"/>
      <c r="I1071" s="30">
        <v>4695078</v>
      </c>
      <c r="J1071" s="30" t="s">
        <v>5442</v>
      </c>
      <c r="K1071" s="30" t="s">
        <v>5749</v>
      </c>
    </row>
    <row r="1072" spans="1:11" x14ac:dyDescent="0.35">
      <c r="A1072" s="30" t="s">
        <v>11181</v>
      </c>
      <c r="B1072" s="30" t="s">
        <v>11182</v>
      </c>
      <c r="C1072" s="32">
        <v>23.7</v>
      </c>
      <c r="D1072" s="30">
        <v>0.41</v>
      </c>
      <c r="E1072" s="31">
        <v>1.7600000000000001E-2</v>
      </c>
      <c r="F1072" s="30">
        <v>722509218</v>
      </c>
      <c r="G1072" s="30" t="s">
        <v>5427</v>
      </c>
      <c r="H1072" s="30"/>
      <c r="I1072" s="30">
        <v>208109</v>
      </c>
      <c r="J1072" s="30" t="s">
        <v>5435</v>
      </c>
      <c r="K1072" s="30" t="s">
        <v>5579</v>
      </c>
    </row>
    <row r="1073" spans="1:11" x14ac:dyDescent="0.35">
      <c r="A1073" s="30" t="s">
        <v>11183</v>
      </c>
      <c r="B1073" s="30" t="s">
        <v>11184</v>
      </c>
      <c r="C1073" s="32">
        <v>21.17</v>
      </c>
      <c r="D1073" s="30">
        <v>0.65</v>
      </c>
      <c r="E1073" s="31">
        <v>3.168E-2</v>
      </c>
      <c r="F1073" s="30">
        <v>1890769695</v>
      </c>
      <c r="G1073" s="30" t="s">
        <v>5427</v>
      </c>
      <c r="H1073" s="30"/>
      <c r="I1073" s="30">
        <v>921929</v>
      </c>
      <c r="J1073" s="30" t="s">
        <v>5457</v>
      </c>
      <c r="K1073" s="30" t="s">
        <v>5487</v>
      </c>
    </row>
    <row r="1074" spans="1:11" x14ac:dyDescent="0.35">
      <c r="A1074" s="30" t="s">
        <v>11185</v>
      </c>
      <c r="B1074" s="30" t="s">
        <v>11186</v>
      </c>
      <c r="C1074" s="32">
        <v>52.17</v>
      </c>
      <c r="D1074" s="30">
        <v>0.4</v>
      </c>
      <c r="E1074" s="31">
        <v>7.7299999999999999E-3</v>
      </c>
      <c r="F1074" s="30">
        <v>7054065236</v>
      </c>
      <c r="G1074" s="30" t="s">
        <v>5427</v>
      </c>
      <c r="H1074" s="30"/>
      <c r="I1074" s="30">
        <v>886010</v>
      </c>
      <c r="J1074" s="30" t="s">
        <v>5431</v>
      </c>
      <c r="K1074" s="30" t="s">
        <v>6409</v>
      </c>
    </row>
    <row r="1075" spans="1:11" x14ac:dyDescent="0.35">
      <c r="A1075" s="30" t="s">
        <v>11187</v>
      </c>
      <c r="B1075" s="30" t="s">
        <v>11188</v>
      </c>
      <c r="C1075" s="32">
        <v>60.24</v>
      </c>
      <c r="D1075" s="30">
        <v>1.07</v>
      </c>
      <c r="E1075" s="31">
        <v>1.8079999999999999E-2</v>
      </c>
      <c r="F1075" s="30">
        <v>8319970613</v>
      </c>
      <c r="G1075" s="30" t="s">
        <v>5427</v>
      </c>
      <c r="H1075" s="30"/>
      <c r="I1075" s="30">
        <v>2397143</v>
      </c>
      <c r="J1075" s="30" t="s">
        <v>5442</v>
      </c>
      <c r="K1075" s="30" t="s">
        <v>5641</v>
      </c>
    </row>
    <row r="1076" spans="1:11" x14ac:dyDescent="0.35">
      <c r="A1076" s="30" t="s">
        <v>11189</v>
      </c>
      <c r="B1076" s="30" t="s">
        <v>11190</v>
      </c>
      <c r="C1076" s="32">
        <v>55.95</v>
      </c>
      <c r="D1076" s="30">
        <v>0.26</v>
      </c>
      <c r="E1076" s="31">
        <v>4.6699999999999997E-3</v>
      </c>
      <c r="F1076" s="30">
        <v>704836112</v>
      </c>
      <c r="G1076" s="30" t="s">
        <v>5427</v>
      </c>
      <c r="H1076" s="30">
        <v>2007</v>
      </c>
      <c r="I1076" s="30">
        <v>136159</v>
      </c>
      <c r="J1076" s="30"/>
      <c r="K1076" s="30"/>
    </row>
    <row r="1077" spans="1:11" x14ac:dyDescent="0.35">
      <c r="A1077" s="30" t="s">
        <v>11191</v>
      </c>
      <c r="B1077" s="30" t="s">
        <v>11192</v>
      </c>
      <c r="C1077" s="32">
        <v>15.22</v>
      </c>
      <c r="D1077" s="30">
        <v>0.05</v>
      </c>
      <c r="E1077" s="31">
        <v>3.3E-3</v>
      </c>
      <c r="F1077" s="30">
        <v>21963495508</v>
      </c>
      <c r="G1077" s="30" t="s">
        <v>5427</v>
      </c>
      <c r="H1077" s="30"/>
      <c r="I1077" s="30">
        <v>16821150</v>
      </c>
      <c r="J1077" s="30" t="s">
        <v>5435</v>
      </c>
      <c r="K1077" s="30" t="s">
        <v>5579</v>
      </c>
    </row>
    <row r="1078" spans="1:11" x14ac:dyDescent="0.35">
      <c r="A1078" s="30" t="s">
        <v>11193</v>
      </c>
      <c r="B1078" s="30" t="s">
        <v>11194</v>
      </c>
      <c r="C1078" s="32">
        <v>38.67</v>
      </c>
      <c r="D1078" s="30">
        <v>0.27</v>
      </c>
      <c r="E1078" s="31">
        <v>7.0299999999999998E-3</v>
      </c>
      <c r="F1078" s="30">
        <v>320422868</v>
      </c>
      <c r="G1078" s="30" t="s">
        <v>5427</v>
      </c>
      <c r="H1078" s="30">
        <v>2008</v>
      </c>
      <c r="I1078" s="30">
        <v>22696</v>
      </c>
      <c r="J1078" s="30" t="s">
        <v>5435</v>
      </c>
      <c r="K1078" s="30" t="s">
        <v>6698</v>
      </c>
    </row>
    <row r="1079" spans="1:11" x14ac:dyDescent="0.35">
      <c r="A1079" s="30" t="s">
        <v>11195</v>
      </c>
      <c r="B1079" s="30" t="s">
        <v>11196</v>
      </c>
      <c r="C1079" s="32">
        <v>3.02</v>
      </c>
      <c r="D1079" s="30">
        <v>0.04</v>
      </c>
      <c r="E1079" s="31">
        <v>1.342E-2</v>
      </c>
      <c r="F1079" s="30">
        <v>125806218</v>
      </c>
      <c r="G1079" s="30" t="s">
        <v>5427</v>
      </c>
      <c r="H1079" s="30">
        <v>2000</v>
      </c>
      <c r="I1079" s="30">
        <v>23641</v>
      </c>
      <c r="J1079" s="30" t="s">
        <v>5457</v>
      </c>
      <c r="K1079" s="30" t="s">
        <v>5921</v>
      </c>
    </row>
    <row r="1080" spans="1:11" x14ac:dyDescent="0.35">
      <c r="A1080" s="30" t="s">
        <v>11197</v>
      </c>
      <c r="B1080" s="30" t="s">
        <v>11198</v>
      </c>
      <c r="C1080" s="32">
        <v>15.96</v>
      </c>
      <c r="D1080" s="30">
        <v>0.32</v>
      </c>
      <c r="E1080" s="31">
        <v>2.0459999999999999E-2</v>
      </c>
      <c r="F1080" s="30">
        <v>695443450</v>
      </c>
      <c r="G1080" s="30" t="s">
        <v>5427</v>
      </c>
      <c r="H1080" s="30"/>
      <c r="I1080" s="30">
        <v>205599</v>
      </c>
      <c r="J1080" s="30" t="s">
        <v>5435</v>
      </c>
      <c r="K1080" s="30" t="s">
        <v>5579</v>
      </c>
    </row>
    <row r="1081" spans="1:11" x14ac:dyDescent="0.35">
      <c r="A1081" s="30" t="s">
        <v>11199</v>
      </c>
      <c r="B1081" s="30" t="s">
        <v>11200</v>
      </c>
      <c r="C1081" s="32">
        <v>21.12</v>
      </c>
      <c r="D1081" s="30">
        <v>0.15</v>
      </c>
      <c r="E1081" s="31">
        <v>7.1500000000000001E-3</v>
      </c>
      <c r="F1081" s="30">
        <v>607255461</v>
      </c>
      <c r="G1081" s="30" t="s">
        <v>5427</v>
      </c>
      <c r="H1081" s="30">
        <v>2019</v>
      </c>
      <c r="I1081" s="30">
        <v>50222</v>
      </c>
      <c r="J1081" s="30" t="s">
        <v>5435</v>
      </c>
      <c r="K1081" s="30" t="s">
        <v>5582</v>
      </c>
    </row>
    <row r="1082" spans="1:11" x14ac:dyDescent="0.35">
      <c r="A1082" s="30" t="s">
        <v>11201</v>
      </c>
      <c r="B1082" s="30" t="s">
        <v>11202</v>
      </c>
      <c r="C1082" s="32">
        <v>13.82</v>
      </c>
      <c r="D1082" s="30">
        <v>-0.08</v>
      </c>
      <c r="E1082" s="31">
        <v>-5.7600000000000004E-3</v>
      </c>
      <c r="F1082" s="30">
        <v>756659318</v>
      </c>
      <c r="G1082" s="30" t="s">
        <v>5427</v>
      </c>
      <c r="H1082" s="30">
        <v>2019</v>
      </c>
      <c r="I1082" s="30">
        <v>1005004</v>
      </c>
      <c r="J1082" s="30" t="s">
        <v>5431</v>
      </c>
      <c r="K1082" s="30" t="s">
        <v>6530</v>
      </c>
    </row>
    <row r="1083" spans="1:11" x14ac:dyDescent="0.35">
      <c r="A1083" s="30" t="s">
        <v>11203</v>
      </c>
      <c r="B1083" s="30" t="s">
        <v>11204</v>
      </c>
      <c r="C1083" s="32">
        <v>37.07</v>
      </c>
      <c r="D1083" s="30">
        <v>-0.13</v>
      </c>
      <c r="E1083" s="31">
        <v>-3.49E-3</v>
      </c>
      <c r="F1083" s="30">
        <v>896252474</v>
      </c>
      <c r="G1083" s="30" t="s">
        <v>5427</v>
      </c>
      <c r="H1083" s="30">
        <v>2008</v>
      </c>
      <c r="I1083" s="30">
        <v>102607</v>
      </c>
      <c r="J1083" s="30" t="s">
        <v>5426</v>
      </c>
      <c r="K1083" s="30" t="s">
        <v>5490</v>
      </c>
    </row>
    <row r="1084" spans="1:11" x14ac:dyDescent="0.35">
      <c r="A1084" s="30" t="s">
        <v>11205</v>
      </c>
      <c r="B1084" s="30" t="s">
        <v>11206</v>
      </c>
      <c r="C1084" s="32">
        <v>22.21</v>
      </c>
      <c r="D1084" s="30">
        <v>0.11</v>
      </c>
      <c r="E1084" s="31">
        <v>4.9800000000000001E-3</v>
      </c>
      <c r="F1084" s="30">
        <v>704125895</v>
      </c>
      <c r="G1084" s="30" t="s">
        <v>5427</v>
      </c>
      <c r="H1084" s="30"/>
      <c r="I1084" s="30">
        <v>109390</v>
      </c>
      <c r="J1084" s="30" t="s">
        <v>5219</v>
      </c>
      <c r="K1084" s="30" t="s">
        <v>5812</v>
      </c>
    </row>
    <row r="1085" spans="1:11" x14ac:dyDescent="0.35">
      <c r="A1085" s="30" t="s">
        <v>11207</v>
      </c>
      <c r="B1085" s="30" t="s">
        <v>11208</v>
      </c>
      <c r="C1085" s="32">
        <v>18.75</v>
      </c>
      <c r="D1085" s="30">
        <v>0.73</v>
      </c>
      <c r="E1085" s="31">
        <v>4.0509999999999997E-2</v>
      </c>
      <c r="F1085" s="30">
        <v>3242907525</v>
      </c>
      <c r="G1085" s="30" t="s">
        <v>6387</v>
      </c>
      <c r="H1085" s="30">
        <v>2016</v>
      </c>
      <c r="I1085" s="30">
        <v>448727</v>
      </c>
      <c r="J1085" s="30" t="s">
        <v>5431</v>
      </c>
      <c r="K1085" s="30" t="s">
        <v>5430</v>
      </c>
    </row>
    <row r="1086" spans="1:11" x14ac:dyDescent="0.35">
      <c r="A1086" s="30" t="s">
        <v>11209</v>
      </c>
      <c r="B1086" s="30" t="s">
        <v>11210</v>
      </c>
      <c r="C1086" s="32">
        <v>10.34</v>
      </c>
      <c r="D1086" s="30">
        <v>-0.01</v>
      </c>
      <c r="E1086" s="31">
        <v>-9.7000000000000005E-4</v>
      </c>
      <c r="F1086" s="30">
        <v>401321250</v>
      </c>
      <c r="G1086" s="30" t="s">
        <v>5427</v>
      </c>
      <c r="H1086" s="30">
        <v>2022</v>
      </c>
      <c r="I1086" s="30">
        <v>1203326</v>
      </c>
      <c r="J1086" s="30" t="s">
        <v>5435</v>
      </c>
      <c r="K1086" s="30" t="s">
        <v>5482</v>
      </c>
    </row>
    <row r="1087" spans="1:11" x14ac:dyDescent="0.35">
      <c r="A1087" s="30" t="s">
        <v>11211</v>
      </c>
      <c r="B1087" s="30" t="s">
        <v>11212</v>
      </c>
      <c r="C1087" s="32">
        <v>10.06</v>
      </c>
      <c r="D1087" s="30">
        <v>0</v>
      </c>
      <c r="E1087" s="31">
        <v>0</v>
      </c>
      <c r="F1087" s="30">
        <v>397684375</v>
      </c>
      <c r="G1087" s="30" t="s">
        <v>5427</v>
      </c>
      <c r="H1087" s="30">
        <v>2021</v>
      </c>
      <c r="I1087" s="30">
        <v>6785</v>
      </c>
      <c r="J1087" s="30" t="s">
        <v>5457</v>
      </c>
      <c r="K1087" s="30" t="s">
        <v>5571</v>
      </c>
    </row>
    <row r="1088" spans="1:11" x14ac:dyDescent="0.35">
      <c r="A1088" s="30" t="s">
        <v>11213</v>
      </c>
      <c r="B1088" s="30" t="s">
        <v>11214</v>
      </c>
      <c r="C1088" s="32">
        <v>33.35</v>
      </c>
      <c r="D1088" s="30">
        <v>1.17</v>
      </c>
      <c r="E1088" s="31">
        <v>3.6360000000000003E-2</v>
      </c>
      <c r="F1088" s="30">
        <v>6268739603</v>
      </c>
      <c r="G1088" s="30" t="s">
        <v>5427</v>
      </c>
      <c r="H1088" s="30">
        <v>2021</v>
      </c>
      <c r="I1088" s="30">
        <v>1608974</v>
      </c>
      <c r="J1088" s="30" t="s">
        <v>5219</v>
      </c>
      <c r="K1088" s="30" t="s">
        <v>5447</v>
      </c>
    </row>
    <row r="1089" spans="1:11" x14ac:dyDescent="0.35">
      <c r="A1089" s="30" t="s">
        <v>11215</v>
      </c>
      <c r="B1089" s="30" t="s">
        <v>11216</v>
      </c>
      <c r="C1089" s="32">
        <v>13.82</v>
      </c>
      <c r="D1089" s="30">
        <v>0.35</v>
      </c>
      <c r="E1089" s="31">
        <v>2.598E-2</v>
      </c>
      <c r="F1089" s="30">
        <v>1023896160</v>
      </c>
      <c r="G1089" s="30" t="s">
        <v>5427</v>
      </c>
      <c r="H1089" s="30">
        <v>1983</v>
      </c>
      <c r="I1089" s="30">
        <v>583531</v>
      </c>
      <c r="J1089" s="30" t="s">
        <v>5431</v>
      </c>
      <c r="K1089" s="30" t="s">
        <v>6634</v>
      </c>
    </row>
    <row r="1090" spans="1:11" x14ac:dyDescent="0.35">
      <c r="A1090" s="30" t="s">
        <v>11217</v>
      </c>
      <c r="B1090" s="30" t="s">
        <v>11218</v>
      </c>
      <c r="C1090" s="32">
        <v>10</v>
      </c>
      <c r="D1090" s="30">
        <v>-5.0000000000000001E-3</v>
      </c>
      <c r="E1090" s="31">
        <v>-5.0000000000000001E-4</v>
      </c>
      <c r="F1090" s="30">
        <v>454572720</v>
      </c>
      <c r="G1090" s="30" t="s">
        <v>5427</v>
      </c>
      <c r="H1090" s="30">
        <v>2021</v>
      </c>
      <c r="I1090" s="30">
        <v>2130</v>
      </c>
      <c r="J1090" s="30" t="s">
        <v>5457</v>
      </c>
      <c r="K1090" s="30" t="s">
        <v>5571</v>
      </c>
    </row>
    <row r="1091" spans="1:11" x14ac:dyDescent="0.35">
      <c r="A1091" s="30" t="s">
        <v>11219</v>
      </c>
      <c r="B1091" s="30" t="s">
        <v>11220</v>
      </c>
      <c r="C1091" s="32">
        <v>1.96</v>
      </c>
      <c r="D1091" s="30">
        <v>0.02</v>
      </c>
      <c r="E1091" s="31">
        <v>1.031E-2</v>
      </c>
      <c r="F1091" s="30">
        <v>70308081</v>
      </c>
      <c r="G1091" s="30" t="s">
        <v>5427</v>
      </c>
      <c r="H1091" s="30">
        <v>2021</v>
      </c>
      <c r="I1091" s="30">
        <v>19615</v>
      </c>
      <c r="J1091" s="30" t="s">
        <v>5431</v>
      </c>
      <c r="K1091" s="30" t="s">
        <v>5430</v>
      </c>
    </row>
    <row r="1092" spans="1:11" x14ac:dyDescent="0.35">
      <c r="A1092" s="30" t="s">
        <v>5062</v>
      </c>
      <c r="B1092" s="30" t="s">
        <v>11221</v>
      </c>
      <c r="C1092" s="32">
        <v>10.41</v>
      </c>
      <c r="D1092" s="30">
        <v>0.2</v>
      </c>
      <c r="E1092" s="31">
        <v>1.959E-2</v>
      </c>
      <c r="F1092" s="30">
        <v>471444114</v>
      </c>
      <c r="G1092" s="30" t="s">
        <v>5427</v>
      </c>
      <c r="H1092" s="30"/>
      <c r="I1092" s="30">
        <v>537724</v>
      </c>
      <c r="J1092" s="30" t="s">
        <v>5457</v>
      </c>
      <c r="K1092" s="30" t="s">
        <v>5755</v>
      </c>
    </row>
    <row r="1093" spans="1:11" x14ac:dyDescent="0.35">
      <c r="A1093" s="30" t="s">
        <v>11222</v>
      </c>
      <c r="B1093" s="30" t="s">
        <v>11223</v>
      </c>
      <c r="C1093" s="32">
        <v>9.39</v>
      </c>
      <c r="D1093" s="30">
        <v>-0.11</v>
      </c>
      <c r="E1093" s="31">
        <v>-1.158E-2</v>
      </c>
      <c r="F1093" s="30">
        <v>155469854</v>
      </c>
      <c r="G1093" s="30" t="s">
        <v>5427</v>
      </c>
      <c r="H1093" s="30"/>
      <c r="I1093" s="30">
        <v>253074</v>
      </c>
      <c r="J1093" s="30" t="s">
        <v>5541</v>
      </c>
      <c r="K1093" s="30" t="s">
        <v>5571</v>
      </c>
    </row>
    <row r="1094" spans="1:11" x14ac:dyDescent="0.35">
      <c r="A1094" s="30" t="s">
        <v>11224</v>
      </c>
      <c r="B1094" s="30" t="s">
        <v>11225</v>
      </c>
      <c r="C1094" s="32">
        <v>51.4</v>
      </c>
      <c r="D1094" s="30">
        <v>0.51</v>
      </c>
      <c r="E1094" s="31">
        <v>1.0019999999999999E-2</v>
      </c>
      <c r="F1094" s="30">
        <v>1866343766</v>
      </c>
      <c r="G1094" s="30" t="s">
        <v>5427</v>
      </c>
      <c r="H1094" s="30">
        <v>2006</v>
      </c>
      <c r="I1094" s="30">
        <v>195883</v>
      </c>
      <c r="J1094" s="30" t="s">
        <v>5442</v>
      </c>
      <c r="K1094" s="30" t="s">
        <v>5903</v>
      </c>
    </row>
    <row r="1095" spans="1:11" x14ac:dyDescent="0.35">
      <c r="A1095" s="30" t="s">
        <v>11226</v>
      </c>
      <c r="B1095" s="30" t="s">
        <v>11227</v>
      </c>
      <c r="C1095" s="32">
        <v>0.75</v>
      </c>
      <c r="D1095" s="30">
        <v>2.0199999999999999E-2</v>
      </c>
      <c r="E1095" s="31">
        <v>2.768E-2</v>
      </c>
      <c r="F1095" s="30">
        <v>57172213</v>
      </c>
      <c r="G1095" s="30" t="s">
        <v>5427</v>
      </c>
      <c r="H1095" s="30"/>
      <c r="I1095" s="30">
        <v>256497</v>
      </c>
      <c r="J1095" s="30" t="s">
        <v>5431</v>
      </c>
      <c r="K1095" s="30" t="s">
        <v>5430</v>
      </c>
    </row>
    <row r="1096" spans="1:11" x14ac:dyDescent="0.35">
      <c r="A1096" s="30" t="s">
        <v>11228</v>
      </c>
      <c r="B1096" s="30" t="s">
        <v>11229</v>
      </c>
      <c r="C1096" s="32">
        <v>10.15</v>
      </c>
      <c r="D1096" s="30">
        <v>0</v>
      </c>
      <c r="E1096" s="31">
        <v>0</v>
      </c>
      <c r="F1096" s="30">
        <v>1104672205</v>
      </c>
      <c r="G1096" s="30" t="s">
        <v>5427</v>
      </c>
      <c r="H1096" s="30">
        <v>2021</v>
      </c>
      <c r="I1096" s="30">
        <v>1264732</v>
      </c>
      <c r="J1096" s="30" t="s">
        <v>5435</v>
      </c>
      <c r="K1096" s="30" t="s">
        <v>5482</v>
      </c>
    </row>
    <row r="1097" spans="1:11" x14ac:dyDescent="0.35">
      <c r="A1097" s="30" t="s">
        <v>11230</v>
      </c>
      <c r="B1097" s="30" t="s">
        <v>11231</v>
      </c>
      <c r="C1097" s="32">
        <v>1.63</v>
      </c>
      <c r="D1097" s="30">
        <v>0.03</v>
      </c>
      <c r="E1097" s="31">
        <v>1.8749999999999999E-2</v>
      </c>
      <c r="F1097" s="30">
        <v>69972226</v>
      </c>
      <c r="G1097" s="30" t="s">
        <v>5515</v>
      </c>
      <c r="H1097" s="30"/>
      <c r="I1097" s="30">
        <v>636282</v>
      </c>
      <c r="J1097" s="30" t="s">
        <v>5431</v>
      </c>
      <c r="K1097" s="30" t="s">
        <v>8643</v>
      </c>
    </row>
    <row r="1098" spans="1:11" x14ac:dyDescent="0.35">
      <c r="A1098" s="30" t="s">
        <v>11232</v>
      </c>
      <c r="B1098" s="30" t="s">
        <v>11233</v>
      </c>
      <c r="C1098" s="32">
        <v>17.760000000000002</v>
      </c>
      <c r="D1098" s="30">
        <v>0</v>
      </c>
      <c r="E1098" s="31">
        <v>0</v>
      </c>
      <c r="F1098" s="30">
        <v>55433418</v>
      </c>
      <c r="G1098" s="30" t="s">
        <v>5427</v>
      </c>
      <c r="H1098" s="30">
        <v>2010</v>
      </c>
      <c r="I1098" s="30">
        <v>298</v>
      </c>
      <c r="J1098" s="30" t="s">
        <v>5435</v>
      </c>
      <c r="K1098" s="30" t="s">
        <v>6556</v>
      </c>
    </row>
    <row r="1099" spans="1:11" x14ac:dyDescent="0.35">
      <c r="A1099" s="30" t="s">
        <v>11234</v>
      </c>
      <c r="B1099" s="30" t="s">
        <v>11235</v>
      </c>
      <c r="C1099" s="32">
        <v>6.1</v>
      </c>
      <c r="D1099" s="30">
        <v>1.44</v>
      </c>
      <c r="E1099" s="31">
        <v>0.30901000000000001</v>
      </c>
      <c r="F1099" s="30">
        <v>327608991</v>
      </c>
      <c r="G1099" s="30" t="s">
        <v>5427</v>
      </c>
      <c r="H1099" s="30">
        <v>2017</v>
      </c>
      <c r="I1099" s="30">
        <v>547118</v>
      </c>
      <c r="J1099" s="30" t="s">
        <v>5442</v>
      </c>
      <c r="K1099" s="30" t="s">
        <v>5735</v>
      </c>
    </row>
    <row r="1100" spans="1:11" x14ac:dyDescent="0.35">
      <c r="A1100" s="30" t="s">
        <v>11236</v>
      </c>
      <c r="B1100" s="30" t="s">
        <v>11237</v>
      </c>
      <c r="C1100" s="32">
        <v>29.02</v>
      </c>
      <c r="D1100" s="30">
        <v>0.49</v>
      </c>
      <c r="E1100" s="31">
        <v>1.7170000000000001E-2</v>
      </c>
      <c r="F1100" s="30">
        <v>1018796347</v>
      </c>
      <c r="G1100" s="30" t="s">
        <v>5427</v>
      </c>
      <c r="H1100" s="30"/>
      <c r="I1100" s="30">
        <v>264803</v>
      </c>
      <c r="J1100" s="30" t="s">
        <v>5435</v>
      </c>
      <c r="K1100" s="30" t="s">
        <v>6698</v>
      </c>
    </row>
    <row r="1101" spans="1:11" x14ac:dyDescent="0.35">
      <c r="A1101" s="30" t="s">
        <v>11238</v>
      </c>
      <c r="B1101" s="30" t="s">
        <v>11239</v>
      </c>
      <c r="C1101" s="32">
        <v>2.63</v>
      </c>
      <c r="D1101" s="30">
        <v>-0.01</v>
      </c>
      <c r="E1101" s="31">
        <v>-3.79E-3</v>
      </c>
      <c r="F1101" s="30">
        <v>97131626</v>
      </c>
      <c r="G1101" s="30" t="s">
        <v>5427</v>
      </c>
      <c r="H1101" s="30"/>
      <c r="I1101" s="30">
        <v>35871</v>
      </c>
      <c r="J1101" s="30" t="s">
        <v>5435</v>
      </c>
      <c r="K1101" s="30" t="s">
        <v>6221</v>
      </c>
    </row>
    <row r="1102" spans="1:11" x14ac:dyDescent="0.35">
      <c r="A1102" s="30" t="s">
        <v>11240</v>
      </c>
      <c r="B1102" s="30" t="s">
        <v>11241</v>
      </c>
      <c r="C1102" s="32">
        <v>10.31</v>
      </c>
      <c r="D1102" s="30">
        <v>0</v>
      </c>
      <c r="E1102" s="31">
        <v>0</v>
      </c>
      <c r="F1102" s="30">
        <v>52409916</v>
      </c>
      <c r="G1102" s="30" t="s">
        <v>6387</v>
      </c>
      <c r="H1102" s="30">
        <v>2021</v>
      </c>
      <c r="I1102" s="30">
        <v>2</v>
      </c>
      <c r="J1102" s="30" t="s">
        <v>5435</v>
      </c>
      <c r="K1102" s="30" t="s">
        <v>5482</v>
      </c>
    </row>
    <row r="1103" spans="1:11" x14ac:dyDescent="0.35">
      <c r="A1103" s="30" t="s">
        <v>11242</v>
      </c>
      <c r="B1103" s="30" t="s">
        <v>11243</v>
      </c>
      <c r="C1103" s="32">
        <v>12.01</v>
      </c>
      <c r="D1103" s="30">
        <v>-0.46</v>
      </c>
      <c r="E1103" s="31">
        <v>-3.6889999999999999E-2</v>
      </c>
      <c r="F1103" s="30">
        <v>87889576</v>
      </c>
      <c r="G1103" s="30" t="s">
        <v>5427</v>
      </c>
      <c r="H1103" s="30"/>
      <c r="I1103" s="30">
        <v>49581</v>
      </c>
      <c r="J1103" s="30" t="s">
        <v>5442</v>
      </c>
      <c r="K1103" s="30" t="s">
        <v>5856</v>
      </c>
    </row>
    <row r="1104" spans="1:11" x14ac:dyDescent="0.35">
      <c r="A1104" s="30" t="s">
        <v>11244</v>
      </c>
      <c r="B1104" s="30" t="s">
        <v>11245</v>
      </c>
      <c r="C1104" s="32">
        <v>66.540000000000006</v>
      </c>
      <c r="D1104" s="30">
        <v>0.18</v>
      </c>
      <c r="E1104" s="31">
        <v>2.7100000000000002E-3</v>
      </c>
      <c r="F1104" s="30">
        <v>846896168</v>
      </c>
      <c r="G1104" s="30" t="s">
        <v>5427</v>
      </c>
      <c r="H1104" s="30">
        <v>1996</v>
      </c>
      <c r="I1104" s="30">
        <v>222168</v>
      </c>
      <c r="J1104" s="30" t="s">
        <v>5442</v>
      </c>
      <c r="K1104" s="30" t="s">
        <v>5692</v>
      </c>
    </row>
    <row r="1105" spans="1:11" x14ac:dyDescent="0.35">
      <c r="A1105" s="30" t="s">
        <v>11246</v>
      </c>
      <c r="B1105" s="30" t="s">
        <v>11247</v>
      </c>
      <c r="C1105" s="32">
        <v>298.5</v>
      </c>
      <c r="D1105" s="30">
        <v>6.16</v>
      </c>
      <c r="E1105" s="31">
        <v>2.1069999999999998E-2</v>
      </c>
      <c r="F1105" s="30">
        <v>640998900</v>
      </c>
      <c r="G1105" s="30" t="s">
        <v>5427</v>
      </c>
      <c r="H1105" s="30"/>
      <c r="I1105" s="30">
        <v>6687</v>
      </c>
      <c r="J1105" s="30" t="s">
        <v>5435</v>
      </c>
      <c r="K1105" s="30" t="s">
        <v>5579</v>
      </c>
    </row>
    <row r="1106" spans="1:11" x14ac:dyDescent="0.35">
      <c r="A1106" s="30" t="s">
        <v>11248</v>
      </c>
      <c r="B1106" s="30" t="s">
        <v>11249</v>
      </c>
      <c r="C1106" s="32">
        <v>8.32</v>
      </c>
      <c r="D1106" s="30">
        <v>0.17</v>
      </c>
      <c r="E1106" s="31">
        <v>2.086E-2</v>
      </c>
      <c r="F1106" s="30">
        <v>1450164102</v>
      </c>
      <c r="G1106" s="30" t="s">
        <v>5771</v>
      </c>
      <c r="H1106" s="30">
        <v>2006</v>
      </c>
      <c r="I1106" s="30">
        <v>1089717</v>
      </c>
      <c r="J1106" s="30" t="s">
        <v>5219</v>
      </c>
      <c r="K1106" s="30" t="s">
        <v>5526</v>
      </c>
    </row>
    <row r="1107" spans="1:11" x14ac:dyDescent="0.35">
      <c r="A1107" s="30" t="s">
        <v>11250</v>
      </c>
      <c r="B1107" s="30" t="s">
        <v>11251</v>
      </c>
      <c r="C1107" s="32">
        <v>1.58</v>
      </c>
      <c r="D1107" s="30">
        <v>-0.03</v>
      </c>
      <c r="E1107" s="31">
        <v>-1.8630000000000001E-2</v>
      </c>
      <c r="F1107" s="30">
        <v>111069791</v>
      </c>
      <c r="G1107" s="30" t="s">
        <v>5515</v>
      </c>
      <c r="H1107" s="30"/>
      <c r="I1107" s="30">
        <v>269752</v>
      </c>
      <c r="J1107" s="30"/>
      <c r="K1107" s="30"/>
    </row>
    <row r="1108" spans="1:11" x14ac:dyDescent="0.35">
      <c r="A1108" s="30" t="s">
        <v>11252</v>
      </c>
      <c r="B1108" s="30" t="s">
        <v>11253</v>
      </c>
      <c r="C1108" s="32">
        <v>3.72</v>
      </c>
      <c r="D1108" s="30">
        <v>0.26</v>
      </c>
      <c r="E1108" s="31">
        <v>7.5139999999999998E-2</v>
      </c>
      <c r="F1108" s="30">
        <v>308859525</v>
      </c>
      <c r="G1108" s="30" t="s">
        <v>5515</v>
      </c>
      <c r="H1108" s="30"/>
      <c r="I1108" s="30">
        <v>1334697</v>
      </c>
      <c r="J1108" s="30"/>
      <c r="K1108" s="30"/>
    </row>
    <row r="1109" spans="1:11" x14ac:dyDescent="0.35">
      <c r="A1109" s="30" t="s">
        <v>11254</v>
      </c>
      <c r="B1109" s="30" t="s">
        <v>11255</v>
      </c>
      <c r="C1109" s="32">
        <v>13.76</v>
      </c>
      <c r="D1109" s="30">
        <v>0.59</v>
      </c>
      <c r="E1109" s="31">
        <v>4.48E-2</v>
      </c>
      <c r="F1109" s="30">
        <v>1450805043</v>
      </c>
      <c r="G1109" s="30" t="s">
        <v>5427</v>
      </c>
      <c r="H1109" s="30">
        <v>1995</v>
      </c>
      <c r="I1109" s="30">
        <v>3022036</v>
      </c>
      <c r="J1109" s="30" t="s">
        <v>5219</v>
      </c>
      <c r="K1109" s="30" t="s">
        <v>5780</v>
      </c>
    </row>
    <row r="1110" spans="1:11" x14ac:dyDescent="0.35">
      <c r="A1110" s="30" t="s">
        <v>11256</v>
      </c>
      <c r="B1110" s="30" t="s">
        <v>11257</v>
      </c>
      <c r="C1110" s="32">
        <v>9.6999999999999993</v>
      </c>
      <c r="D1110" s="30">
        <v>0.1</v>
      </c>
      <c r="E1110" s="31">
        <v>1.042E-2</v>
      </c>
      <c r="F1110" s="30">
        <v>1886417918</v>
      </c>
      <c r="G1110" s="30" t="s">
        <v>5427</v>
      </c>
      <c r="H1110" s="30">
        <v>2020</v>
      </c>
      <c r="I1110" s="30">
        <v>879777</v>
      </c>
      <c r="J1110" s="30" t="s">
        <v>5457</v>
      </c>
      <c r="K1110" s="30" t="s">
        <v>5438</v>
      </c>
    </row>
    <row r="1111" spans="1:11" x14ac:dyDescent="0.35">
      <c r="A1111" s="30" t="s">
        <v>11258</v>
      </c>
      <c r="B1111" s="30" t="s">
        <v>11259</v>
      </c>
      <c r="C1111" s="32">
        <v>78.62</v>
      </c>
      <c r="D1111" s="30">
        <v>0.76</v>
      </c>
      <c r="E1111" s="31">
        <v>9.7599999999999996E-3</v>
      </c>
      <c r="F1111" s="30">
        <v>2977031603</v>
      </c>
      <c r="G1111" s="30" t="s">
        <v>5427</v>
      </c>
      <c r="H1111" s="30">
        <v>2017</v>
      </c>
      <c r="I1111" s="30">
        <v>145997</v>
      </c>
      <c r="J1111" s="30" t="s">
        <v>5435</v>
      </c>
      <c r="K1111" s="30" t="s">
        <v>5434</v>
      </c>
    </row>
    <row r="1112" spans="1:11" x14ac:dyDescent="0.35">
      <c r="A1112" s="30" t="s">
        <v>11260</v>
      </c>
      <c r="B1112" s="30" t="s">
        <v>11261</v>
      </c>
      <c r="C1112" s="32">
        <v>2.4900000000000002</v>
      </c>
      <c r="D1112" s="30">
        <v>-0.13</v>
      </c>
      <c r="E1112" s="31">
        <v>-4.9619999999999997E-2</v>
      </c>
      <c r="F1112" s="30">
        <v>372086766</v>
      </c>
      <c r="G1112" s="30" t="s">
        <v>5427</v>
      </c>
      <c r="H1112" s="30">
        <v>2021</v>
      </c>
      <c r="I1112" s="30">
        <v>405484</v>
      </c>
      <c r="J1112" s="30" t="s">
        <v>5219</v>
      </c>
      <c r="K1112" s="30" t="s">
        <v>5560</v>
      </c>
    </row>
    <row r="1113" spans="1:11" x14ac:dyDescent="0.35">
      <c r="A1113" s="30" t="s">
        <v>11262</v>
      </c>
      <c r="B1113" s="30" t="s">
        <v>11263</v>
      </c>
      <c r="C1113" s="32">
        <v>18</v>
      </c>
      <c r="D1113" s="30">
        <v>0.9</v>
      </c>
      <c r="E1113" s="31">
        <v>5.2630000000000003E-2</v>
      </c>
      <c r="F1113" s="30">
        <v>600214680</v>
      </c>
      <c r="G1113" s="30" t="s">
        <v>5427</v>
      </c>
      <c r="H1113" s="30">
        <v>2022</v>
      </c>
      <c r="I1113" s="30">
        <v>47783</v>
      </c>
      <c r="J1113" s="30" t="s">
        <v>5431</v>
      </c>
      <c r="K1113" s="30" t="s">
        <v>5430</v>
      </c>
    </row>
    <row r="1114" spans="1:11" x14ac:dyDescent="0.35">
      <c r="A1114" s="30" t="s">
        <v>11264</v>
      </c>
      <c r="B1114" s="30" t="s">
        <v>11265</v>
      </c>
      <c r="C1114" s="32">
        <v>21.86</v>
      </c>
      <c r="D1114" s="30">
        <v>0.03</v>
      </c>
      <c r="E1114" s="31">
        <v>1.3699999999999999E-3</v>
      </c>
      <c r="F1114" s="30">
        <v>97954135</v>
      </c>
      <c r="G1114" s="30" t="s">
        <v>5427</v>
      </c>
      <c r="H1114" s="30"/>
      <c r="I1114" s="30">
        <v>526</v>
      </c>
      <c r="J1114" s="30" t="s">
        <v>5435</v>
      </c>
      <c r="K1114" s="30" t="s">
        <v>6556</v>
      </c>
    </row>
    <row r="1115" spans="1:11" x14ac:dyDescent="0.35">
      <c r="A1115" s="30" t="s">
        <v>11266</v>
      </c>
      <c r="B1115" s="30" t="s">
        <v>11267</v>
      </c>
      <c r="C1115" s="32">
        <v>1.81</v>
      </c>
      <c r="D1115" s="30">
        <v>0.01</v>
      </c>
      <c r="E1115" s="31">
        <v>5.5599999999999998E-3</v>
      </c>
      <c r="F1115" s="30">
        <v>250501660</v>
      </c>
      <c r="G1115" s="30" t="s">
        <v>5427</v>
      </c>
      <c r="H1115" s="30">
        <v>2021</v>
      </c>
      <c r="I1115" s="30">
        <v>27240</v>
      </c>
      <c r="J1115" s="30" t="s">
        <v>5435</v>
      </c>
      <c r="K1115" s="30" t="s">
        <v>5598</v>
      </c>
    </row>
    <row r="1116" spans="1:11" x14ac:dyDescent="0.35">
      <c r="A1116" s="30" t="s">
        <v>11268</v>
      </c>
      <c r="B1116" s="30" t="s">
        <v>11269</v>
      </c>
      <c r="C1116" s="32">
        <v>28.97</v>
      </c>
      <c r="D1116" s="30">
        <v>1.4</v>
      </c>
      <c r="E1116" s="31">
        <v>5.0779999999999999E-2</v>
      </c>
      <c r="F1116" s="30">
        <v>542619109</v>
      </c>
      <c r="G1116" s="30" t="s">
        <v>5427</v>
      </c>
      <c r="H1116" s="30">
        <v>2012</v>
      </c>
      <c r="I1116" s="30">
        <v>361666</v>
      </c>
      <c r="J1116" s="30" t="s">
        <v>5435</v>
      </c>
      <c r="K1116" s="30" t="s">
        <v>6698</v>
      </c>
    </row>
    <row r="1117" spans="1:11" x14ac:dyDescent="0.35">
      <c r="A1117" s="30" t="s">
        <v>11270</v>
      </c>
      <c r="B1117" s="30" t="s">
        <v>11271</v>
      </c>
      <c r="C1117" s="32">
        <v>9.75</v>
      </c>
      <c r="D1117" s="30">
        <v>0.04</v>
      </c>
      <c r="E1117" s="31">
        <v>4.1200000000000004E-3</v>
      </c>
      <c r="F1117" s="30">
        <v>73843634</v>
      </c>
      <c r="G1117" s="30" t="s">
        <v>5427</v>
      </c>
      <c r="H1117" s="30"/>
      <c r="I1117" s="30">
        <v>14507</v>
      </c>
      <c r="J1117" s="30" t="s">
        <v>5435</v>
      </c>
      <c r="K1117" s="30" t="s">
        <v>5434</v>
      </c>
    </row>
    <row r="1118" spans="1:11" x14ac:dyDescent="0.35">
      <c r="A1118" s="30" t="s">
        <v>11272</v>
      </c>
      <c r="B1118" s="30" t="s">
        <v>11273</v>
      </c>
      <c r="C1118" s="32">
        <v>8.9</v>
      </c>
      <c r="D1118" s="30">
        <v>0.06</v>
      </c>
      <c r="E1118" s="31">
        <v>6.79E-3</v>
      </c>
      <c r="F1118" s="30">
        <v>293545185</v>
      </c>
      <c r="G1118" s="30" t="s">
        <v>5427</v>
      </c>
      <c r="H1118" s="30"/>
      <c r="I1118" s="30">
        <v>172336</v>
      </c>
      <c r="J1118" s="30" t="s">
        <v>5464</v>
      </c>
      <c r="K1118" s="30" t="s">
        <v>6756</v>
      </c>
    </row>
    <row r="1119" spans="1:11" x14ac:dyDescent="0.35">
      <c r="A1119" s="30" t="s">
        <v>11274</v>
      </c>
      <c r="B1119" s="30" t="s">
        <v>11275</v>
      </c>
      <c r="C1119" s="32">
        <v>3.33</v>
      </c>
      <c r="D1119" s="30">
        <v>0.03</v>
      </c>
      <c r="E1119" s="31">
        <v>9.0900000000000009E-3</v>
      </c>
      <c r="F1119" s="30">
        <v>308600734</v>
      </c>
      <c r="G1119" s="30" t="s">
        <v>5427</v>
      </c>
      <c r="H1119" s="30">
        <v>2021</v>
      </c>
      <c r="I1119" s="30">
        <v>698927</v>
      </c>
      <c r="J1119" s="30" t="s">
        <v>5442</v>
      </c>
      <c r="K1119" s="30" t="s">
        <v>6167</v>
      </c>
    </row>
    <row r="1120" spans="1:11" x14ac:dyDescent="0.35">
      <c r="A1120" s="30" t="s">
        <v>11276</v>
      </c>
      <c r="B1120" s="30" t="s">
        <v>11277</v>
      </c>
      <c r="C1120" s="32">
        <v>19.55</v>
      </c>
      <c r="D1120" s="30">
        <v>0</v>
      </c>
      <c r="E1120" s="31">
        <v>0</v>
      </c>
      <c r="F1120" s="30">
        <v>142434418</v>
      </c>
      <c r="G1120" s="30" t="s">
        <v>5427</v>
      </c>
      <c r="H1120" s="30">
        <v>2022</v>
      </c>
      <c r="I1120" s="30">
        <v>979</v>
      </c>
      <c r="J1120" s="30" t="s">
        <v>5435</v>
      </c>
      <c r="K1120" s="30" t="s">
        <v>5582</v>
      </c>
    </row>
    <row r="1121" spans="1:11" x14ac:dyDescent="0.35">
      <c r="A1121" s="30" t="s">
        <v>11278</v>
      </c>
      <c r="B1121" s="30" t="s">
        <v>11279</v>
      </c>
      <c r="C1121" s="32">
        <v>20.77</v>
      </c>
      <c r="D1121" s="30">
        <v>-0.28999999999999998</v>
      </c>
      <c r="E1121" s="31">
        <v>-1.3769999999999999E-2</v>
      </c>
      <c r="F1121" s="30">
        <v>235362254</v>
      </c>
      <c r="G1121" s="30" t="s">
        <v>5427</v>
      </c>
      <c r="H1121" s="30"/>
      <c r="I1121" s="30">
        <v>48044</v>
      </c>
      <c r="J1121" s="30" t="s">
        <v>5442</v>
      </c>
      <c r="K1121" s="30" t="s">
        <v>5894</v>
      </c>
    </row>
    <row r="1122" spans="1:11" x14ac:dyDescent="0.35">
      <c r="A1122" s="30" t="s">
        <v>11280</v>
      </c>
      <c r="B1122" s="30" t="s">
        <v>11281</v>
      </c>
      <c r="C1122" s="32">
        <v>12.95</v>
      </c>
      <c r="D1122" s="30">
        <v>-0.57999999999999996</v>
      </c>
      <c r="E1122" s="31">
        <v>-4.2869999999999998E-2</v>
      </c>
      <c r="F1122" s="30">
        <v>71404578</v>
      </c>
      <c r="G1122" s="30" t="s">
        <v>5427</v>
      </c>
      <c r="H1122" s="30"/>
      <c r="I1122" s="30">
        <v>45142</v>
      </c>
      <c r="J1122" s="30" t="s">
        <v>5442</v>
      </c>
      <c r="K1122" s="30" t="s">
        <v>5450</v>
      </c>
    </row>
    <row r="1123" spans="1:11" x14ac:dyDescent="0.35">
      <c r="A1123" s="30" t="s">
        <v>11282</v>
      </c>
      <c r="B1123" s="30" t="s">
        <v>11283</v>
      </c>
      <c r="C1123" s="32">
        <v>8.65</v>
      </c>
      <c r="D1123" s="30">
        <v>-0.35</v>
      </c>
      <c r="E1123" s="31">
        <v>-3.8890000000000001E-2</v>
      </c>
      <c r="F1123" s="30">
        <v>439524103</v>
      </c>
      <c r="G1123" s="30" t="s">
        <v>5427</v>
      </c>
      <c r="H1123" s="30">
        <v>2021</v>
      </c>
      <c r="I1123" s="30">
        <v>524451</v>
      </c>
      <c r="J1123" s="30" t="s">
        <v>5219</v>
      </c>
      <c r="K1123" s="30" t="s">
        <v>10991</v>
      </c>
    </row>
    <row r="1124" spans="1:11" x14ac:dyDescent="0.35">
      <c r="A1124" s="30" t="s">
        <v>11284</v>
      </c>
      <c r="B1124" s="30" t="s">
        <v>11285</v>
      </c>
      <c r="C1124" s="32">
        <v>82.78</v>
      </c>
      <c r="D1124" s="30">
        <v>1.41</v>
      </c>
      <c r="E1124" s="31">
        <v>1.7330000000000002E-2</v>
      </c>
      <c r="F1124" s="30">
        <v>20409493932</v>
      </c>
      <c r="G1124" s="30" t="s">
        <v>5427</v>
      </c>
      <c r="H1124" s="30">
        <v>1990</v>
      </c>
      <c r="I1124" s="30">
        <v>1945999</v>
      </c>
      <c r="J1124" s="30" t="s">
        <v>5431</v>
      </c>
      <c r="K1124" s="30" t="s">
        <v>11286</v>
      </c>
    </row>
    <row r="1125" spans="1:11" x14ac:dyDescent="0.35">
      <c r="A1125" s="30" t="s">
        <v>11287</v>
      </c>
      <c r="B1125" s="30" t="s">
        <v>11288</v>
      </c>
      <c r="C1125" s="32">
        <v>206.72</v>
      </c>
      <c r="D1125" s="30">
        <v>-1.76</v>
      </c>
      <c r="E1125" s="31">
        <v>-8.4399999999999996E-3</v>
      </c>
      <c r="F1125" s="30">
        <v>138982451799</v>
      </c>
      <c r="G1125" s="30" t="s">
        <v>5427</v>
      </c>
      <c r="H1125" s="30"/>
      <c r="I1125" s="30">
        <v>5390779</v>
      </c>
      <c r="J1125" s="30" t="s">
        <v>5457</v>
      </c>
      <c r="K1125" s="30" t="s">
        <v>5571</v>
      </c>
    </row>
    <row r="1126" spans="1:11" x14ac:dyDescent="0.35">
      <c r="A1126" s="30" t="s">
        <v>11289</v>
      </c>
      <c r="B1126" s="30" t="s">
        <v>11290</v>
      </c>
      <c r="C1126" s="32">
        <v>13.71</v>
      </c>
      <c r="D1126" s="30">
        <v>7.0000000000000007E-2</v>
      </c>
      <c r="E1126" s="31">
        <v>5.13E-3</v>
      </c>
      <c r="F1126" s="30">
        <v>671261507</v>
      </c>
      <c r="G1126" s="30" t="s">
        <v>5427</v>
      </c>
      <c r="H1126" s="30">
        <v>2016</v>
      </c>
      <c r="I1126" s="30">
        <v>149095</v>
      </c>
      <c r="J1126" s="30" t="s">
        <v>5435</v>
      </c>
      <c r="K1126" s="30" t="s">
        <v>5579</v>
      </c>
    </row>
    <row r="1127" spans="1:11" x14ac:dyDescent="0.35">
      <c r="A1127" s="30" t="s">
        <v>11291</v>
      </c>
      <c r="B1127" s="30" t="s">
        <v>11292</v>
      </c>
      <c r="C1127" s="32">
        <v>10.78</v>
      </c>
      <c r="D1127" s="30">
        <v>0.37</v>
      </c>
      <c r="E1127" s="31">
        <v>3.5540000000000002E-2</v>
      </c>
      <c r="F1127" s="30">
        <v>9559278201</v>
      </c>
      <c r="G1127" s="30" t="s">
        <v>5427</v>
      </c>
      <c r="H1127" s="30">
        <v>2021</v>
      </c>
      <c r="I1127" s="30">
        <v>10437316</v>
      </c>
      <c r="J1127" s="30" t="s">
        <v>5219</v>
      </c>
      <c r="K1127" s="30" t="s">
        <v>5560</v>
      </c>
    </row>
    <row r="1128" spans="1:11" x14ac:dyDescent="0.35">
      <c r="A1128" s="30" t="s">
        <v>11293</v>
      </c>
      <c r="B1128" s="30" t="s">
        <v>11294</v>
      </c>
      <c r="C1128" s="32">
        <v>0.98089999999999999</v>
      </c>
      <c r="D1128" s="30">
        <v>-1.9099999999999999E-2</v>
      </c>
      <c r="E1128" s="31">
        <v>-1.9099999999999999E-2</v>
      </c>
      <c r="F1128" s="30">
        <v>53671567</v>
      </c>
      <c r="G1128" s="30" t="s">
        <v>5427</v>
      </c>
      <c r="H1128" s="30">
        <v>2019</v>
      </c>
      <c r="I1128" s="30">
        <v>185191</v>
      </c>
      <c r="J1128" s="30" t="s">
        <v>5431</v>
      </c>
      <c r="K1128" s="30" t="s">
        <v>5430</v>
      </c>
    </row>
    <row r="1129" spans="1:11" x14ac:dyDescent="0.35">
      <c r="A1129" s="30" t="s">
        <v>11295</v>
      </c>
      <c r="B1129" s="30" t="s">
        <v>11296</v>
      </c>
      <c r="C1129" s="32">
        <v>13.04</v>
      </c>
      <c r="D1129" s="30">
        <v>0.28999999999999998</v>
      </c>
      <c r="E1129" s="31">
        <v>2.2749999999999999E-2</v>
      </c>
      <c r="F1129" s="30">
        <v>1558217525</v>
      </c>
      <c r="G1129" s="30" t="s">
        <v>5427</v>
      </c>
      <c r="H1129" s="30"/>
      <c r="I1129" s="30">
        <v>1046635</v>
      </c>
      <c r="J1129" s="30" t="s">
        <v>5435</v>
      </c>
      <c r="K1129" s="30" t="s">
        <v>5579</v>
      </c>
    </row>
    <row r="1130" spans="1:11" x14ac:dyDescent="0.35">
      <c r="A1130" s="30" t="s">
        <v>11297</v>
      </c>
      <c r="B1130" s="30" t="s">
        <v>11298</v>
      </c>
      <c r="C1130" s="32">
        <v>2.71</v>
      </c>
      <c r="D1130" s="30">
        <v>-0.08</v>
      </c>
      <c r="E1130" s="31">
        <v>-2.8670000000000001E-2</v>
      </c>
      <c r="F1130" s="30">
        <v>94965386</v>
      </c>
      <c r="G1130" s="30" t="s">
        <v>5427</v>
      </c>
      <c r="H1130" s="30">
        <v>2022</v>
      </c>
      <c r="I1130" s="30">
        <v>7982</v>
      </c>
      <c r="J1130" s="30" t="s">
        <v>5682</v>
      </c>
      <c r="K1130" s="30" t="s">
        <v>5746</v>
      </c>
    </row>
    <row r="1131" spans="1:11" x14ac:dyDescent="0.35">
      <c r="A1131" s="30" t="s">
        <v>11299</v>
      </c>
      <c r="B1131" s="30" t="s">
        <v>11300</v>
      </c>
      <c r="C1131" s="32">
        <v>3.98</v>
      </c>
      <c r="D1131" s="30">
        <v>-0.02</v>
      </c>
      <c r="E1131" s="31">
        <v>-5.0000000000000001E-3</v>
      </c>
      <c r="F1131" s="30">
        <v>136415778</v>
      </c>
      <c r="G1131" s="30" t="s">
        <v>5427</v>
      </c>
      <c r="H1131" s="30">
        <v>2021</v>
      </c>
      <c r="I1131" s="30">
        <v>113501</v>
      </c>
      <c r="J1131" s="30" t="s">
        <v>5431</v>
      </c>
      <c r="K1131" s="30" t="s">
        <v>5430</v>
      </c>
    </row>
    <row r="1132" spans="1:11" x14ac:dyDescent="0.35">
      <c r="A1132" s="30" t="s">
        <v>11301</v>
      </c>
      <c r="B1132" s="30" t="s">
        <v>11302</v>
      </c>
      <c r="C1132" s="32">
        <v>27.84</v>
      </c>
      <c r="D1132" s="30">
        <v>-0.12</v>
      </c>
      <c r="E1132" s="31">
        <v>-4.2900000000000004E-3</v>
      </c>
      <c r="F1132" s="30">
        <v>3150453104</v>
      </c>
      <c r="G1132" s="30" t="s">
        <v>5427</v>
      </c>
      <c r="H1132" s="30"/>
      <c r="I1132" s="30">
        <v>225435</v>
      </c>
      <c r="J1132" s="30" t="s">
        <v>5464</v>
      </c>
      <c r="K1132" s="30" t="s">
        <v>5463</v>
      </c>
    </row>
    <row r="1133" spans="1:11" x14ac:dyDescent="0.35">
      <c r="A1133" s="30" t="s">
        <v>11303</v>
      </c>
      <c r="B1133" s="30" t="s">
        <v>11304</v>
      </c>
      <c r="C1133" s="32">
        <v>10.095000000000001</v>
      </c>
      <c r="D1133" s="30">
        <v>-2.5000000000000001E-2</v>
      </c>
      <c r="E1133" s="31">
        <v>-2.47E-3</v>
      </c>
      <c r="F1133" s="30">
        <v>252375000</v>
      </c>
      <c r="G1133" s="30" t="s">
        <v>5427</v>
      </c>
      <c r="H1133" s="30">
        <v>2021</v>
      </c>
      <c r="I1133" s="30">
        <v>200</v>
      </c>
      <c r="J1133" s="30" t="s">
        <v>5457</v>
      </c>
      <c r="K1133" s="30" t="s">
        <v>5571</v>
      </c>
    </row>
    <row r="1134" spans="1:11" x14ac:dyDescent="0.35">
      <c r="A1134" s="30" t="s">
        <v>11305</v>
      </c>
      <c r="B1134" s="30" t="s">
        <v>11306</v>
      </c>
      <c r="C1134" s="32">
        <v>21.41</v>
      </c>
      <c r="D1134" s="30">
        <v>-0.11</v>
      </c>
      <c r="E1134" s="31">
        <v>-5.11E-3</v>
      </c>
      <c r="F1134" s="30">
        <v>297120551</v>
      </c>
      <c r="G1134" s="30" t="s">
        <v>5427</v>
      </c>
      <c r="H1134" s="30"/>
      <c r="I1134" s="30">
        <v>8940</v>
      </c>
      <c r="J1134" s="30" t="s">
        <v>5442</v>
      </c>
      <c r="K1134" s="30" t="s">
        <v>5746</v>
      </c>
    </row>
    <row r="1135" spans="1:11" x14ac:dyDescent="0.35">
      <c r="A1135" s="30" t="s">
        <v>11307</v>
      </c>
      <c r="B1135" s="30" t="s">
        <v>11308</v>
      </c>
      <c r="C1135" s="32">
        <v>58.99</v>
      </c>
      <c r="D1135" s="30">
        <v>-1.86</v>
      </c>
      <c r="E1135" s="31">
        <v>-3.057E-2</v>
      </c>
      <c r="F1135" s="30">
        <v>4992903513</v>
      </c>
      <c r="G1135" s="30" t="s">
        <v>5427</v>
      </c>
      <c r="H1135" s="30">
        <v>2014</v>
      </c>
      <c r="I1135" s="30">
        <v>1148833</v>
      </c>
      <c r="J1135" s="30" t="s">
        <v>5431</v>
      </c>
      <c r="K1135" s="30" t="s">
        <v>6530</v>
      </c>
    </row>
    <row r="1136" spans="1:11" x14ac:dyDescent="0.35">
      <c r="A1136" s="30" t="s">
        <v>11309</v>
      </c>
      <c r="B1136" s="30" t="s">
        <v>11310</v>
      </c>
      <c r="C1136" s="32">
        <v>48.21</v>
      </c>
      <c r="D1136" s="30">
        <v>0.04</v>
      </c>
      <c r="E1136" s="31">
        <v>8.3000000000000001E-4</v>
      </c>
      <c r="F1136" s="30">
        <v>2859699278</v>
      </c>
      <c r="G1136" s="30" t="s">
        <v>5427</v>
      </c>
      <c r="H1136" s="30">
        <v>2020</v>
      </c>
      <c r="I1136" s="30">
        <v>364329</v>
      </c>
      <c r="J1136" s="30" t="s">
        <v>5431</v>
      </c>
      <c r="K1136" s="30" t="s">
        <v>5430</v>
      </c>
    </row>
    <row r="1137" spans="1:11" x14ac:dyDescent="0.35">
      <c r="A1137" s="30" t="s">
        <v>11311</v>
      </c>
      <c r="B1137" s="30" t="s">
        <v>11312</v>
      </c>
      <c r="C1137" s="32">
        <v>15.17</v>
      </c>
      <c r="D1137" s="30">
        <v>0.15</v>
      </c>
      <c r="E1137" s="31">
        <v>9.9900000000000006E-3</v>
      </c>
      <c r="F1137" s="30">
        <v>451915514</v>
      </c>
      <c r="G1137" s="30" t="s">
        <v>5427</v>
      </c>
      <c r="H1137" s="30"/>
      <c r="I1137" s="30">
        <v>143852</v>
      </c>
      <c r="J1137" s="30" t="s">
        <v>5431</v>
      </c>
      <c r="K1137" s="30" t="s">
        <v>5430</v>
      </c>
    </row>
    <row r="1138" spans="1:11" x14ac:dyDescent="0.35">
      <c r="A1138" s="30" t="s">
        <v>11313</v>
      </c>
      <c r="B1138" s="30" t="s">
        <v>11314</v>
      </c>
      <c r="C1138" s="32">
        <v>2.7</v>
      </c>
      <c r="D1138" s="30">
        <v>-0.01</v>
      </c>
      <c r="E1138" s="31">
        <v>-3.6900000000000001E-3</v>
      </c>
      <c r="F1138" s="30">
        <v>320997929</v>
      </c>
      <c r="G1138" s="30" t="s">
        <v>5427</v>
      </c>
      <c r="H1138" s="30"/>
      <c r="I1138" s="30">
        <v>2000117</v>
      </c>
      <c r="J1138" s="30" t="s">
        <v>5431</v>
      </c>
      <c r="K1138" s="30" t="s">
        <v>5685</v>
      </c>
    </row>
    <row r="1139" spans="1:11" x14ac:dyDescent="0.35">
      <c r="A1139" s="30" t="s">
        <v>11315</v>
      </c>
      <c r="B1139" s="30" t="s">
        <v>11316</v>
      </c>
      <c r="C1139" s="32">
        <v>12.52</v>
      </c>
      <c r="D1139" s="30">
        <v>0.18</v>
      </c>
      <c r="E1139" s="31">
        <v>1.4590000000000001E-2</v>
      </c>
      <c r="F1139" s="30">
        <v>330546480</v>
      </c>
      <c r="G1139" s="30" t="s">
        <v>5427</v>
      </c>
      <c r="H1139" s="30">
        <v>2010</v>
      </c>
      <c r="I1139" s="30">
        <v>222551</v>
      </c>
      <c r="J1139" s="30" t="s">
        <v>5435</v>
      </c>
      <c r="K1139" s="30" t="s">
        <v>5985</v>
      </c>
    </row>
    <row r="1140" spans="1:11" x14ac:dyDescent="0.35">
      <c r="A1140" s="30" t="s">
        <v>11317</v>
      </c>
      <c r="B1140" s="30" t="s">
        <v>11318</v>
      </c>
      <c r="C1140" s="32">
        <v>87.06</v>
      </c>
      <c r="D1140" s="30">
        <v>0.91</v>
      </c>
      <c r="E1140" s="31">
        <v>1.056E-2</v>
      </c>
      <c r="F1140" s="30">
        <v>11800771880</v>
      </c>
      <c r="G1140" s="30" t="s">
        <v>5427</v>
      </c>
      <c r="H1140" s="30">
        <v>1995</v>
      </c>
      <c r="I1140" s="30">
        <v>1099915</v>
      </c>
      <c r="J1140" s="30" t="s">
        <v>5431</v>
      </c>
      <c r="K1140" s="30" t="s">
        <v>5610</v>
      </c>
    </row>
    <row r="1141" spans="1:11" x14ac:dyDescent="0.35">
      <c r="A1141" s="30" t="s">
        <v>5060</v>
      </c>
      <c r="B1141" s="30" t="s">
        <v>11319</v>
      </c>
      <c r="C1141" s="32">
        <v>31.25</v>
      </c>
      <c r="D1141" s="30">
        <v>0.49</v>
      </c>
      <c r="E1141" s="31">
        <v>1.593E-2</v>
      </c>
      <c r="F1141" s="30">
        <v>620644625</v>
      </c>
      <c r="G1141" s="30" t="s">
        <v>5427</v>
      </c>
      <c r="H1141" s="30">
        <v>1999</v>
      </c>
      <c r="I1141" s="30">
        <v>99037</v>
      </c>
      <c r="J1141" s="30" t="s">
        <v>5442</v>
      </c>
      <c r="K1141" s="30" t="s">
        <v>5746</v>
      </c>
    </row>
    <row r="1142" spans="1:11" x14ac:dyDescent="0.35">
      <c r="A1142" s="30" t="s">
        <v>11320</v>
      </c>
      <c r="B1142" s="30" t="s">
        <v>11321</v>
      </c>
      <c r="C1142" s="32">
        <v>89.55</v>
      </c>
      <c r="D1142" s="30">
        <v>0.11</v>
      </c>
      <c r="E1142" s="31">
        <v>1.23E-3</v>
      </c>
      <c r="F1142" s="30">
        <v>969431226</v>
      </c>
      <c r="G1142" s="30" t="s">
        <v>5427</v>
      </c>
      <c r="H1142" s="30">
        <v>1997</v>
      </c>
      <c r="I1142" s="30">
        <v>338556</v>
      </c>
      <c r="J1142" s="30" t="s">
        <v>5431</v>
      </c>
      <c r="K1142" s="30" t="s">
        <v>6537</v>
      </c>
    </row>
    <row r="1143" spans="1:11" x14ac:dyDescent="0.35">
      <c r="A1143" s="30" t="s">
        <v>11322</v>
      </c>
      <c r="B1143" s="30" t="s">
        <v>11323</v>
      </c>
      <c r="C1143" s="32">
        <v>25.22</v>
      </c>
      <c r="D1143" s="30">
        <v>0.27</v>
      </c>
      <c r="E1143" s="31">
        <v>1.082E-2</v>
      </c>
      <c r="F1143" s="30">
        <v>70378528</v>
      </c>
      <c r="G1143" s="30" t="s">
        <v>5427</v>
      </c>
      <c r="H1143" s="30"/>
      <c r="I1143" s="30">
        <v>11157</v>
      </c>
      <c r="J1143" s="30" t="s">
        <v>5442</v>
      </c>
      <c r="K1143" s="30" t="s">
        <v>5994</v>
      </c>
    </row>
    <row r="1144" spans="1:11" x14ac:dyDescent="0.35">
      <c r="A1144" s="30" t="s">
        <v>11324</v>
      </c>
      <c r="B1144" s="30" t="s">
        <v>11325</v>
      </c>
      <c r="C1144" s="32">
        <v>18.8</v>
      </c>
      <c r="D1144" s="30">
        <v>-0.05</v>
      </c>
      <c r="E1144" s="31">
        <v>-2.65E-3</v>
      </c>
      <c r="F1144" s="30">
        <v>13442521907</v>
      </c>
      <c r="G1144" s="30" t="s">
        <v>5427</v>
      </c>
      <c r="H1144" s="30"/>
      <c r="I1144" s="30">
        <v>8266701</v>
      </c>
      <c r="J1144" s="30" t="s">
        <v>5197</v>
      </c>
      <c r="K1144" s="30" t="s">
        <v>5467</v>
      </c>
    </row>
    <row r="1145" spans="1:11" x14ac:dyDescent="0.35">
      <c r="A1145" s="30" t="s">
        <v>11326</v>
      </c>
      <c r="B1145" s="30" t="s">
        <v>11327</v>
      </c>
      <c r="C1145" s="32">
        <v>23.86</v>
      </c>
      <c r="D1145" s="30">
        <v>-0.32</v>
      </c>
      <c r="E1145" s="31">
        <v>-1.323E-2</v>
      </c>
      <c r="F1145" s="30">
        <v>729473355</v>
      </c>
      <c r="G1145" s="30" t="s">
        <v>5427</v>
      </c>
      <c r="H1145" s="30">
        <v>2000</v>
      </c>
      <c r="I1145" s="30">
        <v>147597</v>
      </c>
      <c r="J1145" s="30" t="s">
        <v>5442</v>
      </c>
      <c r="K1145" s="30" t="s">
        <v>5482</v>
      </c>
    </row>
    <row r="1146" spans="1:11" x14ac:dyDescent="0.35">
      <c r="A1146" s="30" t="s">
        <v>11328</v>
      </c>
      <c r="B1146" s="30" t="s">
        <v>11329</v>
      </c>
      <c r="C1146" s="32">
        <v>27.57</v>
      </c>
      <c r="D1146" s="30">
        <v>0.56999999999999995</v>
      </c>
      <c r="E1146" s="31">
        <v>2.111E-2</v>
      </c>
      <c r="F1146" s="30">
        <v>432121014</v>
      </c>
      <c r="G1146" s="30" t="s">
        <v>5427</v>
      </c>
      <c r="H1146" s="30">
        <v>2012</v>
      </c>
      <c r="I1146" s="30">
        <v>85597</v>
      </c>
      <c r="J1146" s="30" t="s">
        <v>5435</v>
      </c>
      <c r="K1146" s="30" t="s">
        <v>6556</v>
      </c>
    </row>
    <row r="1147" spans="1:11" x14ac:dyDescent="0.35">
      <c r="A1147" s="30" t="s">
        <v>11330</v>
      </c>
      <c r="B1147" s="30" t="s">
        <v>11331</v>
      </c>
      <c r="C1147" s="32">
        <v>12.19</v>
      </c>
      <c r="D1147" s="30">
        <v>7.0000000000000007E-2</v>
      </c>
      <c r="E1147" s="31">
        <v>5.7800000000000004E-3</v>
      </c>
      <c r="F1147" s="30">
        <v>741794693</v>
      </c>
      <c r="G1147" s="30" t="s">
        <v>5427</v>
      </c>
      <c r="H1147" s="30"/>
      <c r="I1147" s="30">
        <v>224560</v>
      </c>
      <c r="J1147" s="30" t="s">
        <v>5435</v>
      </c>
      <c r="K1147" s="30" t="s">
        <v>5579</v>
      </c>
    </row>
    <row r="1148" spans="1:11" x14ac:dyDescent="0.35">
      <c r="A1148" s="30" t="s">
        <v>11332</v>
      </c>
      <c r="B1148" s="30" t="s">
        <v>11333</v>
      </c>
      <c r="C1148" s="32">
        <v>17.25</v>
      </c>
      <c r="D1148" s="30">
        <v>0.43</v>
      </c>
      <c r="E1148" s="31">
        <v>2.5559999999999999E-2</v>
      </c>
      <c r="F1148" s="30">
        <v>1361688504</v>
      </c>
      <c r="G1148" s="30" t="s">
        <v>5427</v>
      </c>
      <c r="H1148" s="30">
        <v>1986</v>
      </c>
      <c r="I1148" s="30">
        <v>242557</v>
      </c>
      <c r="J1148" s="30" t="s">
        <v>5457</v>
      </c>
      <c r="K1148" s="30" t="s">
        <v>5725</v>
      </c>
    </row>
    <row r="1149" spans="1:11" x14ac:dyDescent="0.35">
      <c r="A1149" s="30" t="s">
        <v>11334</v>
      </c>
      <c r="B1149" s="30" t="s">
        <v>11335</v>
      </c>
      <c r="C1149" s="32">
        <v>49.69</v>
      </c>
      <c r="D1149" s="30">
        <v>0.22</v>
      </c>
      <c r="E1149" s="31">
        <v>4.45E-3</v>
      </c>
      <c r="F1149" s="30">
        <v>2110204808</v>
      </c>
      <c r="G1149" s="30" t="s">
        <v>5427</v>
      </c>
      <c r="H1149" s="30"/>
      <c r="I1149" s="30">
        <v>253900</v>
      </c>
      <c r="J1149" s="30" t="s">
        <v>5435</v>
      </c>
      <c r="K1149" s="30" t="s">
        <v>5579</v>
      </c>
    </row>
    <row r="1150" spans="1:11" x14ac:dyDescent="0.35">
      <c r="A1150" s="30" t="s">
        <v>11336</v>
      </c>
      <c r="B1150" s="30" t="s">
        <v>11337</v>
      </c>
      <c r="C1150" s="32">
        <v>4.07</v>
      </c>
      <c r="D1150" s="30">
        <v>0.05</v>
      </c>
      <c r="E1150" s="31">
        <v>1.244E-2</v>
      </c>
      <c r="F1150" s="30">
        <v>54615297</v>
      </c>
      <c r="G1150" s="30" t="s">
        <v>5512</v>
      </c>
      <c r="H1150" s="30"/>
      <c r="I1150" s="30">
        <v>59355</v>
      </c>
      <c r="J1150" s="30" t="s">
        <v>5426</v>
      </c>
      <c r="K1150" s="30" t="s">
        <v>5546</v>
      </c>
    </row>
    <row r="1151" spans="1:11" x14ac:dyDescent="0.35">
      <c r="A1151" s="30" t="s">
        <v>11338</v>
      </c>
      <c r="B1151" s="30" t="s">
        <v>11339</v>
      </c>
      <c r="C1151" s="32">
        <v>18.66</v>
      </c>
      <c r="D1151" s="30">
        <v>0.64</v>
      </c>
      <c r="E1151" s="31">
        <v>3.5520000000000003E-2</v>
      </c>
      <c r="F1151" s="30">
        <v>6231547436</v>
      </c>
      <c r="G1151" s="30" t="s">
        <v>5427</v>
      </c>
      <c r="H1151" s="30"/>
      <c r="I1151" s="30">
        <v>3044922</v>
      </c>
      <c r="J1151" s="30" t="s">
        <v>5442</v>
      </c>
      <c r="K1151" s="30" t="s">
        <v>5788</v>
      </c>
    </row>
    <row r="1152" spans="1:11" x14ac:dyDescent="0.35">
      <c r="A1152" s="30" t="s">
        <v>11340</v>
      </c>
      <c r="B1152" s="30" t="s">
        <v>11341</v>
      </c>
      <c r="C1152" s="32">
        <v>88.27</v>
      </c>
      <c r="D1152" s="30">
        <v>3</v>
      </c>
      <c r="E1152" s="31">
        <v>3.5180000000000003E-2</v>
      </c>
      <c r="F1152" s="30">
        <v>2933157108</v>
      </c>
      <c r="G1152" s="30" t="s">
        <v>5427</v>
      </c>
      <c r="H1152" s="30">
        <v>1996</v>
      </c>
      <c r="I1152" s="30">
        <v>273325</v>
      </c>
      <c r="J1152" s="30" t="s">
        <v>5442</v>
      </c>
      <c r="K1152" s="30" t="s">
        <v>6032</v>
      </c>
    </row>
    <row r="1153" spans="1:11" x14ac:dyDescent="0.35">
      <c r="A1153" s="30" t="s">
        <v>11342</v>
      </c>
      <c r="B1153" s="30" t="s">
        <v>11343</v>
      </c>
      <c r="C1153" s="32">
        <v>2.89</v>
      </c>
      <c r="D1153" s="30">
        <v>0.26</v>
      </c>
      <c r="E1153" s="31">
        <v>9.8860000000000003E-2</v>
      </c>
      <c r="F1153" s="30">
        <v>298012352</v>
      </c>
      <c r="G1153" s="30" t="s">
        <v>5427</v>
      </c>
      <c r="H1153" s="30">
        <v>2020</v>
      </c>
      <c r="I1153" s="30">
        <v>300237</v>
      </c>
      <c r="J1153" s="30" t="s">
        <v>5431</v>
      </c>
      <c r="K1153" s="30" t="s">
        <v>5430</v>
      </c>
    </row>
    <row r="1154" spans="1:11" x14ac:dyDescent="0.35">
      <c r="A1154" s="30" t="s">
        <v>11344</v>
      </c>
      <c r="B1154" s="30" t="s">
        <v>11345</v>
      </c>
      <c r="C1154" s="32">
        <v>27.93</v>
      </c>
      <c r="D1154" s="30">
        <v>-0.27</v>
      </c>
      <c r="E1154" s="31">
        <v>-9.5700000000000004E-3</v>
      </c>
      <c r="F1154" s="30">
        <v>187207416</v>
      </c>
      <c r="G1154" s="30" t="s">
        <v>5427</v>
      </c>
      <c r="H1154" s="30"/>
      <c r="I1154" s="30">
        <v>28971</v>
      </c>
      <c r="J1154" s="30" t="s">
        <v>5457</v>
      </c>
      <c r="K1154" s="30" t="s">
        <v>5472</v>
      </c>
    </row>
    <row r="1155" spans="1:11" x14ac:dyDescent="0.35">
      <c r="A1155" s="30" t="s">
        <v>11346</v>
      </c>
      <c r="B1155" s="30" t="s">
        <v>11347</v>
      </c>
      <c r="C1155" s="32">
        <v>68.77</v>
      </c>
      <c r="D1155" s="30">
        <v>0.73</v>
      </c>
      <c r="E1155" s="31">
        <v>1.073E-2</v>
      </c>
      <c r="F1155" s="30">
        <v>1370825351</v>
      </c>
      <c r="G1155" s="30" t="s">
        <v>5427</v>
      </c>
      <c r="H1155" s="30">
        <v>2004</v>
      </c>
      <c r="I1155" s="30">
        <v>116194</v>
      </c>
      <c r="J1155" s="30" t="s">
        <v>5442</v>
      </c>
      <c r="K1155" s="30" t="s">
        <v>5994</v>
      </c>
    </row>
    <row r="1156" spans="1:11" x14ac:dyDescent="0.35">
      <c r="A1156" s="30" t="s">
        <v>11348</v>
      </c>
      <c r="B1156" s="30" t="s">
        <v>11349</v>
      </c>
      <c r="C1156" s="32">
        <v>2.16</v>
      </c>
      <c r="D1156" s="30">
        <v>0.23</v>
      </c>
      <c r="E1156" s="31">
        <v>0.11917</v>
      </c>
      <c r="F1156" s="30">
        <v>423833304</v>
      </c>
      <c r="G1156" s="30" t="s">
        <v>5515</v>
      </c>
      <c r="H1156" s="30"/>
      <c r="I1156" s="30">
        <v>12868556</v>
      </c>
      <c r="J1156" s="30"/>
      <c r="K1156" s="30"/>
    </row>
    <row r="1157" spans="1:11" x14ac:dyDescent="0.35">
      <c r="A1157" s="30" t="s">
        <v>11350</v>
      </c>
      <c r="B1157" s="30" t="s">
        <v>11351</v>
      </c>
      <c r="C1157" s="32">
        <v>30.04</v>
      </c>
      <c r="D1157" s="30">
        <v>0.53</v>
      </c>
      <c r="E1157" s="31">
        <v>1.796E-2</v>
      </c>
      <c r="F1157" s="30">
        <v>67362327</v>
      </c>
      <c r="G1157" s="30" t="s">
        <v>5427</v>
      </c>
      <c r="H1157" s="30">
        <v>2017</v>
      </c>
      <c r="I1157" s="30">
        <v>10734</v>
      </c>
      <c r="J1157" s="30" t="s">
        <v>5435</v>
      </c>
      <c r="K1157" s="30" t="s">
        <v>5579</v>
      </c>
    </row>
    <row r="1158" spans="1:11" x14ac:dyDescent="0.35">
      <c r="A1158" s="30" t="s">
        <v>11352</v>
      </c>
      <c r="B1158" s="30" t="s">
        <v>11353</v>
      </c>
      <c r="C1158" s="32">
        <v>24.11</v>
      </c>
      <c r="D1158" s="30">
        <v>0.03</v>
      </c>
      <c r="E1158" s="31">
        <v>1.25E-3</v>
      </c>
      <c r="F1158" s="30">
        <v>163190488</v>
      </c>
      <c r="G1158" s="30" t="s">
        <v>5427</v>
      </c>
      <c r="H1158" s="30"/>
      <c r="I1158" s="30">
        <v>31181</v>
      </c>
      <c r="J1158" s="30" t="s">
        <v>5435</v>
      </c>
      <c r="K1158" s="30" t="s">
        <v>5579</v>
      </c>
    </row>
    <row r="1159" spans="1:11" x14ac:dyDescent="0.35">
      <c r="A1159" s="30" t="s">
        <v>11354</v>
      </c>
      <c r="B1159" s="30" t="s">
        <v>11355</v>
      </c>
      <c r="C1159" s="32">
        <v>52.6</v>
      </c>
      <c r="D1159" s="30">
        <v>1.1200000000000001</v>
      </c>
      <c r="E1159" s="31">
        <v>2.1760000000000002E-2</v>
      </c>
      <c r="F1159" s="30">
        <v>4520496600</v>
      </c>
      <c r="G1159" s="30" t="s">
        <v>5427</v>
      </c>
      <c r="H1159" s="30"/>
      <c r="I1159" s="30">
        <v>688037</v>
      </c>
      <c r="J1159" s="30" t="s">
        <v>5435</v>
      </c>
      <c r="K1159" s="30" t="s">
        <v>5579</v>
      </c>
    </row>
    <row r="1160" spans="1:11" x14ac:dyDescent="0.35">
      <c r="A1160" s="30" t="s">
        <v>11356</v>
      </c>
      <c r="B1160" s="30" t="s">
        <v>11357</v>
      </c>
      <c r="C1160" s="32">
        <v>10.050000000000001</v>
      </c>
      <c r="D1160" s="30">
        <v>0</v>
      </c>
      <c r="E1160" s="31">
        <v>0</v>
      </c>
      <c r="F1160" s="30">
        <v>314062500</v>
      </c>
      <c r="G1160" s="30" t="s">
        <v>5427</v>
      </c>
      <c r="H1160" s="30">
        <v>2021</v>
      </c>
      <c r="I1160" s="30">
        <v>715</v>
      </c>
      <c r="J1160" s="30" t="s">
        <v>5457</v>
      </c>
      <c r="K1160" s="30" t="s">
        <v>5571</v>
      </c>
    </row>
    <row r="1161" spans="1:11" x14ac:dyDescent="0.35">
      <c r="A1161" s="30" t="s">
        <v>11358</v>
      </c>
      <c r="B1161" s="30" t="s">
        <v>11359</v>
      </c>
      <c r="C1161" s="32">
        <v>39.950000000000003</v>
      </c>
      <c r="D1161" s="30">
        <v>0.95</v>
      </c>
      <c r="E1161" s="31">
        <v>2.436E-2</v>
      </c>
      <c r="F1161" s="30">
        <v>839726948</v>
      </c>
      <c r="G1161" s="30" t="s">
        <v>5427</v>
      </c>
      <c r="H1161" s="30"/>
      <c r="I1161" s="30">
        <v>70886</v>
      </c>
      <c r="J1161" s="30" t="s">
        <v>5457</v>
      </c>
      <c r="K1161" s="30" t="s">
        <v>5438</v>
      </c>
    </row>
    <row r="1162" spans="1:11" x14ac:dyDescent="0.35">
      <c r="A1162" s="30" t="s">
        <v>11360</v>
      </c>
      <c r="B1162" s="30" t="s">
        <v>11361</v>
      </c>
      <c r="C1162" s="32">
        <v>2.04</v>
      </c>
      <c r="D1162" s="30">
        <v>0.17</v>
      </c>
      <c r="E1162" s="31">
        <v>9.0910000000000005E-2</v>
      </c>
      <c r="F1162" s="30">
        <v>92147675</v>
      </c>
      <c r="G1162" s="30" t="s">
        <v>5427</v>
      </c>
      <c r="H1162" s="30">
        <v>2020</v>
      </c>
      <c r="I1162" s="30">
        <v>938788</v>
      </c>
      <c r="J1162" s="30" t="s">
        <v>5457</v>
      </c>
      <c r="K1162" s="30" t="s">
        <v>5644</v>
      </c>
    </row>
    <row r="1163" spans="1:11" x14ac:dyDescent="0.35">
      <c r="A1163" s="30" t="s">
        <v>11362</v>
      </c>
      <c r="B1163" s="30" t="s">
        <v>11363</v>
      </c>
      <c r="C1163" s="32">
        <v>0.99229999999999996</v>
      </c>
      <c r="D1163" s="30">
        <v>2.9700000000000001E-2</v>
      </c>
      <c r="E1163" s="31">
        <v>3.0849999999999999E-2</v>
      </c>
      <c r="F1163" s="30">
        <v>70133557</v>
      </c>
      <c r="G1163" s="30" t="s">
        <v>5427</v>
      </c>
      <c r="H1163" s="30">
        <v>2021</v>
      </c>
      <c r="I1163" s="30">
        <v>3147781</v>
      </c>
      <c r="J1163" s="30" t="s">
        <v>5431</v>
      </c>
      <c r="K1163" s="30" t="s">
        <v>5610</v>
      </c>
    </row>
    <row r="1164" spans="1:11" x14ac:dyDescent="0.35">
      <c r="A1164" s="30" t="s">
        <v>11364</v>
      </c>
      <c r="B1164" s="30" t="s">
        <v>11365</v>
      </c>
      <c r="C1164" s="32">
        <v>2.13</v>
      </c>
      <c r="D1164" s="30">
        <v>0</v>
      </c>
      <c r="E1164" s="31">
        <v>0</v>
      </c>
      <c r="F1164" s="30">
        <v>531192135</v>
      </c>
      <c r="G1164" s="30" t="s">
        <v>5427</v>
      </c>
      <c r="H1164" s="30">
        <v>2020</v>
      </c>
      <c r="I1164" s="30">
        <v>965583</v>
      </c>
      <c r="J1164" s="30" t="s">
        <v>5442</v>
      </c>
      <c r="K1164" s="30" t="s">
        <v>5460</v>
      </c>
    </row>
    <row r="1165" spans="1:11" x14ac:dyDescent="0.35">
      <c r="A1165" s="30" t="s">
        <v>11366</v>
      </c>
      <c r="B1165" s="30" t="s">
        <v>11367</v>
      </c>
      <c r="C1165" s="32">
        <v>110.45</v>
      </c>
      <c r="D1165" s="30">
        <v>0.73</v>
      </c>
      <c r="E1165" s="31">
        <v>6.6499999999999997E-3</v>
      </c>
      <c r="F1165" s="30">
        <v>25225832449</v>
      </c>
      <c r="G1165" s="30" t="s">
        <v>5512</v>
      </c>
      <c r="H1165" s="30">
        <v>2011</v>
      </c>
      <c r="I1165" s="30">
        <v>3122295</v>
      </c>
      <c r="J1165" s="30" t="s">
        <v>5431</v>
      </c>
      <c r="K1165" s="30" t="s">
        <v>5430</v>
      </c>
    </row>
    <row r="1166" spans="1:11" x14ac:dyDescent="0.35">
      <c r="A1166" s="30" t="s">
        <v>11368</v>
      </c>
      <c r="B1166" s="30" t="s">
        <v>11369</v>
      </c>
      <c r="C1166" s="32">
        <v>58.54</v>
      </c>
      <c r="D1166" s="30">
        <v>2.04</v>
      </c>
      <c r="E1166" s="31">
        <v>3.6110000000000003E-2</v>
      </c>
      <c r="F1166" s="30">
        <v>5201652310</v>
      </c>
      <c r="G1166" s="30" t="s">
        <v>5427</v>
      </c>
      <c r="H1166" s="30"/>
      <c r="I1166" s="30">
        <v>837661</v>
      </c>
      <c r="J1166" s="30" t="s">
        <v>5442</v>
      </c>
      <c r="K1166" s="30" t="s">
        <v>5447</v>
      </c>
    </row>
    <row r="1167" spans="1:11" x14ac:dyDescent="0.35">
      <c r="A1167" s="30" t="s">
        <v>11370</v>
      </c>
      <c r="B1167" s="30" t="s">
        <v>11371</v>
      </c>
      <c r="C1167" s="32">
        <v>58.57</v>
      </c>
      <c r="D1167" s="30">
        <v>1.27</v>
      </c>
      <c r="E1167" s="31">
        <v>2.2159999999999999E-2</v>
      </c>
      <c r="F1167" s="30">
        <v>4891658807</v>
      </c>
      <c r="G1167" s="30" t="s">
        <v>5427</v>
      </c>
      <c r="H1167" s="30"/>
      <c r="I1167" s="30">
        <v>465149</v>
      </c>
      <c r="J1167" s="30" t="s">
        <v>5431</v>
      </c>
      <c r="K1167" s="30" t="s">
        <v>5500</v>
      </c>
    </row>
    <row r="1168" spans="1:11" x14ac:dyDescent="0.35">
      <c r="A1168" s="30" t="s">
        <v>11372</v>
      </c>
      <c r="B1168" s="30" t="s">
        <v>11373</v>
      </c>
      <c r="C1168" s="32">
        <v>10.32</v>
      </c>
      <c r="D1168" s="30">
        <v>0.04</v>
      </c>
      <c r="E1168" s="31">
        <v>3.8899999999999998E-3</v>
      </c>
      <c r="F1168" s="30">
        <v>1587508840</v>
      </c>
      <c r="G1168" s="30" t="s">
        <v>5427</v>
      </c>
      <c r="H1168" s="30">
        <v>2021</v>
      </c>
      <c r="I1168" s="30">
        <v>285162</v>
      </c>
      <c r="J1168" s="30" t="s">
        <v>5442</v>
      </c>
      <c r="K1168" s="30" t="s">
        <v>5856</v>
      </c>
    </row>
    <row r="1169" spans="1:11" x14ac:dyDescent="0.35">
      <c r="A1169" s="30" t="s">
        <v>11374</v>
      </c>
      <c r="B1169" s="30" t="s">
        <v>11375</v>
      </c>
      <c r="C1169" s="32">
        <v>22.37</v>
      </c>
      <c r="D1169" s="30">
        <v>0.2</v>
      </c>
      <c r="E1169" s="31">
        <v>9.0200000000000002E-3</v>
      </c>
      <c r="F1169" s="30">
        <v>471201031</v>
      </c>
      <c r="G1169" s="30" t="s">
        <v>5427</v>
      </c>
      <c r="H1169" s="30"/>
      <c r="I1169" s="30">
        <v>119263</v>
      </c>
      <c r="J1169" s="30" t="s">
        <v>5435</v>
      </c>
      <c r="K1169" s="30" t="s">
        <v>5579</v>
      </c>
    </row>
    <row r="1170" spans="1:11" x14ac:dyDescent="0.35">
      <c r="A1170" s="30" t="s">
        <v>11376</v>
      </c>
      <c r="B1170" s="30" t="s">
        <v>11377</v>
      </c>
      <c r="C1170" s="32">
        <v>82.27</v>
      </c>
      <c r="D1170" s="30">
        <v>2.33</v>
      </c>
      <c r="E1170" s="31">
        <v>2.9149999999999999E-2</v>
      </c>
      <c r="F1170" s="30">
        <v>8463295894</v>
      </c>
      <c r="G1170" s="30" t="s">
        <v>5427</v>
      </c>
      <c r="H1170" s="30">
        <v>2019</v>
      </c>
      <c r="I1170" s="30">
        <v>1780417</v>
      </c>
      <c r="J1170" s="30" t="s">
        <v>5435</v>
      </c>
      <c r="K1170" s="30" t="s">
        <v>6221</v>
      </c>
    </row>
    <row r="1171" spans="1:11" x14ac:dyDescent="0.35">
      <c r="A1171" s="30" t="s">
        <v>11378</v>
      </c>
      <c r="B1171" s="30" t="s">
        <v>11379</v>
      </c>
      <c r="C1171" s="32">
        <v>47.02</v>
      </c>
      <c r="D1171" s="30">
        <v>0.15</v>
      </c>
      <c r="E1171" s="31">
        <v>3.2000000000000002E-3</v>
      </c>
      <c r="F1171" s="30">
        <v>2920591158</v>
      </c>
      <c r="G1171" s="30" t="s">
        <v>5427</v>
      </c>
      <c r="H1171" s="30"/>
      <c r="I1171" s="30">
        <v>279497</v>
      </c>
      <c r="J1171" s="30" t="s">
        <v>5435</v>
      </c>
      <c r="K1171" s="30" t="s">
        <v>5579</v>
      </c>
    </row>
    <row r="1172" spans="1:11" x14ac:dyDescent="0.35">
      <c r="A1172" s="30" t="s">
        <v>11380</v>
      </c>
      <c r="B1172" s="30" t="s">
        <v>11381</v>
      </c>
      <c r="C1172" s="32">
        <v>4.01</v>
      </c>
      <c r="D1172" s="30">
        <v>0.21</v>
      </c>
      <c r="E1172" s="31">
        <v>5.5259999999999997E-2</v>
      </c>
      <c r="F1172" s="30">
        <v>1605219465</v>
      </c>
      <c r="G1172" s="30" t="s">
        <v>5427</v>
      </c>
      <c r="H1172" s="30">
        <v>2015</v>
      </c>
      <c r="I1172" s="30">
        <v>2160882</v>
      </c>
      <c r="J1172" s="30" t="s">
        <v>5431</v>
      </c>
      <c r="K1172" s="30" t="s">
        <v>9124</v>
      </c>
    </row>
    <row r="1173" spans="1:11" x14ac:dyDescent="0.35">
      <c r="A1173" s="30" t="s">
        <v>11382</v>
      </c>
      <c r="B1173" s="30" t="s">
        <v>11383</v>
      </c>
      <c r="C1173" s="32">
        <v>62.06</v>
      </c>
      <c r="D1173" s="30">
        <v>0.76</v>
      </c>
      <c r="E1173" s="31">
        <v>1.24E-2</v>
      </c>
      <c r="F1173" s="30">
        <v>2556293415</v>
      </c>
      <c r="G1173" s="30" t="s">
        <v>5427</v>
      </c>
      <c r="H1173" s="30">
        <v>2013</v>
      </c>
      <c r="I1173" s="30">
        <v>255189</v>
      </c>
      <c r="J1173" s="30" t="s">
        <v>5435</v>
      </c>
      <c r="K1173" s="30" t="s">
        <v>5579</v>
      </c>
    </row>
    <row r="1174" spans="1:11" x14ac:dyDescent="0.35">
      <c r="A1174" s="30" t="s">
        <v>11384</v>
      </c>
      <c r="B1174" s="30" t="s">
        <v>11385</v>
      </c>
      <c r="C1174" s="32">
        <v>2.29</v>
      </c>
      <c r="D1174" s="30">
        <v>0</v>
      </c>
      <c r="E1174" s="31">
        <v>0</v>
      </c>
      <c r="F1174" s="30">
        <v>58272272</v>
      </c>
      <c r="G1174" s="30" t="s">
        <v>5427</v>
      </c>
      <c r="H1174" s="30"/>
      <c r="I1174" s="30">
        <v>76888</v>
      </c>
      <c r="J1174" s="30" t="s">
        <v>5431</v>
      </c>
      <c r="K1174" s="30" t="s">
        <v>6537</v>
      </c>
    </row>
    <row r="1175" spans="1:11" x14ac:dyDescent="0.35">
      <c r="A1175" s="30" t="s">
        <v>11386</v>
      </c>
      <c r="B1175" s="30" t="s">
        <v>11387</v>
      </c>
      <c r="C1175" s="32">
        <v>7.45</v>
      </c>
      <c r="D1175" s="30">
        <v>2.6100000000000002E-2</v>
      </c>
      <c r="E1175" s="31">
        <v>3.5200000000000001E-3</v>
      </c>
      <c r="F1175" s="30">
        <v>57714137</v>
      </c>
      <c r="G1175" s="30" t="s">
        <v>5427</v>
      </c>
      <c r="H1175" s="30">
        <v>1987</v>
      </c>
      <c r="I1175" s="30">
        <v>9730</v>
      </c>
      <c r="J1175" s="30" t="s">
        <v>5431</v>
      </c>
      <c r="K1175" s="30" t="s">
        <v>5430</v>
      </c>
    </row>
    <row r="1176" spans="1:11" x14ac:dyDescent="0.35">
      <c r="A1176" s="30" t="s">
        <v>11388</v>
      </c>
      <c r="B1176" s="30" t="s">
        <v>11389</v>
      </c>
      <c r="C1176" s="32">
        <v>103.45</v>
      </c>
      <c r="D1176" s="30">
        <v>1.26</v>
      </c>
      <c r="E1176" s="31">
        <v>1.2330000000000001E-2</v>
      </c>
      <c r="F1176" s="30">
        <v>1949400938</v>
      </c>
      <c r="G1176" s="30" t="s">
        <v>5427</v>
      </c>
      <c r="H1176" s="30">
        <v>2006</v>
      </c>
      <c r="I1176" s="30">
        <v>74859</v>
      </c>
      <c r="J1176" s="30" t="s">
        <v>5442</v>
      </c>
      <c r="K1176" s="30" t="s">
        <v>5994</v>
      </c>
    </row>
    <row r="1177" spans="1:11" x14ac:dyDescent="0.35">
      <c r="A1177" s="30" t="s">
        <v>11390</v>
      </c>
      <c r="B1177" s="30" t="s">
        <v>11391</v>
      </c>
      <c r="C1177" s="32">
        <v>35.909999999999997</v>
      </c>
      <c r="D1177" s="30">
        <v>2.11</v>
      </c>
      <c r="E1177" s="31">
        <v>6.2429999999999999E-2</v>
      </c>
      <c r="F1177" s="30">
        <v>1034299032</v>
      </c>
      <c r="G1177" s="30" t="s">
        <v>5427</v>
      </c>
      <c r="H1177" s="30">
        <v>2016</v>
      </c>
      <c r="I1177" s="30">
        <v>231433</v>
      </c>
      <c r="J1177" s="30" t="s">
        <v>5219</v>
      </c>
      <c r="K1177" s="30" t="s">
        <v>5526</v>
      </c>
    </row>
    <row r="1178" spans="1:11" x14ac:dyDescent="0.35">
      <c r="A1178" s="30" t="s">
        <v>11392</v>
      </c>
      <c r="B1178" s="30" t="s">
        <v>11393</v>
      </c>
      <c r="C1178" s="32">
        <v>235.74</v>
      </c>
      <c r="D1178" s="30">
        <v>5.03</v>
      </c>
      <c r="E1178" s="31">
        <v>2.18E-2</v>
      </c>
      <c r="F1178" s="30">
        <v>19247058071</v>
      </c>
      <c r="G1178" s="30" t="s">
        <v>5512</v>
      </c>
      <c r="H1178" s="30">
        <v>1998</v>
      </c>
      <c r="I1178" s="30">
        <v>735443</v>
      </c>
      <c r="J1178" s="30" t="s">
        <v>5431</v>
      </c>
      <c r="K1178" s="30" t="s">
        <v>9124</v>
      </c>
    </row>
    <row r="1179" spans="1:11" x14ac:dyDescent="0.35">
      <c r="A1179" s="30" t="s">
        <v>11394</v>
      </c>
      <c r="B1179" s="30" t="s">
        <v>11395</v>
      </c>
      <c r="C1179" s="32">
        <v>3.88</v>
      </c>
      <c r="D1179" s="30">
        <v>-0.05</v>
      </c>
      <c r="E1179" s="31">
        <v>-1.272E-2</v>
      </c>
      <c r="F1179" s="30">
        <v>55827209</v>
      </c>
      <c r="G1179" s="30" t="s">
        <v>5427</v>
      </c>
      <c r="H1179" s="30">
        <v>2014</v>
      </c>
      <c r="I1179" s="30">
        <v>7086</v>
      </c>
      <c r="J1179" s="30" t="s">
        <v>5435</v>
      </c>
      <c r="K1179" s="30" t="s">
        <v>5985</v>
      </c>
    </row>
    <row r="1180" spans="1:11" x14ac:dyDescent="0.35">
      <c r="A1180" s="30" t="s">
        <v>11396</v>
      </c>
      <c r="B1180" s="30" t="s">
        <v>11397</v>
      </c>
      <c r="C1180" s="32">
        <v>18.760000000000002</v>
      </c>
      <c r="D1180" s="30">
        <v>0.5</v>
      </c>
      <c r="E1180" s="31">
        <v>2.7380000000000002E-2</v>
      </c>
      <c r="F1180" s="30">
        <v>776985303</v>
      </c>
      <c r="G1180" s="30" t="s">
        <v>5427</v>
      </c>
      <c r="H1180" s="30">
        <v>2012</v>
      </c>
      <c r="I1180" s="30">
        <v>600436</v>
      </c>
      <c r="J1180" s="30" t="s">
        <v>5431</v>
      </c>
      <c r="K1180" s="30" t="s">
        <v>5430</v>
      </c>
    </row>
    <row r="1181" spans="1:11" x14ac:dyDescent="0.35">
      <c r="A1181" s="30" t="s">
        <v>11398</v>
      </c>
      <c r="B1181" s="30" t="s">
        <v>11399</v>
      </c>
      <c r="C1181" s="32">
        <v>194.94</v>
      </c>
      <c r="D1181" s="30">
        <v>1.71</v>
      </c>
      <c r="E1181" s="31">
        <v>8.8500000000000002E-3</v>
      </c>
      <c r="F1181" s="30">
        <v>4674970765</v>
      </c>
      <c r="G1181" s="30" t="s">
        <v>5427</v>
      </c>
      <c r="H1181" s="30">
        <v>1992</v>
      </c>
      <c r="I1181" s="30">
        <v>155148</v>
      </c>
      <c r="J1181" s="30" t="s">
        <v>5431</v>
      </c>
      <c r="K1181" s="30" t="s">
        <v>5500</v>
      </c>
    </row>
    <row r="1182" spans="1:11" x14ac:dyDescent="0.35">
      <c r="A1182" s="30" t="s">
        <v>11400</v>
      </c>
      <c r="B1182" s="30" t="s">
        <v>11401</v>
      </c>
      <c r="C1182" s="32">
        <v>11.14</v>
      </c>
      <c r="D1182" s="30">
        <v>0.59</v>
      </c>
      <c r="E1182" s="31">
        <v>5.5919999999999997E-2</v>
      </c>
      <c r="F1182" s="30">
        <v>444490489</v>
      </c>
      <c r="G1182" s="30" t="s">
        <v>5427</v>
      </c>
      <c r="H1182" s="30">
        <v>2021</v>
      </c>
      <c r="I1182" s="30">
        <v>300156</v>
      </c>
      <c r="J1182" s="30" t="s">
        <v>5431</v>
      </c>
      <c r="K1182" s="30" t="s">
        <v>5430</v>
      </c>
    </row>
    <row r="1183" spans="1:11" x14ac:dyDescent="0.35">
      <c r="A1183" s="30" t="s">
        <v>11402</v>
      </c>
      <c r="B1183" s="30" t="s">
        <v>11403</v>
      </c>
      <c r="C1183" s="32">
        <v>6.72</v>
      </c>
      <c r="D1183" s="30">
        <v>-0.48</v>
      </c>
      <c r="E1183" s="31">
        <v>-6.6669999999999993E-2</v>
      </c>
      <c r="F1183" s="30">
        <v>104502861</v>
      </c>
      <c r="G1183" s="30" t="s">
        <v>7953</v>
      </c>
      <c r="H1183" s="30"/>
      <c r="I1183" s="30">
        <v>2664</v>
      </c>
      <c r="J1183" s="30" t="s">
        <v>5219</v>
      </c>
      <c r="K1183" s="30" t="s">
        <v>6786</v>
      </c>
    </row>
    <row r="1184" spans="1:11" x14ac:dyDescent="0.35">
      <c r="A1184" s="30" t="s">
        <v>11404</v>
      </c>
      <c r="B1184" s="30" t="s">
        <v>11405</v>
      </c>
      <c r="C1184" s="32">
        <v>71.06</v>
      </c>
      <c r="D1184" s="30">
        <v>1.1100000000000001</v>
      </c>
      <c r="E1184" s="31">
        <v>1.5869999999999999E-2</v>
      </c>
      <c r="F1184" s="30">
        <v>2107852283</v>
      </c>
      <c r="G1184" s="30" t="s">
        <v>5427</v>
      </c>
      <c r="H1184" s="30"/>
      <c r="I1184" s="30">
        <v>408467</v>
      </c>
      <c r="J1184" s="30" t="s">
        <v>5732</v>
      </c>
      <c r="K1184" s="30" t="s">
        <v>5520</v>
      </c>
    </row>
    <row r="1185" spans="1:11" x14ac:dyDescent="0.35">
      <c r="A1185" s="30" t="s">
        <v>11406</v>
      </c>
      <c r="B1185" s="30" t="s">
        <v>11407</v>
      </c>
      <c r="C1185" s="32">
        <v>0.20399999999999999</v>
      </c>
      <c r="D1185" s="30">
        <v>-4.1000000000000003E-3</v>
      </c>
      <c r="E1185" s="31">
        <v>-1.9699999999999999E-2</v>
      </c>
      <c r="F1185" s="30">
        <v>120248389</v>
      </c>
      <c r="G1185" s="30" t="s">
        <v>5427</v>
      </c>
      <c r="H1185" s="30"/>
      <c r="I1185" s="30">
        <v>12979444</v>
      </c>
      <c r="J1185" s="30" t="s">
        <v>5442</v>
      </c>
      <c r="K1185" s="30" t="s">
        <v>5903</v>
      </c>
    </row>
    <row r="1186" spans="1:11" x14ac:dyDescent="0.35">
      <c r="A1186" s="30" t="s">
        <v>11408</v>
      </c>
      <c r="B1186" s="30" t="s">
        <v>11409</v>
      </c>
      <c r="C1186" s="32">
        <v>2.68</v>
      </c>
      <c r="D1186" s="30">
        <v>-0.04</v>
      </c>
      <c r="E1186" s="31">
        <v>-1.4710000000000001E-2</v>
      </c>
      <c r="F1186" s="30">
        <v>50788176</v>
      </c>
      <c r="G1186" s="30" t="s">
        <v>5427</v>
      </c>
      <c r="H1186" s="30">
        <v>1999</v>
      </c>
      <c r="I1186" s="30">
        <v>25132</v>
      </c>
      <c r="J1186" s="30" t="s">
        <v>5219</v>
      </c>
      <c r="K1186" s="30" t="s">
        <v>5812</v>
      </c>
    </row>
    <row r="1187" spans="1:11" x14ac:dyDescent="0.35">
      <c r="A1187" s="30" t="s">
        <v>11410</v>
      </c>
      <c r="B1187" s="30" t="s">
        <v>11411</v>
      </c>
      <c r="C1187" s="32">
        <v>483.2</v>
      </c>
      <c r="D1187" s="30">
        <v>2.7</v>
      </c>
      <c r="E1187" s="31">
        <v>5.62E-3</v>
      </c>
      <c r="F1187" s="30">
        <v>40017153622</v>
      </c>
      <c r="G1187" s="30" t="s">
        <v>5427</v>
      </c>
      <c r="H1187" s="30">
        <v>1991</v>
      </c>
      <c r="I1187" s="30">
        <v>1174155</v>
      </c>
      <c r="J1187" s="30" t="s">
        <v>5431</v>
      </c>
      <c r="K1187" s="30" t="s">
        <v>9105</v>
      </c>
    </row>
    <row r="1188" spans="1:11" x14ac:dyDescent="0.35">
      <c r="A1188" s="30" t="s">
        <v>11412</v>
      </c>
      <c r="B1188" s="30" t="s">
        <v>11413</v>
      </c>
      <c r="C1188" s="32">
        <v>17.260000000000002</v>
      </c>
      <c r="D1188" s="30">
        <v>0.23</v>
      </c>
      <c r="E1188" s="31">
        <v>1.3509999999999999E-2</v>
      </c>
      <c r="F1188" s="30">
        <v>830439027</v>
      </c>
      <c r="G1188" s="30" t="s">
        <v>5427</v>
      </c>
      <c r="H1188" s="30">
        <v>2019</v>
      </c>
      <c r="I1188" s="30">
        <v>568685</v>
      </c>
      <c r="J1188" s="30" t="s">
        <v>5431</v>
      </c>
      <c r="K1188" s="30" t="s">
        <v>5430</v>
      </c>
    </row>
    <row r="1189" spans="1:11" x14ac:dyDescent="0.35">
      <c r="A1189" s="30" t="s">
        <v>11414</v>
      </c>
      <c r="B1189" s="30" t="s">
        <v>11415</v>
      </c>
      <c r="C1189" s="32">
        <v>53.49</v>
      </c>
      <c r="D1189" s="30">
        <v>-0.27</v>
      </c>
      <c r="E1189" s="31">
        <v>-5.0200000000000002E-3</v>
      </c>
      <c r="F1189" s="30">
        <v>18051481639</v>
      </c>
      <c r="G1189" s="30" t="s">
        <v>5427</v>
      </c>
      <c r="H1189" s="30"/>
      <c r="I1189" s="30">
        <v>375944</v>
      </c>
      <c r="J1189" s="30" t="s">
        <v>5457</v>
      </c>
      <c r="K1189" s="30" t="s">
        <v>5571</v>
      </c>
    </row>
    <row r="1190" spans="1:11" x14ac:dyDescent="0.35">
      <c r="A1190" s="30" t="s">
        <v>11416</v>
      </c>
      <c r="B1190" s="30" t="s">
        <v>11417</v>
      </c>
      <c r="C1190" s="32">
        <v>39.619999999999997</v>
      </c>
      <c r="D1190" s="30">
        <v>-0.19</v>
      </c>
      <c r="E1190" s="31">
        <v>-4.7699999999999999E-3</v>
      </c>
      <c r="F1190" s="30">
        <v>799588534</v>
      </c>
      <c r="G1190" s="30" t="s">
        <v>5427</v>
      </c>
      <c r="H1190" s="30"/>
      <c r="I1190" s="30">
        <v>23608</v>
      </c>
      <c r="J1190" s="30" t="s">
        <v>5457</v>
      </c>
      <c r="K1190" s="30" t="s">
        <v>5903</v>
      </c>
    </row>
    <row r="1191" spans="1:11" x14ac:dyDescent="0.35">
      <c r="A1191" s="30" t="s">
        <v>11418</v>
      </c>
      <c r="B1191" s="30" t="s">
        <v>11419</v>
      </c>
      <c r="C1191" s="32">
        <v>2.2200000000000002</v>
      </c>
      <c r="D1191" s="30">
        <v>0.05</v>
      </c>
      <c r="E1191" s="31">
        <v>2.3040000000000001E-2</v>
      </c>
      <c r="F1191" s="30">
        <v>98132354</v>
      </c>
      <c r="G1191" s="30" t="s">
        <v>6263</v>
      </c>
      <c r="H1191" s="30">
        <v>2017</v>
      </c>
      <c r="I1191" s="30">
        <v>58616</v>
      </c>
      <c r="J1191" s="30" t="s">
        <v>5431</v>
      </c>
      <c r="K1191" s="30" t="s">
        <v>5430</v>
      </c>
    </row>
    <row r="1192" spans="1:11" x14ac:dyDescent="0.35">
      <c r="A1192" s="30" t="s">
        <v>11420</v>
      </c>
      <c r="B1192" s="30" t="s">
        <v>11421</v>
      </c>
      <c r="C1192" s="32">
        <v>23.16</v>
      </c>
      <c r="D1192" s="30">
        <v>0.43</v>
      </c>
      <c r="E1192" s="31">
        <v>1.8919999999999999E-2</v>
      </c>
      <c r="F1192" s="30">
        <v>991861995</v>
      </c>
      <c r="G1192" s="30" t="s">
        <v>5427</v>
      </c>
      <c r="H1192" s="30">
        <v>2019</v>
      </c>
      <c r="I1192" s="30">
        <v>111027</v>
      </c>
      <c r="J1192" s="30" t="s">
        <v>5431</v>
      </c>
      <c r="K1192" s="30" t="s">
        <v>5430</v>
      </c>
    </row>
    <row r="1193" spans="1:11" x14ac:dyDescent="0.35">
      <c r="A1193" s="30" t="s">
        <v>11422</v>
      </c>
      <c r="B1193" s="30" t="s">
        <v>11423</v>
      </c>
      <c r="C1193" s="32">
        <v>10.24</v>
      </c>
      <c r="D1193" s="30">
        <v>0</v>
      </c>
      <c r="E1193" s="31">
        <v>0</v>
      </c>
      <c r="F1193" s="30">
        <v>132992000</v>
      </c>
      <c r="G1193" s="30" t="s">
        <v>5427</v>
      </c>
      <c r="H1193" s="30">
        <v>2022</v>
      </c>
      <c r="I1193" s="30">
        <v>54689</v>
      </c>
      <c r="J1193" s="30" t="s">
        <v>5457</v>
      </c>
      <c r="K1193" s="30" t="s">
        <v>5571</v>
      </c>
    </row>
    <row r="1194" spans="1:11" x14ac:dyDescent="0.35">
      <c r="A1194" s="30" t="s">
        <v>11424</v>
      </c>
      <c r="B1194" s="30" t="s">
        <v>11425</v>
      </c>
      <c r="C1194" s="32">
        <v>7.91</v>
      </c>
      <c r="D1194" s="30">
        <v>0.16</v>
      </c>
      <c r="E1194" s="31">
        <v>2.0650000000000002E-2</v>
      </c>
      <c r="F1194" s="30">
        <v>1133021186</v>
      </c>
      <c r="G1194" s="30" t="s">
        <v>5427</v>
      </c>
      <c r="H1194" s="30"/>
      <c r="I1194" s="30">
        <v>647853</v>
      </c>
      <c r="J1194" s="30" t="s">
        <v>5442</v>
      </c>
      <c r="K1194" s="30" t="s">
        <v>5834</v>
      </c>
    </row>
    <row r="1195" spans="1:11" x14ac:dyDescent="0.35">
      <c r="A1195" s="30" t="s">
        <v>11426</v>
      </c>
      <c r="B1195" s="30" t="s">
        <v>11427</v>
      </c>
      <c r="C1195" s="32">
        <v>5.33</v>
      </c>
      <c r="D1195" s="30">
        <v>0.09</v>
      </c>
      <c r="E1195" s="31">
        <v>1.7180000000000001E-2</v>
      </c>
      <c r="F1195" s="30">
        <v>255838620</v>
      </c>
      <c r="G1195" s="30" t="s">
        <v>5427</v>
      </c>
      <c r="H1195" s="30"/>
      <c r="I1195" s="30">
        <v>170237</v>
      </c>
      <c r="J1195" s="30" t="s">
        <v>5219</v>
      </c>
      <c r="K1195" s="30" t="s">
        <v>5447</v>
      </c>
    </row>
    <row r="1196" spans="1:11" x14ac:dyDescent="0.35">
      <c r="A1196" s="30" t="s">
        <v>11428</v>
      </c>
      <c r="B1196" s="30" t="s">
        <v>11429</v>
      </c>
      <c r="C1196" s="32">
        <v>29.8</v>
      </c>
      <c r="D1196" s="30">
        <v>0.88</v>
      </c>
      <c r="E1196" s="31">
        <v>3.0429999999999999E-2</v>
      </c>
      <c r="F1196" s="30">
        <v>688415909</v>
      </c>
      <c r="G1196" s="30" t="s">
        <v>5427</v>
      </c>
      <c r="H1196" s="30">
        <v>2018</v>
      </c>
      <c r="I1196" s="30">
        <v>113228</v>
      </c>
      <c r="J1196" s="30" t="s">
        <v>5219</v>
      </c>
      <c r="K1196" s="30" t="s">
        <v>5447</v>
      </c>
    </row>
    <row r="1197" spans="1:11" x14ac:dyDescent="0.35">
      <c r="A1197" s="30" t="s">
        <v>11430</v>
      </c>
      <c r="B1197" s="30" t="s">
        <v>11431</v>
      </c>
      <c r="C1197" s="32">
        <v>4.2</v>
      </c>
      <c r="D1197" s="30">
        <v>-0.06</v>
      </c>
      <c r="E1197" s="31">
        <v>-1.4080000000000001E-2</v>
      </c>
      <c r="F1197" s="30">
        <v>152281471</v>
      </c>
      <c r="G1197" s="30" t="s">
        <v>5427</v>
      </c>
      <c r="H1197" s="30">
        <v>2021</v>
      </c>
      <c r="I1197" s="30">
        <v>1513115</v>
      </c>
      <c r="J1197" s="30" t="s">
        <v>5431</v>
      </c>
      <c r="K1197" s="30" t="s">
        <v>5430</v>
      </c>
    </row>
    <row r="1198" spans="1:11" x14ac:dyDescent="0.35">
      <c r="A1198" s="30" t="s">
        <v>11432</v>
      </c>
      <c r="B1198" s="30" t="s">
        <v>11433</v>
      </c>
      <c r="C1198" s="32">
        <v>216.52</v>
      </c>
      <c r="D1198" s="30">
        <v>2.3199999999999998</v>
      </c>
      <c r="E1198" s="31">
        <v>1.0829999999999999E-2</v>
      </c>
      <c r="F1198" s="30">
        <v>34058596000</v>
      </c>
      <c r="G1198" s="30" t="s">
        <v>5427</v>
      </c>
      <c r="H1198" s="30">
        <v>2000</v>
      </c>
      <c r="I1198" s="30">
        <v>1287086</v>
      </c>
      <c r="J1198" s="30" t="s">
        <v>5431</v>
      </c>
      <c r="K1198" s="30" t="s">
        <v>5610</v>
      </c>
    </row>
    <row r="1199" spans="1:11" x14ac:dyDescent="0.35">
      <c r="A1199" s="30" t="s">
        <v>11434</v>
      </c>
      <c r="B1199" s="30" t="s">
        <v>11435</v>
      </c>
      <c r="C1199" s="32">
        <v>4.5</v>
      </c>
      <c r="D1199" s="30">
        <v>0.09</v>
      </c>
      <c r="E1199" s="31">
        <v>2.0410000000000001E-2</v>
      </c>
      <c r="F1199" s="30">
        <v>295058520</v>
      </c>
      <c r="G1199" s="30" t="s">
        <v>5427</v>
      </c>
      <c r="H1199" s="30">
        <v>2018</v>
      </c>
      <c r="I1199" s="30">
        <v>929198</v>
      </c>
      <c r="J1199" s="30" t="s">
        <v>5197</v>
      </c>
      <c r="K1199" s="30" t="s">
        <v>5467</v>
      </c>
    </row>
    <row r="1200" spans="1:11" x14ac:dyDescent="0.35">
      <c r="A1200" s="30" t="s">
        <v>11436</v>
      </c>
      <c r="B1200" s="30" t="s">
        <v>11437</v>
      </c>
      <c r="C1200" s="32">
        <v>10.38</v>
      </c>
      <c r="D1200" s="30">
        <v>-0.02</v>
      </c>
      <c r="E1200" s="31">
        <v>-1.92E-3</v>
      </c>
      <c r="F1200" s="30">
        <v>90189692</v>
      </c>
      <c r="G1200" s="30" t="s">
        <v>5427</v>
      </c>
      <c r="H1200" s="30">
        <v>2021</v>
      </c>
      <c r="I1200" s="30">
        <v>1063</v>
      </c>
      <c r="J1200" s="30" t="s">
        <v>5457</v>
      </c>
      <c r="K1200" s="30" t="s">
        <v>5571</v>
      </c>
    </row>
    <row r="1201" spans="1:11" x14ac:dyDescent="0.35">
      <c r="A1201" s="30" t="s">
        <v>11438</v>
      </c>
      <c r="B1201" s="30" t="s">
        <v>11439</v>
      </c>
      <c r="C1201" s="32">
        <v>62.41</v>
      </c>
      <c r="D1201" s="30">
        <v>1.1399999999999999</v>
      </c>
      <c r="E1201" s="31">
        <v>1.8610000000000002E-2</v>
      </c>
      <c r="F1201" s="30">
        <v>2989748491</v>
      </c>
      <c r="G1201" s="30" t="s">
        <v>5775</v>
      </c>
      <c r="H1201" s="30">
        <v>2021</v>
      </c>
      <c r="I1201" s="30">
        <v>231025</v>
      </c>
      <c r="J1201" s="30" t="s">
        <v>5431</v>
      </c>
      <c r="K1201" s="30" t="s">
        <v>6409</v>
      </c>
    </row>
    <row r="1202" spans="1:11" x14ac:dyDescent="0.35">
      <c r="A1202" s="30" t="s">
        <v>11440</v>
      </c>
      <c r="B1202" s="30" t="s">
        <v>11441</v>
      </c>
      <c r="C1202" s="32">
        <v>4.63</v>
      </c>
      <c r="D1202" s="30">
        <v>0.03</v>
      </c>
      <c r="E1202" s="31">
        <v>6.5199999999999998E-3</v>
      </c>
      <c r="F1202" s="30">
        <v>1022076797</v>
      </c>
      <c r="G1202" s="30" t="s">
        <v>5427</v>
      </c>
      <c r="H1202" s="30">
        <v>1989</v>
      </c>
      <c r="I1202" s="30">
        <v>4814386</v>
      </c>
      <c r="J1202" s="30" t="s">
        <v>5431</v>
      </c>
      <c r="K1202" s="30" t="s">
        <v>5430</v>
      </c>
    </row>
    <row r="1203" spans="1:11" x14ac:dyDescent="0.35">
      <c r="A1203" s="30" t="s">
        <v>11442</v>
      </c>
      <c r="B1203" s="30" t="s">
        <v>11443</v>
      </c>
      <c r="C1203" s="32">
        <v>95.25</v>
      </c>
      <c r="D1203" s="30">
        <v>0.25</v>
      </c>
      <c r="E1203" s="31">
        <v>2.63E-3</v>
      </c>
      <c r="F1203" s="30">
        <v>1809214314</v>
      </c>
      <c r="G1203" s="30" t="s">
        <v>5427</v>
      </c>
      <c r="H1203" s="30">
        <v>1987</v>
      </c>
      <c r="I1203" s="30">
        <v>75968</v>
      </c>
      <c r="J1203" s="30" t="s">
        <v>5541</v>
      </c>
      <c r="K1203" s="30" t="s">
        <v>5540</v>
      </c>
    </row>
    <row r="1204" spans="1:11" x14ac:dyDescent="0.35">
      <c r="A1204" s="30" t="s">
        <v>11444</v>
      </c>
      <c r="B1204" s="30" t="s">
        <v>11445</v>
      </c>
      <c r="C1204" s="32">
        <v>1.98</v>
      </c>
      <c r="D1204" s="30">
        <v>0.03</v>
      </c>
      <c r="E1204" s="31">
        <v>1.538E-2</v>
      </c>
      <c r="F1204" s="30">
        <v>174059711</v>
      </c>
      <c r="G1204" s="30" t="s">
        <v>6338</v>
      </c>
      <c r="H1204" s="30"/>
      <c r="I1204" s="30">
        <v>49825</v>
      </c>
      <c r="J1204" s="30" t="s">
        <v>5431</v>
      </c>
      <c r="K1204" s="30" t="s">
        <v>5430</v>
      </c>
    </row>
    <row r="1205" spans="1:11" x14ac:dyDescent="0.35">
      <c r="A1205" s="30" t="s">
        <v>11446</v>
      </c>
      <c r="B1205" s="30" t="s">
        <v>11447</v>
      </c>
      <c r="C1205" s="32">
        <v>7.39</v>
      </c>
      <c r="D1205" s="30">
        <v>7.0000000000000007E-2</v>
      </c>
      <c r="E1205" s="31">
        <v>9.5600000000000008E-3</v>
      </c>
      <c r="F1205" s="30">
        <v>238762734</v>
      </c>
      <c r="G1205" s="30" t="s">
        <v>5427</v>
      </c>
      <c r="H1205" s="30">
        <v>1999</v>
      </c>
      <c r="I1205" s="30">
        <v>277033</v>
      </c>
      <c r="J1205" s="30" t="s">
        <v>5219</v>
      </c>
      <c r="K1205" s="30" t="s">
        <v>7345</v>
      </c>
    </row>
    <row r="1206" spans="1:11" x14ac:dyDescent="0.35">
      <c r="A1206" s="30" t="s">
        <v>11448</v>
      </c>
      <c r="B1206" s="30" t="s">
        <v>11449</v>
      </c>
      <c r="C1206" s="32">
        <v>5.26</v>
      </c>
      <c r="D1206" s="30">
        <v>-0.03</v>
      </c>
      <c r="E1206" s="31">
        <v>-5.6699999999999997E-3</v>
      </c>
      <c r="F1206" s="30">
        <v>63797714</v>
      </c>
      <c r="G1206" s="30" t="s">
        <v>5427</v>
      </c>
      <c r="H1206" s="30">
        <v>2020</v>
      </c>
      <c r="I1206" s="30">
        <v>37470</v>
      </c>
      <c r="J1206" s="30" t="s">
        <v>5431</v>
      </c>
      <c r="K1206" s="30" t="s">
        <v>5685</v>
      </c>
    </row>
    <row r="1207" spans="1:11" x14ac:dyDescent="0.35">
      <c r="A1207" s="30" t="s">
        <v>11450</v>
      </c>
      <c r="B1207" s="30" t="s">
        <v>11451</v>
      </c>
      <c r="C1207" s="32">
        <v>23.81</v>
      </c>
      <c r="D1207" s="30">
        <v>0.73</v>
      </c>
      <c r="E1207" s="31">
        <v>3.1629999999999998E-2</v>
      </c>
      <c r="F1207" s="30">
        <v>865779363</v>
      </c>
      <c r="G1207" s="30" t="s">
        <v>5771</v>
      </c>
      <c r="H1207" s="30"/>
      <c r="I1207" s="30">
        <v>27965</v>
      </c>
      <c r="J1207" s="30" t="s">
        <v>5219</v>
      </c>
      <c r="K1207" s="30" t="s">
        <v>5526</v>
      </c>
    </row>
    <row r="1208" spans="1:11" x14ac:dyDescent="0.35">
      <c r="A1208" s="30" t="s">
        <v>11452</v>
      </c>
      <c r="B1208" s="30" t="s">
        <v>11453</v>
      </c>
      <c r="C1208" s="32">
        <v>3.47</v>
      </c>
      <c r="D1208" s="30">
        <v>-0.14000000000000001</v>
      </c>
      <c r="E1208" s="31">
        <v>-3.8780000000000002E-2</v>
      </c>
      <c r="F1208" s="30">
        <v>82375416</v>
      </c>
      <c r="G1208" s="30" t="s">
        <v>5427</v>
      </c>
      <c r="H1208" s="30">
        <v>2021</v>
      </c>
      <c r="I1208" s="30">
        <v>3468</v>
      </c>
      <c r="J1208" s="30" t="s">
        <v>5431</v>
      </c>
      <c r="K1208" s="30" t="s">
        <v>5430</v>
      </c>
    </row>
    <row r="1209" spans="1:11" x14ac:dyDescent="0.35">
      <c r="A1209" s="30" t="s">
        <v>11454</v>
      </c>
      <c r="B1209" s="30" t="s">
        <v>11455</v>
      </c>
      <c r="C1209" s="32">
        <v>4.54</v>
      </c>
      <c r="D1209" s="30">
        <v>-0.08</v>
      </c>
      <c r="E1209" s="31">
        <v>-1.7319999999999999E-2</v>
      </c>
      <c r="F1209" s="30">
        <v>119344179</v>
      </c>
      <c r="G1209" s="30" t="s">
        <v>5427</v>
      </c>
      <c r="H1209" s="30">
        <v>2020</v>
      </c>
      <c r="I1209" s="30">
        <v>21532</v>
      </c>
      <c r="J1209" s="30" t="s">
        <v>5431</v>
      </c>
      <c r="K1209" s="30" t="s">
        <v>6409</v>
      </c>
    </row>
    <row r="1210" spans="1:11" x14ac:dyDescent="0.35">
      <c r="A1210" s="30" t="s">
        <v>11456</v>
      </c>
      <c r="B1210" s="30" t="s">
        <v>11457</v>
      </c>
      <c r="C1210" s="32">
        <v>4.17</v>
      </c>
      <c r="D1210" s="30">
        <v>-0.02</v>
      </c>
      <c r="E1210" s="31">
        <v>-4.7699999999999999E-3</v>
      </c>
      <c r="F1210" s="30">
        <v>110107732</v>
      </c>
      <c r="G1210" s="30" t="s">
        <v>5427</v>
      </c>
      <c r="H1210" s="30">
        <v>2021</v>
      </c>
      <c r="I1210" s="30">
        <v>31671</v>
      </c>
      <c r="J1210" s="30" t="s">
        <v>5431</v>
      </c>
      <c r="K1210" s="30" t="s">
        <v>5430</v>
      </c>
    </row>
    <row r="1211" spans="1:11" x14ac:dyDescent="0.35">
      <c r="A1211" s="30" t="s">
        <v>11458</v>
      </c>
      <c r="B1211" s="30" t="s">
        <v>11459</v>
      </c>
      <c r="C1211" s="32">
        <v>8.31</v>
      </c>
      <c r="D1211" s="30">
        <v>0.2</v>
      </c>
      <c r="E1211" s="31">
        <v>2.4660000000000001E-2</v>
      </c>
      <c r="F1211" s="30">
        <v>633446686</v>
      </c>
      <c r="G1211" s="30" t="s">
        <v>6263</v>
      </c>
      <c r="H1211" s="30"/>
      <c r="I1211" s="30">
        <v>209502</v>
      </c>
      <c r="J1211" s="30" t="s">
        <v>5431</v>
      </c>
      <c r="K1211" s="30" t="s">
        <v>6409</v>
      </c>
    </row>
    <row r="1212" spans="1:11" x14ac:dyDescent="0.35">
      <c r="A1212" s="30" t="s">
        <v>11460</v>
      </c>
      <c r="B1212" s="30" t="s">
        <v>11461</v>
      </c>
      <c r="C1212" s="32">
        <v>2.52</v>
      </c>
      <c r="D1212" s="30">
        <v>0.12</v>
      </c>
      <c r="E1212" s="31">
        <v>0.05</v>
      </c>
      <c r="F1212" s="30">
        <v>111782409</v>
      </c>
      <c r="G1212" s="30" t="s">
        <v>5427</v>
      </c>
      <c r="H1212" s="30">
        <v>2014</v>
      </c>
      <c r="I1212" s="30">
        <v>1186684</v>
      </c>
      <c r="J1212" s="30" t="s">
        <v>5431</v>
      </c>
      <c r="K1212" s="30" t="s">
        <v>5430</v>
      </c>
    </row>
    <row r="1213" spans="1:11" x14ac:dyDescent="0.35">
      <c r="A1213" s="30" t="s">
        <v>11462</v>
      </c>
      <c r="B1213" s="30" t="s">
        <v>11463</v>
      </c>
      <c r="C1213" s="32">
        <v>18.2</v>
      </c>
      <c r="D1213" s="30">
        <v>0.43</v>
      </c>
      <c r="E1213" s="31">
        <v>2.4199999999999999E-2</v>
      </c>
      <c r="F1213" s="30">
        <v>1488973431</v>
      </c>
      <c r="G1213" s="30" t="s">
        <v>5427</v>
      </c>
      <c r="H1213" s="30">
        <v>2019</v>
      </c>
      <c r="I1213" s="30">
        <v>1051112</v>
      </c>
      <c r="J1213" s="30" t="s">
        <v>5431</v>
      </c>
      <c r="K1213" s="30" t="s">
        <v>5430</v>
      </c>
    </row>
    <row r="1214" spans="1:11" x14ac:dyDescent="0.35">
      <c r="A1214" s="30" t="s">
        <v>11464</v>
      </c>
      <c r="B1214" s="30" t="s">
        <v>11465</v>
      </c>
      <c r="C1214" s="32">
        <v>23.28</v>
      </c>
      <c r="D1214" s="30">
        <v>0.52</v>
      </c>
      <c r="E1214" s="31">
        <v>2.2849999999999999E-2</v>
      </c>
      <c r="F1214" s="30">
        <v>862813557</v>
      </c>
      <c r="G1214" s="30" t="s">
        <v>5427</v>
      </c>
      <c r="H1214" s="30">
        <v>2017</v>
      </c>
      <c r="I1214" s="30">
        <v>388106</v>
      </c>
      <c r="J1214" s="30" t="s">
        <v>5219</v>
      </c>
      <c r="K1214" s="30" t="s">
        <v>5812</v>
      </c>
    </row>
    <row r="1215" spans="1:11" x14ac:dyDescent="0.35">
      <c r="A1215" s="30" t="s">
        <v>11466</v>
      </c>
      <c r="B1215" s="30" t="s">
        <v>11467</v>
      </c>
      <c r="C1215" s="32">
        <v>2.42</v>
      </c>
      <c r="D1215" s="30">
        <v>0.124</v>
      </c>
      <c r="E1215" s="31">
        <v>5.4010000000000002E-2</v>
      </c>
      <c r="F1215" s="30">
        <v>59295220</v>
      </c>
      <c r="G1215" s="30" t="s">
        <v>5427</v>
      </c>
      <c r="H1215" s="30">
        <v>2021</v>
      </c>
      <c r="I1215" s="30">
        <v>37339</v>
      </c>
      <c r="J1215" s="30" t="s">
        <v>5431</v>
      </c>
      <c r="K1215" s="30" t="s">
        <v>5430</v>
      </c>
    </row>
    <row r="1216" spans="1:11" x14ac:dyDescent="0.35">
      <c r="A1216" s="30" t="s">
        <v>11468</v>
      </c>
      <c r="B1216" s="30" t="s">
        <v>11469</v>
      </c>
      <c r="C1216" s="32">
        <v>26.87</v>
      </c>
      <c r="D1216" s="30">
        <v>0.57999999999999996</v>
      </c>
      <c r="E1216" s="31">
        <v>2.206E-2</v>
      </c>
      <c r="F1216" s="30">
        <v>243600276</v>
      </c>
      <c r="G1216" s="30" t="s">
        <v>5427</v>
      </c>
      <c r="H1216" s="30"/>
      <c r="I1216" s="30">
        <v>41671</v>
      </c>
      <c r="J1216" s="30" t="s">
        <v>5435</v>
      </c>
      <c r="K1216" s="30" t="s">
        <v>5579</v>
      </c>
    </row>
    <row r="1217" spans="1:11" x14ac:dyDescent="0.35">
      <c r="A1217" s="30" t="s">
        <v>11470</v>
      </c>
      <c r="B1217" s="30" t="s">
        <v>11471</v>
      </c>
      <c r="C1217" s="32">
        <v>25.06</v>
      </c>
      <c r="D1217" s="30">
        <v>0.06</v>
      </c>
      <c r="E1217" s="31">
        <v>2.3999999999999998E-3</v>
      </c>
      <c r="F1217" s="30">
        <v>1091398635</v>
      </c>
      <c r="G1217" s="30" t="s">
        <v>5427</v>
      </c>
      <c r="H1217" s="30">
        <v>2020</v>
      </c>
      <c r="I1217" s="30">
        <v>383484</v>
      </c>
      <c r="J1217" s="30" t="s">
        <v>5431</v>
      </c>
      <c r="K1217" s="30" t="s">
        <v>5430</v>
      </c>
    </row>
    <row r="1218" spans="1:11" x14ac:dyDescent="0.35">
      <c r="A1218" s="30" t="s">
        <v>11472</v>
      </c>
      <c r="B1218" s="30" t="s">
        <v>11473</v>
      </c>
      <c r="C1218" s="32">
        <v>85.6</v>
      </c>
      <c r="D1218" s="30">
        <v>0.46</v>
      </c>
      <c r="E1218" s="31">
        <v>5.4000000000000003E-3</v>
      </c>
      <c r="F1218" s="30">
        <v>19043900061</v>
      </c>
      <c r="G1218" s="30" t="s">
        <v>5427</v>
      </c>
      <c r="H1218" s="30"/>
      <c r="I1218" s="30">
        <v>1077321</v>
      </c>
      <c r="J1218" s="30" t="s">
        <v>5431</v>
      </c>
      <c r="K1218" s="30" t="s">
        <v>9124</v>
      </c>
    </row>
    <row r="1219" spans="1:11" x14ac:dyDescent="0.35">
      <c r="A1219" s="30" t="s">
        <v>11474</v>
      </c>
      <c r="B1219" s="30" t="s">
        <v>11475</v>
      </c>
      <c r="C1219" s="32">
        <v>80.3</v>
      </c>
      <c r="D1219" s="30">
        <v>0.61</v>
      </c>
      <c r="E1219" s="31">
        <v>7.6499999999999997E-3</v>
      </c>
      <c r="F1219" s="30">
        <v>3664991411</v>
      </c>
      <c r="G1219" s="30" t="s">
        <v>5427</v>
      </c>
      <c r="H1219" s="30"/>
      <c r="I1219" s="30">
        <v>242495</v>
      </c>
      <c r="J1219" s="30" t="s">
        <v>5435</v>
      </c>
      <c r="K1219" s="30" t="s">
        <v>5579</v>
      </c>
    </row>
    <row r="1220" spans="1:11" x14ac:dyDescent="0.35">
      <c r="A1220" s="30" t="s">
        <v>11476</v>
      </c>
      <c r="B1220" s="30" t="s">
        <v>11477</v>
      </c>
      <c r="C1220" s="32">
        <v>7.96</v>
      </c>
      <c r="D1220" s="30">
        <v>-0.01</v>
      </c>
      <c r="E1220" s="31">
        <v>-1.25E-3</v>
      </c>
      <c r="F1220" s="30">
        <v>996048674</v>
      </c>
      <c r="G1220" s="30" t="s">
        <v>5427</v>
      </c>
      <c r="H1220" s="30"/>
      <c r="I1220" s="30">
        <v>2218769</v>
      </c>
      <c r="J1220" s="30" t="s">
        <v>5219</v>
      </c>
      <c r="K1220" s="30" t="s">
        <v>5526</v>
      </c>
    </row>
    <row r="1221" spans="1:11" x14ac:dyDescent="0.35">
      <c r="A1221" s="30" t="s">
        <v>11478</v>
      </c>
      <c r="B1221" s="30" t="s">
        <v>11479</v>
      </c>
      <c r="C1221" s="32">
        <v>63.82</v>
      </c>
      <c r="D1221" s="30">
        <v>-0.28000000000000003</v>
      </c>
      <c r="E1221" s="31">
        <v>-4.3699999999999998E-3</v>
      </c>
      <c r="F1221" s="30">
        <v>650479989</v>
      </c>
      <c r="G1221" s="30" t="s">
        <v>5427</v>
      </c>
      <c r="H1221" s="30"/>
      <c r="I1221" s="30">
        <v>32611</v>
      </c>
      <c r="J1221" s="30" t="s">
        <v>5197</v>
      </c>
      <c r="K1221" s="30" t="s">
        <v>5467</v>
      </c>
    </row>
    <row r="1222" spans="1:11" x14ac:dyDescent="0.35">
      <c r="A1222" s="30" t="s">
        <v>11480</v>
      </c>
      <c r="B1222" s="30" t="s">
        <v>11481</v>
      </c>
      <c r="C1222" s="32">
        <v>0.62339999999999995</v>
      </c>
      <c r="D1222" s="30">
        <v>2.7000000000000001E-3</v>
      </c>
      <c r="E1222" s="31">
        <v>4.3499999999999997E-3</v>
      </c>
      <c r="F1222" s="30">
        <v>55698035</v>
      </c>
      <c r="G1222" s="30" t="s">
        <v>5427</v>
      </c>
      <c r="H1222" s="30"/>
      <c r="I1222" s="30">
        <v>175655</v>
      </c>
      <c r="J1222" s="30" t="s">
        <v>5431</v>
      </c>
      <c r="K1222" s="30" t="s">
        <v>5430</v>
      </c>
    </row>
    <row r="1223" spans="1:11" x14ac:dyDescent="0.35">
      <c r="A1223" s="30" t="s">
        <v>11482</v>
      </c>
      <c r="B1223" s="30" t="s">
        <v>11483</v>
      </c>
      <c r="C1223" s="32">
        <v>7.62</v>
      </c>
      <c r="D1223" s="30">
        <v>0.3</v>
      </c>
      <c r="E1223" s="31">
        <v>4.0980000000000003E-2</v>
      </c>
      <c r="F1223" s="30">
        <v>1674447992</v>
      </c>
      <c r="G1223" s="30" t="s">
        <v>5427</v>
      </c>
      <c r="H1223" s="30">
        <v>2007</v>
      </c>
      <c r="I1223" s="30">
        <v>2234849</v>
      </c>
      <c r="J1223" s="30" t="s">
        <v>5426</v>
      </c>
      <c r="K1223" s="30" t="s">
        <v>5520</v>
      </c>
    </row>
    <row r="1224" spans="1:11" x14ac:dyDescent="0.35">
      <c r="A1224" s="30" t="s">
        <v>11484</v>
      </c>
      <c r="B1224" s="30" t="s">
        <v>11485</v>
      </c>
      <c r="C1224" s="32">
        <v>24.13</v>
      </c>
      <c r="D1224" s="30">
        <v>0.8</v>
      </c>
      <c r="E1224" s="31">
        <v>3.4290000000000001E-2</v>
      </c>
      <c r="F1224" s="30">
        <v>553083778</v>
      </c>
      <c r="G1224" s="30" t="s">
        <v>5427</v>
      </c>
      <c r="H1224" s="30">
        <v>2014</v>
      </c>
      <c r="I1224" s="30">
        <v>219209</v>
      </c>
      <c r="J1224" s="30" t="s">
        <v>5431</v>
      </c>
      <c r="K1224" s="30" t="s">
        <v>5438</v>
      </c>
    </row>
    <row r="1225" spans="1:11" x14ac:dyDescent="0.35">
      <c r="A1225" s="30" t="s">
        <v>11486</v>
      </c>
      <c r="B1225" s="30" t="s">
        <v>11487</v>
      </c>
      <c r="C1225" s="32">
        <v>10.28</v>
      </c>
      <c r="D1225" s="30">
        <v>-1.6299999999999999E-2</v>
      </c>
      <c r="E1225" s="31">
        <v>-1.58E-3</v>
      </c>
      <c r="F1225" s="30">
        <v>50684142</v>
      </c>
      <c r="G1225" s="30" t="s">
        <v>5427</v>
      </c>
      <c r="H1225" s="30">
        <v>2021</v>
      </c>
      <c r="I1225" s="30">
        <v>103088</v>
      </c>
      <c r="J1225" s="30" t="s">
        <v>5457</v>
      </c>
      <c r="K1225" s="30" t="s">
        <v>5571</v>
      </c>
    </row>
    <row r="1226" spans="1:11" x14ac:dyDescent="0.35">
      <c r="A1226" s="30" t="s">
        <v>11488</v>
      </c>
      <c r="B1226" s="30" t="s">
        <v>11489</v>
      </c>
      <c r="C1226" s="32">
        <v>2.19</v>
      </c>
      <c r="D1226" s="30">
        <v>-9.6500000000000002E-2</v>
      </c>
      <c r="E1226" s="31">
        <v>-4.2200000000000001E-2</v>
      </c>
      <c r="F1226" s="30">
        <v>73991185</v>
      </c>
      <c r="G1226" s="30" t="s">
        <v>5427</v>
      </c>
      <c r="H1226" s="30">
        <v>2021</v>
      </c>
      <c r="I1226" s="30">
        <v>4702</v>
      </c>
      <c r="J1226" s="30" t="s">
        <v>5431</v>
      </c>
      <c r="K1226" s="30" t="s">
        <v>5685</v>
      </c>
    </row>
    <row r="1227" spans="1:11" x14ac:dyDescent="0.35">
      <c r="A1227" s="30" t="s">
        <v>11490</v>
      </c>
      <c r="B1227" s="30" t="s">
        <v>11491</v>
      </c>
      <c r="C1227" s="32">
        <v>8.66</v>
      </c>
      <c r="D1227" s="30">
        <v>0.08</v>
      </c>
      <c r="E1227" s="31">
        <v>9.3200000000000002E-3</v>
      </c>
      <c r="F1227" s="30">
        <v>155412317</v>
      </c>
      <c r="G1227" s="30" t="s">
        <v>5427</v>
      </c>
      <c r="H1227" s="30">
        <v>2019</v>
      </c>
      <c r="I1227" s="30">
        <v>57027</v>
      </c>
      <c r="J1227" s="30" t="s">
        <v>5431</v>
      </c>
      <c r="K1227" s="30" t="s">
        <v>5430</v>
      </c>
    </row>
    <row r="1228" spans="1:11" x14ac:dyDescent="0.35">
      <c r="A1228" s="30" t="s">
        <v>11492</v>
      </c>
      <c r="B1228" s="30" t="s">
        <v>11493</v>
      </c>
      <c r="C1228" s="32">
        <v>7.42</v>
      </c>
      <c r="D1228" s="30">
        <v>-7.0000000000000007E-2</v>
      </c>
      <c r="E1228" s="31">
        <v>-9.3500000000000007E-3</v>
      </c>
      <c r="F1228" s="30">
        <v>1005929459</v>
      </c>
      <c r="G1228" s="30" t="s">
        <v>5427</v>
      </c>
      <c r="H1228" s="30">
        <v>2021</v>
      </c>
      <c r="I1228" s="30">
        <v>48721</v>
      </c>
      <c r="J1228" s="30" t="s">
        <v>5431</v>
      </c>
      <c r="K1228" s="30" t="s">
        <v>5785</v>
      </c>
    </row>
    <row r="1229" spans="1:11" x14ac:dyDescent="0.35">
      <c r="A1229" s="30" t="s">
        <v>11494</v>
      </c>
      <c r="B1229" s="30" t="s">
        <v>11495</v>
      </c>
      <c r="C1229" s="32">
        <v>1.67</v>
      </c>
      <c r="D1229" s="30">
        <v>0.01</v>
      </c>
      <c r="E1229" s="31">
        <v>6.0200000000000002E-3</v>
      </c>
      <c r="F1229" s="30">
        <v>416647071</v>
      </c>
      <c r="G1229" s="30" t="s">
        <v>5427</v>
      </c>
      <c r="H1229" s="30"/>
      <c r="I1229" s="30">
        <v>5792008</v>
      </c>
      <c r="J1229" s="30" t="s">
        <v>5431</v>
      </c>
      <c r="K1229" s="30" t="s">
        <v>6409</v>
      </c>
    </row>
    <row r="1230" spans="1:11" x14ac:dyDescent="0.35">
      <c r="A1230" s="30" t="s">
        <v>11496</v>
      </c>
      <c r="B1230" s="30" t="s">
        <v>11497</v>
      </c>
      <c r="C1230" s="32">
        <v>5.94</v>
      </c>
      <c r="D1230" s="30">
        <v>1.54</v>
      </c>
      <c r="E1230" s="31">
        <v>0.35</v>
      </c>
      <c r="F1230" s="30">
        <v>162626710</v>
      </c>
      <c r="G1230" s="30" t="s">
        <v>5427</v>
      </c>
      <c r="H1230" s="30">
        <v>1993</v>
      </c>
      <c r="I1230" s="30">
        <v>711922</v>
      </c>
      <c r="J1230" s="30" t="s">
        <v>5219</v>
      </c>
      <c r="K1230" s="30" t="s">
        <v>5447</v>
      </c>
    </row>
    <row r="1231" spans="1:11" x14ac:dyDescent="0.35">
      <c r="A1231" s="30" t="s">
        <v>11498</v>
      </c>
      <c r="B1231" s="30" t="s">
        <v>11499</v>
      </c>
      <c r="C1231" s="32">
        <v>15.01</v>
      </c>
      <c r="D1231" s="30">
        <v>0.11</v>
      </c>
      <c r="E1231" s="31">
        <v>7.3800000000000003E-3</v>
      </c>
      <c r="F1231" s="30">
        <v>388266627</v>
      </c>
      <c r="G1231" s="30" t="s">
        <v>5427</v>
      </c>
      <c r="H1231" s="30">
        <v>2014</v>
      </c>
      <c r="I1231" s="30">
        <v>134858</v>
      </c>
      <c r="J1231" s="30" t="s">
        <v>5219</v>
      </c>
      <c r="K1231" s="30" t="s">
        <v>11500</v>
      </c>
    </row>
    <row r="1232" spans="1:11" x14ac:dyDescent="0.35">
      <c r="A1232" s="30" t="s">
        <v>11501</v>
      </c>
      <c r="B1232" s="30" t="s">
        <v>11502</v>
      </c>
      <c r="C1232" s="32">
        <v>1.18</v>
      </c>
      <c r="D1232" s="30">
        <v>0.02</v>
      </c>
      <c r="E1232" s="31">
        <v>1.7239999999999998E-2</v>
      </c>
      <c r="F1232" s="30">
        <v>127262605</v>
      </c>
      <c r="G1232" s="30" t="s">
        <v>5427</v>
      </c>
      <c r="H1232" s="30"/>
      <c r="I1232" s="30">
        <v>557801</v>
      </c>
      <c r="J1232" s="30" t="s">
        <v>5732</v>
      </c>
      <c r="K1232" s="30" t="s">
        <v>5520</v>
      </c>
    </row>
    <row r="1233" spans="1:11" x14ac:dyDescent="0.35">
      <c r="A1233" s="30" t="s">
        <v>11503</v>
      </c>
      <c r="B1233" s="30" t="s">
        <v>11504</v>
      </c>
      <c r="C1233" s="32">
        <v>21.62</v>
      </c>
      <c r="D1233" s="30">
        <v>0.09</v>
      </c>
      <c r="E1233" s="31">
        <v>4.1799999999999997E-3</v>
      </c>
      <c r="F1233" s="30">
        <v>2929008611</v>
      </c>
      <c r="G1233" s="30" t="s">
        <v>5427</v>
      </c>
      <c r="H1233" s="30"/>
      <c r="I1233" s="30">
        <v>764466</v>
      </c>
      <c r="J1233" s="30" t="s">
        <v>5431</v>
      </c>
      <c r="K1233" s="30" t="s">
        <v>5430</v>
      </c>
    </row>
    <row r="1234" spans="1:11" x14ac:dyDescent="0.35">
      <c r="A1234" s="30" t="s">
        <v>11505</v>
      </c>
      <c r="B1234" s="30" t="s">
        <v>11506</v>
      </c>
      <c r="C1234" s="32">
        <v>29.3</v>
      </c>
      <c r="D1234" s="30">
        <v>0.32</v>
      </c>
      <c r="E1234" s="31">
        <v>1.1039999999999999E-2</v>
      </c>
      <c r="F1234" s="30">
        <v>1845991738</v>
      </c>
      <c r="G1234" s="30" t="s">
        <v>5427</v>
      </c>
      <c r="H1234" s="30">
        <v>2021</v>
      </c>
      <c r="I1234" s="30">
        <v>505620</v>
      </c>
      <c r="J1234" s="30" t="s">
        <v>5219</v>
      </c>
      <c r="K1234" s="30" t="s">
        <v>5560</v>
      </c>
    </row>
    <row r="1235" spans="1:11" x14ac:dyDescent="0.35">
      <c r="A1235" s="30" t="s">
        <v>11507</v>
      </c>
      <c r="B1235" s="30" t="s">
        <v>11508</v>
      </c>
      <c r="C1235" s="32">
        <v>29.07</v>
      </c>
      <c r="D1235" s="30">
        <v>0.81</v>
      </c>
      <c r="E1235" s="31">
        <v>2.8660000000000001E-2</v>
      </c>
      <c r="F1235" s="30">
        <v>120262590000</v>
      </c>
      <c r="G1235" s="30" t="s">
        <v>5427</v>
      </c>
      <c r="H1235" s="30"/>
      <c r="I1235" s="30">
        <v>63259593</v>
      </c>
      <c r="J1235" s="30" t="s">
        <v>5219</v>
      </c>
      <c r="K1235" s="30" t="s">
        <v>5526</v>
      </c>
    </row>
    <row r="1236" spans="1:11" x14ac:dyDescent="0.35">
      <c r="A1236" s="30" t="s">
        <v>11509</v>
      </c>
      <c r="B1236" s="30" t="s">
        <v>11510</v>
      </c>
      <c r="C1236" s="32">
        <v>10.1997</v>
      </c>
      <c r="D1236" s="30">
        <v>9.7000000000000003E-3</v>
      </c>
      <c r="E1236" s="31">
        <v>9.5E-4</v>
      </c>
      <c r="F1236" s="30">
        <v>146620688</v>
      </c>
      <c r="G1236" s="30" t="s">
        <v>5427</v>
      </c>
      <c r="H1236" s="30">
        <v>2021</v>
      </c>
      <c r="I1236" s="30">
        <v>800</v>
      </c>
      <c r="J1236" s="30" t="s">
        <v>5457</v>
      </c>
      <c r="K1236" s="30" t="s">
        <v>5571</v>
      </c>
    </row>
    <row r="1237" spans="1:11" x14ac:dyDescent="0.35">
      <c r="A1237" s="30" t="s">
        <v>11511</v>
      </c>
      <c r="B1237" s="30" t="s">
        <v>11512</v>
      </c>
      <c r="C1237" s="32">
        <v>43.11</v>
      </c>
      <c r="D1237" s="30">
        <v>0</v>
      </c>
      <c r="E1237" s="31">
        <v>0</v>
      </c>
      <c r="F1237" s="30">
        <v>95592718</v>
      </c>
      <c r="G1237" s="30" t="s">
        <v>5427</v>
      </c>
      <c r="H1237" s="30"/>
      <c r="I1237" s="30">
        <v>49</v>
      </c>
      <c r="J1237" s="30" t="s">
        <v>5442</v>
      </c>
      <c r="K1237" s="30" t="s">
        <v>5704</v>
      </c>
    </row>
    <row r="1238" spans="1:11" x14ac:dyDescent="0.35">
      <c r="A1238" s="30" t="s">
        <v>11513</v>
      </c>
      <c r="B1238" s="30" t="s">
        <v>11514</v>
      </c>
      <c r="C1238" s="32">
        <v>435.55</v>
      </c>
      <c r="D1238" s="30">
        <v>12.88</v>
      </c>
      <c r="E1238" s="31">
        <v>3.0470000000000001E-2</v>
      </c>
      <c r="F1238" s="30">
        <v>122357036193</v>
      </c>
      <c r="G1238" s="30" t="s">
        <v>5427</v>
      </c>
      <c r="H1238" s="30">
        <v>1993</v>
      </c>
      <c r="I1238" s="30">
        <v>1519766</v>
      </c>
      <c r="J1238" s="30" t="s">
        <v>5219</v>
      </c>
      <c r="K1238" s="30" t="s">
        <v>5560</v>
      </c>
    </row>
    <row r="1239" spans="1:11" x14ac:dyDescent="0.35">
      <c r="A1239" s="30" t="s">
        <v>11515</v>
      </c>
      <c r="B1239" s="30" t="s">
        <v>11516</v>
      </c>
      <c r="C1239" s="32">
        <v>3.53</v>
      </c>
      <c r="D1239" s="30">
        <v>-0.01</v>
      </c>
      <c r="E1239" s="31">
        <v>-2.82E-3</v>
      </c>
      <c r="F1239" s="30">
        <v>74646142</v>
      </c>
      <c r="G1239" s="30" t="s">
        <v>5427</v>
      </c>
      <c r="H1239" s="30"/>
      <c r="I1239" s="30">
        <v>72559</v>
      </c>
      <c r="J1239" s="30" t="s">
        <v>5219</v>
      </c>
      <c r="K1239" s="30" t="s">
        <v>6786</v>
      </c>
    </row>
    <row r="1240" spans="1:11" x14ac:dyDescent="0.35">
      <c r="A1240" s="30" t="s">
        <v>5063</v>
      </c>
      <c r="B1240" s="30" t="s">
        <v>11517</v>
      </c>
      <c r="C1240" s="32">
        <v>12.75</v>
      </c>
      <c r="D1240" s="30">
        <v>0.1</v>
      </c>
      <c r="E1240" s="31">
        <v>7.9100000000000004E-3</v>
      </c>
      <c r="F1240" s="30">
        <v>889735609</v>
      </c>
      <c r="G1240" s="30" t="s">
        <v>5427</v>
      </c>
      <c r="H1240" s="30">
        <v>2004</v>
      </c>
      <c r="I1240" s="30">
        <v>439990</v>
      </c>
      <c r="J1240" s="30" t="s">
        <v>5431</v>
      </c>
      <c r="K1240" s="30" t="s">
        <v>5430</v>
      </c>
    </row>
    <row r="1241" spans="1:11" x14ac:dyDescent="0.35">
      <c r="A1241" s="30" t="s">
        <v>11518</v>
      </c>
      <c r="B1241" s="30" t="s">
        <v>11519</v>
      </c>
      <c r="C1241" s="32">
        <v>8.9450000000000003</v>
      </c>
      <c r="D1241" s="30">
        <v>0.22500000000000001</v>
      </c>
      <c r="E1241" s="31">
        <v>2.58E-2</v>
      </c>
      <c r="F1241" s="30">
        <v>201379939</v>
      </c>
      <c r="G1241" s="30" t="s">
        <v>5427</v>
      </c>
      <c r="H1241" s="30"/>
      <c r="I1241" s="30">
        <v>101796</v>
      </c>
      <c r="J1241" s="30" t="s">
        <v>5219</v>
      </c>
      <c r="K1241" s="30" t="s">
        <v>7345</v>
      </c>
    </row>
    <row r="1242" spans="1:11" x14ac:dyDescent="0.35">
      <c r="A1242" s="30" t="s">
        <v>11520</v>
      </c>
      <c r="B1242" s="30" t="s">
        <v>11521</v>
      </c>
      <c r="C1242" s="32">
        <v>2.4700000000000002</v>
      </c>
      <c r="D1242" s="30">
        <v>0.05</v>
      </c>
      <c r="E1242" s="31">
        <v>2.0660000000000001E-2</v>
      </c>
      <c r="F1242" s="30">
        <v>99774077</v>
      </c>
      <c r="G1242" s="30" t="s">
        <v>5427</v>
      </c>
      <c r="H1242" s="30">
        <v>2020</v>
      </c>
      <c r="I1242" s="30">
        <v>377553</v>
      </c>
      <c r="J1242" s="30" t="s">
        <v>5431</v>
      </c>
      <c r="K1242" s="30" t="s">
        <v>5430</v>
      </c>
    </row>
    <row r="1243" spans="1:11" x14ac:dyDescent="0.35">
      <c r="A1243" s="30" t="s">
        <v>11522</v>
      </c>
      <c r="B1243" s="30" t="s">
        <v>11523</v>
      </c>
      <c r="C1243" s="32">
        <v>10.49</v>
      </c>
      <c r="D1243" s="30">
        <v>0.01</v>
      </c>
      <c r="E1243" s="31">
        <v>9.5E-4</v>
      </c>
      <c r="F1243" s="30">
        <v>336833900</v>
      </c>
      <c r="G1243" s="30" t="s">
        <v>5427</v>
      </c>
      <c r="H1243" s="30">
        <v>2022</v>
      </c>
      <c r="I1243" s="30">
        <v>926</v>
      </c>
      <c r="J1243" s="30" t="s">
        <v>5435</v>
      </c>
      <c r="K1243" s="30" t="s">
        <v>5482</v>
      </c>
    </row>
    <row r="1244" spans="1:11" x14ac:dyDescent="0.35">
      <c r="A1244" s="30" t="s">
        <v>11524</v>
      </c>
      <c r="B1244" s="30" t="s">
        <v>11525</v>
      </c>
      <c r="C1244" s="32">
        <v>2.87</v>
      </c>
      <c r="D1244" s="30">
        <v>0.1</v>
      </c>
      <c r="E1244" s="31">
        <v>3.61E-2</v>
      </c>
      <c r="F1244" s="30">
        <v>82699816</v>
      </c>
      <c r="G1244" s="30" t="s">
        <v>6723</v>
      </c>
      <c r="H1244" s="30">
        <v>2021</v>
      </c>
      <c r="I1244" s="30">
        <v>119877</v>
      </c>
      <c r="J1244" s="30" t="s">
        <v>5431</v>
      </c>
      <c r="K1244" s="30" t="s">
        <v>5430</v>
      </c>
    </row>
    <row r="1245" spans="1:11" x14ac:dyDescent="0.35">
      <c r="A1245" s="30" t="s">
        <v>11526</v>
      </c>
      <c r="B1245" s="30" t="s">
        <v>11527</v>
      </c>
      <c r="C1245" s="32">
        <v>12.4589</v>
      </c>
      <c r="D1245" s="30">
        <v>0.1089</v>
      </c>
      <c r="E1245" s="31">
        <v>8.8199999999999997E-3</v>
      </c>
      <c r="F1245" s="30">
        <v>654092250</v>
      </c>
      <c r="G1245" s="30" t="s">
        <v>6338</v>
      </c>
      <c r="H1245" s="30"/>
      <c r="I1245" s="30">
        <v>20157</v>
      </c>
      <c r="J1245" s="30"/>
      <c r="K1245" s="30"/>
    </row>
    <row r="1246" spans="1:11" x14ac:dyDescent="0.35">
      <c r="A1246" s="30" t="s">
        <v>11528</v>
      </c>
      <c r="B1246" s="30" t="s">
        <v>11529</v>
      </c>
      <c r="C1246" s="32">
        <v>40.03</v>
      </c>
      <c r="D1246" s="30">
        <v>0.16</v>
      </c>
      <c r="E1246" s="31">
        <v>4.0099999999999997E-3</v>
      </c>
      <c r="F1246" s="30">
        <v>5686274950</v>
      </c>
      <c r="G1246" s="30" t="s">
        <v>5427</v>
      </c>
      <c r="H1246" s="30"/>
      <c r="I1246" s="30">
        <v>760778</v>
      </c>
      <c r="J1246" s="30" t="s">
        <v>5431</v>
      </c>
      <c r="K1246" s="30" t="s">
        <v>5430</v>
      </c>
    </row>
    <row r="1247" spans="1:11" x14ac:dyDescent="0.35">
      <c r="A1247" s="30" t="s">
        <v>11530</v>
      </c>
      <c r="B1247" s="30" t="s">
        <v>11531</v>
      </c>
      <c r="C1247" s="32">
        <v>114.3</v>
      </c>
      <c r="D1247" s="30">
        <v>1.28</v>
      </c>
      <c r="E1247" s="31">
        <v>1.133E-2</v>
      </c>
      <c r="F1247" s="30">
        <v>5661249739</v>
      </c>
      <c r="G1247" s="30" t="s">
        <v>5427</v>
      </c>
      <c r="H1247" s="30"/>
      <c r="I1247" s="30">
        <v>98466</v>
      </c>
      <c r="J1247" s="30" t="s">
        <v>5457</v>
      </c>
      <c r="K1247" s="30" t="s">
        <v>5438</v>
      </c>
    </row>
    <row r="1248" spans="1:11" x14ac:dyDescent="0.35">
      <c r="A1248" s="30" t="s">
        <v>11532</v>
      </c>
      <c r="B1248" s="30" t="s">
        <v>11533</v>
      </c>
      <c r="C1248" s="32">
        <v>7.91</v>
      </c>
      <c r="D1248" s="30">
        <v>-0.05</v>
      </c>
      <c r="E1248" s="31">
        <v>-6.28E-3</v>
      </c>
      <c r="F1248" s="30">
        <v>1248518996</v>
      </c>
      <c r="G1248" s="30" t="s">
        <v>5427</v>
      </c>
      <c r="H1248" s="30"/>
      <c r="I1248" s="30">
        <v>2811240</v>
      </c>
      <c r="J1248" s="30" t="s">
        <v>5431</v>
      </c>
      <c r="K1248" s="30" t="s">
        <v>5430</v>
      </c>
    </row>
    <row r="1249" spans="1:11" x14ac:dyDescent="0.35">
      <c r="A1249" s="30" t="s">
        <v>11534</v>
      </c>
      <c r="B1249" s="30" t="s">
        <v>11535</v>
      </c>
      <c r="C1249" s="32">
        <v>4.43</v>
      </c>
      <c r="D1249" s="30">
        <v>0.03</v>
      </c>
      <c r="E1249" s="31">
        <v>6.8199999999999997E-3</v>
      </c>
      <c r="F1249" s="30">
        <v>110464035</v>
      </c>
      <c r="G1249" s="30" t="s">
        <v>5515</v>
      </c>
      <c r="H1249" s="30"/>
      <c r="I1249" s="30">
        <v>13632</v>
      </c>
      <c r="J1249" s="30" t="s">
        <v>5431</v>
      </c>
      <c r="K1249" s="30" t="s">
        <v>8643</v>
      </c>
    </row>
    <row r="1250" spans="1:11" x14ac:dyDescent="0.35">
      <c r="A1250" s="30" t="s">
        <v>11536</v>
      </c>
      <c r="B1250" s="30" t="s">
        <v>11537</v>
      </c>
      <c r="C1250" s="32">
        <v>120.01</v>
      </c>
      <c r="D1250" s="30">
        <v>1.79</v>
      </c>
      <c r="E1250" s="31">
        <v>1.5140000000000001E-2</v>
      </c>
      <c r="F1250" s="30">
        <v>3825393756</v>
      </c>
      <c r="G1250" s="30" t="s">
        <v>5427</v>
      </c>
      <c r="H1250" s="30"/>
      <c r="I1250" s="30">
        <v>125975</v>
      </c>
      <c r="J1250" s="30" t="s">
        <v>5442</v>
      </c>
      <c r="K1250" s="30" t="s">
        <v>6240</v>
      </c>
    </row>
    <row r="1251" spans="1:11" x14ac:dyDescent="0.35">
      <c r="A1251" s="30" t="s">
        <v>11538</v>
      </c>
      <c r="B1251" s="30" t="s">
        <v>11539</v>
      </c>
      <c r="C1251" s="32">
        <v>10.105</v>
      </c>
      <c r="D1251" s="30">
        <v>-1.4E-2</v>
      </c>
      <c r="E1251" s="31">
        <v>-1.3799999999999999E-3</v>
      </c>
      <c r="F1251" s="30">
        <v>416515469</v>
      </c>
      <c r="G1251" s="30" t="s">
        <v>5427</v>
      </c>
      <c r="H1251" s="30">
        <v>2021</v>
      </c>
      <c r="I1251" s="30">
        <v>1676536</v>
      </c>
      <c r="J1251" s="30" t="s">
        <v>5435</v>
      </c>
      <c r="K1251" s="30" t="s">
        <v>5482</v>
      </c>
    </row>
    <row r="1252" spans="1:11" x14ac:dyDescent="0.35">
      <c r="A1252" s="30" t="s">
        <v>11540</v>
      </c>
      <c r="B1252" s="30" t="s">
        <v>11541</v>
      </c>
      <c r="C1252" s="32">
        <v>5.29</v>
      </c>
      <c r="D1252" s="30">
        <v>0.24</v>
      </c>
      <c r="E1252" s="31">
        <v>4.752E-2</v>
      </c>
      <c r="F1252" s="30">
        <v>52563286</v>
      </c>
      <c r="G1252" s="30" t="s">
        <v>5427</v>
      </c>
      <c r="H1252" s="30">
        <v>2013</v>
      </c>
      <c r="I1252" s="30">
        <v>147665</v>
      </c>
      <c r="J1252" s="30" t="s">
        <v>5219</v>
      </c>
      <c r="K1252" s="30" t="s">
        <v>5447</v>
      </c>
    </row>
    <row r="1253" spans="1:11" x14ac:dyDescent="0.35">
      <c r="A1253" s="30" t="s">
        <v>11542</v>
      </c>
      <c r="B1253" s="30" t="s">
        <v>11543</v>
      </c>
      <c r="C1253" s="32">
        <v>114.8</v>
      </c>
      <c r="D1253" s="30">
        <v>2.7</v>
      </c>
      <c r="E1253" s="31">
        <v>2.409E-2</v>
      </c>
      <c r="F1253" s="30">
        <v>5592408413</v>
      </c>
      <c r="G1253" s="30" t="s">
        <v>5427</v>
      </c>
      <c r="H1253" s="30">
        <v>2006</v>
      </c>
      <c r="I1253" s="30">
        <v>294802</v>
      </c>
      <c r="J1253" s="30" t="s">
        <v>5219</v>
      </c>
      <c r="K1253" s="30" t="s">
        <v>5526</v>
      </c>
    </row>
    <row r="1254" spans="1:11" x14ac:dyDescent="0.35">
      <c r="A1254" s="30" t="s">
        <v>11544</v>
      </c>
      <c r="B1254" s="30" t="s">
        <v>11545</v>
      </c>
      <c r="C1254" s="32">
        <v>3.44</v>
      </c>
      <c r="D1254" s="30">
        <v>-5.0000000000000001E-3</v>
      </c>
      <c r="E1254" s="31">
        <v>-1.4499999999999999E-3</v>
      </c>
      <c r="F1254" s="30">
        <v>275929517</v>
      </c>
      <c r="G1254" s="30" t="s">
        <v>5847</v>
      </c>
      <c r="H1254" s="30">
        <v>2019</v>
      </c>
      <c r="I1254" s="30">
        <v>2349</v>
      </c>
      <c r="J1254" s="30" t="s">
        <v>5431</v>
      </c>
      <c r="K1254" s="30" t="s">
        <v>5430</v>
      </c>
    </row>
    <row r="1255" spans="1:11" x14ac:dyDescent="0.35">
      <c r="A1255" s="30" t="s">
        <v>11546</v>
      </c>
      <c r="B1255" s="30" t="s">
        <v>11547</v>
      </c>
      <c r="C1255" s="32">
        <v>4.5199999999999996</v>
      </c>
      <c r="D1255" s="30">
        <v>-0.05</v>
      </c>
      <c r="E1255" s="31">
        <v>-1.094E-2</v>
      </c>
      <c r="F1255" s="30">
        <v>266563596</v>
      </c>
      <c r="G1255" s="30" t="s">
        <v>5427</v>
      </c>
      <c r="H1255" s="30">
        <v>2021</v>
      </c>
      <c r="I1255" s="30">
        <v>695823</v>
      </c>
      <c r="J1255" s="30" t="s">
        <v>5431</v>
      </c>
      <c r="K1255" s="30" t="s">
        <v>5685</v>
      </c>
    </row>
    <row r="1256" spans="1:11" x14ac:dyDescent="0.35">
      <c r="A1256" s="30" t="s">
        <v>11548</v>
      </c>
      <c r="B1256" s="30" t="s">
        <v>11549</v>
      </c>
      <c r="C1256" s="32">
        <v>10.27</v>
      </c>
      <c r="D1256" s="30">
        <v>0</v>
      </c>
      <c r="E1256" s="31">
        <v>0</v>
      </c>
      <c r="F1256" s="30">
        <v>369078125</v>
      </c>
      <c r="G1256" s="30" t="s">
        <v>5427</v>
      </c>
      <c r="H1256" s="30">
        <v>2021</v>
      </c>
      <c r="I1256" s="30">
        <v>289</v>
      </c>
      <c r="J1256" s="30" t="s">
        <v>5457</v>
      </c>
      <c r="K1256" s="30" t="s">
        <v>5571</v>
      </c>
    </row>
    <row r="1257" spans="1:11" x14ac:dyDescent="0.35">
      <c r="A1257" s="30" t="s">
        <v>11550</v>
      </c>
      <c r="B1257" s="30" t="s">
        <v>11551</v>
      </c>
      <c r="C1257" s="32">
        <v>12.65</v>
      </c>
      <c r="D1257" s="30">
        <v>-0.01</v>
      </c>
      <c r="E1257" s="31">
        <v>-7.9000000000000001E-4</v>
      </c>
      <c r="F1257" s="30">
        <v>74963913</v>
      </c>
      <c r="G1257" s="30" t="s">
        <v>5427</v>
      </c>
      <c r="H1257" s="30">
        <v>2013</v>
      </c>
      <c r="I1257" s="30">
        <v>16855</v>
      </c>
      <c r="J1257" s="30" t="s">
        <v>5457</v>
      </c>
      <c r="K1257" s="30" t="s">
        <v>5644</v>
      </c>
    </row>
    <row r="1258" spans="1:11" x14ac:dyDescent="0.35">
      <c r="A1258" s="30" t="s">
        <v>11552</v>
      </c>
      <c r="B1258" s="30" t="s">
        <v>11553</v>
      </c>
      <c r="C1258" s="32">
        <v>6.2750000000000004</v>
      </c>
      <c r="D1258" s="30">
        <v>2.5000000000000001E-2</v>
      </c>
      <c r="E1258" s="31">
        <v>4.0000000000000001E-3</v>
      </c>
      <c r="F1258" s="30">
        <v>88031027</v>
      </c>
      <c r="G1258" s="30" t="s">
        <v>5427</v>
      </c>
      <c r="H1258" s="30"/>
      <c r="I1258" s="30">
        <v>2336</v>
      </c>
      <c r="J1258" s="30" t="s">
        <v>5442</v>
      </c>
      <c r="K1258" s="30" t="s">
        <v>5746</v>
      </c>
    </row>
    <row r="1259" spans="1:11" x14ac:dyDescent="0.35">
      <c r="A1259" s="30" t="s">
        <v>11554</v>
      </c>
      <c r="B1259" s="30" t="s">
        <v>11555</v>
      </c>
      <c r="C1259" s="32">
        <v>10.24</v>
      </c>
      <c r="D1259" s="30">
        <v>-0.09</v>
      </c>
      <c r="E1259" s="31">
        <v>-8.7100000000000007E-3</v>
      </c>
      <c r="F1259" s="30">
        <v>264960000</v>
      </c>
      <c r="G1259" s="30" t="s">
        <v>5427</v>
      </c>
      <c r="H1259" s="30">
        <v>2021</v>
      </c>
      <c r="I1259" s="30">
        <v>2828</v>
      </c>
      <c r="J1259" s="30" t="s">
        <v>5457</v>
      </c>
      <c r="K1259" s="30" t="s">
        <v>5571</v>
      </c>
    </row>
    <row r="1260" spans="1:11" x14ac:dyDescent="0.35">
      <c r="A1260" s="30" t="s">
        <v>11556</v>
      </c>
      <c r="B1260" s="30" t="s">
        <v>11557</v>
      </c>
      <c r="C1260" s="32">
        <v>10.1501</v>
      </c>
      <c r="D1260" s="30">
        <v>-6.9900000000000004E-2</v>
      </c>
      <c r="E1260" s="31">
        <v>-6.8399999999999997E-3</v>
      </c>
      <c r="F1260" s="30">
        <v>262633838</v>
      </c>
      <c r="G1260" s="30" t="s">
        <v>5427</v>
      </c>
      <c r="H1260" s="30">
        <v>2021</v>
      </c>
      <c r="I1260" s="30">
        <v>1465</v>
      </c>
      <c r="J1260" s="30" t="s">
        <v>5457</v>
      </c>
      <c r="K1260" s="30" t="s">
        <v>5571</v>
      </c>
    </row>
    <row r="1261" spans="1:11" x14ac:dyDescent="0.35">
      <c r="A1261" s="30" t="s">
        <v>11558</v>
      </c>
      <c r="B1261" s="30" t="s">
        <v>11559</v>
      </c>
      <c r="C1261" s="32">
        <v>10.33</v>
      </c>
      <c r="D1261" s="30">
        <v>7.0000000000000007E-2</v>
      </c>
      <c r="E1261" s="31">
        <v>6.8199999999999997E-3</v>
      </c>
      <c r="F1261" s="30">
        <v>356385000</v>
      </c>
      <c r="G1261" s="30" t="s">
        <v>5427</v>
      </c>
      <c r="H1261" s="30">
        <v>2021</v>
      </c>
      <c r="I1261" s="30">
        <v>13354</v>
      </c>
      <c r="J1261" s="30" t="s">
        <v>5457</v>
      </c>
      <c r="K1261" s="30" t="s">
        <v>5571</v>
      </c>
    </row>
    <row r="1262" spans="1:11" x14ac:dyDescent="0.35">
      <c r="A1262" s="30" t="s">
        <v>11560</v>
      </c>
      <c r="B1262" s="30" t="s">
        <v>11561</v>
      </c>
      <c r="C1262" s="32">
        <v>45.24</v>
      </c>
      <c r="D1262" s="30">
        <v>0.24</v>
      </c>
      <c r="E1262" s="31">
        <v>5.3299999999999997E-3</v>
      </c>
      <c r="F1262" s="30">
        <v>1237379146</v>
      </c>
      <c r="G1262" s="30" t="s">
        <v>5427</v>
      </c>
      <c r="H1262" s="30">
        <v>2005</v>
      </c>
      <c r="I1262" s="30">
        <v>714290</v>
      </c>
      <c r="J1262" s="30"/>
      <c r="K1262" s="30"/>
    </row>
    <row r="1263" spans="1:11" x14ac:dyDescent="0.35">
      <c r="A1263" s="30" t="s">
        <v>11562</v>
      </c>
      <c r="B1263" s="30" t="s">
        <v>11563</v>
      </c>
      <c r="C1263" s="32">
        <v>60.94</v>
      </c>
      <c r="D1263" s="30">
        <v>1.1000000000000001</v>
      </c>
      <c r="E1263" s="31">
        <v>1.8380000000000001E-2</v>
      </c>
      <c r="F1263" s="30">
        <v>7656656083</v>
      </c>
      <c r="G1263" s="30" t="s">
        <v>5427</v>
      </c>
      <c r="H1263" s="30"/>
      <c r="I1263" s="30">
        <v>647661</v>
      </c>
      <c r="J1263" s="30" t="s">
        <v>5442</v>
      </c>
      <c r="K1263" s="30" t="s">
        <v>5520</v>
      </c>
    </row>
    <row r="1264" spans="1:11" x14ac:dyDescent="0.35">
      <c r="A1264" s="30" t="s">
        <v>11564</v>
      </c>
      <c r="B1264" s="30" t="s">
        <v>11565</v>
      </c>
      <c r="C1264" s="32">
        <v>2.14</v>
      </c>
      <c r="D1264" s="30">
        <v>0</v>
      </c>
      <c r="E1264" s="31">
        <v>0</v>
      </c>
      <c r="F1264" s="30">
        <v>117663440</v>
      </c>
      <c r="G1264" s="30" t="s">
        <v>6338</v>
      </c>
      <c r="H1264" s="30">
        <v>2021</v>
      </c>
      <c r="I1264" s="30">
        <v>283498</v>
      </c>
      <c r="J1264" s="30" t="s">
        <v>5219</v>
      </c>
      <c r="K1264" s="30" t="s">
        <v>5447</v>
      </c>
    </row>
    <row r="1265" spans="1:11" x14ac:dyDescent="0.35">
      <c r="A1265" s="30" t="s">
        <v>11566</v>
      </c>
      <c r="B1265" s="30" t="s">
        <v>11567</v>
      </c>
      <c r="C1265" s="32">
        <v>37.46</v>
      </c>
      <c r="D1265" s="30">
        <v>0.06</v>
      </c>
      <c r="E1265" s="31">
        <v>1.6000000000000001E-3</v>
      </c>
      <c r="F1265" s="30">
        <v>470734947</v>
      </c>
      <c r="G1265" s="30" t="s">
        <v>5427</v>
      </c>
      <c r="H1265" s="30">
        <v>2014</v>
      </c>
      <c r="I1265" s="30">
        <v>24501</v>
      </c>
      <c r="J1265" s="30" t="s">
        <v>5431</v>
      </c>
      <c r="K1265" s="30" t="s">
        <v>5500</v>
      </c>
    </row>
    <row r="1266" spans="1:11" x14ac:dyDescent="0.35">
      <c r="A1266" s="30" t="s">
        <v>11568</v>
      </c>
      <c r="B1266" s="30" t="s">
        <v>11569</v>
      </c>
      <c r="C1266" s="32">
        <v>20.68</v>
      </c>
      <c r="D1266" s="30">
        <v>-1.32</v>
      </c>
      <c r="E1266" s="31">
        <v>-0.06</v>
      </c>
      <c r="F1266" s="30">
        <v>359947767</v>
      </c>
      <c r="G1266" s="30" t="s">
        <v>5427</v>
      </c>
      <c r="H1266" s="30"/>
      <c r="I1266" s="30">
        <v>30673</v>
      </c>
      <c r="J1266" s="30" t="s">
        <v>5431</v>
      </c>
      <c r="K1266" s="30" t="s">
        <v>5430</v>
      </c>
    </row>
    <row r="1267" spans="1:11" x14ac:dyDescent="0.35">
      <c r="A1267" s="30" t="s">
        <v>11570</v>
      </c>
      <c r="B1267" s="30" t="s">
        <v>11571</v>
      </c>
      <c r="C1267" s="32">
        <v>18.09</v>
      </c>
      <c r="D1267" s="30">
        <v>0.19</v>
      </c>
      <c r="E1267" s="31">
        <v>1.061E-2</v>
      </c>
      <c r="F1267" s="30">
        <v>60377654</v>
      </c>
      <c r="G1267" s="30" t="s">
        <v>5427</v>
      </c>
      <c r="H1267" s="30">
        <v>2011</v>
      </c>
      <c r="I1267" s="30">
        <v>540</v>
      </c>
      <c r="J1267" s="30" t="s">
        <v>5435</v>
      </c>
      <c r="K1267" s="30" t="s">
        <v>5598</v>
      </c>
    </row>
    <row r="1268" spans="1:11" x14ac:dyDescent="0.35">
      <c r="A1268" s="30" t="s">
        <v>11572</v>
      </c>
      <c r="B1268" s="30" t="s">
        <v>11573</v>
      </c>
      <c r="C1268" s="32">
        <v>102.25</v>
      </c>
      <c r="D1268" s="30">
        <v>3.95</v>
      </c>
      <c r="E1268" s="31">
        <v>4.018E-2</v>
      </c>
      <c r="F1268" s="30">
        <v>3078837276</v>
      </c>
      <c r="G1268" s="30" t="s">
        <v>5427</v>
      </c>
      <c r="H1268" s="30">
        <v>2016</v>
      </c>
      <c r="I1268" s="30">
        <v>321538</v>
      </c>
      <c r="J1268" s="30" t="s">
        <v>5431</v>
      </c>
      <c r="K1268" s="30" t="s">
        <v>5500</v>
      </c>
    </row>
    <row r="1269" spans="1:11" x14ac:dyDescent="0.35">
      <c r="A1269" s="30" t="s">
        <v>5064</v>
      </c>
      <c r="B1269" s="30" t="s">
        <v>11574</v>
      </c>
      <c r="C1269" s="32">
        <v>11.42</v>
      </c>
      <c r="D1269" s="30">
        <v>-0.1</v>
      </c>
      <c r="E1269" s="31">
        <v>-8.6800000000000002E-3</v>
      </c>
      <c r="F1269" s="30">
        <v>1751776347</v>
      </c>
      <c r="G1269" s="30" t="s">
        <v>5427</v>
      </c>
      <c r="H1269" s="30">
        <v>2010</v>
      </c>
      <c r="I1269" s="30">
        <v>2397553</v>
      </c>
      <c r="J1269" s="30" t="s">
        <v>5431</v>
      </c>
      <c r="K1269" s="30" t="s">
        <v>5430</v>
      </c>
    </row>
    <row r="1270" spans="1:11" x14ac:dyDescent="0.35">
      <c r="A1270" s="30" t="s">
        <v>11575</v>
      </c>
      <c r="B1270" s="30" t="s">
        <v>11576</v>
      </c>
      <c r="C1270" s="32">
        <v>23.7</v>
      </c>
      <c r="D1270" s="30">
        <v>0.6</v>
      </c>
      <c r="E1270" s="31">
        <v>2.597E-2</v>
      </c>
      <c r="F1270" s="30">
        <v>3177525407</v>
      </c>
      <c r="G1270" s="30" t="s">
        <v>5427</v>
      </c>
      <c r="H1270" s="30">
        <v>2013</v>
      </c>
      <c r="I1270" s="30">
        <v>2071085</v>
      </c>
      <c r="J1270" s="30" t="s">
        <v>5431</v>
      </c>
      <c r="K1270" s="30" t="s">
        <v>5430</v>
      </c>
    </row>
    <row r="1271" spans="1:11" x14ac:dyDescent="0.35">
      <c r="A1271" s="30" t="s">
        <v>11577</v>
      </c>
      <c r="B1271" s="30" t="s">
        <v>11578</v>
      </c>
      <c r="C1271" s="32">
        <v>1.32</v>
      </c>
      <c r="D1271" s="30">
        <v>0.02</v>
      </c>
      <c r="E1271" s="31">
        <v>1.538E-2</v>
      </c>
      <c r="F1271" s="30">
        <v>53235501</v>
      </c>
      <c r="G1271" s="30" t="s">
        <v>5427</v>
      </c>
      <c r="H1271" s="30">
        <v>2021</v>
      </c>
      <c r="I1271" s="30">
        <v>71651</v>
      </c>
      <c r="J1271" s="30" t="s">
        <v>5431</v>
      </c>
      <c r="K1271" s="30" t="s">
        <v>6537</v>
      </c>
    </row>
    <row r="1272" spans="1:11" x14ac:dyDescent="0.35">
      <c r="A1272" s="30" t="s">
        <v>11579</v>
      </c>
      <c r="B1272" s="30" t="s">
        <v>11580</v>
      </c>
      <c r="C1272" s="32">
        <v>1.23</v>
      </c>
      <c r="D1272" s="30">
        <v>-0.02</v>
      </c>
      <c r="E1272" s="31">
        <v>-1.6E-2</v>
      </c>
      <c r="F1272" s="30">
        <v>72414823</v>
      </c>
      <c r="G1272" s="30" t="s">
        <v>5427</v>
      </c>
      <c r="H1272" s="30">
        <v>2021</v>
      </c>
      <c r="I1272" s="30">
        <v>353851</v>
      </c>
      <c r="J1272" s="30" t="s">
        <v>5442</v>
      </c>
      <c r="K1272" s="30" t="s">
        <v>5704</v>
      </c>
    </row>
    <row r="1273" spans="1:11" x14ac:dyDescent="0.35">
      <c r="A1273" s="30" t="s">
        <v>11581</v>
      </c>
      <c r="B1273" s="30" t="s">
        <v>11582</v>
      </c>
      <c r="C1273" s="32">
        <v>251.19</v>
      </c>
      <c r="D1273" s="30">
        <v>5.5</v>
      </c>
      <c r="E1273" s="31">
        <v>2.239E-2</v>
      </c>
      <c r="F1273" s="30">
        <v>88766670138</v>
      </c>
      <c r="G1273" s="30" t="s">
        <v>5427</v>
      </c>
      <c r="H1273" s="30">
        <v>2000</v>
      </c>
      <c r="I1273" s="30">
        <v>1646233</v>
      </c>
      <c r="J1273" s="30" t="s">
        <v>5431</v>
      </c>
      <c r="K1273" s="30" t="s">
        <v>5500</v>
      </c>
    </row>
    <row r="1274" spans="1:11" x14ac:dyDescent="0.35">
      <c r="A1274" s="30" t="s">
        <v>11583</v>
      </c>
      <c r="B1274" s="30" t="s">
        <v>11584</v>
      </c>
      <c r="C1274" s="32">
        <v>8.1999999999999993</v>
      </c>
      <c r="D1274" s="30">
        <v>-0.12</v>
      </c>
      <c r="E1274" s="31">
        <v>-1.4420000000000001E-2</v>
      </c>
      <c r="F1274" s="30">
        <v>141992947</v>
      </c>
      <c r="G1274" s="30" t="s">
        <v>5427</v>
      </c>
      <c r="H1274" s="30">
        <v>2000</v>
      </c>
      <c r="I1274" s="30">
        <v>11803</v>
      </c>
      <c r="J1274" s="30" t="s">
        <v>5457</v>
      </c>
      <c r="K1274" s="30" t="s">
        <v>5701</v>
      </c>
    </row>
    <row r="1275" spans="1:11" x14ac:dyDescent="0.35">
      <c r="A1275" s="30" t="s">
        <v>11585</v>
      </c>
      <c r="B1275" s="30" t="s">
        <v>11586</v>
      </c>
      <c r="C1275" s="32">
        <v>20.78</v>
      </c>
      <c r="D1275" s="30">
        <v>-7.0000000000000007E-2</v>
      </c>
      <c r="E1275" s="31">
        <v>-3.3600000000000001E-3</v>
      </c>
      <c r="F1275" s="30">
        <v>205760381</v>
      </c>
      <c r="G1275" s="30" t="s">
        <v>5427</v>
      </c>
      <c r="H1275" s="30">
        <v>2014</v>
      </c>
      <c r="I1275" s="30">
        <v>13871</v>
      </c>
      <c r="J1275" s="30" t="s">
        <v>5435</v>
      </c>
      <c r="K1275" s="30" t="s">
        <v>5582</v>
      </c>
    </row>
    <row r="1276" spans="1:11" x14ac:dyDescent="0.35">
      <c r="A1276" s="30" t="s">
        <v>11587</v>
      </c>
      <c r="B1276" s="30" t="s">
        <v>11588</v>
      </c>
      <c r="C1276" s="32">
        <v>10.27</v>
      </c>
      <c r="D1276" s="30">
        <v>-0.02</v>
      </c>
      <c r="E1276" s="31">
        <v>-1.9400000000000001E-3</v>
      </c>
      <c r="F1276" s="30">
        <v>221446875</v>
      </c>
      <c r="G1276" s="30" t="s">
        <v>5427</v>
      </c>
      <c r="H1276" s="30">
        <v>2022</v>
      </c>
      <c r="I1276" s="30">
        <v>301</v>
      </c>
      <c r="J1276" s="30" t="s">
        <v>5457</v>
      </c>
      <c r="K1276" s="30" t="s">
        <v>5571</v>
      </c>
    </row>
    <row r="1277" spans="1:11" x14ac:dyDescent="0.35">
      <c r="A1277" s="30" t="s">
        <v>11589</v>
      </c>
      <c r="B1277" s="30" t="s">
        <v>11590</v>
      </c>
      <c r="C1277" s="32">
        <v>47.82</v>
      </c>
      <c r="D1277" s="30">
        <v>-0.1</v>
      </c>
      <c r="E1277" s="31">
        <v>-2.0899999999999998E-3</v>
      </c>
      <c r="F1277" s="30">
        <v>4528795682</v>
      </c>
      <c r="G1277" s="30" t="s">
        <v>5427</v>
      </c>
      <c r="H1277" s="30"/>
      <c r="I1277" s="30">
        <v>515282</v>
      </c>
      <c r="J1277" s="30" t="s">
        <v>5431</v>
      </c>
      <c r="K1277" s="30" t="s">
        <v>5430</v>
      </c>
    </row>
    <row r="1278" spans="1:11" x14ac:dyDescent="0.35">
      <c r="A1278" s="30" t="s">
        <v>11591</v>
      </c>
      <c r="B1278" s="30" t="s">
        <v>11592</v>
      </c>
      <c r="C1278" s="32">
        <v>3.74</v>
      </c>
      <c r="D1278" s="30">
        <v>0.04</v>
      </c>
      <c r="E1278" s="31">
        <v>1.081E-2</v>
      </c>
      <c r="F1278" s="30">
        <v>159470313</v>
      </c>
      <c r="G1278" s="30" t="s">
        <v>5427</v>
      </c>
      <c r="H1278" s="30"/>
      <c r="I1278" s="30">
        <v>94346</v>
      </c>
      <c r="J1278" s="30" t="s">
        <v>5732</v>
      </c>
      <c r="K1278" s="30" t="s">
        <v>5520</v>
      </c>
    </row>
    <row r="1279" spans="1:11" x14ac:dyDescent="0.35">
      <c r="A1279" s="30" t="s">
        <v>11593</v>
      </c>
      <c r="B1279" s="30" t="s">
        <v>11594</v>
      </c>
      <c r="C1279" s="32">
        <v>164.78</v>
      </c>
      <c r="D1279" s="30">
        <v>2.78</v>
      </c>
      <c r="E1279" s="31">
        <v>1.7160000000000002E-2</v>
      </c>
      <c r="F1279" s="30">
        <v>312584694</v>
      </c>
      <c r="G1279" s="30" t="s">
        <v>5427</v>
      </c>
      <c r="H1279" s="30"/>
      <c r="I1279" s="30">
        <v>1994</v>
      </c>
      <c r="J1279" s="30" t="s">
        <v>5435</v>
      </c>
      <c r="K1279" s="30" t="s">
        <v>6066</v>
      </c>
    </row>
    <row r="1280" spans="1:11" x14ac:dyDescent="0.35">
      <c r="A1280" s="30" t="s">
        <v>5065</v>
      </c>
      <c r="B1280" s="30" t="s">
        <v>11595</v>
      </c>
      <c r="C1280" s="32">
        <v>21.15</v>
      </c>
      <c r="D1280" s="30">
        <v>0.25</v>
      </c>
      <c r="E1280" s="31">
        <v>1.196E-2</v>
      </c>
      <c r="F1280" s="30">
        <v>752418081</v>
      </c>
      <c r="G1280" s="30" t="s">
        <v>5427</v>
      </c>
      <c r="H1280" s="30">
        <v>2020</v>
      </c>
      <c r="I1280" s="30">
        <v>278374</v>
      </c>
      <c r="J1280" s="30" t="s">
        <v>5431</v>
      </c>
      <c r="K1280" s="30" t="s">
        <v>5685</v>
      </c>
    </row>
    <row r="1281" spans="1:11" x14ac:dyDescent="0.35">
      <c r="A1281" s="30" t="s">
        <v>11596</v>
      </c>
      <c r="B1281" s="30" t="s">
        <v>11597</v>
      </c>
      <c r="C1281" s="32">
        <v>10.15</v>
      </c>
      <c r="D1281" s="30">
        <v>-2.0000000000000001E-4</v>
      </c>
      <c r="E1281" s="31">
        <v>-2.0000000000000002E-5</v>
      </c>
      <c r="F1281" s="30">
        <v>291812500</v>
      </c>
      <c r="G1281" s="30" t="s">
        <v>5427</v>
      </c>
      <c r="H1281" s="30">
        <v>2021</v>
      </c>
      <c r="I1281" s="30">
        <v>5794</v>
      </c>
      <c r="J1281" s="30" t="s">
        <v>5435</v>
      </c>
      <c r="K1281" s="30" t="s">
        <v>5482</v>
      </c>
    </row>
    <row r="1282" spans="1:11" x14ac:dyDescent="0.35">
      <c r="A1282" s="30" t="s">
        <v>11598</v>
      </c>
      <c r="B1282" s="30" t="s">
        <v>11599</v>
      </c>
      <c r="C1282" s="32">
        <v>58.76</v>
      </c>
      <c r="D1282" s="30">
        <v>1.29</v>
      </c>
      <c r="E1282" s="31">
        <v>2.2450000000000001E-2</v>
      </c>
      <c r="F1282" s="30">
        <v>2654658869</v>
      </c>
      <c r="G1282" s="30" t="s">
        <v>5427</v>
      </c>
      <c r="H1282" s="30">
        <v>1993</v>
      </c>
      <c r="I1282" s="30">
        <v>210257</v>
      </c>
      <c r="J1282" s="30" t="s">
        <v>5457</v>
      </c>
      <c r="K1282" s="30" t="s">
        <v>5647</v>
      </c>
    </row>
    <row r="1283" spans="1:11" x14ac:dyDescent="0.35">
      <c r="A1283" s="30" t="s">
        <v>11600</v>
      </c>
      <c r="B1283" s="30" t="s">
        <v>11601</v>
      </c>
      <c r="C1283" s="32">
        <v>5.98</v>
      </c>
      <c r="D1283" s="30">
        <v>-0.2409</v>
      </c>
      <c r="E1283" s="31">
        <v>-3.8719999999999997E-2</v>
      </c>
      <c r="F1283" s="30">
        <v>251962331</v>
      </c>
      <c r="G1283" s="30" t="s">
        <v>5847</v>
      </c>
      <c r="H1283" s="30">
        <v>2020</v>
      </c>
      <c r="I1283" s="30">
        <v>3100</v>
      </c>
      <c r="J1283" s="30" t="s">
        <v>5442</v>
      </c>
      <c r="K1283" s="30" t="s">
        <v>5914</v>
      </c>
    </row>
    <row r="1284" spans="1:11" x14ac:dyDescent="0.35">
      <c r="A1284" s="30" t="s">
        <v>11602</v>
      </c>
      <c r="B1284" s="30" t="s">
        <v>11603</v>
      </c>
      <c r="C1284" s="32">
        <v>6.8</v>
      </c>
      <c r="D1284" s="30">
        <v>-0.06</v>
      </c>
      <c r="E1284" s="31">
        <v>-8.7500000000000008E-3</v>
      </c>
      <c r="F1284" s="30">
        <v>172996461</v>
      </c>
      <c r="G1284" s="30" t="s">
        <v>5427</v>
      </c>
      <c r="H1284" s="30">
        <v>1995</v>
      </c>
      <c r="I1284" s="30">
        <v>71187</v>
      </c>
      <c r="J1284" s="30" t="s">
        <v>5219</v>
      </c>
      <c r="K1284" s="30" t="s">
        <v>5644</v>
      </c>
    </row>
    <row r="1285" spans="1:11" x14ac:dyDescent="0.35">
      <c r="A1285" s="30" t="s">
        <v>11604</v>
      </c>
      <c r="B1285" s="30" t="s">
        <v>11605</v>
      </c>
      <c r="C1285" s="32">
        <v>10.210000000000001</v>
      </c>
      <c r="D1285" s="30">
        <v>0</v>
      </c>
      <c r="E1285" s="31">
        <v>0</v>
      </c>
      <c r="F1285" s="30">
        <v>287156250</v>
      </c>
      <c r="G1285" s="30" t="s">
        <v>5427</v>
      </c>
      <c r="H1285" s="30">
        <v>2022</v>
      </c>
      <c r="I1285" s="30">
        <v>276</v>
      </c>
      <c r="J1285" s="30" t="s">
        <v>5435</v>
      </c>
      <c r="K1285" s="30" t="s">
        <v>5482</v>
      </c>
    </row>
    <row r="1286" spans="1:11" x14ac:dyDescent="0.35">
      <c r="A1286" s="30" t="s">
        <v>11606</v>
      </c>
      <c r="B1286" s="30" t="s">
        <v>11607</v>
      </c>
      <c r="C1286" s="32">
        <v>2.2599999999999998</v>
      </c>
      <c r="D1286" s="30">
        <v>-0.02</v>
      </c>
      <c r="E1286" s="31">
        <v>-8.77E-3</v>
      </c>
      <c r="F1286" s="30">
        <v>246300226</v>
      </c>
      <c r="G1286" s="30" t="s">
        <v>5427</v>
      </c>
      <c r="H1286" s="30">
        <v>2021</v>
      </c>
      <c r="I1286" s="30">
        <v>168758</v>
      </c>
      <c r="J1286" s="30" t="s">
        <v>5431</v>
      </c>
      <c r="K1286" s="30" t="s">
        <v>5430</v>
      </c>
    </row>
    <row r="1287" spans="1:11" x14ac:dyDescent="0.35">
      <c r="A1287" s="30" t="s">
        <v>11608</v>
      </c>
      <c r="B1287" s="30" t="s">
        <v>11609</v>
      </c>
      <c r="C1287" s="32">
        <v>10.220000000000001</v>
      </c>
      <c r="D1287" s="30">
        <v>0.02</v>
      </c>
      <c r="E1287" s="31">
        <v>1.9599999999999999E-3</v>
      </c>
      <c r="F1287" s="30">
        <v>293825000</v>
      </c>
      <c r="G1287" s="30" t="s">
        <v>5775</v>
      </c>
      <c r="H1287" s="30">
        <v>2021</v>
      </c>
      <c r="I1287" s="30">
        <v>418815</v>
      </c>
      <c r="J1287" s="30" t="s">
        <v>5435</v>
      </c>
      <c r="K1287" s="30" t="s">
        <v>5482</v>
      </c>
    </row>
    <row r="1288" spans="1:11" x14ac:dyDescent="0.35">
      <c r="A1288" s="30" t="s">
        <v>11610</v>
      </c>
      <c r="B1288" s="30" t="s">
        <v>11611</v>
      </c>
      <c r="C1288" s="32">
        <v>3.42</v>
      </c>
      <c r="D1288" s="30">
        <v>0.18759999999999999</v>
      </c>
      <c r="E1288" s="31">
        <v>5.8040000000000001E-2</v>
      </c>
      <c r="F1288" s="30">
        <v>208427615</v>
      </c>
      <c r="G1288" s="30" t="s">
        <v>6338</v>
      </c>
      <c r="H1288" s="30"/>
      <c r="I1288" s="30">
        <v>2027</v>
      </c>
      <c r="J1288" s="30"/>
      <c r="K1288" s="30"/>
    </row>
    <row r="1289" spans="1:11" x14ac:dyDescent="0.35">
      <c r="A1289" s="30" t="s">
        <v>11612</v>
      </c>
      <c r="B1289" s="30" t="s">
        <v>11613</v>
      </c>
      <c r="C1289" s="32">
        <v>75.98</v>
      </c>
      <c r="D1289" s="30">
        <v>0</v>
      </c>
      <c r="E1289" s="31">
        <v>0</v>
      </c>
      <c r="F1289" s="30">
        <v>1579029505</v>
      </c>
      <c r="G1289" s="30" t="s">
        <v>5427</v>
      </c>
      <c r="H1289" s="30"/>
      <c r="I1289" s="30">
        <v>257898</v>
      </c>
      <c r="J1289" s="30" t="s">
        <v>5442</v>
      </c>
      <c r="K1289" s="30" t="s">
        <v>5441</v>
      </c>
    </row>
    <row r="1290" spans="1:11" x14ac:dyDescent="0.35">
      <c r="A1290" s="30" t="s">
        <v>11614</v>
      </c>
      <c r="B1290" s="30" t="s">
        <v>11615</v>
      </c>
      <c r="C1290" s="32">
        <v>20.99</v>
      </c>
      <c r="D1290" s="30">
        <v>0.14000000000000001</v>
      </c>
      <c r="E1290" s="31">
        <v>6.7099999999999998E-3</v>
      </c>
      <c r="F1290" s="30">
        <v>204096979</v>
      </c>
      <c r="G1290" s="30" t="s">
        <v>5427</v>
      </c>
      <c r="H1290" s="30">
        <v>1996</v>
      </c>
      <c r="I1290" s="30">
        <v>77537</v>
      </c>
      <c r="J1290" s="30" t="s">
        <v>5442</v>
      </c>
      <c r="K1290" s="30" t="s">
        <v>5641</v>
      </c>
    </row>
    <row r="1291" spans="1:11" x14ac:dyDescent="0.35">
      <c r="A1291" s="30" t="s">
        <v>11616</v>
      </c>
      <c r="B1291" s="30" t="s">
        <v>11617</v>
      </c>
      <c r="C1291" s="32">
        <v>21.66</v>
      </c>
      <c r="D1291" s="30">
        <v>1.79</v>
      </c>
      <c r="E1291" s="31">
        <v>9.0090000000000003E-2</v>
      </c>
      <c r="F1291" s="30">
        <v>2629249719</v>
      </c>
      <c r="G1291" s="30" t="s">
        <v>5427</v>
      </c>
      <c r="H1291" s="30">
        <v>2020</v>
      </c>
      <c r="I1291" s="30">
        <v>440174</v>
      </c>
      <c r="J1291" s="30" t="s">
        <v>5219</v>
      </c>
      <c r="K1291" s="30" t="s">
        <v>5560</v>
      </c>
    </row>
    <row r="1292" spans="1:11" x14ac:dyDescent="0.35">
      <c r="A1292" s="30" t="s">
        <v>11618</v>
      </c>
      <c r="B1292" s="30" t="s">
        <v>11619</v>
      </c>
      <c r="C1292" s="32">
        <v>20.21</v>
      </c>
      <c r="D1292" s="30">
        <v>-2</v>
      </c>
      <c r="E1292" s="31">
        <v>-9.0050000000000005E-2</v>
      </c>
      <c r="F1292" s="30">
        <v>842009816</v>
      </c>
      <c r="G1292" s="30" t="s">
        <v>5427</v>
      </c>
      <c r="H1292" s="30">
        <v>2021</v>
      </c>
      <c r="I1292" s="30">
        <v>177270</v>
      </c>
      <c r="J1292" s="30" t="s">
        <v>5431</v>
      </c>
      <c r="K1292" s="30" t="s">
        <v>5430</v>
      </c>
    </row>
    <row r="1293" spans="1:11" x14ac:dyDescent="0.35">
      <c r="A1293" s="30" t="s">
        <v>11620</v>
      </c>
      <c r="B1293" s="30" t="s">
        <v>11621</v>
      </c>
      <c r="C1293" s="32">
        <v>9.98</v>
      </c>
      <c r="D1293" s="30">
        <v>-0.02</v>
      </c>
      <c r="E1293" s="31">
        <v>-2E-3</v>
      </c>
      <c r="F1293" s="30">
        <v>202569539</v>
      </c>
      <c r="G1293" s="30" t="s">
        <v>5427</v>
      </c>
      <c r="H1293" s="30">
        <v>2021</v>
      </c>
      <c r="I1293" s="30">
        <v>10406</v>
      </c>
      <c r="J1293" s="30" t="s">
        <v>5457</v>
      </c>
      <c r="K1293" s="30" t="s">
        <v>5571</v>
      </c>
    </row>
    <row r="1294" spans="1:11" x14ac:dyDescent="0.35">
      <c r="A1294" s="30" t="s">
        <v>11622</v>
      </c>
      <c r="B1294" s="30" t="s">
        <v>11623</v>
      </c>
      <c r="C1294" s="32">
        <v>157.77000000000001</v>
      </c>
      <c r="D1294" s="30">
        <v>1.1100000000000001</v>
      </c>
      <c r="E1294" s="31">
        <v>7.0899999999999999E-3</v>
      </c>
      <c r="F1294" s="30">
        <v>9934196306</v>
      </c>
      <c r="G1294" s="30" t="s">
        <v>5512</v>
      </c>
      <c r="H1294" s="30">
        <v>2007</v>
      </c>
      <c r="I1294" s="30">
        <v>495311</v>
      </c>
      <c r="J1294" s="30" t="s">
        <v>5431</v>
      </c>
      <c r="K1294" s="30" t="s">
        <v>5430</v>
      </c>
    </row>
    <row r="1295" spans="1:11" x14ac:dyDescent="0.35">
      <c r="A1295" s="30" t="s">
        <v>11624</v>
      </c>
      <c r="B1295" s="30" t="s">
        <v>11625</v>
      </c>
      <c r="C1295" s="32">
        <v>195.96</v>
      </c>
      <c r="D1295" s="30">
        <v>6.91</v>
      </c>
      <c r="E1295" s="31">
        <v>3.6549999999999999E-2</v>
      </c>
      <c r="F1295" s="30">
        <v>20329478280</v>
      </c>
      <c r="G1295" s="30" t="s">
        <v>5427</v>
      </c>
      <c r="H1295" s="30"/>
      <c r="I1295" s="30">
        <v>991739</v>
      </c>
      <c r="J1295" s="30" t="s">
        <v>5457</v>
      </c>
      <c r="K1295" s="30" t="s">
        <v>5725</v>
      </c>
    </row>
    <row r="1296" spans="1:11" x14ac:dyDescent="0.35">
      <c r="A1296" s="30" t="s">
        <v>11626</v>
      </c>
      <c r="B1296" s="30" t="s">
        <v>11627</v>
      </c>
      <c r="C1296" s="32">
        <v>8.25</v>
      </c>
      <c r="D1296" s="30">
        <v>0.25</v>
      </c>
      <c r="E1296" s="31">
        <v>3.125E-2</v>
      </c>
      <c r="F1296" s="30">
        <v>2671990316</v>
      </c>
      <c r="G1296" s="30" t="s">
        <v>5427</v>
      </c>
      <c r="H1296" s="30">
        <v>2002</v>
      </c>
      <c r="I1296" s="30">
        <v>11180576</v>
      </c>
      <c r="J1296" s="30" t="s">
        <v>5442</v>
      </c>
      <c r="K1296" s="30" t="s">
        <v>5749</v>
      </c>
    </row>
    <row r="1297" spans="1:11" x14ac:dyDescent="0.35">
      <c r="A1297" s="30" t="s">
        <v>11628</v>
      </c>
      <c r="B1297" s="30" t="s">
        <v>11629</v>
      </c>
      <c r="C1297" s="32">
        <v>83.95</v>
      </c>
      <c r="D1297" s="30">
        <v>-0.56000000000000005</v>
      </c>
      <c r="E1297" s="31">
        <v>-6.6299999999999996E-3</v>
      </c>
      <c r="F1297" s="30">
        <v>967681996</v>
      </c>
      <c r="G1297" s="30" t="s">
        <v>5427</v>
      </c>
      <c r="H1297" s="30">
        <v>1991</v>
      </c>
      <c r="I1297" s="30">
        <v>74578</v>
      </c>
      <c r="J1297" s="30" t="s">
        <v>5541</v>
      </c>
      <c r="K1297" s="30" t="s">
        <v>5716</v>
      </c>
    </row>
    <row r="1298" spans="1:11" x14ac:dyDescent="0.35">
      <c r="A1298" s="30" t="s">
        <v>11630</v>
      </c>
      <c r="B1298" s="30" t="s">
        <v>11631</v>
      </c>
      <c r="C1298" s="32">
        <v>10.38</v>
      </c>
      <c r="D1298" s="30">
        <v>3.7900000000000003E-2</v>
      </c>
      <c r="E1298" s="31">
        <v>3.6600000000000001E-3</v>
      </c>
      <c r="F1298" s="30">
        <v>318320003</v>
      </c>
      <c r="G1298" s="30" t="s">
        <v>5427</v>
      </c>
      <c r="H1298" s="30">
        <v>2022</v>
      </c>
      <c r="I1298" s="30">
        <v>37370</v>
      </c>
      <c r="J1298" s="30" t="s">
        <v>5435</v>
      </c>
      <c r="K1298" s="30" t="s">
        <v>5482</v>
      </c>
    </row>
    <row r="1299" spans="1:11" x14ac:dyDescent="0.35">
      <c r="A1299" s="30" t="s">
        <v>11632</v>
      </c>
      <c r="B1299" s="30" t="s">
        <v>11633</v>
      </c>
      <c r="C1299" s="32">
        <v>138.88999999999999</v>
      </c>
      <c r="D1299" s="30">
        <v>-4.41</v>
      </c>
      <c r="E1299" s="31">
        <v>-3.0769999999999999E-2</v>
      </c>
      <c r="F1299" s="30">
        <v>2670761644</v>
      </c>
      <c r="G1299" s="30" t="s">
        <v>5427</v>
      </c>
      <c r="H1299" s="30">
        <v>1986</v>
      </c>
      <c r="I1299" s="30">
        <v>208285</v>
      </c>
      <c r="J1299" s="30" t="s">
        <v>5541</v>
      </c>
      <c r="K1299" s="30" t="s">
        <v>5716</v>
      </c>
    </row>
    <row r="1300" spans="1:11" x14ac:dyDescent="0.35">
      <c r="A1300" s="30" t="s">
        <v>11634</v>
      </c>
      <c r="B1300" s="30" t="s">
        <v>11635</v>
      </c>
      <c r="C1300" s="32">
        <v>181.16</v>
      </c>
      <c r="D1300" s="30">
        <v>1.07</v>
      </c>
      <c r="E1300" s="31">
        <v>5.94E-3</v>
      </c>
      <c r="F1300" s="30">
        <v>13215519282</v>
      </c>
      <c r="G1300" s="30" t="s">
        <v>5427</v>
      </c>
      <c r="H1300" s="30">
        <v>1985</v>
      </c>
      <c r="I1300" s="30">
        <v>476558</v>
      </c>
      <c r="J1300" s="30" t="s">
        <v>5219</v>
      </c>
      <c r="K1300" s="30" t="s">
        <v>5812</v>
      </c>
    </row>
    <row r="1301" spans="1:11" x14ac:dyDescent="0.35">
      <c r="A1301" s="30" t="s">
        <v>11636</v>
      </c>
      <c r="B1301" s="30" t="s">
        <v>11637</v>
      </c>
      <c r="C1301" s="32">
        <v>10.42</v>
      </c>
      <c r="D1301" s="30">
        <v>-1.4999999999999999E-2</v>
      </c>
      <c r="E1301" s="31">
        <v>-1.4400000000000001E-3</v>
      </c>
      <c r="F1301" s="30">
        <v>139914811</v>
      </c>
      <c r="G1301" s="30" t="s">
        <v>5771</v>
      </c>
      <c r="H1301" s="30">
        <v>2021</v>
      </c>
      <c r="I1301" s="30">
        <v>1495</v>
      </c>
      <c r="J1301" s="30" t="s">
        <v>5457</v>
      </c>
      <c r="K1301" s="30" t="s">
        <v>5571</v>
      </c>
    </row>
    <row r="1302" spans="1:11" x14ac:dyDescent="0.35">
      <c r="A1302" s="30" t="s">
        <v>11638</v>
      </c>
      <c r="B1302" s="30" t="s">
        <v>11639</v>
      </c>
      <c r="C1302" s="32">
        <v>26.6</v>
      </c>
      <c r="D1302" s="30">
        <v>1.86</v>
      </c>
      <c r="E1302" s="31">
        <v>7.5179999999999997E-2</v>
      </c>
      <c r="F1302" s="30">
        <v>375033028</v>
      </c>
      <c r="G1302" s="30" t="s">
        <v>5427</v>
      </c>
      <c r="H1302" s="30"/>
      <c r="I1302" s="30">
        <v>36569</v>
      </c>
      <c r="J1302" s="30" t="s">
        <v>5435</v>
      </c>
      <c r="K1302" s="30" t="s">
        <v>5579</v>
      </c>
    </row>
    <row r="1303" spans="1:11" x14ac:dyDescent="0.35">
      <c r="A1303" s="30" t="s">
        <v>11640</v>
      </c>
      <c r="B1303" s="30" t="s">
        <v>11641</v>
      </c>
      <c r="C1303" s="32">
        <v>1.19</v>
      </c>
      <c r="D1303" s="30">
        <v>0.02</v>
      </c>
      <c r="E1303" s="31">
        <v>1.7090000000000001E-2</v>
      </c>
      <c r="F1303" s="30">
        <v>61516142</v>
      </c>
      <c r="G1303" s="30" t="s">
        <v>5427</v>
      </c>
      <c r="H1303" s="30">
        <v>2017</v>
      </c>
      <c r="I1303" s="30">
        <v>301601</v>
      </c>
      <c r="J1303" s="30" t="s">
        <v>5431</v>
      </c>
      <c r="K1303" s="30" t="s">
        <v>5430</v>
      </c>
    </row>
    <row r="1304" spans="1:11" x14ac:dyDescent="0.35">
      <c r="A1304" s="30" t="s">
        <v>11642</v>
      </c>
      <c r="B1304" s="30" t="s">
        <v>11643</v>
      </c>
      <c r="C1304" s="32">
        <v>4.24</v>
      </c>
      <c r="D1304" s="30">
        <v>0.32</v>
      </c>
      <c r="E1304" s="31">
        <v>8.1629999999999994E-2</v>
      </c>
      <c r="F1304" s="30">
        <v>172936850</v>
      </c>
      <c r="G1304" s="30" t="s">
        <v>5427</v>
      </c>
      <c r="H1304" s="30">
        <v>2021</v>
      </c>
      <c r="I1304" s="30">
        <v>283573</v>
      </c>
      <c r="J1304" s="30" t="s">
        <v>5442</v>
      </c>
      <c r="K1304" s="30" t="s">
        <v>5534</v>
      </c>
    </row>
    <row r="1305" spans="1:11" x14ac:dyDescent="0.35">
      <c r="A1305" s="30" t="s">
        <v>11644</v>
      </c>
      <c r="B1305" s="30" t="s">
        <v>11645</v>
      </c>
      <c r="C1305" s="32">
        <v>68.91</v>
      </c>
      <c r="D1305" s="30">
        <v>0.45</v>
      </c>
      <c r="E1305" s="31">
        <v>6.5700000000000003E-3</v>
      </c>
      <c r="F1305" s="30">
        <v>705723642</v>
      </c>
      <c r="G1305" s="30" t="s">
        <v>5427</v>
      </c>
      <c r="H1305" s="30"/>
      <c r="I1305" s="30">
        <v>42275</v>
      </c>
      <c r="J1305" s="30" t="s">
        <v>5442</v>
      </c>
      <c r="K1305" s="30" t="s">
        <v>5641</v>
      </c>
    </row>
    <row r="1306" spans="1:11" x14ac:dyDescent="0.35">
      <c r="A1306" s="30" t="s">
        <v>11646</v>
      </c>
      <c r="B1306" s="30" t="s">
        <v>11647</v>
      </c>
      <c r="C1306" s="32">
        <v>4.4850000000000003</v>
      </c>
      <c r="D1306" s="30">
        <v>0.16500000000000001</v>
      </c>
      <c r="E1306" s="31">
        <v>3.8190000000000002E-2</v>
      </c>
      <c r="F1306" s="30">
        <v>55590171</v>
      </c>
      <c r="G1306" s="30" t="s">
        <v>5427</v>
      </c>
      <c r="H1306" s="30">
        <v>2018</v>
      </c>
      <c r="I1306" s="30">
        <v>16463</v>
      </c>
      <c r="J1306" s="30" t="s">
        <v>5442</v>
      </c>
      <c r="K1306" s="30" t="s">
        <v>5438</v>
      </c>
    </row>
    <row r="1307" spans="1:11" x14ac:dyDescent="0.35">
      <c r="A1307" s="30" t="s">
        <v>11648</v>
      </c>
      <c r="B1307" s="30" t="s">
        <v>11649</v>
      </c>
      <c r="C1307" s="32">
        <v>1.65</v>
      </c>
      <c r="D1307" s="30">
        <v>-0.05</v>
      </c>
      <c r="E1307" s="31">
        <v>-2.9409999999999999E-2</v>
      </c>
      <c r="F1307" s="30">
        <v>180381076</v>
      </c>
      <c r="G1307" s="30" t="s">
        <v>5427</v>
      </c>
      <c r="H1307" s="30">
        <v>2020</v>
      </c>
      <c r="I1307" s="30">
        <v>1017017</v>
      </c>
      <c r="J1307" s="30" t="s">
        <v>5431</v>
      </c>
      <c r="K1307" s="30" t="s">
        <v>5430</v>
      </c>
    </row>
    <row r="1308" spans="1:11" x14ac:dyDescent="0.35">
      <c r="A1308" s="30" t="s">
        <v>11650</v>
      </c>
      <c r="B1308" s="30" t="s">
        <v>11651</v>
      </c>
      <c r="C1308" s="32">
        <v>10.16</v>
      </c>
      <c r="D1308" s="30">
        <v>-0.01</v>
      </c>
      <c r="E1308" s="31">
        <v>-9.7999999999999997E-4</v>
      </c>
      <c r="F1308" s="30">
        <v>350520000</v>
      </c>
      <c r="G1308" s="30" t="s">
        <v>5427</v>
      </c>
      <c r="H1308" s="30">
        <v>2021</v>
      </c>
      <c r="I1308" s="30">
        <v>3824</v>
      </c>
      <c r="J1308" s="30"/>
      <c r="K1308" s="30"/>
    </row>
    <row r="1309" spans="1:11" x14ac:dyDescent="0.35">
      <c r="A1309" s="30" t="s">
        <v>11652</v>
      </c>
      <c r="B1309" s="30" t="s">
        <v>11653</v>
      </c>
      <c r="C1309" s="32">
        <v>10.31</v>
      </c>
      <c r="D1309" s="30">
        <v>0</v>
      </c>
      <c r="E1309" s="31">
        <v>0</v>
      </c>
      <c r="F1309" s="30">
        <v>187178050</v>
      </c>
      <c r="G1309" s="30" t="s">
        <v>5427</v>
      </c>
      <c r="H1309" s="30">
        <v>2022</v>
      </c>
      <c r="I1309" s="30">
        <v>107</v>
      </c>
      <c r="J1309" s="30" t="s">
        <v>5457</v>
      </c>
      <c r="K1309" s="30" t="s">
        <v>5571</v>
      </c>
    </row>
    <row r="1310" spans="1:11" x14ac:dyDescent="0.35">
      <c r="A1310" s="30" t="s">
        <v>11654</v>
      </c>
      <c r="B1310" s="30" t="s">
        <v>11655</v>
      </c>
      <c r="C1310" s="32">
        <v>18.63</v>
      </c>
      <c r="D1310" s="30">
        <v>0.46</v>
      </c>
      <c r="E1310" s="31">
        <v>2.5319999999999999E-2</v>
      </c>
      <c r="F1310" s="30">
        <v>270687920</v>
      </c>
      <c r="G1310" s="30" t="s">
        <v>5427</v>
      </c>
      <c r="H1310" s="30">
        <v>2014</v>
      </c>
      <c r="I1310" s="30">
        <v>113252</v>
      </c>
      <c r="J1310" s="30"/>
      <c r="K1310" s="30"/>
    </row>
    <row r="1311" spans="1:11" x14ac:dyDescent="0.35">
      <c r="A1311" s="30" t="s">
        <v>11656</v>
      </c>
      <c r="B1311" s="30" t="s">
        <v>11657</v>
      </c>
      <c r="C1311" s="32">
        <v>7.93</v>
      </c>
      <c r="D1311" s="30">
        <v>0.45</v>
      </c>
      <c r="E1311" s="31">
        <v>6.0159999999999998E-2</v>
      </c>
      <c r="F1311" s="30">
        <v>77407418</v>
      </c>
      <c r="G1311" s="30" t="s">
        <v>5427</v>
      </c>
      <c r="H1311" s="30">
        <v>2016</v>
      </c>
      <c r="I1311" s="30">
        <v>24976</v>
      </c>
      <c r="J1311" s="30" t="s">
        <v>5431</v>
      </c>
      <c r="K1311" s="30" t="s">
        <v>5430</v>
      </c>
    </row>
    <row r="1312" spans="1:11" x14ac:dyDescent="0.35">
      <c r="A1312" s="30" t="s">
        <v>11658</v>
      </c>
      <c r="B1312" s="30" t="s">
        <v>11659</v>
      </c>
      <c r="C1312" s="32">
        <v>10.15</v>
      </c>
      <c r="D1312" s="30">
        <v>-0.01</v>
      </c>
      <c r="E1312" s="31">
        <v>-9.7999999999999997E-4</v>
      </c>
      <c r="F1312" s="30">
        <v>296887500</v>
      </c>
      <c r="G1312" s="30" t="s">
        <v>5427</v>
      </c>
      <c r="H1312" s="30">
        <v>2021</v>
      </c>
      <c r="I1312" s="30">
        <v>1063870</v>
      </c>
      <c r="J1312" s="30" t="s">
        <v>5435</v>
      </c>
      <c r="K1312" s="30" t="s">
        <v>5482</v>
      </c>
    </row>
    <row r="1313" spans="1:11" x14ac:dyDescent="0.35">
      <c r="A1313" s="30" t="s">
        <v>11660</v>
      </c>
      <c r="B1313" s="30" t="s">
        <v>11661</v>
      </c>
      <c r="C1313" s="32">
        <v>17.87</v>
      </c>
      <c r="D1313" s="30">
        <v>0.53</v>
      </c>
      <c r="E1313" s="31">
        <v>3.057E-2</v>
      </c>
      <c r="F1313" s="30">
        <v>1001789788</v>
      </c>
      <c r="G1313" s="30" t="s">
        <v>5427</v>
      </c>
      <c r="H1313" s="30">
        <v>2017</v>
      </c>
      <c r="I1313" s="30">
        <v>246047</v>
      </c>
      <c r="J1313" s="30" t="s">
        <v>5431</v>
      </c>
      <c r="K1313" s="30" t="s">
        <v>5430</v>
      </c>
    </row>
    <row r="1314" spans="1:11" x14ac:dyDescent="0.35">
      <c r="A1314" s="30" t="s">
        <v>11662</v>
      </c>
      <c r="B1314" s="30" t="s">
        <v>11663</v>
      </c>
      <c r="C1314" s="32">
        <v>89.84</v>
      </c>
      <c r="D1314" s="30">
        <v>2.3199999999999998</v>
      </c>
      <c r="E1314" s="31">
        <v>2.6509999999999999E-2</v>
      </c>
      <c r="F1314" s="30">
        <v>1432105750</v>
      </c>
      <c r="G1314" s="30" t="s">
        <v>5427</v>
      </c>
      <c r="H1314" s="30"/>
      <c r="I1314" s="30">
        <v>221497</v>
      </c>
      <c r="J1314" s="30" t="s">
        <v>5457</v>
      </c>
      <c r="K1314" s="30" t="s">
        <v>8269</v>
      </c>
    </row>
    <row r="1315" spans="1:11" x14ac:dyDescent="0.35">
      <c r="A1315" s="30" t="s">
        <v>11664</v>
      </c>
      <c r="B1315" s="30" t="s">
        <v>11665</v>
      </c>
      <c r="C1315" s="32">
        <v>7.64</v>
      </c>
      <c r="D1315" s="30">
        <v>-0.32</v>
      </c>
      <c r="E1315" s="31">
        <v>-4.02E-2</v>
      </c>
      <c r="F1315" s="30">
        <v>260541931</v>
      </c>
      <c r="G1315" s="30" t="s">
        <v>5775</v>
      </c>
      <c r="H1315" s="30">
        <v>2015</v>
      </c>
      <c r="I1315" s="30">
        <v>224719</v>
      </c>
      <c r="J1315" s="30" t="s">
        <v>5431</v>
      </c>
      <c r="K1315" s="30" t="s">
        <v>5430</v>
      </c>
    </row>
    <row r="1316" spans="1:11" x14ac:dyDescent="0.35">
      <c r="A1316" s="30" t="s">
        <v>11666</v>
      </c>
      <c r="B1316" s="30" t="s">
        <v>11667</v>
      </c>
      <c r="C1316" s="32">
        <v>25.98</v>
      </c>
      <c r="D1316" s="30">
        <v>0.68</v>
      </c>
      <c r="E1316" s="31">
        <v>2.6880000000000001E-2</v>
      </c>
      <c r="F1316" s="30">
        <v>804109734</v>
      </c>
      <c r="G1316" s="30" t="s">
        <v>5752</v>
      </c>
      <c r="H1316" s="30">
        <v>2021</v>
      </c>
      <c r="I1316" s="30">
        <v>294650</v>
      </c>
      <c r="J1316" s="30" t="s">
        <v>5219</v>
      </c>
      <c r="K1316" s="30" t="s">
        <v>5560</v>
      </c>
    </row>
    <row r="1317" spans="1:11" x14ac:dyDescent="0.35">
      <c r="A1317" s="30" t="s">
        <v>11668</v>
      </c>
      <c r="B1317" s="30" t="s">
        <v>11669</v>
      </c>
      <c r="C1317" s="32">
        <v>7.56</v>
      </c>
      <c r="D1317" s="30">
        <v>0.16</v>
      </c>
      <c r="E1317" s="31">
        <v>2.162E-2</v>
      </c>
      <c r="F1317" s="30">
        <v>276495705</v>
      </c>
      <c r="G1317" s="30" t="s">
        <v>5427</v>
      </c>
      <c r="H1317" s="30"/>
      <c r="I1317" s="30">
        <v>117906</v>
      </c>
      <c r="J1317" s="30" t="s">
        <v>5442</v>
      </c>
      <c r="K1317" s="30" t="s">
        <v>5438</v>
      </c>
    </row>
    <row r="1318" spans="1:11" x14ac:dyDescent="0.35">
      <c r="A1318" s="30" t="s">
        <v>11670</v>
      </c>
      <c r="B1318" s="30" t="s">
        <v>11671</v>
      </c>
      <c r="C1318" s="32">
        <v>25.07</v>
      </c>
      <c r="D1318" s="30">
        <v>-0.2</v>
      </c>
      <c r="E1318" s="31">
        <v>-7.9100000000000004E-3</v>
      </c>
      <c r="F1318" s="30">
        <v>1602991343</v>
      </c>
      <c r="G1318" s="30" t="s">
        <v>5427</v>
      </c>
      <c r="H1318" s="30">
        <v>2015</v>
      </c>
      <c r="I1318" s="30">
        <v>580198</v>
      </c>
      <c r="J1318" s="30" t="s">
        <v>5431</v>
      </c>
      <c r="K1318" s="30" t="s">
        <v>5430</v>
      </c>
    </row>
    <row r="1319" spans="1:11" x14ac:dyDescent="0.35">
      <c r="A1319" s="30" t="s">
        <v>11672</v>
      </c>
      <c r="B1319" s="30" t="s">
        <v>11673</v>
      </c>
      <c r="C1319" s="32">
        <v>35.340000000000003</v>
      </c>
      <c r="D1319" s="30">
        <v>0.06</v>
      </c>
      <c r="E1319" s="31">
        <v>1.6999999999999999E-3</v>
      </c>
      <c r="F1319" s="30">
        <v>50050321189</v>
      </c>
      <c r="G1319" s="30" t="s">
        <v>5427</v>
      </c>
      <c r="H1319" s="30"/>
      <c r="I1319" s="30">
        <v>4645257</v>
      </c>
      <c r="J1319" s="30" t="s">
        <v>5541</v>
      </c>
      <c r="K1319" s="30" t="s">
        <v>5997</v>
      </c>
    </row>
    <row r="1320" spans="1:11" x14ac:dyDescent="0.35">
      <c r="A1320" s="30" t="s">
        <v>11674</v>
      </c>
      <c r="B1320" s="30" t="s">
        <v>11675</v>
      </c>
      <c r="C1320" s="32">
        <v>25.75</v>
      </c>
      <c r="D1320" s="30">
        <v>0.23</v>
      </c>
      <c r="E1320" s="31">
        <v>9.0100000000000006E-3</v>
      </c>
      <c r="F1320" s="30">
        <v>636291023</v>
      </c>
      <c r="G1320" s="30" t="s">
        <v>5427</v>
      </c>
      <c r="H1320" s="30"/>
      <c r="I1320" s="30">
        <v>90043</v>
      </c>
      <c r="J1320" s="30" t="s">
        <v>5219</v>
      </c>
      <c r="K1320" s="30" t="s">
        <v>5644</v>
      </c>
    </row>
    <row r="1321" spans="1:11" x14ac:dyDescent="0.35">
      <c r="A1321" s="30" t="s">
        <v>11676</v>
      </c>
      <c r="B1321" s="30" t="s">
        <v>11677</v>
      </c>
      <c r="C1321" s="32">
        <v>18.36</v>
      </c>
      <c r="D1321" s="30">
        <v>0.26</v>
      </c>
      <c r="E1321" s="31">
        <v>1.436E-2</v>
      </c>
      <c r="F1321" s="30">
        <v>696725684</v>
      </c>
      <c r="G1321" s="30" t="s">
        <v>5427</v>
      </c>
      <c r="H1321" s="30"/>
      <c r="I1321" s="30">
        <v>141539</v>
      </c>
      <c r="J1321" s="30" t="s">
        <v>5442</v>
      </c>
      <c r="K1321" s="30" t="s">
        <v>5746</v>
      </c>
    </row>
    <row r="1322" spans="1:11" x14ac:dyDescent="0.35">
      <c r="A1322" s="30" t="s">
        <v>11678</v>
      </c>
      <c r="B1322" s="30" t="s">
        <v>11679</v>
      </c>
      <c r="C1322" s="32">
        <v>17.330100000000002</v>
      </c>
      <c r="D1322" s="30">
        <v>0</v>
      </c>
      <c r="E1322" s="31">
        <v>0</v>
      </c>
      <c r="F1322" s="30">
        <v>657643016</v>
      </c>
      <c r="G1322" s="30" t="s">
        <v>5427</v>
      </c>
      <c r="H1322" s="30"/>
      <c r="I1322" s="30">
        <v>9</v>
      </c>
      <c r="J1322" s="30" t="s">
        <v>5442</v>
      </c>
      <c r="K1322" s="30" t="s">
        <v>5746</v>
      </c>
    </row>
    <row r="1323" spans="1:11" x14ac:dyDescent="0.35">
      <c r="A1323" s="30" t="s">
        <v>11680</v>
      </c>
      <c r="B1323" s="30" t="s">
        <v>11681</v>
      </c>
      <c r="C1323" s="32">
        <v>6.61</v>
      </c>
      <c r="D1323" s="30">
        <v>0</v>
      </c>
      <c r="E1323" s="31">
        <v>0</v>
      </c>
      <c r="F1323" s="30">
        <v>53902534</v>
      </c>
      <c r="G1323" s="30" t="s">
        <v>5427</v>
      </c>
      <c r="H1323" s="30">
        <v>2005</v>
      </c>
      <c r="I1323" s="30">
        <v>468</v>
      </c>
      <c r="J1323" s="30" t="s">
        <v>5435</v>
      </c>
      <c r="K1323" s="30" t="s">
        <v>6556</v>
      </c>
    </row>
    <row r="1324" spans="1:11" x14ac:dyDescent="0.35">
      <c r="A1324" s="30" t="s">
        <v>11682</v>
      </c>
      <c r="B1324" s="30" t="s">
        <v>11683</v>
      </c>
      <c r="C1324" s="32">
        <v>57.19</v>
      </c>
      <c r="D1324" s="30">
        <v>1.06</v>
      </c>
      <c r="E1324" s="31">
        <v>1.8880000000000001E-2</v>
      </c>
      <c r="F1324" s="30">
        <v>1186901015</v>
      </c>
      <c r="G1324" s="30" t="s">
        <v>5427</v>
      </c>
      <c r="H1324" s="30">
        <v>1995</v>
      </c>
      <c r="I1324" s="30">
        <v>132045</v>
      </c>
      <c r="J1324" s="30" t="s">
        <v>5442</v>
      </c>
      <c r="K1324" s="30" t="s">
        <v>5746</v>
      </c>
    </row>
    <row r="1325" spans="1:11" x14ac:dyDescent="0.35">
      <c r="A1325" s="30" t="s">
        <v>11684</v>
      </c>
      <c r="B1325" s="30" t="s">
        <v>11685</v>
      </c>
      <c r="C1325" s="32">
        <v>40.54</v>
      </c>
      <c r="D1325" s="30">
        <v>0.01</v>
      </c>
      <c r="E1325" s="31">
        <v>2.5000000000000001E-4</v>
      </c>
      <c r="F1325" s="30">
        <v>49658668849</v>
      </c>
      <c r="G1325" s="30" t="s">
        <v>5427</v>
      </c>
      <c r="H1325" s="30"/>
      <c r="I1325" s="30">
        <v>6058549</v>
      </c>
      <c r="J1325" s="30" t="s">
        <v>5541</v>
      </c>
      <c r="K1325" s="30" t="s">
        <v>5774</v>
      </c>
    </row>
    <row r="1326" spans="1:11" x14ac:dyDescent="0.35">
      <c r="A1326" s="30" t="s">
        <v>11686</v>
      </c>
      <c r="B1326" s="30" t="s">
        <v>11687</v>
      </c>
      <c r="C1326" s="32">
        <v>46.99</v>
      </c>
      <c r="D1326" s="30">
        <v>-0.14000000000000001</v>
      </c>
      <c r="E1326" s="31">
        <v>-2.97E-3</v>
      </c>
      <c r="F1326" s="30">
        <v>1075671585</v>
      </c>
      <c r="G1326" s="30" t="s">
        <v>5427</v>
      </c>
      <c r="H1326" s="30">
        <v>2017</v>
      </c>
      <c r="I1326" s="30">
        <v>96364</v>
      </c>
      <c r="J1326" s="30" t="s">
        <v>5431</v>
      </c>
      <c r="K1326" s="30" t="s">
        <v>5500</v>
      </c>
    </row>
    <row r="1327" spans="1:11" x14ac:dyDescent="0.35">
      <c r="A1327" s="30" t="s">
        <v>11688</v>
      </c>
      <c r="B1327" s="30" t="s">
        <v>11689</v>
      </c>
      <c r="C1327" s="32">
        <v>10.130000000000001</v>
      </c>
      <c r="D1327" s="30">
        <v>9.9000000000000008E-3</v>
      </c>
      <c r="E1327" s="31">
        <v>9.7999999999999997E-4</v>
      </c>
      <c r="F1327" s="30">
        <v>79398940</v>
      </c>
      <c r="G1327" s="30" t="s">
        <v>5427</v>
      </c>
      <c r="H1327" s="30">
        <v>2021</v>
      </c>
      <c r="I1327" s="30">
        <v>200</v>
      </c>
      <c r="J1327" s="30" t="s">
        <v>5457</v>
      </c>
      <c r="K1327" s="30" t="s">
        <v>5571</v>
      </c>
    </row>
    <row r="1328" spans="1:11" x14ac:dyDescent="0.35">
      <c r="A1328" s="30" t="s">
        <v>11690</v>
      </c>
      <c r="B1328" s="30" t="s">
        <v>11691</v>
      </c>
      <c r="C1328" s="32">
        <v>3.38</v>
      </c>
      <c r="D1328" s="30">
        <v>-0.02</v>
      </c>
      <c r="E1328" s="31">
        <v>-5.8799999999999998E-3</v>
      </c>
      <c r="F1328" s="30">
        <v>159707606</v>
      </c>
      <c r="G1328" s="30" t="s">
        <v>5427</v>
      </c>
      <c r="H1328" s="30">
        <v>2021</v>
      </c>
      <c r="I1328" s="30">
        <v>35557</v>
      </c>
      <c r="J1328" s="30" t="s">
        <v>5457</v>
      </c>
      <c r="K1328" s="30" t="s">
        <v>5634</v>
      </c>
    </row>
    <row r="1329" spans="1:11" x14ac:dyDescent="0.35">
      <c r="A1329" s="30" t="s">
        <v>11692</v>
      </c>
      <c r="B1329" s="30" t="s">
        <v>11693</v>
      </c>
      <c r="C1329" s="32">
        <v>409.77</v>
      </c>
      <c r="D1329" s="30">
        <v>17.29</v>
      </c>
      <c r="E1329" s="31">
        <v>4.4049999999999999E-2</v>
      </c>
      <c r="F1329" s="30">
        <v>56744852894</v>
      </c>
      <c r="G1329" s="30" t="s">
        <v>5427</v>
      </c>
      <c r="H1329" s="30">
        <v>1980</v>
      </c>
      <c r="I1329" s="30">
        <v>1726663</v>
      </c>
      <c r="J1329" s="30" t="s">
        <v>5219</v>
      </c>
      <c r="K1329" s="30" t="s">
        <v>5965</v>
      </c>
    </row>
    <row r="1330" spans="1:11" x14ac:dyDescent="0.35">
      <c r="A1330" s="30" t="s">
        <v>11694</v>
      </c>
      <c r="B1330" s="30" t="s">
        <v>11695</v>
      </c>
      <c r="C1330" s="32">
        <v>53.6</v>
      </c>
      <c r="D1330" s="30">
        <v>2.5</v>
      </c>
      <c r="E1330" s="31">
        <v>4.8919999999999998E-2</v>
      </c>
      <c r="F1330" s="30">
        <v>3049279773</v>
      </c>
      <c r="G1330" s="30" t="s">
        <v>5752</v>
      </c>
      <c r="H1330" s="30"/>
      <c r="I1330" s="30">
        <v>814305</v>
      </c>
      <c r="J1330" s="30" t="s">
        <v>5219</v>
      </c>
      <c r="K1330" s="30" t="s">
        <v>5526</v>
      </c>
    </row>
    <row r="1331" spans="1:11" x14ac:dyDescent="0.35">
      <c r="A1331" s="30" t="s">
        <v>11696</v>
      </c>
      <c r="B1331" s="30" t="s">
        <v>11697</v>
      </c>
      <c r="C1331" s="32">
        <v>2.17</v>
      </c>
      <c r="D1331" s="30">
        <v>-0.01</v>
      </c>
      <c r="E1331" s="31">
        <v>-4.5900000000000003E-3</v>
      </c>
      <c r="F1331" s="30">
        <v>289184753</v>
      </c>
      <c r="G1331" s="30" t="s">
        <v>5427</v>
      </c>
      <c r="H1331" s="30">
        <v>2021</v>
      </c>
      <c r="I1331" s="30">
        <v>114141</v>
      </c>
      <c r="J1331" s="30" t="s">
        <v>5219</v>
      </c>
      <c r="K1331" s="30" t="s">
        <v>5447</v>
      </c>
    </row>
    <row r="1332" spans="1:11" x14ac:dyDescent="0.35">
      <c r="A1332" s="30" t="s">
        <v>11698</v>
      </c>
      <c r="B1332" s="30" t="s">
        <v>11699</v>
      </c>
      <c r="C1332" s="32">
        <v>14.27</v>
      </c>
      <c r="D1332" s="30">
        <v>-0.51</v>
      </c>
      <c r="E1332" s="31">
        <v>-3.4509999999999999E-2</v>
      </c>
      <c r="F1332" s="30">
        <v>175170144</v>
      </c>
      <c r="G1332" s="30" t="s">
        <v>5427</v>
      </c>
      <c r="H1332" s="30"/>
      <c r="I1332" s="30">
        <v>232638</v>
      </c>
      <c r="J1332" s="30" t="s">
        <v>5464</v>
      </c>
      <c r="K1332" s="30" t="s">
        <v>5588</v>
      </c>
    </row>
    <row r="1333" spans="1:11" x14ac:dyDescent="0.35">
      <c r="A1333" s="30" t="s">
        <v>11700</v>
      </c>
      <c r="B1333" s="30" t="s">
        <v>11701</v>
      </c>
      <c r="C1333" s="32">
        <v>5.47</v>
      </c>
      <c r="D1333" s="30">
        <v>0.01</v>
      </c>
      <c r="E1333" s="31">
        <v>1.83E-3</v>
      </c>
      <c r="F1333" s="30">
        <v>188741595</v>
      </c>
      <c r="G1333" s="30" t="s">
        <v>5427</v>
      </c>
      <c r="H1333" s="30"/>
      <c r="I1333" s="30">
        <v>114519</v>
      </c>
      <c r="J1333" s="30" t="s">
        <v>5431</v>
      </c>
      <c r="K1333" s="30" t="s">
        <v>5430</v>
      </c>
    </row>
    <row r="1334" spans="1:11" x14ac:dyDescent="0.35">
      <c r="A1334" s="30" t="s">
        <v>11702</v>
      </c>
      <c r="B1334" s="30" t="s">
        <v>11703</v>
      </c>
      <c r="C1334" s="32">
        <v>24.89</v>
      </c>
      <c r="D1334" s="30">
        <v>0</v>
      </c>
      <c r="E1334" s="31">
        <v>0</v>
      </c>
      <c r="F1334" s="30">
        <v>5555361457</v>
      </c>
      <c r="G1334" s="30" t="s">
        <v>5427</v>
      </c>
      <c r="H1334" s="30">
        <v>2021</v>
      </c>
      <c r="I1334" s="30">
        <v>9081974</v>
      </c>
      <c r="J1334" s="30" t="s">
        <v>5219</v>
      </c>
      <c r="K1334" s="30" t="s">
        <v>5560</v>
      </c>
    </row>
    <row r="1335" spans="1:11" x14ac:dyDescent="0.35">
      <c r="A1335" s="30" t="s">
        <v>11704</v>
      </c>
      <c r="B1335" s="30" t="s">
        <v>11705</v>
      </c>
      <c r="C1335" s="32">
        <v>14.52</v>
      </c>
      <c r="D1335" s="30">
        <v>0.06</v>
      </c>
      <c r="E1335" s="31">
        <v>4.15E-3</v>
      </c>
      <c r="F1335" s="30">
        <v>1009601184</v>
      </c>
      <c r="G1335" s="30" t="s">
        <v>5427</v>
      </c>
      <c r="H1335" s="30">
        <v>2018</v>
      </c>
      <c r="I1335" s="30">
        <v>367647</v>
      </c>
      <c r="J1335" s="30" t="s">
        <v>5431</v>
      </c>
      <c r="K1335" s="30" t="s">
        <v>5430</v>
      </c>
    </row>
    <row r="1336" spans="1:11" x14ac:dyDescent="0.35">
      <c r="A1336" s="30" t="s">
        <v>11706</v>
      </c>
      <c r="B1336" s="30" t="s">
        <v>11707</v>
      </c>
      <c r="C1336" s="32">
        <v>7.9</v>
      </c>
      <c r="D1336" s="30">
        <v>0.37</v>
      </c>
      <c r="E1336" s="31">
        <v>4.9140000000000003E-2</v>
      </c>
      <c r="F1336" s="30">
        <v>348900996</v>
      </c>
      <c r="G1336" s="30" t="s">
        <v>5427</v>
      </c>
      <c r="H1336" s="30">
        <v>2020</v>
      </c>
      <c r="I1336" s="30">
        <v>103067</v>
      </c>
      <c r="J1336" s="30" t="s">
        <v>5431</v>
      </c>
      <c r="K1336" s="30" t="s">
        <v>5430</v>
      </c>
    </row>
    <row r="1337" spans="1:11" x14ac:dyDescent="0.35">
      <c r="A1337" s="30" t="s">
        <v>11708</v>
      </c>
      <c r="B1337" s="30" t="s">
        <v>11709</v>
      </c>
      <c r="C1337" s="32">
        <v>8.23</v>
      </c>
      <c r="D1337" s="30">
        <v>0.15</v>
      </c>
      <c r="E1337" s="31">
        <v>1.856E-2</v>
      </c>
      <c r="F1337" s="30">
        <v>430504337</v>
      </c>
      <c r="G1337" s="30" t="s">
        <v>5427</v>
      </c>
      <c r="H1337" s="30">
        <v>2018</v>
      </c>
      <c r="I1337" s="30">
        <v>219989</v>
      </c>
      <c r="J1337" s="30" t="s">
        <v>5431</v>
      </c>
      <c r="K1337" s="30" t="s">
        <v>5430</v>
      </c>
    </row>
    <row r="1338" spans="1:11" x14ac:dyDescent="0.35">
      <c r="A1338" s="30" t="s">
        <v>11710</v>
      </c>
      <c r="B1338" s="30" t="s">
        <v>11711</v>
      </c>
      <c r="C1338" s="32">
        <v>1.25</v>
      </c>
      <c r="D1338" s="30">
        <v>0.05</v>
      </c>
      <c r="E1338" s="31">
        <v>4.1669999999999999E-2</v>
      </c>
      <c r="F1338" s="30">
        <v>118905573</v>
      </c>
      <c r="G1338" s="30" t="s">
        <v>5427</v>
      </c>
      <c r="H1338" s="30">
        <v>1992</v>
      </c>
      <c r="I1338" s="30">
        <v>798487</v>
      </c>
      <c r="J1338" s="30" t="s">
        <v>5219</v>
      </c>
      <c r="K1338" s="30" t="s">
        <v>5644</v>
      </c>
    </row>
    <row r="1339" spans="1:11" x14ac:dyDescent="0.35">
      <c r="A1339" s="30" t="s">
        <v>11712</v>
      </c>
      <c r="B1339" s="30" t="s">
        <v>11713</v>
      </c>
      <c r="C1339" s="32">
        <v>5.55</v>
      </c>
      <c r="D1339" s="30">
        <v>-7.7100000000000002E-2</v>
      </c>
      <c r="E1339" s="31">
        <v>-1.37E-2</v>
      </c>
      <c r="F1339" s="30">
        <v>51003362</v>
      </c>
      <c r="G1339" s="30" t="s">
        <v>5427</v>
      </c>
      <c r="H1339" s="30"/>
      <c r="I1339" s="30">
        <v>51408</v>
      </c>
      <c r="J1339" s="30" t="s">
        <v>5541</v>
      </c>
      <c r="K1339" s="30" t="s">
        <v>5571</v>
      </c>
    </row>
    <row r="1340" spans="1:11" x14ac:dyDescent="0.35">
      <c r="A1340" s="30" t="s">
        <v>11714</v>
      </c>
      <c r="B1340" s="30" t="s">
        <v>11715</v>
      </c>
      <c r="C1340" s="32">
        <v>1.03</v>
      </c>
      <c r="D1340" s="30">
        <v>0.05</v>
      </c>
      <c r="E1340" s="31">
        <v>5.1020000000000003E-2</v>
      </c>
      <c r="F1340" s="30">
        <v>101401691</v>
      </c>
      <c r="G1340" s="30" t="s">
        <v>5427</v>
      </c>
      <c r="H1340" s="30">
        <v>2019</v>
      </c>
      <c r="I1340" s="30">
        <v>224203</v>
      </c>
      <c r="J1340" s="30" t="s">
        <v>5219</v>
      </c>
      <c r="K1340" s="30" t="s">
        <v>5447</v>
      </c>
    </row>
    <row r="1341" spans="1:11" x14ac:dyDescent="0.35">
      <c r="A1341" s="30" t="s">
        <v>11716</v>
      </c>
      <c r="B1341" s="30" t="s">
        <v>11717</v>
      </c>
      <c r="C1341" s="32">
        <v>3.34</v>
      </c>
      <c r="D1341" s="30">
        <v>0.04</v>
      </c>
      <c r="E1341" s="31">
        <v>1.2120000000000001E-2</v>
      </c>
      <c r="F1341" s="30">
        <v>378131978</v>
      </c>
      <c r="G1341" s="30" t="s">
        <v>5427</v>
      </c>
      <c r="H1341" s="30">
        <v>2013</v>
      </c>
      <c r="I1341" s="30">
        <v>1914728</v>
      </c>
      <c r="J1341" s="30" t="s">
        <v>5682</v>
      </c>
      <c r="K1341" s="30" t="s">
        <v>5746</v>
      </c>
    </row>
    <row r="1342" spans="1:11" x14ac:dyDescent="0.35">
      <c r="A1342" s="30" t="s">
        <v>11718</v>
      </c>
      <c r="B1342" s="30" t="s">
        <v>11719</v>
      </c>
      <c r="C1342" s="32">
        <v>3.9</v>
      </c>
      <c r="D1342" s="30">
        <v>-0.08</v>
      </c>
      <c r="E1342" s="31">
        <v>-2.01E-2</v>
      </c>
      <c r="F1342" s="30">
        <v>176591797</v>
      </c>
      <c r="G1342" s="30" t="s">
        <v>5427</v>
      </c>
      <c r="H1342" s="30"/>
      <c r="I1342" s="30">
        <v>35570</v>
      </c>
      <c r="J1342" s="30" t="s">
        <v>5431</v>
      </c>
      <c r="K1342" s="30" t="s">
        <v>5500</v>
      </c>
    </row>
    <row r="1343" spans="1:11" x14ac:dyDescent="0.35">
      <c r="A1343" s="30" t="s">
        <v>11720</v>
      </c>
      <c r="B1343" s="30" t="s">
        <v>11721</v>
      </c>
      <c r="C1343" s="32">
        <v>10.17</v>
      </c>
      <c r="D1343" s="30">
        <v>-0.02</v>
      </c>
      <c r="E1343" s="31">
        <v>-1.9599999999999999E-3</v>
      </c>
      <c r="F1343" s="30">
        <v>387413438</v>
      </c>
      <c r="G1343" s="30" t="s">
        <v>5427</v>
      </c>
      <c r="H1343" s="30">
        <v>2021</v>
      </c>
      <c r="I1343" s="30">
        <v>61086</v>
      </c>
      <c r="J1343" s="30" t="s">
        <v>5435</v>
      </c>
      <c r="K1343" s="30" t="s">
        <v>5482</v>
      </c>
    </row>
    <row r="1344" spans="1:11" x14ac:dyDescent="0.35">
      <c r="A1344" s="30" t="s">
        <v>11722</v>
      </c>
      <c r="B1344" s="30" t="s">
        <v>11723</v>
      </c>
      <c r="C1344" s="32">
        <v>9.51</v>
      </c>
      <c r="D1344" s="30">
        <v>0.13</v>
      </c>
      <c r="E1344" s="31">
        <v>1.3860000000000001E-2</v>
      </c>
      <c r="F1344" s="30">
        <v>640859880</v>
      </c>
      <c r="G1344" s="30" t="s">
        <v>5427</v>
      </c>
      <c r="H1344" s="30">
        <v>2005</v>
      </c>
      <c r="I1344" s="30">
        <v>222595</v>
      </c>
      <c r="J1344" s="30" t="s">
        <v>5435</v>
      </c>
      <c r="K1344" s="30" t="s">
        <v>6556</v>
      </c>
    </row>
    <row r="1345" spans="1:11" x14ac:dyDescent="0.35">
      <c r="A1345" s="30" t="s">
        <v>11724</v>
      </c>
      <c r="B1345" s="30" t="s">
        <v>11725</v>
      </c>
      <c r="C1345" s="32">
        <v>2.36</v>
      </c>
      <c r="D1345" s="30">
        <v>-0.04</v>
      </c>
      <c r="E1345" s="31">
        <v>-1.6670000000000001E-2</v>
      </c>
      <c r="F1345" s="30">
        <v>134280163</v>
      </c>
      <c r="G1345" s="30" t="s">
        <v>5427</v>
      </c>
      <c r="H1345" s="30">
        <v>2020</v>
      </c>
      <c r="I1345" s="30">
        <v>219057</v>
      </c>
      <c r="J1345" s="30" t="s">
        <v>5431</v>
      </c>
      <c r="K1345" s="30" t="s">
        <v>5685</v>
      </c>
    </row>
    <row r="1346" spans="1:11" x14ac:dyDescent="0.35">
      <c r="A1346" s="30" t="s">
        <v>11726</v>
      </c>
      <c r="B1346" s="30" t="s">
        <v>11727</v>
      </c>
      <c r="C1346" s="32">
        <v>58.27</v>
      </c>
      <c r="D1346" s="30">
        <v>-0.3</v>
      </c>
      <c r="E1346" s="31">
        <v>-5.1200000000000004E-3</v>
      </c>
      <c r="F1346" s="30">
        <v>1604945236</v>
      </c>
      <c r="G1346" s="30" t="s">
        <v>5427</v>
      </c>
      <c r="H1346" s="30">
        <v>2020</v>
      </c>
      <c r="I1346" s="30">
        <v>154754</v>
      </c>
      <c r="J1346" s="30" t="s">
        <v>5431</v>
      </c>
      <c r="K1346" s="30" t="s">
        <v>5685</v>
      </c>
    </row>
    <row r="1347" spans="1:11" x14ac:dyDescent="0.35">
      <c r="A1347" s="30" t="s">
        <v>11728</v>
      </c>
      <c r="B1347" s="30" t="s">
        <v>11729</v>
      </c>
      <c r="C1347" s="32">
        <v>15.2</v>
      </c>
      <c r="D1347" s="30">
        <v>0.17</v>
      </c>
      <c r="E1347" s="31">
        <v>1.1310000000000001E-2</v>
      </c>
      <c r="F1347" s="30">
        <v>302601782</v>
      </c>
      <c r="G1347" s="30" t="s">
        <v>5427</v>
      </c>
      <c r="H1347" s="30">
        <v>2021</v>
      </c>
      <c r="I1347" s="30">
        <v>7776</v>
      </c>
      <c r="J1347" s="30" t="s">
        <v>5457</v>
      </c>
      <c r="K1347" s="30" t="s">
        <v>5487</v>
      </c>
    </row>
    <row r="1348" spans="1:11" x14ac:dyDescent="0.35">
      <c r="A1348" s="30" t="s">
        <v>11730</v>
      </c>
      <c r="B1348" s="30" t="s">
        <v>11731</v>
      </c>
      <c r="C1348" s="32">
        <v>194.28</v>
      </c>
      <c r="D1348" s="30">
        <v>-5.1100000000000003</v>
      </c>
      <c r="E1348" s="31">
        <v>-2.563E-2</v>
      </c>
      <c r="F1348" s="30">
        <v>6676000316</v>
      </c>
      <c r="G1348" s="30" t="s">
        <v>5427</v>
      </c>
      <c r="H1348" s="30">
        <v>2019</v>
      </c>
      <c r="I1348" s="30">
        <v>370756</v>
      </c>
      <c r="J1348" s="30" t="s">
        <v>5431</v>
      </c>
      <c r="K1348" s="30" t="s">
        <v>5430</v>
      </c>
    </row>
    <row r="1349" spans="1:11" x14ac:dyDescent="0.35">
      <c r="A1349" s="30" t="s">
        <v>11732</v>
      </c>
      <c r="B1349" s="30" t="s">
        <v>11733</v>
      </c>
      <c r="C1349" s="32">
        <v>61.89</v>
      </c>
      <c r="D1349" s="30">
        <v>-0.25</v>
      </c>
      <c r="E1349" s="31">
        <v>-4.0200000000000001E-3</v>
      </c>
      <c r="F1349" s="30">
        <v>606037773</v>
      </c>
      <c r="G1349" s="30" t="s">
        <v>5427</v>
      </c>
      <c r="H1349" s="30">
        <v>2019</v>
      </c>
      <c r="I1349" s="30">
        <v>148060</v>
      </c>
      <c r="J1349" s="30" t="s">
        <v>5442</v>
      </c>
      <c r="K1349" s="30" t="s">
        <v>5441</v>
      </c>
    </row>
    <row r="1350" spans="1:11" x14ac:dyDescent="0.35">
      <c r="A1350" s="30" t="s">
        <v>11734</v>
      </c>
      <c r="B1350" s="30" t="s">
        <v>11735</v>
      </c>
      <c r="C1350" s="32">
        <v>81.709999999999994</v>
      </c>
      <c r="D1350" s="30">
        <v>-1.41</v>
      </c>
      <c r="E1350" s="31">
        <v>-1.6959999999999999E-2</v>
      </c>
      <c r="F1350" s="30">
        <v>2103840236</v>
      </c>
      <c r="G1350" s="30" t="s">
        <v>5427</v>
      </c>
      <c r="H1350" s="30">
        <v>2017</v>
      </c>
      <c r="I1350" s="30">
        <v>150778</v>
      </c>
      <c r="J1350" s="30" t="s">
        <v>5431</v>
      </c>
      <c r="K1350" s="30" t="s">
        <v>6409</v>
      </c>
    </row>
    <row r="1351" spans="1:11" x14ac:dyDescent="0.35">
      <c r="A1351" s="30" t="s">
        <v>11736</v>
      </c>
      <c r="B1351" s="30" t="s">
        <v>11737</v>
      </c>
      <c r="C1351" s="32">
        <v>1.51</v>
      </c>
      <c r="D1351" s="30">
        <v>-0.08</v>
      </c>
      <c r="E1351" s="31">
        <v>-5.0310000000000001E-2</v>
      </c>
      <c r="F1351" s="30">
        <v>58050863</v>
      </c>
      <c r="G1351" s="30" t="s">
        <v>5427</v>
      </c>
      <c r="H1351" s="30">
        <v>2022</v>
      </c>
      <c r="I1351" s="30">
        <v>532760</v>
      </c>
      <c r="J1351" s="30" t="s">
        <v>5219</v>
      </c>
      <c r="K1351" s="30" t="s">
        <v>6786</v>
      </c>
    </row>
    <row r="1352" spans="1:11" x14ac:dyDescent="0.35">
      <c r="A1352" s="30" t="s">
        <v>11738</v>
      </c>
      <c r="B1352" s="30" t="s">
        <v>11739</v>
      </c>
      <c r="C1352" s="32">
        <v>10.09</v>
      </c>
      <c r="D1352" s="30">
        <v>0</v>
      </c>
      <c r="E1352" s="31">
        <v>0</v>
      </c>
      <c r="F1352" s="30">
        <v>220718750</v>
      </c>
      <c r="G1352" s="30" t="s">
        <v>5427</v>
      </c>
      <c r="H1352" s="30">
        <v>2021</v>
      </c>
      <c r="I1352" s="30">
        <v>31568</v>
      </c>
      <c r="J1352" s="30" t="s">
        <v>5457</v>
      </c>
      <c r="K1352" s="30" t="s">
        <v>5571</v>
      </c>
    </row>
    <row r="1353" spans="1:11" x14ac:dyDescent="0.35">
      <c r="A1353" s="30" t="s">
        <v>11740</v>
      </c>
      <c r="B1353" s="30" t="s">
        <v>11741</v>
      </c>
      <c r="C1353" s="32">
        <v>5.56</v>
      </c>
      <c r="D1353" s="30">
        <v>0.91080000000000005</v>
      </c>
      <c r="E1353" s="31">
        <v>0.19589999999999999</v>
      </c>
      <c r="F1353" s="30">
        <v>59836003</v>
      </c>
      <c r="G1353" s="30" t="s">
        <v>5427</v>
      </c>
      <c r="H1353" s="30">
        <v>1983</v>
      </c>
      <c r="I1353" s="30">
        <v>237037</v>
      </c>
      <c r="J1353" s="30" t="s">
        <v>5219</v>
      </c>
      <c r="K1353" s="30" t="s">
        <v>7345</v>
      </c>
    </row>
    <row r="1354" spans="1:11" x14ac:dyDescent="0.35">
      <c r="A1354" s="30" t="s">
        <v>11742</v>
      </c>
      <c r="B1354" s="30" t="s">
        <v>11743</v>
      </c>
      <c r="C1354" s="32">
        <v>11.98</v>
      </c>
      <c r="D1354" s="30">
        <v>0.53</v>
      </c>
      <c r="E1354" s="31">
        <v>4.6289999999999998E-2</v>
      </c>
      <c r="F1354" s="30">
        <v>1508964704</v>
      </c>
      <c r="G1354" s="30" t="s">
        <v>5427</v>
      </c>
      <c r="H1354" s="30"/>
      <c r="I1354" s="30">
        <v>1110102</v>
      </c>
      <c r="J1354" s="30" t="s">
        <v>5442</v>
      </c>
      <c r="K1354" s="30" t="s">
        <v>11744</v>
      </c>
    </row>
    <row r="1355" spans="1:11" x14ac:dyDescent="0.35">
      <c r="A1355" s="30" t="s">
        <v>11745</v>
      </c>
      <c r="B1355" s="30" t="s">
        <v>11746</v>
      </c>
      <c r="C1355" s="32">
        <v>13.89</v>
      </c>
      <c r="D1355" s="30">
        <v>7.0000000000000007E-2</v>
      </c>
      <c r="E1355" s="31">
        <v>5.0699999999999999E-3</v>
      </c>
      <c r="F1355" s="30">
        <v>948687000</v>
      </c>
      <c r="G1355" s="30" t="s">
        <v>5427</v>
      </c>
      <c r="H1355" s="30"/>
      <c r="I1355" s="30">
        <v>492523</v>
      </c>
      <c r="J1355" s="30" t="s">
        <v>5431</v>
      </c>
      <c r="K1355" s="30" t="s">
        <v>6409</v>
      </c>
    </row>
    <row r="1356" spans="1:11" x14ac:dyDescent="0.35">
      <c r="A1356" s="30" t="s">
        <v>11747</v>
      </c>
      <c r="B1356" s="30" t="s">
        <v>11748</v>
      </c>
      <c r="C1356" s="32">
        <v>9.9600000000000009</v>
      </c>
      <c r="D1356" s="30">
        <v>-0.28999999999999998</v>
      </c>
      <c r="E1356" s="31">
        <v>-2.8289999999999999E-2</v>
      </c>
      <c r="F1356" s="30">
        <v>191052282</v>
      </c>
      <c r="G1356" s="30" t="s">
        <v>5427</v>
      </c>
      <c r="H1356" s="30">
        <v>1996</v>
      </c>
      <c r="I1356" s="30">
        <v>115343</v>
      </c>
      <c r="J1356" s="30" t="s">
        <v>5219</v>
      </c>
      <c r="K1356" s="30" t="s">
        <v>5780</v>
      </c>
    </row>
    <row r="1357" spans="1:11" x14ac:dyDescent="0.35">
      <c r="A1357" s="30" t="s">
        <v>11749</v>
      </c>
      <c r="B1357" s="30" t="s">
        <v>11750</v>
      </c>
      <c r="C1357" s="32">
        <v>10.1097</v>
      </c>
      <c r="D1357" s="30">
        <v>9.7000000000000003E-3</v>
      </c>
      <c r="E1357" s="31">
        <v>9.6000000000000002E-4</v>
      </c>
      <c r="F1357" s="30">
        <v>409341753</v>
      </c>
      <c r="G1357" s="30" t="s">
        <v>5427</v>
      </c>
      <c r="H1357" s="30">
        <v>2021</v>
      </c>
      <c r="I1357" s="30">
        <v>757</v>
      </c>
      <c r="J1357" s="30" t="s">
        <v>5457</v>
      </c>
      <c r="K1357" s="30" t="s">
        <v>5571</v>
      </c>
    </row>
    <row r="1358" spans="1:11" x14ac:dyDescent="0.35">
      <c r="A1358" s="30" t="s">
        <v>11751</v>
      </c>
      <c r="B1358" s="30" t="s">
        <v>11752</v>
      </c>
      <c r="C1358" s="32">
        <v>10.07</v>
      </c>
      <c r="D1358" s="30">
        <v>0</v>
      </c>
      <c r="E1358" s="31">
        <v>0</v>
      </c>
      <c r="F1358" s="30">
        <v>631961228</v>
      </c>
      <c r="G1358" s="30" t="s">
        <v>5427</v>
      </c>
      <c r="H1358" s="30">
        <v>2021</v>
      </c>
      <c r="I1358" s="30">
        <v>6114</v>
      </c>
      <c r="J1358" s="30" t="s">
        <v>5457</v>
      </c>
      <c r="K1358" s="30" t="s">
        <v>5571</v>
      </c>
    </row>
    <row r="1359" spans="1:11" x14ac:dyDescent="0.35">
      <c r="A1359" s="30" t="s">
        <v>11753</v>
      </c>
      <c r="B1359" s="30" t="s">
        <v>11754</v>
      </c>
      <c r="C1359" s="32">
        <v>10.210000000000001</v>
      </c>
      <c r="D1359" s="30">
        <v>0.02</v>
      </c>
      <c r="E1359" s="31">
        <v>1.9599999999999999E-3</v>
      </c>
      <c r="F1359" s="30">
        <v>154375200</v>
      </c>
      <c r="G1359" s="30" t="s">
        <v>5427</v>
      </c>
      <c r="H1359" s="30">
        <v>2022</v>
      </c>
      <c r="I1359" s="30">
        <v>297265</v>
      </c>
      <c r="J1359" s="30" t="s">
        <v>5435</v>
      </c>
      <c r="K1359" s="30" t="s">
        <v>5482</v>
      </c>
    </row>
    <row r="1360" spans="1:11" x14ac:dyDescent="0.35">
      <c r="A1360" s="30" t="s">
        <v>11755</v>
      </c>
      <c r="B1360" s="30" t="s">
        <v>11756</v>
      </c>
      <c r="C1360" s="32">
        <v>36.590000000000003</v>
      </c>
      <c r="D1360" s="30">
        <v>-0.79</v>
      </c>
      <c r="E1360" s="31">
        <v>-2.1129999999999999E-2</v>
      </c>
      <c r="F1360" s="30">
        <v>2007500361</v>
      </c>
      <c r="G1360" s="30" t="s">
        <v>5427</v>
      </c>
      <c r="H1360" s="30">
        <v>2020</v>
      </c>
      <c r="I1360" s="30">
        <v>792437</v>
      </c>
      <c r="J1360" s="30" t="s">
        <v>5431</v>
      </c>
      <c r="K1360" s="30" t="s">
        <v>5685</v>
      </c>
    </row>
    <row r="1361" spans="1:11" x14ac:dyDescent="0.35">
      <c r="A1361" s="30" t="s">
        <v>11757</v>
      </c>
      <c r="B1361" s="30" t="s">
        <v>11758</v>
      </c>
      <c r="C1361" s="32">
        <v>6.9</v>
      </c>
      <c r="D1361" s="30">
        <v>-0.27</v>
      </c>
      <c r="E1361" s="31">
        <v>-3.7659999999999999E-2</v>
      </c>
      <c r="F1361" s="30">
        <v>472650000</v>
      </c>
      <c r="G1361" s="30" t="s">
        <v>5427</v>
      </c>
      <c r="H1361" s="30">
        <v>2018</v>
      </c>
      <c r="I1361" s="30">
        <v>648519</v>
      </c>
      <c r="J1361" s="30" t="s">
        <v>5431</v>
      </c>
      <c r="K1361" s="30" t="s">
        <v>5430</v>
      </c>
    </row>
    <row r="1362" spans="1:11" x14ac:dyDescent="0.35">
      <c r="A1362" s="30" t="s">
        <v>11759</v>
      </c>
      <c r="B1362" s="30" t="s">
        <v>11760</v>
      </c>
      <c r="C1362" s="32">
        <v>2</v>
      </c>
      <c r="D1362" s="30">
        <v>0</v>
      </c>
      <c r="E1362" s="31">
        <v>0</v>
      </c>
      <c r="F1362" s="30">
        <v>158592886</v>
      </c>
      <c r="G1362" s="30" t="s">
        <v>5427</v>
      </c>
      <c r="H1362" s="30">
        <v>2011</v>
      </c>
      <c r="I1362" s="30">
        <v>75003</v>
      </c>
      <c r="J1362" s="30" t="s">
        <v>5457</v>
      </c>
      <c r="K1362" s="30" t="s">
        <v>5921</v>
      </c>
    </row>
    <row r="1363" spans="1:11" x14ac:dyDescent="0.35">
      <c r="A1363" s="30" t="s">
        <v>11761</v>
      </c>
      <c r="B1363" s="30" t="s">
        <v>11762</v>
      </c>
      <c r="C1363" s="32">
        <v>14.44</v>
      </c>
      <c r="D1363" s="30">
        <v>-0.04</v>
      </c>
      <c r="E1363" s="31">
        <v>-2.7599999999999999E-3</v>
      </c>
      <c r="F1363" s="30">
        <v>105699154</v>
      </c>
      <c r="G1363" s="30" t="s">
        <v>5427</v>
      </c>
      <c r="H1363" s="30">
        <v>1986</v>
      </c>
      <c r="I1363" s="30">
        <v>20435</v>
      </c>
      <c r="J1363" s="30"/>
      <c r="K1363" s="30"/>
    </row>
    <row r="1364" spans="1:11" x14ac:dyDescent="0.35">
      <c r="A1364" s="30" t="s">
        <v>11763</v>
      </c>
      <c r="B1364" s="30" t="s">
        <v>11764</v>
      </c>
      <c r="C1364" s="32">
        <v>106.71</v>
      </c>
      <c r="D1364" s="30">
        <v>0.17</v>
      </c>
      <c r="E1364" s="31">
        <v>1.6000000000000001E-3</v>
      </c>
      <c r="F1364" s="30">
        <v>10850643084</v>
      </c>
      <c r="G1364" s="30" t="s">
        <v>5427</v>
      </c>
      <c r="H1364" s="30">
        <v>1996</v>
      </c>
      <c r="I1364" s="30">
        <v>730640</v>
      </c>
      <c r="J1364" s="30" t="s">
        <v>5197</v>
      </c>
      <c r="K1364" s="30" t="s">
        <v>5467</v>
      </c>
    </row>
    <row r="1365" spans="1:11" x14ac:dyDescent="0.35">
      <c r="A1365" s="30" t="s">
        <v>11765</v>
      </c>
      <c r="B1365" s="30" t="s">
        <v>11766</v>
      </c>
      <c r="C1365" s="32">
        <v>193.35</v>
      </c>
      <c r="D1365" s="30">
        <v>1.44</v>
      </c>
      <c r="E1365" s="31">
        <v>7.4999999999999997E-3</v>
      </c>
      <c r="F1365" s="30">
        <v>5327372550</v>
      </c>
      <c r="G1365" s="30" t="s">
        <v>5427</v>
      </c>
      <c r="H1365" s="30"/>
      <c r="I1365" s="30">
        <v>148093</v>
      </c>
      <c r="J1365" s="30" t="s">
        <v>5541</v>
      </c>
      <c r="K1365" s="30" t="s">
        <v>5938</v>
      </c>
    </row>
    <row r="1366" spans="1:11" x14ac:dyDescent="0.35">
      <c r="A1366" s="30" t="s">
        <v>11767</v>
      </c>
      <c r="B1366" s="30" t="s">
        <v>11768</v>
      </c>
      <c r="C1366" s="32">
        <v>19.54</v>
      </c>
      <c r="D1366" s="30">
        <v>0</v>
      </c>
      <c r="E1366" s="31">
        <v>0</v>
      </c>
      <c r="F1366" s="30">
        <v>678116258</v>
      </c>
      <c r="G1366" s="30" t="s">
        <v>5427</v>
      </c>
      <c r="H1366" s="30">
        <v>1993</v>
      </c>
      <c r="I1366" s="30">
        <v>211132</v>
      </c>
      <c r="J1366" s="30" t="s">
        <v>5197</v>
      </c>
      <c r="K1366" s="30" t="s">
        <v>5467</v>
      </c>
    </row>
    <row r="1367" spans="1:11" x14ac:dyDescent="0.35">
      <c r="A1367" s="30" t="s">
        <v>11769</v>
      </c>
      <c r="B1367" s="30" t="s">
        <v>11770</v>
      </c>
      <c r="C1367" s="32">
        <v>24.216899999999999</v>
      </c>
      <c r="D1367" s="30">
        <v>6.6900000000000001E-2</v>
      </c>
      <c r="E1367" s="31">
        <v>2.7699999999999999E-3</v>
      </c>
      <c r="F1367" s="30">
        <v>583685556</v>
      </c>
      <c r="G1367" s="30" t="s">
        <v>5427</v>
      </c>
      <c r="H1367" s="30"/>
      <c r="I1367" s="30">
        <v>2509</v>
      </c>
      <c r="J1367" s="30" t="s">
        <v>5197</v>
      </c>
      <c r="K1367" s="30" t="s">
        <v>5467</v>
      </c>
    </row>
    <row r="1368" spans="1:11" x14ac:dyDescent="0.35">
      <c r="A1368" s="30" t="s">
        <v>11771</v>
      </c>
      <c r="B1368" s="30" t="s">
        <v>11772</v>
      </c>
      <c r="C1368" s="32">
        <v>22.41</v>
      </c>
      <c r="D1368" s="30">
        <v>0.09</v>
      </c>
      <c r="E1368" s="31">
        <v>4.0299999999999997E-3</v>
      </c>
      <c r="F1368" s="30">
        <v>116873259</v>
      </c>
      <c r="G1368" s="30" t="s">
        <v>5427</v>
      </c>
      <c r="H1368" s="30"/>
      <c r="I1368" s="30">
        <v>1905</v>
      </c>
      <c r="J1368" s="30" t="s">
        <v>5435</v>
      </c>
      <c r="K1368" s="30" t="s">
        <v>5579</v>
      </c>
    </row>
    <row r="1369" spans="1:11" x14ac:dyDescent="0.35">
      <c r="A1369" s="30" t="s">
        <v>11773</v>
      </c>
      <c r="B1369" s="30" t="s">
        <v>11774</v>
      </c>
      <c r="C1369" s="32">
        <v>13.14</v>
      </c>
      <c r="D1369" s="30">
        <v>0.74</v>
      </c>
      <c r="E1369" s="31">
        <v>5.9679999999999997E-2</v>
      </c>
      <c r="F1369" s="30">
        <v>595335307</v>
      </c>
      <c r="G1369" s="30" t="s">
        <v>5427</v>
      </c>
      <c r="H1369" s="30">
        <v>2018</v>
      </c>
      <c r="I1369" s="30">
        <v>317281</v>
      </c>
      <c r="J1369" s="30" t="s">
        <v>5219</v>
      </c>
      <c r="K1369" s="30" t="s">
        <v>5526</v>
      </c>
    </row>
    <row r="1370" spans="1:11" x14ac:dyDescent="0.35">
      <c r="A1370" s="30" t="s">
        <v>11775</v>
      </c>
      <c r="B1370" s="30" t="s">
        <v>11776</v>
      </c>
      <c r="C1370" s="32">
        <v>10.34</v>
      </c>
      <c r="D1370" s="30">
        <v>0.01</v>
      </c>
      <c r="E1370" s="31">
        <v>9.7000000000000005E-4</v>
      </c>
      <c r="F1370" s="30">
        <v>168025000</v>
      </c>
      <c r="G1370" s="30" t="s">
        <v>5835</v>
      </c>
      <c r="H1370" s="30">
        <v>2022</v>
      </c>
      <c r="I1370" s="30">
        <v>27106</v>
      </c>
      <c r="J1370" s="30" t="s">
        <v>5435</v>
      </c>
      <c r="K1370" s="30" t="s">
        <v>5482</v>
      </c>
    </row>
    <row r="1371" spans="1:11" x14ac:dyDescent="0.35">
      <c r="A1371" s="30" t="s">
        <v>11777</v>
      </c>
      <c r="B1371" s="30" t="s">
        <v>11778</v>
      </c>
      <c r="C1371" s="32">
        <v>11.28</v>
      </c>
      <c r="D1371" s="30">
        <v>0.3</v>
      </c>
      <c r="E1371" s="31">
        <v>2.7320000000000001E-2</v>
      </c>
      <c r="F1371" s="30">
        <v>1767534016</v>
      </c>
      <c r="G1371" s="30" t="s">
        <v>5427</v>
      </c>
      <c r="H1371" s="30">
        <v>2017</v>
      </c>
      <c r="I1371" s="30">
        <v>1340489</v>
      </c>
      <c r="J1371" s="30" t="s">
        <v>5442</v>
      </c>
      <c r="K1371" s="30" t="s">
        <v>7723</v>
      </c>
    </row>
    <row r="1372" spans="1:11" x14ac:dyDescent="0.35">
      <c r="A1372" s="30" t="s">
        <v>11779</v>
      </c>
      <c r="B1372" s="30" t="s">
        <v>11780</v>
      </c>
      <c r="C1372" s="32">
        <v>7.14</v>
      </c>
      <c r="D1372" s="30">
        <v>0.47</v>
      </c>
      <c r="E1372" s="31">
        <v>7.0459999999999995E-2</v>
      </c>
      <c r="F1372" s="30">
        <v>2590091056</v>
      </c>
      <c r="G1372" s="30" t="s">
        <v>5427</v>
      </c>
      <c r="H1372" s="30">
        <v>2019</v>
      </c>
      <c r="I1372" s="30">
        <v>8975305</v>
      </c>
      <c r="J1372" s="30" t="s">
        <v>5442</v>
      </c>
      <c r="K1372" s="30" t="s">
        <v>5853</v>
      </c>
    </row>
    <row r="1373" spans="1:11" x14ac:dyDescent="0.35">
      <c r="A1373" s="30" t="s">
        <v>11781</v>
      </c>
      <c r="B1373" s="30" t="s">
        <v>11782</v>
      </c>
      <c r="C1373" s="32">
        <v>13.15</v>
      </c>
      <c r="D1373" s="30">
        <v>-0.04</v>
      </c>
      <c r="E1373" s="31">
        <v>-3.0300000000000001E-3</v>
      </c>
      <c r="F1373" s="30">
        <v>138557644</v>
      </c>
      <c r="G1373" s="30" t="s">
        <v>5427</v>
      </c>
      <c r="H1373" s="30"/>
      <c r="I1373" s="30">
        <v>144149</v>
      </c>
      <c r="J1373" s="30" t="s">
        <v>5442</v>
      </c>
      <c r="K1373" s="30" t="s">
        <v>5508</v>
      </c>
    </row>
    <row r="1374" spans="1:11" x14ac:dyDescent="0.35">
      <c r="A1374" s="30" t="s">
        <v>11783</v>
      </c>
      <c r="B1374" s="30" t="s">
        <v>11784</v>
      </c>
      <c r="C1374" s="32">
        <v>19.61</v>
      </c>
      <c r="D1374" s="30">
        <v>0.34</v>
      </c>
      <c r="E1374" s="31">
        <v>1.7639999999999999E-2</v>
      </c>
      <c r="F1374" s="30">
        <v>1272134096</v>
      </c>
      <c r="G1374" s="30" t="s">
        <v>5427</v>
      </c>
      <c r="H1374" s="30"/>
      <c r="I1374" s="30">
        <v>505669</v>
      </c>
      <c r="J1374" s="30" t="s">
        <v>5435</v>
      </c>
      <c r="K1374" s="30" t="s">
        <v>5579</v>
      </c>
    </row>
    <row r="1375" spans="1:11" x14ac:dyDescent="0.35">
      <c r="A1375" s="30" t="s">
        <v>11785</v>
      </c>
      <c r="B1375" s="30" t="s">
        <v>11786</v>
      </c>
      <c r="C1375" s="32">
        <v>10.29</v>
      </c>
      <c r="D1375" s="30">
        <v>0</v>
      </c>
      <c r="E1375" s="31">
        <v>0</v>
      </c>
      <c r="F1375" s="30">
        <v>94066035</v>
      </c>
      <c r="G1375" s="30" t="s">
        <v>5427</v>
      </c>
      <c r="H1375" s="30">
        <v>2022</v>
      </c>
      <c r="I1375" s="30">
        <v>13200</v>
      </c>
      <c r="J1375" s="30" t="s">
        <v>5435</v>
      </c>
      <c r="K1375" s="30" t="s">
        <v>5482</v>
      </c>
    </row>
    <row r="1376" spans="1:11" x14ac:dyDescent="0.35">
      <c r="A1376" s="30" t="s">
        <v>11787</v>
      </c>
      <c r="B1376" s="30" t="s">
        <v>11788</v>
      </c>
      <c r="C1376" s="32">
        <v>11.91</v>
      </c>
      <c r="D1376" s="30">
        <v>0.17</v>
      </c>
      <c r="E1376" s="31">
        <v>1.448E-2</v>
      </c>
      <c r="F1376" s="30">
        <v>608282670</v>
      </c>
      <c r="G1376" s="30" t="s">
        <v>5427</v>
      </c>
      <c r="H1376" s="30">
        <v>2017</v>
      </c>
      <c r="I1376" s="30">
        <v>28893</v>
      </c>
      <c r="J1376" s="30" t="s">
        <v>5435</v>
      </c>
      <c r="K1376" s="30" t="s">
        <v>5582</v>
      </c>
    </row>
    <row r="1377" spans="1:11" x14ac:dyDescent="0.35">
      <c r="A1377" s="30" t="s">
        <v>11789</v>
      </c>
      <c r="B1377" s="30" t="s">
        <v>11790</v>
      </c>
      <c r="C1377" s="32">
        <v>4.7</v>
      </c>
      <c r="D1377" s="30">
        <v>0.44</v>
      </c>
      <c r="E1377" s="31">
        <v>0.10329000000000001</v>
      </c>
      <c r="F1377" s="30">
        <v>80912145</v>
      </c>
      <c r="G1377" s="30" t="s">
        <v>5427</v>
      </c>
      <c r="H1377" s="30">
        <v>2021</v>
      </c>
      <c r="I1377" s="30">
        <v>23318</v>
      </c>
      <c r="J1377" s="30" t="s">
        <v>5431</v>
      </c>
      <c r="K1377" s="30" t="s">
        <v>5430</v>
      </c>
    </row>
    <row r="1378" spans="1:11" x14ac:dyDescent="0.35">
      <c r="A1378" s="30" t="s">
        <v>11791</v>
      </c>
      <c r="B1378" s="30" t="s">
        <v>11792</v>
      </c>
      <c r="C1378" s="32">
        <v>93.47</v>
      </c>
      <c r="D1378" s="30">
        <v>3.85</v>
      </c>
      <c r="E1378" s="31">
        <v>4.2959999999999998E-2</v>
      </c>
      <c r="F1378" s="30">
        <v>13810080523</v>
      </c>
      <c r="G1378" s="30" t="s">
        <v>5427</v>
      </c>
      <c r="H1378" s="30"/>
      <c r="I1378" s="30">
        <v>133810</v>
      </c>
      <c r="J1378" s="30" t="s">
        <v>5442</v>
      </c>
      <c r="K1378" s="30" t="s">
        <v>5520</v>
      </c>
    </row>
    <row r="1379" spans="1:11" x14ac:dyDescent="0.35">
      <c r="A1379" s="30" t="s">
        <v>11793</v>
      </c>
      <c r="B1379" s="30" t="s">
        <v>11794</v>
      </c>
      <c r="C1379" s="32">
        <v>93.24</v>
      </c>
      <c r="D1379" s="30">
        <v>3.46</v>
      </c>
      <c r="E1379" s="31">
        <v>3.8539999999999998E-2</v>
      </c>
      <c r="F1379" s="30">
        <v>13776098298</v>
      </c>
      <c r="G1379" s="30" t="s">
        <v>5427</v>
      </c>
      <c r="H1379" s="30"/>
      <c r="I1379" s="30">
        <v>665177</v>
      </c>
      <c r="J1379" s="30" t="s">
        <v>5442</v>
      </c>
      <c r="K1379" s="30" t="s">
        <v>5520</v>
      </c>
    </row>
    <row r="1380" spans="1:11" x14ac:dyDescent="0.35">
      <c r="A1380" s="30" t="s">
        <v>11795</v>
      </c>
      <c r="B1380" s="30" t="s">
        <v>11796</v>
      </c>
      <c r="C1380" s="32">
        <v>21.65</v>
      </c>
      <c r="D1380" s="30">
        <v>-0.04</v>
      </c>
      <c r="E1380" s="31">
        <v>-1.8400000000000001E-3</v>
      </c>
      <c r="F1380" s="30">
        <v>9953649246</v>
      </c>
      <c r="G1380" s="30" t="s">
        <v>5775</v>
      </c>
      <c r="H1380" s="30"/>
      <c r="I1380" s="30">
        <v>1038996</v>
      </c>
      <c r="J1380" s="30" t="s">
        <v>5732</v>
      </c>
      <c r="K1380" s="30" t="s">
        <v>11797</v>
      </c>
    </row>
    <row r="1381" spans="1:11" x14ac:dyDescent="0.35">
      <c r="A1381" s="30" t="s">
        <v>11798</v>
      </c>
      <c r="B1381" s="30" t="s">
        <v>11799</v>
      </c>
      <c r="C1381" s="32">
        <v>21.430099999999999</v>
      </c>
      <c r="D1381" s="30">
        <v>0</v>
      </c>
      <c r="E1381" s="31">
        <v>0</v>
      </c>
      <c r="F1381" s="30">
        <v>9852549594</v>
      </c>
      <c r="G1381" s="30" t="s">
        <v>5775</v>
      </c>
      <c r="H1381" s="30"/>
      <c r="I1381" s="30">
        <v>119</v>
      </c>
      <c r="J1381" s="30" t="s">
        <v>5732</v>
      </c>
      <c r="K1381" s="30" t="s">
        <v>11797</v>
      </c>
    </row>
    <row r="1382" spans="1:11" x14ac:dyDescent="0.35">
      <c r="A1382" s="30" t="s">
        <v>11800</v>
      </c>
      <c r="B1382" s="30" t="s">
        <v>11801</v>
      </c>
      <c r="C1382" s="32">
        <v>22.33</v>
      </c>
      <c r="D1382" s="30">
        <v>-0.02</v>
      </c>
      <c r="E1382" s="31">
        <v>-8.8999999999999995E-4</v>
      </c>
      <c r="F1382" s="30">
        <v>10266281185</v>
      </c>
      <c r="G1382" s="30" t="s">
        <v>5775</v>
      </c>
      <c r="H1382" s="30"/>
      <c r="I1382" s="30">
        <v>1393692</v>
      </c>
      <c r="J1382" s="30" t="s">
        <v>5732</v>
      </c>
      <c r="K1382" s="30" t="s">
        <v>11797</v>
      </c>
    </row>
    <row r="1383" spans="1:11" x14ac:dyDescent="0.35">
      <c r="A1383" s="30" t="s">
        <v>11802</v>
      </c>
      <c r="B1383" s="30" t="s">
        <v>11803</v>
      </c>
      <c r="C1383" s="32">
        <v>10</v>
      </c>
      <c r="D1383" s="30">
        <v>0</v>
      </c>
      <c r="E1383" s="31">
        <v>0</v>
      </c>
      <c r="F1383" s="30">
        <v>625000000</v>
      </c>
      <c r="G1383" s="30" t="s">
        <v>5427</v>
      </c>
      <c r="H1383" s="30">
        <v>2021</v>
      </c>
      <c r="I1383" s="30">
        <v>7284</v>
      </c>
      <c r="J1383" s="30" t="s">
        <v>5457</v>
      </c>
      <c r="K1383" s="30" t="s">
        <v>5571</v>
      </c>
    </row>
    <row r="1384" spans="1:11" x14ac:dyDescent="0.35">
      <c r="A1384" s="30" t="s">
        <v>11804</v>
      </c>
      <c r="B1384" s="30" t="s">
        <v>11805</v>
      </c>
      <c r="C1384" s="32">
        <v>10.34</v>
      </c>
      <c r="D1384" s="30">
        <v>0</v>
      </c>
      <c r="E1384" s="31">
        <v>0</v>
      </c>
      <c r="F1384" s="30">
        <v>370312541</v>
      </c>
      <c r="G1384" s="30" t="s">
        <v>5752</v>
      </c>
      <c r="H1384" s="30">
        <v>2021</v>
      </c>
      <c r="I1384" s="30">
        <v>4463644</v>
      </c>
      <c r="J1384" s="30" t="s">
        <v>5435</v>
      </c>
      <c r="K1384" s="30" t="s">
        <v>5482</v>
      </c>
    </row>
    <row r="1385" spans="1:11" x14ac:dyDescent="0.35">
      <c r="A1385" s="30" t="s">
        <v>11806</v>
      </c>
      <c r="B1385" s="30" t="s">
        <v>11807</v>
      </c>
      <c r="C1385" s="32">
        <v>11.845000000000001</v>
      </c>
      <c r="D1385" s="30">
        <v>0.155</v>
      </c>
      <c r="E1385" s="31">
        <v>1.3259999999999999E-2</v>
      </c>
      <c r="F1385" s="30">
        <v>21656334355</v>
      </c>
      <c r="G1385" s="30" t="s">
        <v>5427</v>
      </c>
      <c r="H1385" s="30"/>
      <c r="I1385" s="30">
        <v>41761244</v>
      </c>
      <c r="J1385" s="30" t="s">
        <v>5442</v>
      </c>
      <c r="K1385" s="30" t="s">
        <v>5926</v>
      </c>
    </row>
    <row r="1386" spans="1:11" x14ac:dyDescent="0.35">
      <c r="A1386" s="30" t="s">
        <v>11808</v>
      </c>
      <c r="B1386" s="30" t="s">
        <v>11809</v>
      </c>
      <c r="C1386" s="32">
        <v>18.510000000000002</v>
      </c>
      <c r="D1386" s="30">
        <v>0.26</v>
      </c>
      <c r="E1386" s="31">
        <v>1.4250000000000001E-2</v>
      </c>
      <c r="F1386" s="30">
        <v>208405571</v>
      </c>
      <c r="G1386" s="30" t="s">
        <v>5427</v>
      </c>
      <c r="H1386" s="30"/>
      <c r="I1386" s="30">
        <v>24479</v>
      </c>
      <c r="J1386" s="30" t="s">
        <v>5435</v>
      </c>
      <c r="K1386" s="30" t="s">
        <v>5579</v>
      </c>
    </row>
    <row r="1387" spans="1:11" x14ac:dyDescent="0.35">
      <c r="A1387" s="30" t="s">
        <v>11810</v>
      </c>
      <c r="B1387" s="30" t="s">
        <v>11811</v>
      </c>
      <c r="C1387" s="32">
        <v>7.92</v>
      </c>
      <c r="D1387" s="30">
        <v>-0.09</v>
      </c>
      <c r="E1387" s="31">
        <v>-1.124E-2</v>
      </c>
      <c r="F1387" s="30">
        <v>174273803</v>
      </c>
      <c r="G1387" s="30" t="s">
        <v>5427</v>
      </c>
      <c r="H1387" s="30">
        <v>1991</v>
      </c>
      <c r="I1387" s="30">
        <v>41035</v>
      </c>
      <c r="J1387" s="30" t="s">
        <v>5442</v>
      </c>
      <c r="K1387" s="30" t="s">
        <v>5894</v>
      </c>
    </row>
    <row r="1388" spans="1:11" x14ac:dyDescent="0.35">
      <c r="A1388" s="30" t="s">
        <v>11812</v>
      </c>
      <c r="B1388" s="30" t="s">
        <v>11813</v>
      </c>
      <c r="C1388" s="32">
        <v>10.15</v>
      </c>
      <c r="D1388" s="30">
        <v>0</v>
      </c>
      <c r="E1388" s="31">
        <v>0</v>
      </c>
      <c r="F1388" s="30">
        <v>291812500</v>
      </c>
      <c r="G1388" s="30" t="s">
        <v>5427</v>
      </c>
      <c r="H1388" s="30">
        <v>2021</v>
      </c>
      <c r="I1388" s="30">
        <v>325333</v>
      </c>
      <c r="J1388" s="30" t="s">
        <v>5435</v>
      </c>
      <c r="K1388" s="30" t="s">
        <v>5482</v>
      </c>
    </row>
    <row r="1389" spans="1:11" x14ac:dyDescent="0.35">
      <c r="A1389" s="30" t="s">
        <v>11814</v>
      </c>
      <c r="B1389" s="30" t="s">
        <v>11815</v>
      </c>
      <c r="C1389" s="32">
        <v>9.32</v>
      </c>
      <c r="D1389" s="30">
        <v>0.28999999999999998</v>
      </c>
      <c r="E1389" s="31">
        <v>3.2120000000000003E-2</v>
      </c>
      <c r="F1389" s="30">
        <v>307580895</v>
      </c>
      <c r="G1389" s="30" t="s">
        <v>5427</v>
      </c>
      <c r="H1389" s="30"/>
      <c r="I1389" s="30">
        <v>175848</v>
      </c>
      <c r="J1389" s="30" t="s">
        <v>5442</v>
      </c>
      <c r="K1389" s="30" t="s">
        <v>7318</v>
      </c>
    </row>
    <row r="1390" spans="1:11" x14ac:dyDescent="0.35">
      <c r="A1390" s="30" t="s">
        <v>11816</v>
      </c>
      <c r="B1390" s="30" t="s">
        <v>11817</v>
      </c>
      <c r="C1390" s="32">
        <v>169.57</v>
      </c>
      <c r="D1390" s="30">
        <v>2.7</v>
      </c>
      <c r="E1390" s="31">
        <v>1.618E-2</v>
      </c>
      <c r="F1390" s="30">
        <v>9790700488</v>
      </c>
      <c r="G1390" s="30" t="s">
        <v>5427</v>
      </c>
      <c r="H1390" s="30"/>
      <c r="I1390" s="30">
        <v>337099</v>
      </c>
      <c r="J1390" s="30" t="s">
        <v>5457</v>
      </c>
      <c r="K1390" s="30" t="s">
        <v>5644</v>
      </c>
    </row>
    <row r="1391" spans="1:11" x14ac:dyDescent="0.35">
      <c r="A1391" s="30" t="s">
        <v>11818</v>
      </c>
      <c r="B1391" s="30" t="s">
        <v>11819</v>
      </c>
      <c r="C1391" s="32">
        <v>22.5</v>
      </c>
      <c r="D1391" s="30">
        <v>-0.25</v>
      </c>
      <c r="E1391" s="31">
        <v>-1.099E-2</v>
      </c>
      <c r="F1391" s="30">
        <v>134489588</v>
      </c>
      <c r="G1391" s="30" t="s">
        <v>5427</v>
      </c>
      <c r="H1391" s="30"/>
      <c r="I1391" s="30">
        <v>19714</v>
      </c>
      <c r="J1391" s="30" t="s">
        <v>5442</v>
      </c>
      <c r="K1391" s="30" t="s">
        <v>6695</v>
      </c>
    </row>
    <row r="1392" spans="1:11" x14ac:dyDescent="0.35">
      <c r="A1392" s="30" t="s">
        <v>11820</v>
      </c>
      <c r="B1392" s="30" t="s">
        <v>11821</v>
      </c>
      <c r="C1392" s="32">
        <v>10.154999999999999</v>
      </c>
      <c r="D1392" s="30">
        <v>1.4999999999999999E-2</v>
      </c>
      <c r="E1392" s="31">
        <v>1.48E-3</v>
      </c>
      <c r="F1392" s="30">
        <v>437934375</v>
      </c>
      <c r="G1392" s="30" t="s">
        <v>5427</v>
      </c>
      <c r="H1392" s="30">
        <v>2021</v>
      </c>
      <c r="I1392" s="30">
        <v>896200</v>
      </c>
      <c r="J1392" s="30" t="s">
        <v>5435</v>
      </c>
      <c r="K1392" s="30" t="s">
        <v>5482</v>
      </c>
    </row>
    <row r="1393" spans="1:11" x14ac:dyDescent="0.35">
      <c r="A1393" s="30" t="s">
        <v>11822</v>
      </c>
      <c r="B1393" s="30" t="s">
        <v>11823</v>
      </c>
      <c r="C1393" s="32">
        <v>20.21</v>
      </c>
      <c r="D1393" s="30">
        <v>0.19</v>
      </c>
      <c r="E1393" s="31">
        <v>9.4900000000000002E-3</v>
      </c>
      <c r="F1393" s="30">
        <v>493245664</v>
      </c>
      <c r="G1393" s="30" t="s">
        <v>5427</v>
      </c>
      <c r="H1393" s="30">
        <v>2018</v>
      </c>
      <c r="I1393" s="30">
        <v>33692</v>
      </c>
      <c r="J1393" s="30" t="s">
        <v>5442</v>
      </c>
      <c r="K1393" s="30" t="s">
        <v>5576</v>
      </c>
    </row>
    <row r="1394" spans="1:11" x14ac:dyDescent="0.35">
      <c r="A1394" s="30" t="s">
        <v>11824</v>
      </c>
      <c r="B1394" s="30" t="s">
        <v>11825</v>
      </c>
      <c r="C1394" s="32">
        <v>51.8</v>
      </c>
      <c r="D1394" s="30">
        <v>1.3</v>
      </c>
      <c r="E1394" s="31">
        <v>2.5739999999999999E-2</v>
      </c>
      <c r="F1394" s="30">
        <v>8671464626</v>
      </c>
      <c r="G1394" s="30" t="s">
        <v>5427</v>
      </c>
      <c r="H1394" s="30">
        <v>2020</v>
      </c>
      <c r="I1394" s="30">
        <v>1051781</v>
      </c>
      <c r="J1394" s="30" t="s">
        <v>5431</v>
      </c>
      <c r="K1394" s="30" t="s">
        <v>5430</v>
      </c>
    </row>
    <row r="1395" spans="1:11" x14ac:dyDescent="0.35">
      <c r="A1395" s="30" t="s">
        <v>11826</v>
      </c>
      <c r="B1395" s="30" t="s">
        <v>11827</v>
      </c>
      <c r="C1395" s="32">
        <v>16.170000000000002</v>
      </c>
      <c r="D1395" s="30">
        <v>0.68</v>
      </c>
      <c r="E1395" s="31">
        <v>4.3900000000000002E-2</v>
      </c>
      <c r="F1395" s="30">
        <v>2968232661</v>
      </c>
      <c r="G1395" s="30" t="s">
        <v>5427</v>
      </c>
      <c r="H1395" s="30">
        <v>2020</v>
      </c>
      <c r="I1395" s="30">
        <v>2388992</v>
      </c>
      <c r="J1395" s="30" t="s">
        <v>5682</v>
      </c>
      <c r="K1395" s="30" t="s">
        <v>5746</v>
      </c>
    </row>
    <row r="1396" spans="1:11" x14ac:dyDescent="0.35">
      <c r="A1396" s="30" t="s">
        <v>11828</v>
      </c>
      <c r="B1396" s="30" t="s">
        <v>11829</v>
      </c>
      <c r="C1396" s="32">
        <v>10.3018</v>
      </c>
      <c r="D1396" s="30">
        <v>-8.2000000000000007E-3</v>
      </c>
      <c r="E1396" s="31">
        <v>-8.0000000000000004E-4</v>
      </c>
      <c r="F1396" s="30">
        <v>333198844</v>
      </c>
      <c r="G1396" s="30" t="s">
        <v>5427</v>
      </c>
      <c r="H1396" s="30">
        <v>2022</v>
      </c>
      <c r="I1396" s="30">
        <v>226294</v>
      </c>
      <c r="J1396" s="30" t="s">
        <v>5457</v>
      </c>
      <c r="K1396" s="30" t="s">
        <v>5571</v>
      </c>
    </row>
    <row r="1397" spans="1:11" x14ac:dyDescent="0.35">
      <c r="A1397" s="30" t="s">
        <v>11830</v>
      </c>
      <c r="B1397" s="30" t="s">
        <v>11831</v>
      </c>
      <c r="C1397" s="32">
        <v>6.28</v>
      </c>
      <c r="D1397" s="30">
        <v>7.0000000000000007E-2</v>
      </c>
      <c r="E1397" s="31">
        <v>1.1270000000000001E-2</v>
      </c>
      <c r="F1397" s="30">
        <v>188992895</v>
      </c>
      <c r="G1397" s="30" t="s">
        <v>5427</v>
      </c>
      <c r="H1397" s="30"/>
      <c r="I1397" s="30">
        <v>146967</v>
      </c>
      <c r="J1397" s="30" t="s">
        <v>5431</v>
      </c>
      <c r="K1397" s="30" t="s">
        <v>5430</v>
      </c>
    </row>
    <row r="1398" spans="1:11" x14ac:dyDescent="0.35">
      <c r="A1398" s="30" t="s">
        <v>11832</v>
      </c>
      <c r="B1398" s="30" t="s">
        <v>11833</v>
      </c>
      <c r="C1398" s="32">
        <v>2.0699999999999998</v>
      </c>
      <c r="D1398" s="30">
        <v>0.09</v>
      </c>
      <c r="E1398" s="31">
        <v>4.5449999999999997E-2</v>
      </c>
      <c r="F1398" s="30">
        <v>65100951</v>
      </c>
      <c r="G1398" s="30" t="s">
        <v>5427</v>
      </c>
      <c r="H1398" s="30"/>
      <c r="I1398" s="30">
        <v>78646</v>
      </c>
      <c r="J1398" s="30" t="s">
        <v>5682</v>
      </c>
      <c r="K1398" s="30" t="s">
        <v>5746</v>
      </c>
    </row>
    <row r="1399" spans="1:11" x14ac:dyDescent="0.35">
      <c r="A1399" s="30" t="s">
        <v>11834</v>
      </c>
      <c r="B1399" s="30" t="s">
        <v>11835</v>
      </c>
      <c r="C1399" s="32">
        <v>5.39</v>
      </c>
      <c r="D1399" s="30">
        <v>0.11</v>
      </c>
      <c r="E1399" s="31">
        <v>2.0830000000000001E-2</v>
      </c>
      <c r="F1399" s="30">
        <v>2026566728</v>
      </c>
      <c r="G1399" s="30" t="s">
        <v>5427</v>
      </c>
      <c r="H1399" s="30">
        <v>2021</v>
      </c>
      <c r="I1399" s="30">
        <v>480975</v>
      </c>
      <c r="J1399" s="30" t="s">
        <v>5431</v>
      </c>
      <c r="K1399" s="30" t="s">
        <v>5785</v>
      </c>
    </row>
    <row r="1400" spans="1:11" x14ac:dyDescent="0.35">
      <c r="A1400" s="30" t="s">
        <v>11836</v>
      </c>
      <c r="B1400" s="30" t="s">
        <v>11837</v>
      </c>
      <c r="C1400" s="32">
        <v>261.37</v>
      </c>
      <c r="D1400" s="30">
        <v>4.68</v>
      </c>
      <c r="E1400" s="31">
        <v>1.823E-2</v>
      </c>
      <c r="F1400" s="30">
        <v>6470366206</v>
      </c>
      <c r="G1400" s="30" t="s">
        <v>5427</v>
      </c>
      <c r="H1400" s="30"/>
      <c r="I1400" s="30">
        <v>147850</v>
      </c>
      <c r="J1400" s="30" t="s">
        <v>5219</v>
      </c>
      <c r="K1400" s="30" t="s">
        <v>5965</v>
      </c>
    </row>
    <row r="1401" spans="1:11" x14ac:dyDescent="0.35">
      <c r="A1401" s="30" t="s">
        <v>11838</v>
      </c>
      <c r="B1401" s="30" t="s">
        <v>11839</v>
      </c>
      <c r="C1401" s="32">
        <v>4</v>
      </c>
      <c r="D1401" s="30">
        <v>0</v>
      </c>
      <c r="E1401" s="31">
        <v>0</v>
      </c>
      <c r="F1401" s="30">
        <v>50240140</v>
      </c>
      <c r="G1401" s="30" t="s">
        <v>5427</v>
      </c>
      <c r="H1401" s="30"/>
      <c r="I1401" s="30">
        <v>26285</v>
      </c>
      <c r="J1401" s="30" t="s">
        <v>5541</v>
      </c>
      <c r="K1401" s="30" t="s">
        <v>5774</v>
      </c>
    </row>
    <row r="1402" spans="1:11" x14ac:dyDescent="0.35">
      <c r="A1402" s="30" t="s">
        <v>11840</v>
      </c>
      <c r="B1402" s="30" t="s">
        <v>11841</v>
      </c>
      <c r="C1402" s="32">
        <v>117.04</v>
      </c>
      <c r="D1402" s="30">
        <v>3.19</v>
      </c>
      <c r="E1402" s="31">
        <v>2.802E-2</v>
      </c>
      <c r="F1402" s="30">
        <v>2725895073</v>
      </c>
      <c r="G1402" s="30" t="s">
        <v>5427</v>
      </c>
      <c r="H1402" s="30">
        <v>2013</v>
      </c>
      <c r="I1402" s="30">
        <v>293692</v>
      </c>
      <c r="J1402" s="30" t="s">
        <v>5442</v>
      </c>
      <c r="K1402" s="30" t="s">
        <v>5576</v>
      </c>
    </row>
    <row r="1403" spans="1:11" x14ac:dyDescent="0.35">
      <c r="A1403" s="30" t="s">
        <v>11842</v>
      </c>
      <c r="B1403" s="30" t="s">
        <v>11843</v>
      </c>
      <c r="C1403" s="32">
        <v>70.650000000000006</v>
      </c>
      <c r="D1403" s="30">
        <v>0.95</v>
      </c>
      <c r="E1403" s="31">
        <v>1.363E-2</v>
      </c>
      <c r="F1403" s="30">
        <v>1912004553</v>
      </c>
      <c r="G1403" s="30" t="s">
        <v>5427</v>
      </c>
      <c r="H1403" s="30"/>
      <c r="I1403" s="30">
        <v>84264</v>
      </c>
      <c r="J1403" s="30" t="s">
        <v>5431</v>
      </c>
      <c r="K1403" s="30" t="s">
        <v>5430</v>
      </c>
    </row>
    <row r="1404" spans="1:11" x14ac:dyDescent="0.35">
      <c r="A1404" s="30" t="s">
        <v>11844</v>
      </c>
      <c r="B1404" s="30" t="s">
        <v>11845</v>
      </c>
      <c r="C1404" s="32">
        <v>6.26</v>
      </c>
      <c r="D1404" s="30">
        <v>-0.02</v>
      </c>
      <c r="E1404" s="31">
        <v>-3.1800000000000001E-3</v>
      </c>
      <c r="F1404" s="30">
        <v>400671300</v>
      </c>
      <c r="G1404" s="30" t="s">
        <v>5515</v>
      </c>
      <c r="H1404" s="30"/>
      <c r="I1404" s="30">
        <v>75966</v>
      </c>
      <c r="J1404" s="30"/>
      <c r="K1404" s="30"/>
    </row>
    <row r="1405" spans="1:11" x14ac:dyDescent="0.35">
      <c r="A1405" s="30" t="s">
        <v>11846</v>
      </c>
      <c r="B1405" s="30" t="s">
        <v>11847</v>
      </c>
      <c r="C1405" s="32">
        <v>10.3</v>
      </c>
      <c r="D1405" s="30">
        <v>-0.03</v>
      </c>
      <c r="E1405" s="31">
        <v>-2.8999999999999998E-3</v>
      </c>
      <c r="F1405" s="30">
        <v>493713330</v>
      </c>
      <c r="G1405" s="30" t="s">
        <v>5427</v>
      </c>
      <c r="H1405" s="30">
        <v>2022</v>
      </c>
      <c r="I1405" s="30">
        <v>1103</v>
      </c>
      <c r="J1405" s="30" t="s">
        <v>5435</v>
      </c>
      <c r="K1405" s="30" t="s">
        <v>5482</v>
      </c>
    </row>
    <row r="1406" spans="1:11" x14ac:dyDescent="0.35">
      <c r="A1406" s="30" t="s">
        <v>11848</v>
      </c>
      <c r="B1406" s="30" t="s">
        <v>11849</v>
      </c>
      <c r="C1406" s="32">
        <v>10.26</v>
      </c>
      <c r="D1406" s="30">
        <v>5.0000000000000001E-3</v>
      </c>
      <c r="E1406" s="31">
        <v>4.8999999999999998E-4</v>
      </c>
      <c r="F1406" s="30">
        <v>368446860</v>
      </c>
      <c r="G1406" s="30" t="s">
        <v>5427</v>
      </c>
      <c r="H1406" s="30">
        <v>2021</v>
      </c>
      <c r="I1406" s="30">
        <v>522847</v>
      </c>
      <c r="J1406" s="30" t="s">
        <v>5457</v>
      </c>
      <c r="K1406" s="30" t="s">
        <v>5571</v>
      </c>
    </row>
    <row r="1407" spans="1:11" x14ac:dyDescent="0.35">
      <c r="A1407" s="30" t="s">
        <v>11850</v>
      </c>
      <c r="B1407" s="30" t="s">
        <v>11851</v>
      </c>
      <c r="C1407" s="32">
        <v>10.34</v>
      </c>
      <c r="D1407" s="30">
        <v>-5.0000000000000001E-3</v>
      </c>
      <c r="E1407" s="31">
        <v>-4.8000000000000001E-4</v>
      </c>
      <c r="F1407" s="30">
        <v>360238703</v>
      </c>
      <c r="G1407" s="30" t="s">
        <v>5427</v>
      </c>
      <c r="H1407" s="30">
        <v>2021</v>
      </c>
      <c r="I1407" s="30">
        <v>110499</v>
      </c>
      <c r="J1407" s="30"/>
      <c r="K1407" s="30"/>
    </row>
    <row r="1408" spans="1:11" x14ac:dyDescent="0.35">
      <c r="A1408" s="30" t="s">
        <v>11852</v>
      </c>
      <c r="B1408" s="30" t="s">
        <v>11853</v>
      </c>
      <c r="C1408" s="32">
        <v>3.95</v>
      </c>
      <c r="D1408" s="30">
        <v>-0.09</v>
      </c>
      <c r="E1408" s="31">
        <v>-2.2280000000000001E-2</v>
      </c>
      <c r="F1408" s="30">
        <v>83022700</v>
      </c>
      <c r="G1408" s="30" t="s">
        <v>5427</v>
      </c>
      <c r="H1408" s="30">
        <v>2021</v>
      </c>
      <c r="I1408" s="30">
        <v>37078</v>
      </c>
      <c r="J1408" s="30" t="s">
        <v>5431</v>
      </c>
      <c r="K1408" s="30" t="s">
        <v>5685</v>
      </c>
    </row>
    <row r="1409" spans="1:11" x14ac:dyDescent="0.35">
      <c r="A1409" s="30" t="s">
        <v>11854</v>
      </c>
      <c r="B1409" s="30" t="s">
        <v>11855</v>
      </c>
      <c r="C1409" s="32">
        <v>159.15</v>
      </c>
      <c r="D1409" s="30">
        <v>0.55000000000000004</v>
      </c>
      <c r="E1409" s="31">
        <v>3.47E-3</v>
      </c>
      <c r="F1409" s="30">
        <v>4938902268</v>
      </c>
      <c r="G1409" s="30" t="s">
        <v>5427</v>
      </c>
      <c r="H1409" s="30">
        <v>2005</v>
      </c>
      <c r="I1409" s="30">
        <v>705976</v>
      </c>
      <c r="J1409" s="30" t="s">
        <v>5431</v>
      </c>
      <c r="K1409" s="30" t="s">
        <v>5980</v>
      </c>
    </row>
    <row r="1410" spans="1:11" x14ac:dyDescent="0.35">
      <c r="A1410" s="30" t="s">
        <v>11856</v>
      </c>
      <c r="B1410" s="30" t="s">
        <v>11857</v>
      </c>
      <c r="C1410" s="32">
        <v>2.4300000000000002</v>
      </c>
      <c r="D1410" s="30">
        <v>-0.06</v>
      </c>
      <c r="E1410" s="31">
        <v>-2.41E-2</v>
      </c>
      <c r="F1410" s="30">
        <v>263299809</v>
      </c>
      <c r="G1410" s="30" t="s">
        <v>5427</v>
      </c>
      <c r="H1410" s="30">
        <v>2021</v>
      </c>
      <c r="I1410" s="30">
        <v>70189</v>
      </c>
      <c r="J1410" s="30" t="s">
        <v>5431</v>
      </c>
      <c r="K1410" s="30" t="s">
        <v>5430</v>
      </c>
    </row>
    <row r="1411" spans="1:11" x14ac:dyDescent="0.35">
      <c r="A1411" s="30" t="s">
        <v>11858</v>
      </c>
      <c r="B1411" s="30" t="s">
        <v>11859</v>
      </c>
      <c r="C1411" s="32">
        <v>10.37</v>
      </c>
      <c r="D1411" s="30">
        <v>-0.02</v>
      </c>
      <c r="E1411" s="31">
        <v>-1.92E-3</v>
      </c>
      <c r="F1411" s="30">
        <v>154567702</v>
      </c>
      <c r="G1411" s="30" t="s">
        <v>5427</v>
      </c>
      <c r="H1411" s="30">
        <v>2021</v>
      </c>
      <c r="I1411" s="30">
        <v>255555</v>
      </c>
      <c r="J1411" s="30" t="s">
        <v>5457</v>
      </c>
      <c r="K1411" s="30" t="s">
        <v>5571</v>
      </c>
    </row>
    <row r="1412" spans="1:11" x14ac:dyDescent="0.35">
      <c r="A1412" s="30" t="s">
        <v>11860</v>
      </c>
      <c r="B1412" s="30" t="s">
        <v>11861</v>
      </c>
      <c r="C1412" s="32">
        <v>0.71450000000000002</v>
      </c>
      <c r="D1412" s="30">
        <v>8.9200000000000002E-2</v>
      </c>
      <c r="E1412" s="31">
        <v>0.14265</v>
      </c>
      <c r="F1412" s="30">
        <v>115076464</v>
      </c>
      <c r="G1412" s="30" t="s">
        <v>5427</v>
      </c>
      <c r="H1412" s="30">
        <v>2021</v>
      </c>
      <c r="I1412" s="30">
        <v>1186458</v>
      </c>
      <c r="J1412" s="30" t="s">
        <v>5442</v>
      </c>
      <c r="K1412" s="30" t="s">
        <v>5853</v>
      </c>
    </row>
    <row r="1413" spans="1:11" x14ac:dyDescent="0.35">
      <c r="A1413" s="30" t="s">
        <v>11862</v>
      </c>
      <c r="B1413" s="30" t="s">
        <v>11863</v>
      </c>
      <c r="C1413" s="32">
        <v>2.27</v>
      </c>
      <c r="D1413" s="30">
        <v>-0.03</v>
      </c>
      <c r="E1413" s="31">
        <v>-1.304E-2</v>
      </c>
      <c r="F1413" s="30">
        <v>65851297</v>
      </c>
      <c r="G1413" s="30" t="s">
        <v>5427</v>
      </c>
      <c r="H1413" s="30">
        <v>2015</v>
      </c>
      <c r="I1413" s="30">
        <v>197002</v>
      </c>
      <c r="J1413" s="30" t="s">
        <v>5431</v>
      </c>
      <c r="K1413" s="30" t="s">
        <v>6409</v>
      </c>
    </row>
    <row r="1414" spans="1:11" x14ac:dyDescent="0.35">
      <c r="A1414" s="30" t="s">
        <v>11864</v>
      </c>
      <c r="B1414" s="30" t="s">
        <v>11865</v>
      </c>
      <c r="C1414" s="32">
        <v>1.1100000000000001</v>
      </c>
      <c r="D1414" s="30">
        <v>-0.05</v>
      </c>
      <c r="E1414" s="31">
        <v>-4.3099999999999999E-2</v>
      </c>
      <c r="F1414" s="30">
        <v>81962965</v>
      </c>
      <c r="G1414" s="30" t="s">
        <v>5427</v>
      </c>
      <c r="H1414" s="30">
        <v>2020</v>
      </c>
      <c r="I1414" s="30">
        <v>25544</v>
      </c>
      <c r="J1414" s="30" t="s">
        <v>5219</v>
      </c>
      <c r="K1414" s="30" t="s">
        <v>5560</v>
      </c>
    </row>
    <row r="1415" spans="1:11" x14ac:dyDescent="0.35">
      <c r="A1415" s="30" t="s">
        <v>11866</v>
      </c>
      <c r="B1415" s="30" t="s">
        <v>11867</v>
      </c>
      <c r="C1415" s="32">
        <v>9.9600000000000009</v>
      </c>
      <c r="D1415" s="30">
        <v>0.12</v>
      </c>
      <c r="E1415" s="31">
        <v>1.2200000000000001E-2</v>
      </c>
      <c r="F1415" s="30">
        <v>2165478579</v>
      </c>
      <c r="G1415" s="30" t="s">
        <v>5427</v>
      </c>
      <c r="H1415" s="30"/>
      <c r="I1415" s="30">
        <v>261850</v>
      </c>
      <c r="J1415" s="30" t="s">
        <v>5732</v>
      </c>
      <c r="K1415" s="30" t="s">
        <v>11797</v>
      </c>
    </row>
    <row r="1416" spans="1:11" x14ac:dyDescent="0.35">
      <c r="A1416" s="30" t="s">
        <v>11868</v>
      </c>
      <c r="B1416" s="30" t="s">
        <v>11869</v>
      </c>
      <c r="C1416" s="32">
        <v>9.9499999999999993</v>
      </c>
      <c r="D1416" s="30">
        <v>0.1</v>
      </c>
      <c r="E1416" s="31">
        <v>1.0149999999999999E-2</v>
      </c>
      <c r="F1416" s="30">
        <v>2163304404</v>
      </c>
      <c r="G1416" s="30" t="s">
        <v>5427</v>
      </c>
      <c r="H1416" s="30"/>
      <c r="I1416" s="30">
        <v>1458039</v>
      </c>
      <c r="J1416" s="30" t="s">
        <v>5732</v>
      </c>
      <c r="K1416" s="30" t="s">
        <v>11797</v>
      </c>
    </row>
    <row r="1417" spans="1:11" x14ac:dyDescent="0.35">
      <c r="A1417" s="30" t="s">
        <v>11870</v>
      </c>
      <c r="B1417" s="30" t="s">
        <v>11871</v>
      </c>
      <c r="C1417" s="32">
        <v>1.3</v>
      </c>
      <c r="D1417" s="30">
        <v>0.02</v>
      </c>
      <c r="E1417" s="31">
        <v>1.5630000000000002E-2</v>
      </c>
      <c r="F1417" s="30">
        <v>490942078</v>
      </c>
      <c r="G1417" s="30" t="s">
        <v>6263</v>
      </c>
      <c r="H1417" s="30"/>
      <c r="I1417" s="30">
        <v>1803090</v>
      </c>
      <c r="J1417" s="30" t="s">
        <v>5457</v>
      </c>
      <c r="K1417" s="30" t="s">
        <v>5523</v>
      </c>
    </row>
    <row r="1418" spans="1:11" x14ac:dyDescent="0.35">
      <c r="A1418" s="30" t="s">
        <v>11872</v>
      </c>
      <c r="B1418" s="30" t="s">
        <v>11873</v>
      </c>
      <c r="C1418" s="32">
        <v>6.43</v>
      </c>
      <c r="D1418" s="30">
        <v>0.08</v>
      </c>
      <c r="E1418" s="31">
        <v>1.26E-2</v>
      </c>
      <c r="F1418" s="30">
        <v>168823379</v>
      </c>
      <c r="G1418" s="30" t="s">
        <v>5427</v>
      </c>
      <c r="H1418" s="30">
        <v>2005</v>
      </c>
      <c r="I1418" s="30">
        <v>20853</v>
      </c>
      <c r="J1418" s="30" t="s">
        <v>5442</v>
      </c>
      <c r="K1418" s="30" t="s">
        <v>7723</v>
      </c>
    </row>
    <row r="1419" spans="1:11" x14ac:dyDescent="0.35">
      <c r="A1419" s="30" t="s">
        <v>11874</v>
      </c>
      <c r="B1419" s="30" t="s">
        <v>11875</v>
      </c>
      <c r="C1419" s="32">
        <v>11.99</v>
      </c>
      <c r="D1419" s="30">
        <v>0.09</v>
      </c>
      <c r="E1419" s="31">
        <v>7.5599999999999999E-3</v>
      </c>
      <c r="F1419" s="30">
        <v>637162940</v>
      </c>
      <c r="G1419" s="30" t="s">
        <v>5427</v>
      </c>
      <c r="H1419" s="30">
        <v>2013</v>
      </c>
      <c r="I1419" s="30">
        <v>508848</v>
      </c>
      <c r="J1419" s="30"/>
      <c r="K1419" s="30"/>
    </row>
    <row r="1420" spans="1:11" x14ac:dyDescent="0.35">
      <c r="A1420" s="30" t="s">
        <v>11876</v>
      </c>
      <c r="B1420" s="30" t="s">
        <v>11877</v>
      </c>
      <c r="C1420" s="32">
        <v>8.8698999999999995</v>
      </c>
      <c r="D1420" s="30">
        <v>0</v>
      </c>
      <c r="E1420" s="31">
        <v>0</v>
      </c>
      <c r="F1420" s="30">
        <v>58579463</v>
      </c>
      <c r="G1420" s="30" t="s">
        <v>5427</v>
      </c>
      <c r="H1420" s="30"/>
      <c r="I1420" s="30">
        <v>169</v>
      </c>
      <c r="J1420" s="30" t="s">
        <v>5219</v>
      </c>
      <c r="K1420" s="30" t="s">
        <v>5644</v>
      </c>
    </row>
    <row r="1421" spans="1:11" x14ac:dyDescent="0.35">
      <c r="A1421" s="30" t="s">
        <v>11878</v>
      </c>
      <c r="B1421" s="30" t="s">
        <v>11879</v>
      </c>
      <c r="C1421" s="32">
        <v>10.445</v>
      </c>
      <c r="D1421" s="30">
        <v>0.28499999999999998</v>
      </c>
      <c r="E1421" s="31">
        <v>2.8049999999999999E-2</v>
      </c>
      <c r="F1421" s="30">
        <v>163203125</v>
      </c>
      <c r="G1421" s="30" t="s">
        <v>5427</v>
      </c>
      <c r="H1421" s="30">
        <v>2021</v>
      </c>
      <c r="I1421" s="30">
        <v>132932</v>
      </c>
      <c r="J1421" s="30" t="s">
        <v>5457</v>
      </c>
      <c r="K1421" s="30" t="s">
        <v>5571</v>
      </c>
    </row>
    <row r="1422" spans="1:11" x14ac:dyDescent="0.35">
      <c r="A1422" s="30" t="s">
        <v>11880</v>
      </c>
      <c r="B1422" s="30" t="s">
        <v>11881</v>
      </c>
      <c r="C1422" s="32">
        <v>60.8</v>
      </c>
      <c r="D1422" s="30">
        <v>0.62</v>
      </c>
      <c r="E1422" s="31">
        <v>1.03E-2</v>
      </c>
      <c r="F1422" s="30">
        <v>4146560000</v>
      </c>
      <c r="G1422" s="30" t="s">
        <v>5427</v>
      </c>
      <c r="H1422" s="30"/>
      <c r="I1422" s="30">
        <v>701327</v>
      </c>
      <c r="J1422" s="30" t="s">
        <v>5219</v>
      </c>
      <c r="K1422" s="30" t="s">
        <v>7345</v>
      </c>
    </row>
    <row r="1423" spans="1:11" x14ac:dyDescent="0.35">
      <c r="A1423" s="30" t="s">
        <v>11882</v>
      </c>
      <c r="B1423" s="30" t="s">
        <v>11883</v>
      </c>
      <c r="C1423" s="32">
        <v>10.045</v>
      </c>
      <c r="D1423" s="30">
        <v>0</v>
      </c>
      <c r="E1423" s="31">
        <v>0</v>
      </c>
      <c r="F1423" s="30">
        <v>428037681</v>
      </c>
      <c r="G1423" s="30" t="s">
        <v>5427</v>
      </c>
      <c r="H1423" s="30">
        <v>2021</v>
      </c>
      <c r="I1423" s="30">
        <v>24260</v>
      </c>
      <c r="J1423" s="30" t="s">
        <v>5457</v>
      </c>
      <c r="K1423" s="30" t="s">
        <v>5571</v>
      </c>
    </row>
    <row r="1424" spans="1:11" x14ac:dyDescent="0.35">
      <c r="A1424" s="30" t="s">
        <v>11884</v>
      </c>
      <c r="B1424" s="30" t="s">
        <v>11885</v>
      </c>
      <c r="C1424" s="32">
        <v>10.34</v>
      </c>
      <c r="D1424" s="30">
        <v>0.01</v>
      </c>
      <c r="E1424" s="31">
        <v>9.7000000000000005E-4</v>
      </c>
      <c r="F1424" s="30">
        <v>129698932</v>
      </c>
      <c r="G1424" s="30" t="s">
        <v>5835</v>
      </c>
      <c r="H1424" s="30">
        <v>2022</v>
      </c>
      <c r="I1424" s="30">
        <v>9747</v>
      </c>
      <c r="J1424" s="30" t="s">
        <v>5435</v>
      </c>
      <c r="K1424" s="30" t="s">
        <v>5482</v>
      </c>
    </row>
    <row r="1425" spans="1:11" x14ac:dyDescent="0.35">
      <c r="A1425" s="30" t="s">
        <v>11886</v>
      </c>
      <c r="B1425" s="30" t="s">
        <v>11887</v>
      </c>
      <c r="C1425" s="32">
        <v>33.417099999999998</v>
      </c>
      <c r="D1425" s="30">
        <v>-0.68289999999999995</v>
      </c>
      <c r="E1425" s="31">
        <v>-2.0029999999999999E-2</v>
      </c>
      <c r="F1425" s="30">
        <v>105891071</v>
      </c>
      <c r="G1425" s="30" t="s">
        <v>5427</v>
      </c>
      <c r="H1425" s="30"/>
      <c r="I1425" s="30">
        <v>17857</v>
      </c>
      <c r="J1425" s="30" t="s">
        <v>5442</v>
      </c>
      <c r="K1425" s="30" t="s">
        <v>5894</v>
      </c>
    </row>
    <row r="1426" spans="1:11" x14ac:dyDescent="0.35">
      <c r="A1426" s="30" t="s">
        <v>11888</v>
      </c>
      <c r="B1426" s="30" t="s">
        <v>11889</v>
      </c>
      <c r="C1426" s="32">
        <v>55.75</v>
      </c>
      <c r="D1426" s="30">
        <v>-0.45</v>
      </c>
      <c r="E1426" s="31">
        <v>-8.0099999999999998E-3</v>
      </c>
      <c r="F1426" s="30">
        <v>2983890692</v>
      </c>
      <c r="G1426" s="30" t="s">
        <v>5775</v>
      </c>
      <c r="H1426" s="30"/>
      <c r="I1426" s="30">
        <v>666392</v>
      </c>
      <c r="J1426" s="30" t="s">
        <v>5431</v>
      </c>
      <c r="K1426" s="30" t="s">
        <v>6537</v>
      </c>
    </row>
    <row r="1427" spans="1:11" x14ac:dyDescent="0.35">
      <c r="A1427" s="30" t="s">
        <v>11890</v>
      </c>
      <c r="B1427" s="30" t="s">
        <v>11891</v>
      </c>
      <c r="C1427" s="32">
        <v>70.91</v>
      </c>
      <c r="D1427" s="30">
        <v>0.2</v>
      </c>
      <c r="E1427" s="31">
        <v>2.8300000000000001E-3</v>
      </c>
      <c r="F1427" s="30">
        <v>1797513545</v>
      </c>
      <c r="G1427" s="30" t="s">
        <v>5427</v>
      </c>
      <c r="H1427" s="30"/>
      <c r="I1427" s="30">
        <v>96263</v>
      </c>
      <c r="J1427" s="30" t="s">
        <v>5435</v>
      </c>
      <c r="K1427" s="30" t="s">
        <v>5579</v>
      </c>
    </row>
    <row r="1428" spans="1:11" x14ac:dyDescent="0.35">
      <c r="A1428" s="30" t="s">
        <v>11892</v>
      </c>
      <c r="B1428" s="30" t="s">
        <v>11893</v>
      </c>
      <c r="C1428" s="32">
        <v>58.34</v>
      </c>
      <c r="D1428" s="30">
        <v>-0.62</v>
      </c>
      <c r="E1428" s="31">
        <v>-1.052E-2</v>
      </c>
      <c r="F1428" s="30">
        <v>15586988625</v>
      </c>
      <c r="G1428" s="30" t="s">
        <v>5427</v>
      </c>
      <c r="H1428" s="30">
        <v>2003</v>
      </c>
      <c r="I1428" s="30">
        <v>2439925</v>
      </c>
      <c r="J1428" s="30" t="s">
        <v>5442</v>
      </c>
      <c r="K1428" s="30" t="s">
        <v>5625</v>
      </c>
    </row>
    <row r="1429" spans="1:11" x14ac:dyDescent="0.35">
      <c r="A1429" s="30" t="s">
        <v>11894</v>
      </c>
      <c r="B1429" s="30" t="s">
        <v>11895</v>
      </c>
      <c r="C1429" s="32">
        <v>48.39</v>
      </c>
      <c r="D1429" s="30">
        <v>1.21</v>
      </c>
      <c r="E1429" s="31">
        <v>2.5649999999999999E-2</v>
      </c>
      <c r="F1429" s="30">
        <v>1064622583</v>
      </c>
      <c r="G1429" s="30" t="s">
        <v>5427</v>
      </c>
      <c r="H1429" s="30">
        <v>2006</v>
      </c>
      <c r="I1429" s="30">
        <v>89218</v>
      </c>
      <c r="J1429" s="30" t="s">
        <v>5431</v>
      </c>
      <c r="K1429" s="30" t="s">
        <v>5500</v>
      </c>
    </row>
    <row r="1430" spans="1:11" x14ac:dyDescent="0.35">
      <c r="A1430" s="30" t="s">
        <v>11896</v>
      </c>
      <c r="B1430" s="30" t="s">
        <v>11897</v>
      </c>
      <c r="C1430" s="32">
        <v>12.81</v>
      </c>
      <c r="D1430" s="30">
        <v>-0.06</v>
      </c>
      <c r="E1430" s="31">
        <v>-4.6600000000000001E-3</v>
      </c>
      <c r="F1430" s="30">
        <v>134138762</v>
      </c>
      <c r="G1430" s="30" t="s">
        <v>5427</v>
      </c>
      <c r="H1430" s="30"/>
      <c r="I1430" s="30">
        <v>41318</v>
      </c>
      <c r="J1430" s="30" t="s">
        <v>5442</v>
      </c>
      <c r="K1430" s="30" t="s">
        <v>5701</v>
      </c>
    </row>
    <row r="1431" spans="1:11" x14ac:dyDescent="0.35">
      <c r="A1431" s="30" t="s">
        <v>11898</v>
      </c>
      <c r="B1431" s="30" t="s">
        <v>11899</v>
      </c>
      <c r="C1431" s="32">
        <v>14.38</v>
      </c>
      <c r="D1431" s="30">
        <v>1.25</v>
      </c>
      <c r="E1431" s="31">
        <v>9.5200000000000007E-2</v>
      </c>
      <c r="F1431" s="30">
        <v>254300450</v>
      </c>
      <c r="G1431" s="30" t="s">
        <v>5427</v>
      </c>
      <c r="H1431" s="30"/>
      <c r="I1431" s="30">
        <v>226526</v>
      </c>
      <c r="J1431" s="30" t="s">
        <v>5541</v>
      </c>
      <c r="K1431" s="30" t="s">
        <v>5774</v>
      </c>
    </row>
    <row r="1432" spans="1:11" x14ac:dyDescent="0.35">
      <c r="A1432" s="30" t="s">
        <v>11900</v>
      </c>
      <c r="B1432" s="30" t="s">
        <v>11901</v>
      </c>
      <c r="C1432" s="32">
        <v>25.71</v>
      </c>
      <c r="D1432" s="30">
        <v>-0.21</v>
      </c>
      <c r="E1432" s="31">
        <v>-8.0999999999999996E-3</v>
      </c>
      <c r="F1432" s="30">
        <v>196389254</v>
      </c>
      <c r="G1432" s="30" t="s">
        <v>5427</v>
      </c>
      <c r="H1432" s="30">
        <v>2006</v>
      </c>
      <c r="I1432" s="30">
        <v>58830</v>
      </c>
      <c r="J1432" s="30" t="s">
        <v>5435</v>
      </c>
      <c r="K1432" s="30" t="s">
        <v>5579</v>
      </c>
    </row>
    <row r="1433" spans="1:11" x14ac:dyDescent="0.35">
      <c r="A1433" s="30" t="s">
        <v>11902</v>
      </c>
      <c r="B1433" s="30" t="s">
        <v>11903</v>
      </c>
      <c r="C1433" s="32">
        <v>8.1199999999999992</v>
      </c>
      <c r="D1433" s="30">
        <v>-0.18</v>
      </c>
      <c r="E1433" s="31">
        <v>-2.1690000000000001E-2</v>
      </c>
      <c r="F1433" s="30">
        <v>121309877</v>
      </c>
      <c r="G1433" s="30" t="s">
        <v>5427</v>
      </c>
      <c r="H1433" s="30"/>
      <c r="I1433" s="30">
        <v>3064</v>
      </c>
      <c r="J1433" s="30"/>
      <c r="K1433" s="30"/>
    </row>
    <row r="1434" spans="1:11" x14ac:dyDescent="0.35">
      <c r="A1434" s="30" t="s">
        <v>11904</v>
      </c>
      <c r="B1434" s="30" t="s">
        <v>11905</v>
      </c>
      <c r="C1434" s="32">
        <v>54.74</v>
      </c>
      <c r="D1434" s="30">
        <v>0.71</v>
      </c>
      <c r="E1434" s="31">
        <v>1.3140000000000001E-2</v>
      </c>
      <c r="F1434" s="30">
        <v>13740934974</v>
      </c>
      <c r="G1434" s="30" t="s">
        <v>5427</v>
      </c>
      <c r="H1434" s="30"/>
      <c r="I1434" s="30">
        <v>2176448</v>
      </c>
      <c r="J1434" s="30" t="s">
        <v>5426</v>
      </c>
      <c r="K1434" s="30" t="s">
        <v>5593</v>
      </c>
    </row>
    <row r="1435" spans="1:11" x14ac:dyDescent="0.35">
      <c r="A1435" s="30" t="s">
        <v>11906</v>
      </c>
      <c r="B1435" s="30" t="s">
        <v>11907</v>
      </c>
      <c r="C1435" s="32">
        <v>58.64</v>
      </c>
      <c r="D1435" s="30">
        <v>1.1399999999999999</v>
      </c>
      <c r="E1435" s="31">
        <v>1.983E-2</v>
      </c>
      <c r="F1435" s="30">
        <v>4036313640</v>
      </c>
      <c r="G1435" s="30" t="s">
        <v>5427</v>
      </c>
      <c r="H1435" s="30">
        <v>2015</v>
      </c>
      <c r="I1435" s="30">
        <v>1015162</v>
      </c>
      <c r="J1435" s="30" t="s">
        <v>5431</v>
      </c>
      <c r="K1435" s="30" t="s">
        <v>5430</v>
      </c>
    </row>
    <row r="1436" spans="1:11" x14ac:dyDescent="0.35">
      <c r="A1436" s="30" t="s">
        <v>11908</v>
      </c>
      <c r="B1436" s="30" t="s">
        <v>11909</v>
      </c>
      <c r="C1436" s="32">
        <v>66.37</v>
      </c>
      <c r="D1436" s="30">
        <v>1.1200000000000001</v>
      </c>
      <c r="E1436" s="31">
        <v>1.7160000000000002E-2</v>
      </c>
      <c r="F1436" s="30">
        <v>6217116102</v>
      </c>
      <c r="G1436" s="30" t="s">
        <v>5427</v>
      </c>
      <c r="H1436" s="30"/>
      <c r="I1436" s="30">
        <v>304637</v>
      </c>
      <c r="J1436" s="30" t="s">
        <v>5442</v>
      </c>
      <c r="K1436" s="30" t="s">
        <v>5450</v>
      </c>
    </row>
    <row r="1437" spans="1:11" x14ac:dyDescent="0.35">
      <c r="A1437" s="30" t="s">
        <v>11910</v>
      </c>
      <c r="B1437" s="30" t="s">
        <v>11911</v>
      </c>
      <c r="C1437" s="32">
        <v>5.84</v>
      </c>
      <c r="D1437" s="30">
        <v>-0.05</v>
      </c>
      <c r="E1437" s="31">
        <v>-8.4899999999999993E-3</v>
      </c>
      <c r="F1437" s="30">
        <v>67130479</v>
      </c>
      <c r="G1437" s="30" t="s">
        <v>5427</v>
      </c>
      <c r="H1437" s="30"/>
      <c r="I1437" s="30">
        <v>44744</v>
      </c>
      <c r="J1437" s="30" t="s">
        <v>5197</v>
      </c>
      <c r="K1437" s="30" t="s">
        <v>5467</v>
      </c>
    </row>
    <row r="1438" spans="1:11" x14ac:dyDescent="0.35">
      <c r="A1438" s="30" t="s">
        <v>11912</v>
      </c>
      <c r="B1438" s="30" t="s">
        <v>11913</v>
      </c>
      <c r="C1438" s="32">
        <v>12.22</v>
      </c>
      <c r="D1438" s="30">
        <v>-0.05</v>
      </c>
      <c r="E1438" s="31">
        <v>-4.0699999999999998E-3</v>
      </c>
      <c r="F1438" s="30">
        <v>452741004</v>
      </c>
      <c r="G1438" s="30" t="s">
        <v>5427</v>
      </c>
      <c r="H1438" s="30">
        <v>2014</v>
      </c>
      <c r="I1438" s="30">
        <v>241900</v>
      </c>
      <c r="J1438" s="30" t="s">
        <v>5442</v>
      </c>
      <c r="K1438" s="30" t="s">
        <v>5441</v>
      </c>
    </row>
    <row r="1439" spans="1:11" x14ac:dyDescent="0.35">
      <c r="A1439" s="30" t="s">
        <v>11914</v>
      </c>
      <c r="B1439" s="30" t="s">
        <v>11915</v>
      </c>
      <c r="C1439" s="32">
        <v>59.28</v>
      </c>
      <c r="D1439" s="30">
        <v>0.91</v>
      </c>
      <c r="E1439" s="31">
        <v>1.559E-2</v>
      </c>
      <c r="F1439" s="30">
        <v>9502821713</v>
      </c>
      <c r="G1439" s="30" t="s">
        <v>5427</v>
      </c>
      <c r="H1439" s="30">
        <v>1997</v>
      </c>
      <c r="I1439" s="30">
        <v>574397</v>
      </c>
      <c r="J1439" s="30" t="s">
        <v>5219</v>
      </c>
      <c r="K1439" s="30" t="s">
        <v>7345</v>
      </c>
    </row>
    <row r="1440" spans="1:11" x14ac:dyDescent="0.35">
      <c r="A1440" s="30" t="s">
        <v>11916</v>
      </c>
      <c r="B1440" s="30" t="s">
        <v>11917</v>
      </c>
      <c r="C1440" s="32">
        <v>2.48</v>
      </c>
      <c r="D1440" s="30">
        <v>-1.4999999999999999E-2</v>
      </c>
      <c r="E1440" s="31">
        <v>-6.0099999999999997E-3</v>
      </c>
      <c r="F1440" s="30">
        <v>117723676</v>
      </c>
      <c r="G1440" s="30" t="s">
        <v>5515</v>
      </c>
      <c r="H1440" s="30"/>
      <c r="I1440" s="30">
        <v>60166</v>
      </c>
      <c r="J1440" s="30"/>
      <c r="K1440" s="30"/>
    </row>
    <row r="1441" spans="1:11" x14ac:dyDescent="0.35">
      <c r="A1441" s="30" t="s">
        <v>11918</v>
      </c>
      <c r="B1441" s="30" t="s">
        <v>11919</v>
      </c>
      <c r="C1441" s="32">
        <v>117.3</v>
      </c>
      <c r="D1441" s="30">
        <v>0.74</v>
      </c>
      <c r="E1441" s="31">
        <v>6.3499999999999997E-3</v>
      </c>
      <c r="F1441" s="30">
        <v>3653565152</v>
      </c>
      <c r="G1441" s="30" t="s">
        <v>5427</v>
      </c>
      <c r="H1441" s="30">
        <v>2008</v>
      </c>
      <c r="I1441" s="30">
        <v>150031</v>
      </c>
      <c r="J1441" s="30" t="s">
        <v>5442</v>
      </c>
      <c r="K1441" s="30" t="s">
        <v>7723</v>
      </c>
    </row>
    <row r="1442" spans="1:11" x14ac:dyDescent="0.35">
      <c r="A1442" s="30" t="s">
        <v>11920</v>
      </c>
      <c r="B1442" s="30" t="s">
        <v>11921</v>
      </c>
      <c r="C1442" s="32">
        <v>26.67</v>
      </c>
      <c r="D1442" s="30">
        <v>0.93</v>
      </c>
      <c r="E1442" s="31">
        <v>3.6130000000000002E-2</v>
      </c>
      <c r="F1442" s="30">
        <v>405182428</v>
      </c>
      <c r="G1442" s="30" t="s">
        <v>5427</v>
      </c>
      <c r="H1442" s="30">
        <v>2018</v>
      </c>
      <c r="I1442" s="30">
        <v>494377</v>
      </c>
      <c r="J1442" s="30"/>
      <c r="K1442" s="30"/>
    </row>
    <row r="1443" spans="1:11" x14ac:dyDescent="0.35">
      <c r="A1443" s="30" t="s">
        <v>11922</v>
      </c>
      <c r="B1443" s="30" t="s">
        <v>11923</v>
      </c>
      <c r="C1443" s="32">
        <v>235.55</v>
      </c>
      <c r="D1443" s="30">
        <v>-1.57</v>
      </c>
      <c r="E1443" s="31">
        <v>-6.62E-3</v>
      </c>
      <c r="F1443" s="30">
        <v>18749869980</v>
      </c>
      <c r="G1443" s="30" t="s">
        <v>5427</v>
      </c>
      <c r="H1443" s="30">
        <v>2010</v>
      </c>
      <c r="I1443" s="30">
        <v>675518</v>
      </c>
      <c r="J1443" s="30" t="s">
        <v>5435</v>
      </c>
      <c r="K1443" s="30" t="s">
        <v>6221</v>
      </c>
    </row>
    <row r="1444" spans="1:11" x14ac:dyDescent="0.35">
      <c r="A1444" s="30" t="s">
        <v>11924</v>
      </c>
      <c r="B1444" s="30" t="s">
        <v>11925</v>
      </c>
      <c r="C1444" s="32">
        <v>8.77</v>
      </c>
      <c r="D1444" s="30">
        <v>0</v>
      </c>
      <c r="E1444" s="31">
        <v>0</v>
      </c>
      <c r="F1444" s="30">
        <v>1014249702</v>
      </c>
      <c r="G1444" s="30" t="s">
        <v>5427</v>
      </c>
      <c r="H1444" s="30"/>
      <c r="I1444" s="30">
        <v>836775</v>
      </c>
      <c r="J1444" s="30" t="s">
        <v>5435</v>
      </c>
      <c r="K1444" s="30" t="s">
        <v>5598</v>
      </c>
    </row>
    <row r="1445" spans="1:11" x14ac:dyDescent="0.35">
      <c r="A1445" s="30" t="s">
        <v>11926</v>
      </c>
      <c r="B1445" s="30" t="s">
        <v>11927</v>
      </c>
      <c r="C1445" s="32">
        <v>15.71</v>
      </c>
      <c r="D1445" s="30">
        <v>2.83</v>
      </c>
      <c r="E1445" s="31">
        <v>0.21972</v>
      </c>
      <c r="F1445" s="30">
        <v>1183403948</v>
      </c>
      <c r="G1445" s="30" t="s">
        <v>5427</v>
      </c>
      <c r="H1445" s="30">
        <v>2000</v>
      </c>
      <c r="I1445" s="30">
        <v>3470647</v>
      </c>
      <c r="J1445" s="30" t="s">
        <v>5219</v>
      </c>
      <c r="K1445" s="30" t="s">
        <v>5447</v>
      </c>
    </row>
    <row r="1446" spans="1:11" x14ac:dyDescent="0.35">
      <c r="A1446" s="30" t="s">
        <v>11928</v>
      </c>
      <c r="B1446" s="30" t="s">
        <v>11929</v>
      </c>
      <c r="C1446" s="32">
        <v>1.5</v>
      </c>
      <c r="D1446" s="30">
        <v>0</v>
      </c>
      <c r="E1446" s="31">
        <v>0</v>
      </c>
      <c r="F1446" s="30">
        <v>54575492</v>
      </c>
      <c r="G1446" s="30" t="s">
        <v>5427</v>
      </c>
      <c r="H1446" s="30">
        <v>1996</v>
      </c>
      <c r="I1446" s="30">
        <v>25943</v>
      </c>
      <c r="J1446" s="30" t="s">
        <v>5219</v>
      </c>
      <c r="K1446" s="30" t="s">
        <v>5965</v>
      </c>
    </row>
    <row r="1447" spans="1:11" x14ac:dyDescent="0.35">
      <c r="A1447" s="30" t="s">
        <v>11930</v>
      </c>
      <c r="B1447" s="30" t="s">
        <v>11931</v>
      </c>
      <c r="C1447" s="32">
        <v>0.65</v>
      </c>
      <c r="D1447" s="30">
        <v>-1.4999999999999999E-2</v>
      </c>
      <c r="E1447" s="31">
        <v>-2.256E-2</v>
      </c>
      <c r="F1447" s="30">
        <v>64363894</v>
      </c>
      <c r="G1447" s="30" t="s">
        <v>5427</v>
      </c>
      <c r="H1447" s="30"/>
      <c r="I1447" s="30">
        <v>352824</v>
      </c>
      <c r="J1447" s="30" t="s">
        <v>5431</v>
      </c>
      <c r="K1447" s="30" t="s">
        <v>6409</v>
      </c>
    </row>
    <row r="1448" spans="1:11" x14ac:dyDescent="0.35">
      <c r="A1448" s="30" t="s">
        <v>11932</v>
      </c>
      <c r="B1448" s="30" t="s">
        <v>11933</v>
      </c>
      <c r="C1448" s="32">
        <v>6.39</v>
      </c>
      <c r="D1448" s="30">
        <v>-0.21</v>
      </c>
      <c r="E1448" s="31">
        <v>-3.1820000000000001E-2</v>
      </c>
      <c r="F1448" s="30">
        <v>412122737</v>
      </c>
      <c r="G1448" s="30" t="s">
        <v>5427</v>
      </c>
      <c r="H1448" s="30">
        <v>2018</v>
      </c>
      <c r="I1448" s="30">
        <v>481823</v>
      </c>
      <c r="J1448" s="30" t="s">
        <v>5431</v>
      </c>
      <c r="K1448" s="30" t="s">
        <v>6409</v>
      </c>
    </row>
    <row r="1449" spans="1:11" x14ac:dyDescent="0.35">
      <c r="A1449" s="30" t="s">
        <v>11934</v>
      </c>
      <c r="B1449" s="30" t="s">
        <v>11935</v>
      </c>
      <c r="C1449" s="32">
        <v>15.09</v>
      </c>
      <c r="D1449" s="30">
        <v>0.1</v>
      </c>
      <c r="E1449" s="31">
        <v>6.6699999999999997E-3</v>
      </c>
      <c r="F1449" s="30">
        <v>477719341</v>
      </c>
      <c r="G1449" s="30" t="s">
        <v>5427</v>
      </c>
      <c r="H1449" s="30">
        <v>2006</v>
      </c>
      <c r="I1449" s="30">
        <v>170439</v>
      </c>
      <c r="J1449" s="30" t="s">
        <v>5442</v>
      </c>
      <c r="K1449" s="30" t="s">
        <v>5618</v>
      </c>
    </row>
    <row r="1450" spans="1:11" x14ac:dyDescent="0.35">
      <c r="A1450" s="30" t="s">
        <v>11936</v>
      </c>
      <c r="B1450" s="30" t="s">
        <v>11937</v>
      </c>
      <c r="C1450" s="32">
        <v>530.26</v>
      </c>
      <c r="D1450" s="30">
        <v>30.16</v>
      </c>
      <c r="E1450" s="31">
        <v>6.0310000000000002E-2</v>
      </c>
      <c r="F1450" s="30">
        <v>71798794780</v>
      </c>
      <c r="G1450" s="30" t="s">
        <v>5427</v>
      </c>
      <c r="H1450" s="30">
        <v>1984</v>
      </c>
      <c r="I1450" s="30">
        <v>2486130</v>
      </c>
      <c r="J1450" s="30" t="s">
        <v>5219</v>
      </c>
      <c r="K1450" s="30" t="s">
        <v>5644</v>
      </c>
    </row>
    <row r="1451" spans="1:11" x14ac:dyDescent="0.35">
      <c r="A1451" s="30" t="s">
        <v>11938</v>
      </c>
      <c r="B1451" s="30" t="s">
        <v>11939</v>
      </c>
      <c r="C1451" s="32">
        <v>22.6</v>
      </c>
      <c r="D1451" s="30">
        <v>0.01</v>
      </c>
      <c r="E1451" s="31">
        <v>4.4000000000000002E-4</v>
      </c>
      <c r="F1451" s="30">
        <v>61270137</v>
      </c>
      <c r="G1451" s="30" t="s">
        <v>5427</v>
      </c>
      <c r="H1451" s="30">
        <v>2013</v>
      </c>
      <c r="I1451" s="30">
        <v>6332</v>
      </c>
      <c r="J1451" s="30" t="s">
        <v>5435</v>
      </c>
      <c r="K1451" s="30" t="s">
        <v>5568</v>
      </c>
    </row>
    <row r="1452" spans="1:11" x14ac:dyDescent="0.35">
      <c r="A1452" s="30" t="s">
        <v>11940</v>
      </c>
      <c r="B1452" s="30" t="s">
        <v>11941</v>
      </c>
      <c r="C1452" s="32">
        <v>5.2</v>
      </c>
      <c r="D1452" s="30">
        <v>0.26</v>
      </c>
      <c r="E1452" s="31">
        <v>5.2630000000000003E-2</v>
      </c>
      <c r="F1452" s="30">
        <v>224999840</v>
      </c>
      <c r="G1452" s="30" t="s">
        <v>5427</v>
      </c>
      <c r="H1452" s="30">
        <v>2014</v>
      </c>
      <c r="I1452" s="30">
        <v>158244</v>
      </c>
      <c r="J1452" s="30" t="s">
        <v>5431</v>
      </c>
      <c r="K1452" s="30" t="s">
        <v>5430</v>
      </c>
    </row>
    <row r="1453" spans="1:11" x14ac:dyDescent="0.35">
      <c r="A1453" s="30" t="s">
        <v>11942</v>
      </c>
      <c r="B1453" s="30" t="s">
        <v>11943</v>
      </c>
      <c r="C1453" s="32">
        <v>12.59</v>
      </c>
      <c r="D1453" s="30">
        <v>0</v>
      </c>
      <c r="E1453" s="31">
        <v>0</v>
      </c>
      <c r="F1453" s="30">
        <v>71856002</v>
      </c>
      <c r="G1453" s="30" t="s">
        <v>5427</v>
      </c>
      <c r="H1453" s="30">
        <v>2006</v>
      </c>
      <c r="I1453" s="30">
        <v>352</v>
      </c>
      <c r="J1453" s="30" t="s">
        <v>5435</v>
      </c>
      <c r="K1453" s="30" t="s">
        <v>6556</v>
      </c>
    </row>
    <row r="1454" spans="1:11" x14ac:dyDescent="0.35">
      <c r="A1454" s="30" t="s">
        <v>11944</v>
      </c>
      <c r="B1454" s="30" t="s">
        <v>11945</v>
      </c>
      <c r="C1454" s="32">
        <v>80.739999999999995</v>
      </c>
      <c r="D1454" s="30">
        <v>4.95</v>
      </c>
      <c r="E1454" s="31">
        <v>6.5310000000000007E-2</v>
      </c>
      <c r="F1454" s="30">
        <v>11066177409</v>
      </c>
      <c r="G1454" s="30" t="s">
        <v>5427</v>
      </c>
      <c r="H1454" s="30"/>
      <c r="I1454" s="30">
        <v>2273872</v>
      </c>
      <c r="J1454" s="30" t="s">
        <v>5219</v>
      </c>
      <c r="K1454" s="30" t="s">
        <v>5526</v>
      </c>
    </row>
    <row r="1455" spans="1:11" x14ac:dyDescent="0.35">
      <c r="A1455" s="30" t="s">
        <v>11946</v>
      </c>
      <c r="B1455" s="30" t="s">
        <v>11947</v>
      </c>
      <c r="C1455" s="32">
        <v>6.84</v>
      </c>
      <c r="D1455" s="30">
        <v>0.21</v>
      </c>
      <c r="E1455" s="31">
        <v>3.1669999999999997E-2</v>
      </c>
      <c r="F1455" s="30">
        <v>280098294</v>
      </c>
      <c r="G1455" s="30" t="s">
        <v>5427</v>
      </c>
      <c r="H1455" s="30">
        <v>2018</v>
      </c>
      <c r="I1455" s="30">
        <v>54878</v>
      </c>
      <c r="J1455" s="30"/>
      <c r="K1455" s="30"/>
    </row>
    <row r="1456" spans="1:11" x14ac:dyDescent="0.35">
      <c r="A1456" s="30" t="s">
        <v>11948</v>
      </c>
      <c r="B1456" s="30" t="s">
        <v>11949</v>
      </c>
      <c r="C1456" s="32">
        <v>178.92</v>
      </c>
      <c r="D1456" s="30">
        <v>6.09</v>
      </c>
      <c r="E1456" s="31">
        <v>3.524E-2</v>
      </c>
      <c r="F1456" s="30">
        <v>6427748414</v>
      </c>
      <c r="G1456" s="30" t="s">
        <v>5427</v>
      </c>
      <c r="H1456" s="30">
        <v>1993</v>
      </c>
      <c r="I1456" s="30">
        <v>550483</v>
      </c>
      <c r="J1456" s="30" t="s">
        <v>5457</v>
      </c>
      <c r="K1456" s="30" t="s">
        <v>5725</v>
      </c>
    </row>
    <row r="1457" spans="1:11" x14ac:dyDescent="0.35">
      <c r="A1457" s="30" t="s">
        <v>11950</v>
      </c>
      <c r="B1457" s="30" t="s">
        <v>11951</v>
      </c>
      <c r="C1457" s="32">
        <v>41.08</v>
      </c>
      <c r="D1457" s="30">
        <v>0.46</v>
      </c>
      <c r="E1457" s="31">
        <v>1.132E-2</v>
      </c>
      <c r="F1457" s="30">
        <v>13411062575</v>
      </c>
      <c r="G1457" s="30" t="s">
        <v>5427</v>
      </c>
      <c r="H1457" s="30"/>
      <c r="I1457" s="30">
        <v>800866</v>
      </c>
      <c r="J1457" s="30" t="s">
        <v>5442</v>
      </c>
      <c r="K1457" s="30" t="s">
        <v>5834</v>
      </c>
    </row>
    <row r="1458" spans="1:11" x14ac:dyDescent="0.35">
      <c r="A1458" s="30" t="s">
        <v>11952</v>
      </c>
      <c r="B1458" s="30" t="s">
        <v>11953</v>
      </c>
      <c r="C1458" s="32">
        <v>41.1</v>
      </c>
      <c r="D1458" s="30">
        <v>0</v>
      </c>
      <c r="E1458" s="31">
        <v>0</v>
      </c>
      <c r="F1458" s="30">
        <v>13417591817</v>
      </c>
      <c r="G1458" s="30" t="s">
        <v>5427</v>
      </c>
      <c r="H1458" s="30"/>
      <c r="I1458" s="30">
        <v>107</v>
      </c>
      <c r="J1458" s="30" t="s">
        <v>5442</v>
      </c>
      <c r="K1458" s="30" t="s">
        <v>5834</v>
      </c>
    </row>
    <row r="1459" spans="1:11" x14ac:dyDescent="0.35">
      <c r="A1459" s="30" t="s">
        <v>11954</v>
      </c>
      <c r="B1459" s="30" t="s">
        <v>11955</v>
      </c>
      <c r="C1459" s="32">
        <v>40.909999999999997</v>
      </c>
      <c r="D1459" s="30">
        <v>0.61</v>
      </c>
      <c r="E1459" s="31">
        <v>1.5140000000000001E-2</v>
      </c>
      <c r="F1459" s="30">
        <v>13355564020</v>
      </c>
      <c r="G1459" s="30" t="s">
        <v>5427</v>
      </c>
      <c r="H1459" s="30"/>
      <c r="I1459" s="30">
        <v>879501</v>
      </c>
      <c r="J1459" s="30" t="s">
        <v>5442</v>
      </c>
      <c r="K1459" s="30" t="s">
        <v>5834</v>
      </c>
    </row>
    <row r="1460" spans="1:11" x14ac:dyDescent="0.35">
      <c r="A1460" s="30" t="s">
        <v>11956</v>
      </c>
      <c r="B1460" s="30" t="s">
        <v>11957</v>
      </c>
      <c r="C1460" s="32">
        <v>0.89410000000000001</v>
      </c>
      <c r="D1460" s="30">
        <v>-2.5399999999999999E-2</v>
      </c>
      <c r="E1460" s="31">
        <v>-2.7619999999999999E-2</v>
      </c>
      <c r="F1460" s="30">
        <v>129483343</v>
      </c>
      <c r="G1460" s="30" t="s">
        <v>5427</v>
      </c>
      <c r="H1460" s="30">
        <v>2020</v>
      </c>
      <c r="I1460" s="30">
        <v>615269</v>
      </c>
      <c r="J1460" s="30" t="s">
        <v>5219</v>
      </c>
      <c r="K1460" s="30" t="s">
        <v>5447</v>
      </c>
    </row>
    <row r="1461" spans="1:11" x14ac:dyDescent="0.35">
      <c r="A1461" s="30" t="s">
        <v>11958</v>
      </c>
      <c r="B1461" s="30" t="s">
        <v>11959</v>
      </c>
      <c r="C1461" s="32">
        <v>6.08</v>
      </c>
      <c r="D1461" s="30">
        <v>0.06</v>
      </c>
      <c r="E1461" s="31">
        <v>9.9699999999999997E-3</v>
      </c>
      <c r="F1461" s="30">
        <v>66010803</v>
      </c>
      <c r="G1461" s="30" t="s">
        <v>5427</v>
      </c>
      <c r="H1461" s="30">
        <v>2020</v>
      </c>
      <c r="I1461" s="30">
        <v>48865</v>
      </c>
      <c r="J1461" s="30" t="s">
        <v>5431</v>
      </c>
      <c r="K1461" s="30" t="s">
        <v>5430</v>
      </c>
    </row>
    <row r="1462" spans="1:11" x14ac:dyDescent="0.35">
      <c r="A1462" s="30" t="s">
        <v>11960</v>
      </c>
      <c r="B1462" s="30" t="s">
        <v>11961</v>
      </c>
      <c r="C1462" s="32">
        <v>1.33</v>
      </c>
      <c r="D1462" s="30">
        <v>0.06</v>
      </c>
      <c r="E1462" s="31">
        <v>4.7239999999999997E-2</v>
      </c>
      <c r="F1462" s="30">
        <v>100890569</v>
      </c>
      <c r="G1462" s="30" t="s">
        <v>5427</v>
      </c>
      <c r="H1462" s="30"/>
      <c r="I1462" s="30">
        <v>545591</v>
      </c>
      <c r="J1462" s="30" t="s">
        <v>5219</v>
      </c>
      <c r="K1462" s="30" t="s">
        <v>6076</v>
      </c>
    </row>
    <row r="1463" spans="1:11" x14ac:dyDescent="0.35">
      <c r="A1463" s="30" t="s">
        <v>11962</v>
      </c>
      <c r="B1463" s="30" t="s">
        <v>11963</v>
      </c>
      <c r="C1463" s="32">
        <v>27.11</v>
      </c>
      <c r="D1463" s="30">
        <v>0.11</v>
      </c>
      <c r="E1463" s="31">
        <v>4.0699999999999998E-3</v>
      </c>
      <c r="F1463" s="30">
        <v>2056498750</v>
      </c>
      <c r="G1463" s="30" t="s">
        <v>5427</v>
      </c>
      <c r="H1463" s="30"/>
      <c r="I1463" s="30">
        <v>2125</v>
      </c>
      <c r="J1463" s="30" t="s">
        <v>5219</v>
      </c>
      <c r="K1463" s="30" t="s">
        <v>6076</v>
      </c>
    </row>
    <row r="1464" spans="1:11" x14ac:dyDescent="0.35">
      <c r="A1464" s="30" t="s">
        <v>11964</v>
      </c>
      <c r="B1464" s="30" t="s">
        <v>11965</v>
      </c>
      <c r="C1464" s="32">
        <v>4.95</v>
      </c>
      <c r="D1464" s="30">
        <v>-0.1</v>
      </c>
      <c r="E1464" s="31">
        <v>-1.9800000000000002E-2</v>
      </c>
      <c r="F1464" s="30">
        <v>179387327</v>
      </c>
      <c r="G1464" s="30" t="s">
        <v>5427</v>
      </c>
      <c r="H1464" s="30">
        <v>2000</v>
      </c>
      <c r="I1464" s="30">
        <v>186584</v>
      </c>
      <c r="J1464" s="30" t="s">
        <v>5732</v>
      </c>
      <c r="K1464" s="30" t="s">
        <v>5520</v>
      </c>
    </row>
    <row r="1465" spans="1:11" x14ac:dyDescent="0.35">
      <c r="A1465" s="30" t="s">
        <v>11966</v>
      </c>
      <c r="B1465" s="30" t="s">
        <v>11967</v>
      </c>
      <c r="C1465" s="32">
        <v>1.3</v>
      </c>
      <c r="D1465" s="30">
        <v>-0.01</v>
      </c>
      <c r="E1465" s="31">
        <v>-7.6299999999999996E-3</v>
      </c>
      <c r="F1465" s="30">
        <v>50840719</v>
      </c>
      <c r="G1465" s="30" t="s">
        <v>5427</v>
      </c>
      <c r="H1465" s="30">
        <v>2021</v>
      </c>
      <c r="I1465" s="30">
        <v>43420</v>
      </c>
      <c r="J1465" s="30" t="s">
        <v>5431</v>
      </c>
      <c r="K1465" s="30" t="s">
        <v>6537</v>
      </c>
    </row>
    <row r="1466" spans="1:11" x14ac:dyDescent="0.35">
      <c r="A1466" s="30" t="s">
        <v>11968</v>
      </c>
      <c r="B1466" s="30" t="s">
        <v>11969</v>
      </c>
      <c r="C1466" s="32">
        <v>315.70999999999998</v>
      </c>
      <c r="D1466" s="30">
        <v>8.83</v>
      </c>
      <c r="E1466" s="31">
        <v>2.877E-2</v>
      </c>
      <c r="F1466" s="30">
        <v>40257677618</v>
      </c>
      <c r="G1466" s="30" t="s">
        <v>5515</v>
      </c>
      <c r="H1466" s="30">
        <v>2007</v>
      </c>
      <c r="I1466" s="30">
        <v>2008569</v>
      </c>
      <c r="J1466" s="30" t="s">
        <v>5442</v>
      </c>
      <c r="K1466" s="30" t="s">
        <v>5534</v>
      </c>
    </row>
    <row r="1467" spans="1:11" x14ac:dyDescent="0.35">
      <c r="A1467" s="30" t="s">
        <v>11970</v>
      </c>
      <c r="B1467" s="30" t="s">
        <v>11971</v>
      </c>
      <c r="C1467" s="32">
        <v>8.6300000000000008</v>
      </c>
      <c r="D1467" s="30">
        <v>-0.21</v>
      </c>
      <c r="E1467" s="31">
        <v>-2.376E-2</v>
      </c>
      <c r="F1467" s="30">
        <v>284460075</v>
      </c>
      <c r="G1467" s="30" t="s">
        <v>5427</v>
      </c>
      <c r="H1467" s="30">
        <v>2006</v>
      </c>
      <c r="I1467" s="30">
        <v>236066</v>
      </c>
      <c r="J1467" s="30" t="s">
        <v>5431</v>
      </c>
      <c r="K1467" s="30" t="s">
        <v>9124</v>
      </c>
    </row>
    <row r="1468" spans="1:11" x14ac:dyDescent="0.35">
      <c r="A1468" s="30" t="s">
        <v>11972</v>
      </c>
      <c r="B1468" s="30" t="s">
        <v>11973</v>
      </c>
      <c r="C1468" s="32">
        <v>9.42</v>
      </c>
      <c r="D1468" s="30">
        <v>0.53</v>
      </c>
      <c r="E1468" s="31">
        <v>5.9619999999999999E-2</v>
      </c>
      <c r="F1468" s="30">
        <v>352394655</v>
      </c>
      <c r="G1468" s="30" t="s">
        <v>5427</v>
      </c>
      <c r="H1468" s="30">
        <v>2020</v>
      </c>
      <c r="I1468" s="30">
        <v>541439</v>
      </c>
      <c r="J1468" s="30" t="s">
        <v>5431</v>
      </c>
      <c r="K1468" s="30" t="s">
        <v>5438</v>
      </c>
    </row>
    <row r="1469" spans="1:11" x14ac:dyDescent="0.35">
      <c r="A1469" s="30" t="s">
        <v>11974</v>
      </c>
      <c r="B1469" s="30" t="s">
        <v>11975</v>
      </c>
      <c r="C1469" s="32">
        <v>10.32</v>
      </c>
      <c r="D1469" s="30">
        <v>0</v>
      </c>
      <c r="E1469" s="31">
        <v>0</v>
      </c>
      <c r="F1469" s="30">
        <v>148350000</v>
      </c>
      <c r="G1469" s="30" t="s">
        <v>5427</v>
      </c>
      <c r="H1469" s="30">
        <v>2021</v>
      </c>
      <c r="I1469" s="30">
        <v>20</v>
      </c>
      <c r="J1469" s="30" t="s">
        <v>5457</v>
      </c>
      <c r="K1469" s="30" t="s">
        <v>5571</v>
      </c>
    </row>
    <row r="1470" spans="1:11" x14ac:dyDescent="0.35">
      <c r="A1470" s="30" t="s">
        <v>11976</v>
      </c>
      <c r="B1470" s="30" t="s">
        <v>11977</v>
      </c>
      <c r="C1470" s="32">
        <v>3.38</v>
      </c>
      <c r="D1470" s="30">
        <v>0.15</v>
      </c>
      <c r="E1470" s="31">
        <v>4.6440000000000002E-2</v>
      </c>
      <c r="F1470" s="30">
        <v>132156182</v>
      </c>
      <c r="G1470" s="30" t="s">
        <v>5427</v>
      </c>
      <c r="H1470" s="30">
        <v>2021</v>
      </c>
      <c r="I1470" s="30">
        <v>129235</v>
      </c>
      <c r="J1470" s="30" t="s">
        <v>5442</v>
      </c>
      <c r="K1470" s="30" t="s">
        <v>5692</v>
      </c>
    </row>
    <row r="1471" spans="1:11" x14ac:dyDescent="0.35">
      <c r="A1471" s="30" t="s">
        <v>11978</v>
      </c>
      <c r="B1471" s="30" t="s">
        <v>11979</v>
      </c>
      <c r="C1471" s="32">
        <v>0.74460000000000004</v>
      </c>
      <c r="D1471" s="30">
        <v>-2.5399999999999999E-2</v>
      </c>
      <c r="E1471" s="31">
        <v>-3.2989999999999998E-2</v>
      </c>
      <c r="F1471" s="30">
        <v>65118913</v>
      </c>
      <c r="G1471" s="30" t="s">
        <v>5427</v>
      </c>
      <c r="H1471" s="30"/>
      <c r="I1471" s="30">
        <v>117994</v>
      </c>
      <c r="J1471" s="30" t="s">
        <v>5442</v>
      </c>
      <c r="K1471" s="30" t="s">
        <v>5450</v>
      </c>
    </row>
    <row r="1472" spans="1:11" x14ac:dyDescent="0.35">
      <c r="A1472" s="30" t="s">
        <v>11980</v>
      </c>
      <c r="B1472" s="30" t="s">
        <v>11981</v>
      </c>
      <c r="C1472" s="32">
        <v>2.82</v>
      </c>
      <c r="D1472" s="30">
        <v>-0.09</v>
      </c>
      <c r="E1472" s="31">
        <v>-3.0929999999999999E-2</v>
      </c>
      <c r="F1472" s="30">
        <v>282139624</v>
      </c>
      <c r="G1472" s="30" t="s">
        <v>5427</v>
      </c>
      <c r="H1472" s="30">
        <v>2021</v>
      </c>
      <c r="I1472" s="30">
        <v>73842</v>
      </c>
      <c r="J1472" s="30" t="s">
        <v>5219</v>
      </c>
      <c r="K1472" s="30" t="s">
        <v>5447</v>
      </c>
    </row>
    <row r="1473" spans="1:11" x14ac:dyDescent="0.35">
      <c r="A1473" s="30" t="s">
        <v>11982</v>
      </c>
      <c r="B1473" s="30" t="s">
        <v>11983</v>
      </c>
      <c r="C1473" s="32">
        <v>3.52</v>
      </c>
      <c r="D1473" s="30">
        <v>-0.12</v>
      </c>
      <c r="E1473" s="31">
        <v>-3.2969999999999999E-2</v>
      </c>
      <c r="F1473" s="30">
        <v>92537586</v>
      </c>
      <c r="G1473" s="30" t="s">
        <v>6073</v>
      </c>
      <c r="H1473" s="30">
        <v>2021</v>
      </c>
      <c r="I1473" s="30">
        <v>9082</v>
      </c>
      <c r="J1473" s="30" t="s">
        <v>5431</v>
      </c>
      <c r="K1473" s="30" t="s">
        <v>5430</v>
      </c>
    </row>
    <row r="1474" spans="1:11" x14ac:dyDescent="0.35">
      <c r="A1474" s="30" t="s">
        <v>11984</v>
      </c>
      <c r="B1474" s="30" t="s">
        <v>11985</v>
      </c>
      <c r="C1474" s="32">
        <v>5.41</v>
      </c>
      <c r="D1474" s="30">
        <v>7.0000000000000007E-2</v>
      </c>
      <c r="E1474" s="31">
        <v>1.311E-2</v>
      </c>
      <c r="F1474" s="30">
        <v>83828502</v>
      </c>
      <c r="G1474" s="30" t="s">
        <v>5427</v>
      </c>
      <c r="H1474" s="30"/>
      <c r="I1474" s="30">
        <v>10636</v>
      </c>
      <c r="J1474" s="30" t="s">
        <v>5541</v>
      </c>
      <c r="K1474" s="30" t="s">
        <v>5716</v>
      </c>
    </row>
    <row r="1475" spans="1:11" x14ac:dyDescent="0.35">
      <c r="A1475" s="30" t="s">
        <v>11986</v>
      </c>
      <c r="B1475" s="30" t="s">
        <v>11987</v>
      </c>
      <c r="C1475" s="32">
        <v>6.55</v>
      </c>
      <c r="D1475" s="30">
        <v>0.26</v>
      </c>
      <c r="E1475" s="31">
        <v>4.1340000000000002E-2</v>
      </c>
      <c r="F1475" s="30">
        <v>739084538</v>
      </c>
      <c r="G1475" s="30" t="s">
        <v>5427</v>
      </c>
      <c r="H1475" s="30"/>
      <c r="I1475" s="30">
        <v>680696</v>
      </c>
      <c r="J1475" s="30" t="s">
        <v>5457</v>
      </c>
      <c r="K1475" s="30" t="s">
        <v>5838</v>
      </c>
    </row>
    <row r="1476" spans="1:11" x14ac:dyDescent="0.35">
      <c r="A1476" s="30" t="s">
        <v>11988</v>
      </c>
      <c r="B1476" s="30" t="s">
        <v>11989</v>
      </c>
      <c r="C1476" s="32">
        <v>2.27</v>
      </c>
      <c r="D1476" s="30">
        <v>0.03</v>
      </c>
      <c r="E1476" s="31">
        <v>1.3390000000000001E-2</v>
      </c>
      <c r="F1476" s="30">
        <v>428407437</v>
      </c>
      <c r="G1476" s="30" t="s">
        <v>5427</v>
      </c>
      <c r="H1476" s="30"/>
      <c r="I1476" s="30">
        <v>401653</v>
      </c>
      <c r="J1476" s="30" t="s">
        <v>5431</v>
      </c>
      <c r="K1476" s="30" t="s">
        <v>6409</v>
      </c>
    </row>
    <row r="1477" spans="1:11" x14ac:dyDescent="0.35">
      <c r="A1477" s="30" t="s">
        <v>11990</v>
      </c>
      <c r="B1477" s="30" t="s">
        <v>11991</v>
      </c>
      <c r="C1477" s="32">
        <v>3.28</v>
      </c>
      <c r="D1477" s="30">
        <v>0.01</v>
      </c>
      <c r="E1477" s="31">
        <v>3.0599999999999998E-3</v>
      </c>
      <c r="F1477" s="30">
        <v>817788057</v>
      </c>
      <c r="G1477" s="30" t="s">
        <v>5427</v>
      </c>
      <c r="H1477" s="30">
        <v>2021</v>
      </c>
      <c r="I1477" s="30">
        <v>812987</v>
      </c>
      <c r="J1477" s="30" t="s">
        <v>5431</v>
      </c>
      <c r="K1477" s="30" t="s">
        <v>5430</v>
      </c>
    </row>
    <row r="1478" spans="1:11" x14ac:dyDescent="0.35">
      <c r="A1478" s="30" t="s">
        <v>11992</v>
      </c>
      <c r="B1478" s="30" t="s">
        <v>11993</v>
      </c>
      <c r="C1478" s="32">
        <v>16.899999999999999</v>
      </c>
      <c r="D1478" s="30">
        <v>0.65</v>
      </c>
      <c r="E1478" s="31">
        <v>0.04</v>
      </c>
      <c r="F1478" s="30">
        <v>6099798289</v>
      </c>
      <c r="G1478" s="30" t="s">
        <v>5427</v>
      </c>
      <c r="H1478" s="30">
        <v>2019</v>
      </c>
      <c r="I1478" s="30">
        <v>12920446</v>
      </c>
      <c r="J1478" s="30" t="s">
        <v>5219</v>
      </c>
      <c r="K1478" s="30" t="s">
        <v>5447</v>
      </c>
    </row>
    <row r="1479" spans="1:11" x14ac:dyDescent="0.35">
      <c r="A1479" s="30" t="s">
        <v>11994</v>
      </c>
      <c r="B1479" s="30" t="s">
        <v>11995</v>
      </c>
      <c r="C1479" s="32">
        <v>2.9</v>
      </c>
      <c r="D1479" s="30">
        <v>0.05</v>
      </c>
      <c r="E1479" s="31">
        <v>1.754E-2</v>
      </c>
      <c r="F1479" s="30">
        <v>92298323</v>
      </c>
      <c r="G1479" s="30" t="s">
        <v>5427</v>
      </c>
      <c r="H1479" s="30">
        <v>2020</v>
      </c>
      <c r="I1479" s="30">
        <v>40632</v>
      </c>
      <c r="J1479" s="30" t="s">
        <v>5431</v>
      </c>
      <c r="K1479" s="30" t="s">
        <v>5685</v>
      </c>
    </row>
    <row r="1480" spans="1:11" x14ac:dyDescent="0.35">
      <c r="A1480" s="30" t="s">
        <v>11996</v>
      </c>
      <c r="B1480" s="30" t="s">
        <v>11997</v>
      </c>
      <c r="C1480" s="32">
        <v>13.64</v>
      </c>
      <c r="D1480" s="30">
        <v>-0.09</v>
      </c>
      <c r="E1480" s="31">
        <v>-6.5500000000000003E-3</v>
      </c>
      <c r="F1480" s="30">
        <v>378883872</v>
      </c>
      <c r="G1480" s="30" t="s">
        <v>5427</v>
      </c>
      <c r="H1480" s="30">
        <v>1985</v>
      </c>
      <c r="I1480" s="30">
        <v>262992</v>
      </c>
      <c r="J1480" s="30" t="s">
        <v>5442</v>
      </c>
      <c r="K1480" s="30" t="s">
        <v>5537</v>
      </c>
    </row>
    <row r="1481" spans="1:11" x14ac:dyDescent="0.35">
      <c r="A1481" s="30" t="s">
        <v>11998</v>
      </c>
      <c r="B1481" s="30" t="s">
        <v>11999</v>
      </c>
      <c r="C1481" s="32">
        <v>8.7100000000000009</v>
      </c>
      <c r="D1481" s="30">
        <v>0.23</v>
      </c>
      <c r="E1481" s="31">
        <v>2.7119999999999998E-2</v>
      </c>
      <c r="F1481" s="30">
        <v>1677975177</v>
      </c>
      <c r="G1481" s="30" t="s">
        <v>5427</v>
      </c>
      <c r="H1481" s="30">
        <v>2021</v>
      </c>
      <c r="I1481" s="30">
        <v>824883</v>
      </c>
      <c r="J1481" s="30" t="s">
        <v>5219</v>
      </c>
      <c r="K1481" s="30" t="s">
        <v>6076</v>
      </c>
    </row>
    <row r="1482" spans="1:11" x14ac:dyDescent="0.35">
      <c r="A1482" s="30" t="s">
        <v>12000</v>
      </c>
      <c r="B1482" s="30" t="s">
        <v>12001</v>
      </c>
      <c r="C1482" s="32">
        <v>10.18</v>
      </c>
      <c r="D1482" s="30">
        <v>0.03</v>
      </c>
      <c r="E1482" s="31">
        <v>2.96E-3</v>
      </c>
      <c r="F1482" s="30">
        <v>151223900</v>
      </c>
      <c r="G1482" s="30" t="s">
        <v>5427</v>
      </c>
      <c r="H1482" s="30">
        <v>2021</v>
      </c>
      <c r="I1482" s="30">
        <v>678094</v>
      </c>
      <c r="J1482" s="30" t="s">
        <v>5435</v>
      </c>
      <c r="K1482" s="30" t="s">
        <v>5482</v>
      </c>
    </row>
    <row r="1483" spans="1:11" x14ac:dyDescent="0.35">
      <c r="A1483" s="30" t="s">
        <v>12002</v>
      </c>
      <c r="B1483" s="30" t="s">
        <v>12003</v>
      </c>
      <c r="C1483" s="32">
        <v>11.85</v>
      </c>
      <c r="D1483" s="30">
        <v>0.26</v>
      </c>
      <c r="E1483" s="31">
        <v>2.2429999999999999E-2</v>
      </c>
      <c r="F1483" s="30">
        <v>158911380</v>
      </c>
      <c r="G1483" s="30" t="s">
        <v>5427</v>
      </c>
      <c r="H1483" s="30">
        <v>2012</v>
      </c>
      <c r="I1483" s="30">
        <v>100578</v>
      </c>
      <c r="J1483" s="30" t="s">
        <v>5431</v>
      </c>
      <c r="K1483" s="30" t="s">
        <v>5430</v>
      </c>
    </row>
    <row r="1484" spans="1:11" x14ac:dyDescent="0.35">
      <c r="A1484" s="30" t="s">
        <v>12004</v>
      </c>
      <c r="B1484" s="30" t="s">
        <v>12005</v>
      </c>
      <c r="C1484" s="32">
        <v>136.43</v>
      </c>
      <c r="D1484" s="30">
        <v>6.07</v>
      </c>
      <c r="E1484" s="31">
        <v>4.6559999999999997E-2</v>
      </c>
      <c r="F1484" s="30">
        <v>8512801154</v>
      </c>
      <c r="G1484" s="30" t="s">
        <v>5427</v>
      </c>
      <c r="H1484" s="30">
        <v>1998</v>
      </c>
      <c r="I1484" s="30">
        <v>499098</v>
      </c>
      <c r="J1484" s="30" t="s">
        <v>5219</v>
      </c>
      <c r="K1484" s="30" t="s">
        <v>5560</v>
      </c>
    </row>
    <row r="1485" spans="1:11" x14ac:dyDescent="0.35">
      <c r="A1485" s="30" t="s">
        <v>12006</v>
      </c>
      <c r="B1485" s="30" t="s">
        <v>12007</v>
      </c>
      <c r="C1485" s="32">
        <v>1.32</v>
      </c>
      <c r="D1485" s="30">
        <v>0.06</v>
      </c>
      <c r="E1485" s="31">
        <v>4.7620000000000003E-2</v>
      </c>
      <c r="F1485" s="30">
        <v>120057258</v>
      </c>
      <c r="G1485" s="30" t="s">
        <v>5427</v>
      </c>
      <c r="H1485" s="30">
        <v>2019</v>
      </c>
      <c r="I1485" s="30">
        <v>761805</v>
      </c>
      <c r="J1485" s="30" t="s">
        <v>5219</v>
      </c>
      <c r="K1485" s="30" t="s">
        <v>5560</v>
      </c>
    </row>
    <row r="1486" spans="1:11" x14ac:dyDescent="0.35">
      <c r="A1486" s="30" t="s">
        <v>12008</v>
      </c>
      <c r="B1486" s="30" t="s">
        <v>12009</v>
      </c>
      <c r="C1486" s="32">
        <v>175.36</v>
      </c>
      <c r="D1486" s="30">
        <v>1.18</v>
      </c>
      <c r="E1486" s="31">
        <v>6.77E-3</v>
      </c>
      <c r="F1486" s="30">
        <v>55508386536</v>
      </c>
      <c r="G1486" s="30" t="s">
        <v>5427</v>
      </c>
      <c r="H1486" s="30"/>
      <c r="I1486" s="30">
        <v>1453630</v>
      </c>
      <c r="J1486" s="30" t="s">
        <v>5442</v>
      </c>
      <c r="K1486" s="30" t="s">
        <v>5704</v>
      </c>
    </row>
    <row r="1487" spans="1:11" x14ac:dyDescent="0.35">
      <c r="A1487" s="30" t="s">
        <v>12010</v>
      </c>
      <c r="B1487" s="30" t="s">
        <v>12011</v>
      </c>
      <c r="C1487" s="32">
        <v>7.52</v>
      </c>
      <c r="D1487" s="30">
        <v>0.31</v>
      </c>
      <c r="E1487" s="31">
        <v>4.2999999999999997E-2</v>
      </c>
      <c r="F1487" s="30">
        <v>878654013</v>
      </c>
      <c r="G1487" s="30" t="s">
        <v>5427</v>
      </c>
      <c r="H1487" s="30"/>
      <c r="I1487" s="30">
        <v>42084248</v>
      </c>
      <c r="J1487" s="30" t="s">
        <v>5435</v>
      </c>
      <c r="K1487" s="30" t="s">
        <v>5434</v>
      </c>
    </row>
    <row r="1488" spans="1:11" x14ac:dyDescent="0.35">
      <c r="A1488" s="30" t="s">
        <v>12012</v>
      </c>
      <c r="B1488" s="30" t="s">
        <v>12013</v>
      </c>
      <c r="C1488" s="32">
        <v>171.32</v>
      </c>
      <c r="D1488" s="30">
        <v>1.24</v>
      </c>
      <c r="E1488" s="31">
        <v>7.2899999999999996E-3</v>
      </c>
      <c r="F1488" s="30">
        <v>9005378065</v>
      </c>
      <c r="G1488" s="30" t="s">
        <v>5427</v>
      </c>
      <c r="H1488" s="30">
        <v>2007</v>
      </c>
      <c r="I1488" s="30">
        <v>340445</v>
      </c>
      <c r="J1488" s="30" t="s">
        <v>5431</v>
      </c>
      <c r="K1488" s="30" t="s">
        <v>5500</v>
      </c>
    </row>
    <row r="1489" spans="1:11" x14ac:dyDescent="0.35">
      <c r="A1489" s="30" t="s">
        <v>12014</v>
      </c>
      <c r="B1489" s="30" t="s">
        <v>12015</v>
      </c>
      <c r="C1489" s="32">
        <v>9.43</v>
      </c>
      <c r="D1489" s="30">
        <v>0.11</v>
      </c>
      <c r="E1489" s="31">
        <v>1.18E-2</v>
      </c>
      <c r="F1489" s="30">
        <v>299037408</v>
      </c>
      <c r="G1489" s="30" t="s">
        <v>5427</v>
      </c>
      <c r="H1489" s="30">
        <v>2020</v>
      </c>
      <c r="I1489" s="30">
        <v>174459</v>
      </c>
      <c r="J1489" s="30" t="s">
        <v>5431</v>
      </c>
      <c r="K1489" s="30" t="s">
        <v>5500</v>
      </c>
    </row>
    <row r="1490" spans="1:11" x14ac:dyDescent="0.35">
      <c r="A1490" s="30" t="s">
        <v>12016</v>
      </c>
      <c r="B1490" s="30" t="s">
        <v>12017</v>
      </c>
      <c r="C1490" s="32">
        <v>20.97</v>
      </c>
      <c r="D1490" s="30">
        <v>0.51</v>
      </c>
      <c r="E1490" s="31">
        <v>2.4930000000000001E-2</v>
      </c>
      <c r="F1490" s="30">
        <v>7431800252</v>
      </c>
      <c r="G1490" s="30" t="s">
        <v>5427</v>
      </c>
      <c r="H1490" s="30"/>
      <c r="I1490" s="30">
        <v>3251955</v>
      </c>
      <c r="J1490" s="30" t="s">
        <v>5442</v>
      </c>
      <c r="K1490" s="30" t="s">
        <v>5641</v>
      </c>
    </row>
    <row r="1491" spans="1:11" x14ac:dyDescent="0.35">
      <c r="A1491" s="30" t="s">
        <v>12018</v>
      </c>
      <c r="B1491" s="30" t="s">
        <v>12019</v>
      </c>
      <c r="C1491" s="32">
        <v>37.200000000000003</v>
      </c>
      <c r="D1491" s="30">
        <v>0.16</v>
      </c>
      <c r="E1491" s="31">
        <v>4.3200000000000001E-3</v>
      </c>
      <c r="F1491" s="30">
        <v>1131613026</v>
      </c>
      <c r="G1491" s="30" t="s">
        <v>5427</v>
      </c>
      <c r="H1491" s="30">
        <v>1994</v>
      </c>
      <c r="I1491" s="30">
        <v>198448</v>
      </c>
      <c r="J1491" s="30" t="s">
        <v>5457</v>
      </c>
      <c r="K1491" s="30" t="s">
        <v>5571</v>
      </c>
    </row>
    <row r="1492" spans="1:11" x14ac:dyDescent="0.35">
      <c r="A1492" s="30" t="s">
        <v>12020</v>
      </c>
      <c r="B1492" s="30" t="s">
        <v>12021</v>
      </c>
      <c r="C1492" s="32">
        <v>21.94</v>
      </c>
      <c r="D1492" s="30">
        <v>-0.02</v>
      </c>
      <c r="E1492" s="31">
        <v>-9.1E-4</v>
      </c>
      <c r="F1492" s="30">
        <v>987225733</v>
      </c>
      <c r="G1492" s="30" t="s">
        <v>5752</v>
      </c>
      <c r="H1492" s="30"/>
      <c r="I1492" s="30">
        <v>379098</v>
      </c>
      <c r="J1492" s="30" t="s">
        <v>5219</v>
      </c>
      <c r="K1492" s="30" t="s">
        <v>5526</v>
      </c>
    </row>
    <row r="1493" spans="1:11" x14ac:dyDescent="0.35">
      <c r="A1493" s="30" t="s">
        <v>12022</v>
      </c>
      <c r="B1493" s="30" t="s">
        <v>12023</v>
      </c>
      <c r="C1493" s="32">
        <v>41.53</v>
      </c>
      <c r="D1493" s="30">
        <v>-2.73</v>
      </c>
      <c r="E1493" s="31">
        <v>-6.1679999999999999E-2</v>
      </c>
      <c r="F1493" s="30">
        <v>83715343</v>
      </c>
      <c r="G1493" s="30" t="s">
        <v>5427</v>
      </c>
      <c r="H1493" s="30"/>
      <c r="I1493" s="30">
        <v>153</v>
      </c>
      <c r="J1493" s="30" t="s">
        <v>5197</v>
      </c>
      <c r="K1493" s="30" t="s">
        <v>6091</v>
      </c>
    </row>
    <row r="1494" spans="1:11" x14ac:dyDescent="0.35">
      <c r="A1494" s="30" t="s">
        <v>12024</v>
      </c>
      <c r="B1494" s="30" t="s">
        <v>12025</v>
      </c>
      <c r="C1494" s="32">
        <v>27.18</v>
      </c>
      <c r="D1494" s="30">
        <v>-0.02</v>
      </c>
      <c r="E1494" s="31">
        <v>-7.3999999999999999E-4</v>
      </c>
      <c r="F1494" s="30">
        <v>173357030</v>
      </c>
      <c r="G1494" s="30" t="s">
        <v>5427</v>
      </c>
      <c r="H1494" s="30"/>
      <c r="I1494" s="30">
        <v>8540</v>
      </c>
      <c r="J1494" s="30" t="s">
        <v>5435</v>
      </c>
      <c r="K1494" s="30" t="s">
        <v>5579</v>
      </c>
    </row>
    <row r="1495" spans="1:11" x14ac:dyDescent="0.35">
      <c r="A1495" s="30" t="s">
        <v>12026</v>
      </c>
      <c r="B1495" s="30" t="s">
        <v>12027</v>
      </c>
      <c r="C1495" s="32">
        <v>30.05</v>
      </c>
      <c r="D1495" s="30">
        <v>1.28</v>
      </c>
      <c r="E1495" s="31">
        <v>4.4490000000000002E-2</v>
      </c>
      <c r="F1495" s="30">
        <v>1295442819</v>
      </c>
      <c r="G1495" s="30" t="s">
        <v>5427</v>
      </c>
      <c r="H1495" s="30">
        <v>2017</v>
      </c>
      <c r="I1495" s="30">
        <v>119296</v>
      </c>
      <c r="J1495" s="30" t="s">
        <v>5435</v>
      </c>
      <c r="K1495" s="30" t="s">
        <v>5579</v>
      </c>
    </row>
    <row r="1496" spans="1:11" x14ac:dyDescent="0.35">
      <c r="A1496" s="30" t="s">
        <v>12028</v>
      </c>
      <c r="B1496" s="30" t="s">
        <v>12029</v>
      </c>
      <c r="C1496" s="32">
        <v>0.65910000000000002</v>
      </c>
      <c r="D1496" s="30">
        <v>-1.8499999999999999E-2</v>
      </c>
      <c r="E1496" s="31">
        <v>-2.7300000000000001E-2</v>
      </c>
      <c r="F1496" s="30">
        <v>70724202</v>
      </c>
      <c r="G1496" s="30" t="s">
        <v>5427</v>
      </c>
      <c r="H1496" s="30"/>
      <c r="I1496" s="30">
        <v>287278</v>
      </c>
      <c r="J1496" s="30" t="s">
        <v>5431</v>
      </c>
      <c r="K1496" s="30" t="s">
        <v>6409</v>
      </c>
    </row>
    <row r="1497" spans="1:11" x14ac:dyDescent="0.35">
      <c r="A1497" s="30" t="s">
        <v>12030</v>
      </c>
      <c r="B1497" s="30" t="s">
        <v>12031</v>
      </c>
      <c r="C1497" s="32">
        <v>10.75</v>
      </c>
      <c r="D1497" s="30">
        <v>0</v>
      </c>
      <c r="E1497" s="31">
        <v>0</v>
      </c>
      <c r="F1497" s="30">
        <v>57233860</v>
      </c>
      <c r="G1497" s="30" t="s">
        <v>5427</v>
      </c>
      <c r="H1497" s="30">
        <v>2021</v>
      </c>
      <c r="I1497" s="30">
        <v>1</v>
      </c>
      <c r="J1497" s="30" t="s">
        <v>5435</v>
      </c>
      <c r="K1497" s="30" t="s">
        <v>5482</v>
      </c>
    </row>
    <row r="1498" spans="1:11" x14ac:dyDescent="0.35">
      <c r="A1498" s="30" t="s">
        <v>12032</v>
      </c>
      <c r="B1498" s="30" t="s">
        <v>12033</v>
      </c>
      <c r="C1498" s="32">
        <v>62.69</v>
      </c>
      <c r="D1498" s="30">
        <v>2.1</v>
      </c>
      <c r="E1498" s="31">
        <v>3.4660000000000003E-2</v>
      </c>
      <c r="F1498" s="30">
        <v>1275447923</v>
      </c>
      <c r="G1498" s="30" t="s">
        <v>5427</v>
      </c>
      <c r="H1498" s="30">
        <v>2014</v>
      </c>
      <c r="I1498" s="30">
        <v>125746</v>
      </c>
      <c r="J1498" s="30" t="s">
        <v>5442</v>
      </c>
      <c r="K1498" s="30" t="s">
        <v>5641</v>
      </c>
    </row>
    <row r="1499" spans="1:11" x14ac:dyDescent="0.35">
      <c r="A1499" s="30" t="s">
        <v>12034</v>
      </c>
      <c r="B1499" s="30" t="s">
        <v>12035</v>
      </c>
      <c r="C1499" s="32">
        <v>34.65</v>
      </c>
      <c r="D1499" s="30">
        <v>0.32</v>
      </c>
      <c r="E1499" s="31">
        <v>9.3200000000000002E-3</v>
      </c>
      <c r="F1499" s="30">
        <v>554222731</v>
      </c>
      <c r="G1499" s="30" t="s">
        <v>5427</v>
      </c>
      <c r="H1499" s="30">
        <v>1998</v>
      </c>
      <c r="I1499" s="30">
        <v>33761</v>
      </c>
      <c r="J1499" s="30" t="s">
        <v>5435</v>
      </c>
      <c r="K1499" s="30" t="s">
        <v>5579</v>
      </c>
    </row>
    <row r="1500" spans="1:11" x14ac:dyDescent="0.35">
      <c r="A1500" s="30" t="s">
        <v>12036</v>
      </c>
      <c r="B1500" s="30" t="s">
        <v>12037</v>
      </c>
      <c r="C1500" s="32">
        <v>10.48</v>
      </c>
      <c r="D1500" s="30">
        <v>-0.03</v>
      </c>
      <c r="E1500" s="31">
        <v>-2.8500000000000001E-3</v>
      </c>
      <c r="F1500" s="30">
        <v>301300000</v>
      </c>
      <c r="G1500" s="30" t="s">
        <v>5427</v>
      </c>
      <c r="H1500" s="30">
        <v>2021</v>
      </c>
      <c r="I1500" s="30">
        <v>1154731</v>
      </c>
      <c r="J1500" s="30" t="s">
        <v>5435</v>
      </c>
      <c r="K1500" s="30" t="s">
        <v>5482</v>
      </c>
    </row>
    <row r="1501" spans="1:11" x14ac:dyDescent="0.35">
      <c r="A1501" s="30" t="s">
        <v>12038</v>
      </c>
      <c r="B1501" s="30" t="s">
        <v>12039</v>
      </c>
      <c r="C1501" s="32">
        <v>10.14</v>
      </c>
      <c r="D1501" s="30">
        <v>0</v>
      </c>
      <c r="E1501" s="31">
        <v>0</v>
      </c>
      <c r="F1501" s="30">
        <v>118009320</v>
      </c>
      <c r="G1501" s="30" t="s">
        <v>5427</v>
      </c>
      <c r="H1501" s="30">
        <v>2022</v>
      </c>
      <c r="I1501" s="30">
        <v>12</v>
      </c>
      <c r="J1501" s="30" t="s">
        <v>5682</v>
      </c>
      <c r="K1501" s="30" t="s">
        <v>6734</v>
      </c>
    </row>
    <row r="1502" spans="1:11" x14ac:dyDescent="0.35">
      <c r="A1502" s="30" t="s">
        <v>12040</v>
      </c>
      <c r="B1502" s="30" t="s">
        <v>12041</v>
      </c>
      <c r="C1502" s="32">
        <v>10.25</v>
      </c>
      <c r="D1502" s="30">
        <v>0</v>
      </c>
      <c r="E1502" s="31">
        <v>0</v>
      </c>
      <c r="F1502" s="30">
        <v>77464375</v>
      </c>
      <c r="G1502" s="30" t="s">
        <v>5427</v>
      </c>
      <c r="H1502" s="30">
        <v>2021</v>
      </c>
      <c r="I1502" s="30">
        <v>5</v>
      </c>
      <c r="J1502" s="30" t="s">
        <v>5457</v>
      </c>
      <c r="K1502" s="30" t="s">
        <v>5571</v>
      </c>
    </row>
    <row r="1503" spans="1:11" x14ac:dyDescent="0.35">
      <c r="A1503" s="30" t="s">
        <v>12042</v>
      </c>
      <c r="B1503" s="30" t="s">
        <v>12043</v>
      </c>
      <c r="C1503" s="32">
        <v>10.164099999999999</v>
      </c>
      <c r="D1503" s="30">
        <v>-2.2499999999999999E-2</v>
      </c>
      <c r="E1503" s="31">
        <v>-2.2100000000000002E-3</v>
      </c>
      <c r="F1503" s="30">
        <v>91740150</v>
      </c>
      <c r="G1503" s="30" t="s">
        <v>5427</v>
      </c>
      <c r="H1503" s="30">
        <v>2021</v>
      </c>
      <c r="I1503" s="30">
        <v>189</v>
      </c>
      <c r="J1503" s="30" t="s">
        <v>5682</v>
      </c>
      <c r="K1503" s="30" t="s">
        <v>6734</v>
      </c>
    </row>
    <row r="1504" spans="1:11" x14ac:dyDescent="0.35">
      <c r="A1504" s="30" t="s">
        <v>12044</v>
      </c>
      <c r="B1504" s="30" t="s">
        <v>12045</v>
      </c>
      <c r="C1504" s="32">
        <v>10.8</v>
      </c>
      <c r="D1504" s="30">
        <v>-0.22</v>
      </c>
      <c r="E1504" s="31">
        <v>-1.9959999999999999E-2</v>
      </c>
      <c r="F1504" s="30">
        <v>370425312</v>
      </c>
      <c r="G1504" s="30" t="s">
        <v>5427</v>
      </c>
      <c r="H1504" s="30"/>
      <c r="I1504" s="30">
        <v>89371</v>
      </c>
      <c r="J1504" s="30" t="s">
        <v>5435</v>
      </c>
      <c r="K1504" s="30" t="s">
        <v>5579</v>
      </c>
    </row>
    <row r="1505" spans="1:11" x14ac:dyDescent="0.35">
      <c r="A1505" s="30" t="s">
        <v>12046</v>
      </c>
      <c r="B1505" s="30" t="s">
        <v>12047</v>
      </c>
      <c r="C1505" s="32">
        <v>20.309999999999999</v>
      </c>
      <c r="D1505" s="30">
        <v>0.09</v>
      </c>
      <c r="E1505" s="31">
        <v>4.45E-3</v>
      </c>
      <c r="F1505" s="30">
        <v>511196790</v>
      </c>
      <c r="G1505" s="30" t="s">
        <v>5427</v>
      </c>
      <c r="H1505" s="30">
        <v>2019</v>
      </c>
      <c r="I1505" s="30">
        <v>32737</v>
      </c>
      <c r="J1505" s="30" t="s">
        <v>5435</v>
      </c>
      <c r="K1505" s="30" t="s">
        <v>5579</v>
      </c>
    </row>
    <row r="1506" spans="1:11" x14ac:dyDescent="0.35">
      <c r="A1506" s="30" t="s">
        <v>5066</v>
      </c>
      <c r="B1506" s="30" t="s">
        <v>12048</v>
      </c>
      <c r="C1506" s="32">
        <v>29.55</v>
      </c>
      <c r="D1506" s="30">
        <v>0.79</v>
      </c>
      <c r="E1506" s="31">
        <v>2.7470000000000001E-2</v>
      </c>
      <c r="F1506" s="30">
        <v>526119281</v>
      </c>
      <c r="G1506" s="30" t="s">
        <v>5427</v>
      </c>
      <c r="H1506" s="30">
        <v>2015</v>
      </c>
      <c r="I1506" s="30">
        <v>385092</v>
      </c>
      <c r="J1506" s="30" t="s">
        <v>5442</v>
      </c>
      <c r="K1506" s="30" t="s">
        <v>5641</v>
      </c>
    </row>
    <row r="1507" spans="1:11" x14ac:dyDescent="0.35">
      <c r="A1507" s="30" t="s">
        <v>12049</v>
      </c>
      <c r="B1507" s="30" t="s">
        <v>12050</v>
      </c>
      <c r="C1507" s="32">
        <v>81.16</v>
      </c>
      <c r="D1507" s="30">
        <v>3.54</v>
      </c>
      <c r="E1507" s="31">
        <v>4.5609999999999998E-2</v>
      </c>
      <c r="F1507" s="30">
        <v>44638706904</v>
      </c>
      <c r="G1507" s="30" t="s">
        <v>5427</v>
      </c>
      <c r="H1507" s="30">
        <v>1993</v>
      </c>
      <c r="I1507" s="30">
        <v>7164530</v>
      </c>
      <c r="J1507" s="30" t="s">
        <v>5219</v>
      </c>
      <c r="K1507" s="30" t="s">
        <v>5526</v>
      </c>
    </row>
    <row r="1508" spans="1:11" x14ac:dyDescent="0.35">
      <c r="A1508" s="30" t="s">
        <v>12051</v>
      </c>
      <c r="B1508" s="30" t="s">
        <v>12052</v>
      </c>
      <c r="C1508" s="32">
        <v>2.13</v>
      </c>
      <c r="D1508" s="30">
        <v>0.08</v>
      </c>
      <c r="E1508" s="31">
        <v>3.9019999999999999E-2</v>
      </c>
      <c r="F1508" s="30">
        <v>90446309</v>
      </c>
      <c r="G1508" s="30" t="s">
        <v>5427</v>
      </c>
      <c r="H1508" s="30">
        <v>2004</v>
      </c>
      <c r="I1508" s="30">
        <v>242602</v>
      </c>
      <c r="J1508" s="30" t="s">
        <v>5442</v>
      </c>
      <c r="K1508" s="30" t="s">
        <v>5482</v>
      </c>
    </row>
    <row r="1509" spans="1:11" x14ac:dyDescent="0.35">
      <c r="A1509" s="30" t="s">
        <v>12053</v>
      </c>
      <c r="B1509" s="30" t="s">
        <v>12054</v>
      </c>
      <c r="C1509" s="32">
        <v>5.49</v>
      </c>
      <c r="D1509" s="30">
        <v>0.02</v>
      </c>
      <c r="E1509" s="31">
        <v>3.6600000000000001E-3</v>
      </c>
      <c r="F1509" s="30">
        <v>684008658</v>
      </c>
      <c r="G1509" s="30" t="s">
        <v>5427</v>
      </c>
      <c r="H1509" s="30">
        <v>2015</v>
      </c>
      <c r="I1509" s="30">
        <v>897291</v>
      </c>
      <c r="J1509" s="30" t="s">
        <v>5431</v>
      </c>
      <c r="K1509" s="30" t="s">
        <v>5430</v>
      </c>
    </row>
    <row r="1510" spans="1:11" x14ac:dyDescent="0.35">
      <c r="A1510" s="30" t="s">
        <v>12055</v>
      </c>
      <c r="B1510" s="30" t="s">
        <v>12056</v>
      </c>
      <c r="C1510" s="32">
        <v>77.760000000000005</v>
      </c>
      <c r="D1510" s="30">
        <v>1.1399999999999999</v>
      </c>
      <c r="E1510" s="31">
        <v>1.4880000000000001E-2</v>
      </c>
      <c r="F1510" s="30">
        <v>1474457360</v>
      </c>
      <c r="G1510" s="30" t="s">
        <v>5427</v>
      </c>
      <c r="H1510" s="30">
        <v>1993</v>
      </c>
      <c r="I1510" s="30">
        <v>71863</v>
      </c>
      <c r="J1510" s="30" t="s">
        <v>5442</v>
      </c>
      <c r="K1510" s="30" t="s">
        <v>5450</v>
      </c>
    </row>
    <row r="1511" spans="1:11" x14ac:dyDescent="0.35">
      <c r="A1511" s="30" t="s">
        <v>12057</v>
      </c>
      <c r="B1511" s="30" t="s">
        <v>12058</v>
      </c>
      <c r="C1511" s="32">
        <v>228.17</v>
      </c>
      <c r="D1511" s="30">
        <v>13.96</v>
      </c>
      <c r="E1511" s="31">
        <v>6.5170000000000006E-2</v>
      </c>
      <c r="F1511" s="30">
        <v>15808931859</v>
      </c>
      <c r="G1511" s="30" t="s">
        <v>5427</v>
      </c>
      <c r="H1511" s="30">
        <v>2017</v>
      </c>
      <c r="I1511" s="30">
        <v>1747448</v>
      </c>
      <c r="J1511" s="30" t="s">
        <v>5219</v>
      </c>
      <c r="K1511" s="30" t="s">
        <v>5812</v>
      </c>
    </row>
    <row r="1512" spans="1:11" x14ac:dyDescent="0.35">
      <c r="A1512" s="30" t="s">
        <v>12059</v>
      </c>
      <c r="B1512" s="30" t="s">
        <v>12060</v>
      </c>
      <c r="C1512" s="32">
        <v>289.07</v>
      </c>
      <c r="D1512" s="30">
        <v>0.82</v>
      </c>
      <c r="E1512" s="31">
        <v>2.8400000000000001E-3</v>
      </c>
      <c r="F1512" s="30">
        <v>5157672216</v>
      </c>
      <c r="G1512" s="30" t="s">
        <v>5427</v>
      </c>
      <c r="H1512" s="30">
        <v>2007</v>
      </c>
      <c r="I1512" s="30">
        <v>202532</v>
      </c>
      <c r="J1512" s="30" t="s">
        <v>5431</v>
      </c>
      <c r="K1512" s="30" t="s">
        <v>5430</v>
      </c>
    </row>
    <row r="1513" spans="1:11" x14ac:dyDescent="0.35">
      <c r="A1513" s="30" t="s">
        <v>12061</v>
      </c>
      <c r="B1513" s="30" t="s">
        <v>12062</v>
      </c>
      <c r="C1513" s="32">
        <v>66.73</v>
      </c>
      <c r="D1513" s="30">
        <v>1.29</v>
      </c>
      <c r="E1513" s="31">
        <v>1.9709999999999998E-2</v>
      </c>
      <c r="F1513" s="30">
        <v>91127723039</v>
      </c>
      <c r="G1513" s="30" t="s">
        <v>5427</v>
      </c>
      <c r="H1513" s="30"/>
      <c r="I1513" s="30">
        <v>8004511</v>
      </c>
      <c r="J1513" s="30" t="s">
        <v>5541</v>
      </c>
      <c r="K1513" s="30" t="s">
        <v>5859</v>
      </c>
    </row>
    <row r="1514" spans="1:11" x14ac:dyDescent="0.35">
      <c r="A1514" s="30" t="s">
        <v>12063</v>
      </c>
      <c r="B1514" s="30" t="s">
        <v>12064</v>
      </c>
      <c r="C1514" s="32">
        <v>0.74980000000000002</v>
      </c>
      <c r="D1514" s="30">
        <v>1.84E-2</v>
      </c>
      <c r="E1514" s="31">
        <v>2.5159999999999998E-2</v>
      </c>
      <c r="F1514" s="30">
        <v>52214174</v>
      </c>
      <c r="G1514" s="30" t="s">
        <v>5515</v>
      </c>
      <c r="H1514" s="30"/>
      <c r="I1514" s="30">
        <v>93106</v>
      </c>
      <c r="J1514" s="30" t="s">
        <v>5431</v>
      </c>
      <c r="K1514" s="30" t="s">
        <v>8643</v>
      </c>
    </row>
    <row r="1515" spans="1:11" x14ac:dyDescent="0.35">
      <c r="A1515" s="30" t="s">
        <v>12065</v>
      </c>
      <c r="B1515" s="30" t="s">
        <v>12066</v>
      </c>
      <c r="C1515" s="32">
        <v>17.34</v>
      </c>
      <c r="D1515" s="30">
        <v>-0.56999999999999995</v>
      </c>
      <c r="E1515" s="31">
        <v>-3.1829999999999997E-2</v>
      </c>
      <c r="F1515" s="30">
        <v>1894564516</v>
      </c>
      <c r="G1515" s="30" t="s">
        <v>5427</v>
      </c>
      <c r="H1515" s="30"/>
      <c r="I1515" s="30">
        <v>1045537</v>
      </c>
      <c r="J1515" s="30" t="s">
        <v>5219</v>
      </c>
      <c r="K1515" s="30" t="s">
        <v>5447</v>
      </c>
    </row>
    <row r="1516" spans="1:11" x14ac:dyDescent="0.35">
      <c r="A1516" s="30" t="s">
        <v>12067</v>
      </c>
      <c r="B1516" s="30" t="s">
        <v>12068</v>
      </c>
      <c r="C1516" s="32">
        <v>16.559999999999999</v>
      </c>
      <c r="D1516" s="30">
        <v>0.33</v>
      </c>
      <c r="E1516" s="31">
        <v>2.0330000000000001E-2</v>
      </c>
      <c r="F1516" s="30">
        <v>61735283</v>
      </c>
      <c r="G1516" s="30" t="s">
        <v>5427</v>
      </c>
      <c r="H1516" s="30"/>
      <c r="I1516" s="30">
        <v>6027</v>
      </c>
      <c r="J1516" s="30" t="s">
        <v>5435</v>
      </c>
      <c r="K1516" s="30" t="s">
        <v>6352</v>
      </c>
    </row>
    <row r="1517" spans="1:11" x14ac:dyDescent="0.35">
      <c r="A1517" s="30" t="s">
        <v>12069</v>
      </c>
      <c r="B1517" s="30" t="s">
        <v>12070</v>
      </c>
      <c r="C1517" s="32">
        <v>3.87</v>
      </c>
      <c r="D1517" s="30">
        <v>0</v>
      </c>
      <c r="E1517" s="31">
        <v>0</v>
      </c>
      <c r="F1517" s="30">
        <v>439895853</v>
      </c>
      <c r="G1517" s="30" t="s">
        <v>5427</v>
      </c>
      <c r="H1517" s="30"/>
      <c r="I1517" s="30">
        <v>669475</v>
      </c>
      <c r="J1517" s="30" t="s">
        <v>5431</v>
      </c>
      <c r="K1517" s="30" t="s">
        <v>5430</v>
      </c>
    </row>
    <row r="1518" spans="1:11" x14ac:dyDescent="0.35">
      <c r="A1518" s="30" t="s">
        <v>12071</v>
      </c>
      <c r="B1518" s="30" t="s">
        <v>12072</v>
      </c>
      <c r="C1518" s="32">
        <v>6.67</v>
      </c>
      <c r="D1518" s="30">
        <v>0</v>
      </c>
      <c r="E1518" s="31">
        <v>0</v>
      </c>
      <c r="F1518" s="30">
        <v>108641580</v>
      </c>
      <c r="G1518" s="30" t="s">
        <v>8520</v>
      </c>
      <c r="H1518" s="30">
        <v>2021</v>
      </c>
      <c r="I1518" s="30">
        <v>2345</v>
      </c>
      <c r="J1518" s="30"/>
      <c r="K1518" s="30"/>
    </row>
    <row r="1519" spans="1:11" x14ac:dyDescent="0.35">
      <c r="A1519" s="30" t="s">
        <v>12073</v>
      </c>
      <c r="B1519" s="30" t="s">
        <v>12074</v>
      </c>
      <c r="C1519" s="32">
        <v>2.56</v>
      </c>
      <c r="D1519" s="30">
        <v>0.06</v>
      </c>
      <c r="E1519" s="31">
        <v>2.4E-2</v>
      </c>
      <c r="F1519" s="30">
        <v>1166041042</v>
      </c>
      <c r="G1519" s="30" t="s">
        <v>5427</v>
      </c>
      <c r="H1519" s="30"/>
      <c r="I1519" s="30">
        <v>1840087</v>
      </c>
      <c r="J1519" s="30" t="s">
        <v>5431</v>
      </c>
      <c r="K1519" s="30" t="s">
        <v>5232</v>
      </c>
    </row>
    <row r="1520" spans="1:11" x14ac:dyDescent="0.35">
      <c r="A1520" s="30" t="s">
        <v>12075</v>
      </c>
      <c r="B1520" s="30" t="s">
        <v>12076</v>
      </c>
      <c r="C1520" s="32">
        <v>227.57</v>
      </c>
      <c r="D1520" s="30">
        <v>6.5</v>
      </c>
      <c r="E1520" s="31">
        <v>2.9399999999999999E-2</v>
      </c>
      <c r="F1520" s="30">
        <v>7077403560</v>
      </c>
      <c r="G1520" s="30" t="s">
        <v>5427</v>
      </c>
      <c r="H1520" s="30">
        <v>2016</v>
      </c>
      <c r="I1520" s="30">
        <v>227161</v>
      </c>
      <c r="J1520" s="30" t="s">
        <v>5431</v>
      </c>
      <c r="K1520" s="30" t="s">
        <v>9124</v>
      </c>
    </row>
    <row r="1521" spans="1:11" x14ac:dyDescent="0.35">
      <c r="A1521" s="30" t="s">
        <v>12077</v>
      </c>
      <c r="B1521" s="30" t="s">
        <v>12078</v>
      </c>
      <c r="C1521" s="32">
        <v>2.66</v>
      </c>
      <c r="D1521" s="30">
        <v>0.09</v>
      </c>
      <c r="E1521" s="31">
        <v>3.5020000000000003E-2</v>
      </c>
      <c r="F1521" s="30">
        <v>53200000</v>
      </c>
      <c r="G1521" s="30" t="s">
        <v>6387</v>
      </c>
      <c r="H1521" s="30">
        <v>2022</v>
      </c>
      <c r="I1521" s="30">
        <v>1094399</v>
      </c>
      <c r="J1521" s="30" t="s">
        <v>5435</v>
      </c>
      <c r="K1521" s="30" t="s">
        <v>5598</v>
      </c>
    </row>
    <row r="1522" spans="1:11" x14ac:dyDescent="0.35">
      <c r="A1522" s="30" t="s">
        <v>12079</v>
      </c>
      <c r="B1522" s="30" t="s">
        <v>12080</v>
      </c>
      <c r="C1522" s="32">
        <v>10.11</v>
      </c>
      <c r="D1522" s="30">
        <v>0</v>
      </c>
      <c r="E1522" s="31">
        <v>0</v>
      </c>
      <c r="F1522" s="30">
        <v>300519750</v>
      </c>
      <c r="G1522" s="30" t="s">
        <v>5427</v>
      </c>
      <c r="H1522" s="30">
        <v>2021</v>
      </c>
      <c r="I1522" s="30">
        <v>425</v>
      </c>
      <c r="J1522" s="30" t="s">
        <v>5435</v>
      </c>
      <c r="K1522" s="30" t="s">
        <v>5482</v>
      </c>
    </row>
    <row r="1523" spans="1:11" x14ac:dyDescent="0.35">
      <c r="A1523" s="30" t="s">
        <v>12081</v>
      </c>
      <c r="B1523" s="30" t="s">
        <v>12082</v>
      </c>
      <c r="C1523" s="32">
        <v>10.65</v>
      </c>
      <c r="D1523" s="30">
        <v>0</v>
      </c>
      <c r="E1523" s="31">
        <v>0</v>
      </c>
      <c r="F1523" s="30">
        <v>170087156</v>
      </c>
      <c r="G1523" s="30" t="s">
        <v>5427</v>
      </c>
      <c r="H1523" s="30">
        <v>2021</v>
      </c>
      <c r="I1523" s="30">
        <v>2</v>
      </c>
      <c r="J1523" s="30" t="s">
        <v>5457</v>
      </c>
      <c r="K1523" s="30" t="s">
        <v>5571</v>
      </c>
    </row>
    <row r="1524" spans="1:11" x14ac:dyDescent="0.35">
      <c r="A1524" s="30" t="s">
        <v>12083</v>
      </c>
      <c r="B1524" s="30" t="s">
        <v>12084</v>
      </c>
      <c r="C1524" s="32">
        <v>48.99</v>
      </c>
      <c r="D1524" s="30">
        <v>1.66</v>
      </c>
      <c r="E1524" s="31">
        <v>3.5069999999999997E-2</v>
      </c>
      <c r="F1524" s="30">
        <v>3428008624</v>
      </c>
      <c r="G1524" s="30" t="s">
        <v>5515</v>
      </c>
      <c r="H1524" s="30"/>
      <c r="I1524" s="30">
        <v>581157</v>
      </c>
      <c r="J1524" s="30"/>
      <c r="K1524" s="30"/>
    </row>
    <row r="1525" spans="1:11" x14ac:dyDescent="0.35">
      <c r="A1525" s="30" t="s">
        <v>12085</v>
      </c>
      <c r="B1525" s="30" t="s">
        <v>12086</v>
      </c>
      <c r="C1525" s="32">
        <v>12.83</v>
      </c>
      <c r="D1525" s="30">
        <v>0.1</v>
      </c>
      <c r="E1525" s="31">
        <v>7.8600000000000007E-3</v>
      </c>
      <c r="F1525" s="30">
        <v>848925061</v>
      </c>
      <c r="G1525" s="30" t="s">
        <v>5515</v>
      </c>
      <c r="H1525" s="30"/>
      <c r="I1525" s="30">
        <v>382473</v>
      </c>
      <c r="J1525" s="30" t="s">
        <v>6250</v>
      </c>
      <c r="K1525" s="30" t="s">
        <v>6167</v>
      </c>
    </row>
    <row r="1526" spans="1:11" x14ac:dyDescent="0.35">
      <c r="A1526" s="30" t="s">
        <v>12087</v>
      </c>
      <c r="B1526" s="30" t="s">
        <v>12088</v>
      </c>
      <c r="C1526" s="32">
        <v>3.02</v>
      </c>
      <c r="D1526" s="30">
        <v>7.0000000000000007E-2</v>
      </c>
      <c r="E1526" s="31">
        <v>2.3730000000000001E-2</v>
      </c>
      <c r="F1526" s="30">
        <v>122070245</v>
      </c>
      <c r="G1526" s="30" t="s">
        <v>5427</v>
      </c>
      <c r="H1526" s="30">
        <v>2018</v>
      </c>
      <c r="I1526" s="30">
        <v>453183</v>
      </c>
      <c r="J1526" s="30" t="s">
        <v>5442</v>
      </c>
      <c r="K1526" s="30" t="s">
        <v>5749</v>
      </c>
    </row>
    <row r="1527" spans="1:11" x14ac:dyDescent="0.35">
      <c r="A1527" s="30" t="s">
        <v>12089</v>
      </c>
      <c r="B1527" s="30" t="s">
        <v>12090</v>
      </c>
      <c r="C1527" s="32">
        <v>3.59</v>
      </c>
      <c r="D1527" s="30">
        <v>0.28999999999999998</v>
      </c>
      <c r="E1527" s="31">
        <v>8.788E-2</v>
      </c>
      <c r="F1527" s="30">
        <v>528863230</v>
      </c>
      <c r="G1527" s="30" t="s">
        <v>6338</v>
      </c>
      <c r="H1527" s="30">
        <v>2015</v>
      </c>
      <c r="I1527" s="30">
        <v>588151</v>
      </c>
      <c r="J1527" s="30" t="s">
        <v>5431</v>
      </c>
      <c r="K1527" s="30" t="s">
        <v>6409</v>
      </c>
    </row>
    <row r="1528" spans="1:11" x14ac:dyDescent="0.35">
      <c r="A1528" s="30" t="s">
        <v>12091</v>
      </c>
      <c r="B1528" s="30" t="s">
        <v>12092</v>
      </c>
      <c r="C1528" s="32">
        <v>153.12</v>
      </c>
      <c r="D1528" s="30">
        <v>4.1500000000000004</v>
      </c>
      <c r="E1528" s="31">
        <v>2.7859999999999999E-2</v>
      </c>
      <c r="F1528" s="30">
        <v>345334681391</v>
      </c>
      <c r="G1528" s="30" t="s">
        <v>5427</v>
      </c>
      <c r="H1528" s="30">
        <v>2012</v>
      </c>
      <c r="I1528" s="30">
        <v>53809591</v>
      </c>
      <c r="J1528" s="30" t="s">
        <v>5219</v>
      </c>
      <c r="K1528" s="30" t="s">
        <v>5453</v>
      </c>
    </row>
    <row r="1529" spans="1:11" x14ac:dyDescent="0.35">
      <c r="A1529" s="30" t="s">
        <v>12093</v>
      </c>
      <c r="B1529" s="30" t="s">
        <v>12094</v>
      </c>
      <c r="C1529" s="32">
        <v>10.51</v>
      </c>
      <c r="D1529" s="30">
        <v>0.08</v>
      </c>
      <c r="E1529" s="31">
        <v>7.6699999999999997E-3</v>
      </c>
      <c r="F1529" s="30">
        <v>463719088</v>
      </c>
      <c r="G1529" s="30" t="s">
        <v>5427</v>
      </c>
      <c r="H1529" s="30">
        <v>2017</v>
      </c>
      <c r="I1529" s="30">
        <v>287312</v>
      </c>
      <c r="J1529" s="30" t="s">
        <v>5464</v>
      </c>
      <c r="K1529" s="30" t="s">
        <v>6756</v>
      </c>
    </row>
    <row r="1530" spans="1:11" x14ac:dyDescent="0.35">
      <c r="A1530" s="30" t="s">
        <v>12095</v>
      </c>
      <c r="B1530" s="30" t="s">
        <v>12096</v>
      </c>
      <c r="C1530" s="32">
        <v>12.58</v>
      </c>
      <c r="D1530" s="30">
        <v>0.16</v>
      </c>
      <c r="E1530" s="31">
        <v>1.2880000000000001E-2</v>
      </c>
      <c r="F1530" s="30">
        <v>823378096</v>
      </c>
      <c r="G1530" s="30" t="s">
        <v>5427</v>
      </c>
      <c r="H1530" s="30">
        <v>2004</v>
      </c>
      <c r="I1530" s="30">
        <v>164496</v>
      </c>
      <c r="J1530" s="30" t="s">
        <v>5435</v>
      </c>
      <c r="K1530" s="30" t="s">
        <v>5985</v>
      </c>
    </row>
    <row r="1531" spans="1:11" x14ac:dyDescent="0.35">
      <c r="A1531" s="30" t="s">
        <v>12097</v>
      </c>
      <c r="B1531" s="30" t="s">
        <v>12098</v>
      </c>
      <c r="C1531" s="32">
        <v>9.16</v>
      </c>
      <c r="D1531" s="30">
        <v>0.62</v>
      </c>
      <c r="E1531" s="31">
        <v>7.2599999999999998E-2</v>
      </c>
      <c r="F1531" s="30">
        <v>210019005</v>
      </c>
      <c r="G1531" s="30" t="s">
        <v>5427</v>
      </c>
      <c r="H1531" s="30"/>
      <c r="I1531" s="30">
        <v>90165</v>
      </c>
      <c r="J1531" s="30" t="s">
        <v>5435</v>
      </c>
      <c r="K1531" s="30" t="s">
        <v>6009</v>
      </c>
    </row>
    <row r="1532" spans="1:11" x14ac:dyDescent="0.35">
      <c r="A1532" s="30" t="s">
        <v>12099</v>
      </c>
      <c r="B1532" s="30" t="s">
        <v>12100</v>
      </c>
      <c r="C1532" s="32">
        <v>3.74</v>
      </c>
      <c r="D1532" s="30">
        <v>1.1599999999999999</v>
      </c>
      <c r="E1532" s="31">
        <v>0.44961000000000001</v>
      </c>
      <c r="F1532" s="30">
        <v>76376758</v>
      </c>
      <c r="G1532" s="30" t="s">
        <v>5427</v>
      </c>
      <c r="H1532" s="30">
        <v>2022</v>
      </c>
      <c r="I1532" s="30">
        <v>70848427</v>
      </c>
      <c r="J1532" s="30" t="s">
        <v>5219</v>
      </c>
      <c r="K1532" s="30" t="s">
        <v>5447</v>
      </c>
    </row>
    <row r="1533" spans="1:11" x14ac:dyDescent="0.35">
      <c r="A1533" s="30" t="s">
        <v>12101</v>
      </c>
      <c r="B1533" s="30" t="s">
        <v>12102</v>
      </c>
      <c r="C1533" s="32">
        <v>74.040000000000006</v>
      </c>
      <c r="D1533" s="30">
        <v>0.93</v>
      </c>
      <c r="E1533" s="31">
        <v>1.272E-2</v>
      </c>
      <c r="F1533" s="30">
        <v>2677535915</v>
      </c>
      <c r="G1533" s="30" t="s">
        <v>5427</v>
      </c>
      <c r="H1533" s="30"/>
      <c r="I1533" s="30">
        <v>120959</v>
      </c>
      <c r="J1533" s="30" t="s">
        <v>5426</v>
      </c>
      <c r="K1533" s="30" t="s">
        <v>5593</v>
      </c>
    </row>
    <row r="1534" spans="1:11" x14ac:dyDescent="0.35">
      <c r="A1534" s="30" t="s">
        <v>12103</v>
      </c>
      <c r="B1534" s="30" t="s">
        <v>12104</v>
      </c>
      <c r="C1534" s="32">
        <v>10.78</v>
      </c>
      <c r="D1534" s="30">
        <v>0.01</v>
      </c>
      <c r="E1534" s="31">
        <v>9.3000000000000005E-4</v>
      </c>
      <c r="F1534" s="30">
        <v>1040755542</v>
      </c>
      <c r="G1534" s="30" t="s">
        <v>5427</v>
      </c>
      <c r="H1534" s="30"/>
      <c r="I1534" s="30">
        <v>1087985</v>
      </c>
      <c r="J1534" s="30" t="s">
        <v>5442</v>
      </c>
      <c r="K1534" s="30" t="s">
        <v>5482</v>
      </c>
    </row>
    <row r="1535" spans="1:11" x14ac:dyDescent="0.35">
      <c r="A1535" s="30" t="s">
        <v>12105</v>
      </c>
      <c r="B1535" s="30" t="s">
        <v>12106</v>
      </c>
      <c r="C1535" s="32">
        <v>12.14</v>
      </c>
      <c r="D1535" s="30">
        <v>0.06</v>
      </c>
      <c r="E1535" s="31">
        <v>4.9699999999999996E-3</v>
      </c>
      <c r="F1535" s="30">
        <v>1619290464</v>
      </c>
      <c r="G1535" s="30" t="s">
        <v>5427</v>
      </c>
      <c r="H1535" s="30"/>
      <c r="I1535" s="30">
        <v>1734966</v>
      </c>
      <c r="J1535" s="30" t="s">
        <v>5442</v>
      </c>
      <c r="K1535" s="30" t="s">
        <v>5856</v>
      </c>
    </row>
    <row r="1536" spans="1:11" x14ac:dyDescent="0.35">
      <c r="A1536" s="30" t="s">
        <v>12107</v>
      </c>
      <c r="B1536" s="30" t="s">
        <v>12108</v>
      </c>
      <c r="C1536" s="32">
        <v>5.95</v>
      </c>
      <c r="D1536" s="30">
        <v>0.18</v>
      </c>
      <c r="E1536" s="31">
        <v>3.1199999999999999E-2</v>
      </c>
      <c r="F1536" s="30">
        <v>365777565</v>
      </c>
      <c r="G1536" s="30" t="s">
        <v>5427</v>
      </c>
      <c r="H1536" s="30">
        <v>2013</v>
      </c>
      <c r="I1536" s="30">
        <v>364144</v>
      </c>
      <c r="J1536" s="30" t="s">
        <v>5431</v>
      </c>
      <c r="K1536" s="30" t="s">
        <v>5430</v>
      </c>
    </row>
    <row r="1537" spans="1:11" x14ac:dyDescent="0.35">
      <c r="A1537" s="30" t="s">
        <v>12109</v>
      </c>
      <c r="B1537" s="30" t="s">
        <v>12110</v>
      </c>
      <c r="C1537" s="32">
        <v>97.87</v>
      </c>
      <c r="D1537" s="30">
        <v>0.33</v>
      </c>
      <c r="E1537" s="31">
        <v>3.3800000000000002E-3</v>
      </c>
      <c r="F1537" s="30">
        <v>2152556303</v>
      </c>
      <c r="G1537" s="30" t="s">
        <v>5427</v>
      </c>
      <c r="H1537" s="30"/>
      <c r="I1537" s="30">
        <v>119130</v>
      </c>
      <c r="J1537" s="30" t="s">
        <v>5541</v>
      </c>
      <c r="K1537" s="30" t="s">
        <v>5997</v>
      </c>
    </row>
    <row r="1538" spans="1:11" x14ac:dyDescent="0.35">
      <c r="A1538" s="30" t="s">
        <v>12111</v>
      </c>
      <c r="B1538" s="30" t="s">
        <v>12112</v>
      </c>
      <c r="C1538" s="32">
        <v>98.42</v>
      </c>
      <c r="D1538" s="30">
        <v>-1.1200000000000001</v>
      </c>
      <c r="E1538" s="31">
        <v>-1.125E-2</v>
      </c>
      <c r="F1538" s="30">
        <v>2399720237</v>
      </c>
      <c r="G1538" s="30" t="s">
        <v>5427</v>
      </c>
      <c r="H1538" s="30">
        <v>1984</v>
      </c>
      <c r="I1538" s="30">
        <v>98779</v>
      </c>
      <c r="J1538" s="30" t="s">
        <v>5442</v>
      </c>
      <c r="K1538" s="30" t="s">
        <v>5746</v>
      </c>
    </row>
    <row r="1539" spans="1:11" x14ac:dyDescent="0.35">
      <c r="A1539" s="30" t="s">
        <v>12113</v>
      </c>
      <c r="B1539" s="30" t="s">
        <v>12114</v>
      </c>
      <c r="C1539" s="32">
        <v>8.3800000000000008</v>
      </c>
      <c r="D1539" s="30">
        <v>0.02</v>
      </c>
      <c r="E1539" s="31">
        <v>2.3900000000000002E-3</v>
      </c>
      <c r="F1539" s="30">
        <v>406239011</v>
      </c>
      <c r="G1539" s="30" t="s">
        <v>5427</v>
      </c>
      <c r="H1539" s="30">
        <v>2018</v>
      </c>
      <c r="I1539" s="30">
        <v>185830</v>
      </c>
      <c r="J1539" s="30" t="s">
        <v>5431</v>
      </c>
      <c r="K1539" s="30" t="s">
        <v>6409</v>
      </c>
    </row>
    <row r="1540" spans="1:11" x14ac:dyDescent="0.35">
      <c r="A1540" s="30" t="s">
        <v>12115</v>
      </c>
      <c r="B1540" s="30" t="s">
        <v>12116</v>
      </c>
      <c r="C1540" s="32">
        <v>12.87</v>
      </c>
      <c r="D1540" s="30">
        <v>0</v>
      </c>
      <c r="E1540" s="31">
        <v>0</v>
      </c>
      <c r="F1540" s="30">
        <v>88794429</v>
      </c>
      <c r="G1540" s="30" t="s">
        <v>5427</v>
      </c>
      <c r="H1540" s="30">
        <v>2006</v>
      </c>
      <c r="I1540" s="30">
        <v>2911</v>
      </c>
      <c r="J1540" s="30" t="s">
        <v>5435</v>
      </c>
      <c r="K1540" s="30" t="s">
        <v>5579</v>
      </c>
    </row>
    <row r="1541" spans="1:11" x14ac:dyDescent="0.35">
      <c r="A1541" s="30" t="s">
        <v>12117</v>
      </c>
      <c r="B1541" s="30" t="s">
        <v>12118</v>
      </c>
      <c r="C1541" s="32">
        <v>1.0900000000000001</v>
      </c>
      <c r="D1541" s="30">
        <v>-0.01</v>
      </c>
      <c r="E1541" s="31">
        <v>-9.0900000000000009E-3</v>
      </c>
      <c r="F1541" s="30">
        <v>171620371</v>
      </c>
      <c r="G1541" s="30" t="s">
        <v>5427</v>
      </c>
      <c r="H1541" s="30"/>
      <c r="I1541" s="30">
        <v>246117</v>
      </c>
      <c r="J1541" s="30" t="s">
        <v>5219</v>
      </c>
      <c r="K1541" s="30" t="s">
        <v>11500</v>
      </c>
    </row>
    <row r="1542" spans="1:11" x14ac:dyDescent="0.35">
      <c r="A1542" s="30" t="s">
        <v>12119</v>
      </c>
      <c r="B1542" s="30" t="s">
        <v>12120</v>
      </c>
      <c r="C1542" s="32">
        <v>157.87</v>
      </c>
      <c r="D1542" s="30">
        <v>2.42</v>
      </c>
      <c r="E1542" s="31">
        <v>1.5570000000000001E-2</v>
      </c>
      <c r="F1542" s="30">
        <v>8506591618</v>
      </c>
      <c r="G1542" s="30" t="s">
        <v>5427</v>
      </c>
      <c r="H1542" s="30"/>
      <c r="I1542" s="30">
        <v>574994</v>
      </c>
      <c r="J1542" s="30" t="s">
        <v>5457</v>
      </c>
      <c r="K1542" s="30" t="s">
        <v>6023</v>
      </c>
    </row>
    <row r="1543" spans="1:11" x14ac:dyDescent="0.35">
      <c r="A1543" s="30" t="s">
        <v>12121</v>
      </c>
      <c r="B1543" s="30" t="s">
        <v>12122</v>
      </c>
      <c r="C1543" s="32">
        <v>23.88</v>
      </c>
      <c r="D1543" s="30">
        <v>0.4</v>
      </c>
      <c r="E1543" s="31">
        <v>1.704E-2</v>
      </c>
      <c r="F1543" s="30">
        <v>880464674</v>
      </c>
      <c r="G1543" s="30" t="s">
        <v>5427</v>
      </c>
      <c r="H1543" s="30">
        <v>2019</v>
      </c>
      <c r="I1543" s="30">
        <v>220259</v>
      </c>
      <c r="J1543" s="30" t="s">
        <v>5431</v>
      </c>
      <c r="K1543" s="30" t="s">
        <v>5430</v>
      </c>
    </row>
    <row r="1544" spans="1:11" x14ac:dyDescent="0.35">
      <c r="A1544" s="30" t="s">
        <v>12123</v>
      </c>
      <c r="B1544" s="30" t="s">
        <v>12124</v>
      </c>
      <c r="C1544" s="32">
        <v>3.13</v>
      </c>
      <c r="D1544" s="30">
        <v>-0.36</v>
      </c>
      <c r="E1544" s="31">
        <v>-0.10315000000000001</v>
      </c>
      <c r="F1544" s="30">
        <v>65430443</v>
      </c>
      <c r="G1544" s="30" t="s">
        <v>5427</v>
      </c>
      <c r="H1544" s="30">
        <v>2021</v>
      </c>
      <c r="I1544" s="30">
        <v>50034</v>
      </c>
      <c r="J1544" s="30" t="s">
        <v>5431</v>
      </c>
      <c r="K1544" s="30" t="s">
        <v>6409</v>
      </c>
    </row>
    <row r="1545" spans="1:11" x14ac:dyDescent="0.35">
      <c r="A1545" s="30" t="s">
        <v>12125</v>
      </c>
      <c r="B1545" s="30" t="s">
        <v>12126</v>
      </c>
      <c r="C1545" s="32">
        <v>4.0199999999999996</v>
      </c>
      <c r="D1545" s="30">
        <v>0.36</v>
      </c>
      <c r="E1545" s="31">
        <v>9.8360000000000003E-2</v>
      </c>
      <c r="F1545" s="30">
        <v>137829728</v>
      </c>
      <c r="G1545" s="30" t="s">
        <v>5515</v>
      </c>
      <c r="H1545" s="30">
        <v>2019</v>
      </c>
      <c r="I1545" s="30">
        <v>291433</v>
      </c>
      <c r="J1545" s="30" t="s">
        <v>5431</v>
      </c>
      <c r="K1545" s="30" t="s">
        <v>8643</v>
      </c>
    </row>
    <row r="1546" spans="1:11" x14ac:dyDescent="0.35">
      <c r="A1546" s="30" t="s">
        <v>12127</v>
      </c>
      <c r="B1546" s="30" t="s">
        <v>12128</v>
      </c>
      <c r="C1546" s="32">
        <v>10.119999999999999</v>
      </c>
      <c r="D1546" s="30">
        <v>0.01</v>
      </c>
      <c r="E1546" s="31">
        <v>9.8999999999999999E-4</v>
      </c>
      <c r="F1546" s="30">
        <v>189750000</v>
      </c>
      <c r="G1546" s="30" t="s">
        <v>5427</v>
      </c>
      <c r="H1546" s="30">
        <v>2021</v>
      </c>
      <c r="I1546" s="30">
        <v>5020</v>
      </c>
      <c r="J1546" s="30" t="s">
        <v>5435</v>
      </c>
      <c r="K1546" s="30" t="s">
        <v>5482</v>
      </c>
    </row>
    <row r="1547" spans="1:11" x14ac:dyDescent="0.35">
      <c r="A1547" s="30" t="s">
        <v>12129</v>
      </c>
      <c r="B1547" s="30" t="s">
        <v>12130</v>
      </c>
      <c r="C1547" s="32">
        <v>10.26</v>
      </c>
      <c r="D1547" s="30">
        <v>0.4</v>
      </c>
      <c r="E1547" s="31">
        <v>4.0570000000000002E-2</v>
      </c>
      <c r="F1547" s="30">
        <v>458421202</v>
      </c>
      <c r="G1547" s="30" t="s">
        <v>5427</v>
      </c>
      <c r="H1547" s="30"/>
      <c r="I1547" s="30">
        <v>348217</v>
      </c>
      <c r="J1547" s="30" t="s">
        <v>5219</v>
      </c>
      <c r="K1547" s="30" t="s">
        <v>5560</v>
      </c>
    </row>
    <row r="1548" spans="1:11" x14ac:dyDescent="0.35">
      <c r="A1548" s="30" t="s">
        <v>12131</v>
      </c>
      <c r="B1548" s="30" t="s">
        <v>12132</v>
      </c>
      <c r="C1548" s="32">
        <v>109.07</v>
      </c>
      <c r="D1548" s="30">
        <v>6.75</v>
      </c>
      <c r="E1548" s="31">
        <v>6.5970000000000001E-2</v>
      </c>
      <c r="F1548" s="30">
        <v>7253893404</v>
      </c>
      <c r="G1548" s="30" t="s">
        <v>5427</v>
      </c>
      <c r="H1548" s="30">
        <v>1999</v>
      </c>
      <c r="I1548" s="30">
        <v>832252</v>
      </c>
      <c r="J1548" s="30" t="s">
        <v>5457</v>
      </c>
      <c r="K1548" s="30" t="s">
        <v>5644</v>
      </c>
    </row>
    <row r="1549" spans="1:11" x14ac:dyDescent="0.35">
      <c r="A1549" s="30" t="s">
        <v>12133</v>
      </c>
      <c r="B1549" s="30" t="s">
        <v>12134</v>
      </c>
      <c r="C1549" s="32">
        <v>2.42</v>
      </c>
      <c r="D1549" s="30">
        <v>0.2</v>
      </c>
      <c r="E1549" s="31">
        <v>9.0090000000000003E-2</v>
      </c>
      <c r="F1549" s="30">
        <v>81973875</v>
      </c>
      <c r="G1549" s="30" t="s">
        <v>5427</v>
      </c>
      <c r="H1549" s="30"/>
      <c r="I1549" s="30">
        <v>135877</v>
      </c>
      <c r="J1549" s="30" t="s">
        <v>5219</v>
      </c>
      <c r="K1549" s="30" t="s">
        <v>5560</v>
      </c>
    </row>
    <row r="1550" spans="1:11" x14ac:dyDescent="0.35">
      <c r="A1550" s="30" t="s">
        <v>12135</v>
      </c>
      <c r="B1550" s="30" t="s">
        <v>12136</v>
      </c>
      <c r="C1550" s="32">
        <v>377</v>
      </c>
      <c r="D1550" s="30">
        <v>13.15</v>
      </c>
      <c r="E1550" s="31">
        <v>3.6139999999999999E-2</v>
      </c>
      <c r="F1550" s="30">
        <v>14189082271</v>
      </c>
      <c r="G1550" s="30" t="s">
        <v>5427</v>
      </c>
      <c r="H1550" s="30">
        <v>2004</v>
      </c>
      <c r="I1550" s="30">
        <v>350471</v>
      </c>
      <c r="J1550" s="30" t="s">
        <v>5435</v>
      </c>
      <c r="K1550" s="30" t="s">
        <v>6221</v>
      </c>
    </row>
    <row r="1551" spans="1:11" x14ac:dyDescent="0.35">
      <c r="A1551" s="30" t="s">
        <v>12137</v>
      </c>
      <c r="B1551" s="30" t="s">
        <v>12138</v>
      </c>
      <c r="C1551" s="32">
        <v>2.84</v>
      </c>
      <c r="D1551" s="30">
        <v>0.01</v>
      </c>
      <c r="E1551" s="31">
        <v>3.5300000000000002E-3</v>
      </c>
      <c r="F1551" s="30">
        <v>86414810</v>
      </c>
      <c r="G1551" s="30" t="s">
        <v>5427</v>
      </c>
      <c r="H1551" s="30">
        <v>2021</v>
      </c>
      <c r="I1551" s="30">
        <v>54847</v>
      </c>
      <c r="J1551" s="30" t="s">
        <v>5426</v>
      </c>
      <c r="K1551" s="30" t="s">
        <v>5425</v>
      </c>
    </row>
    <row r="1552" spans="1:11" x14ac:dyDescent="0.35">
      <c r="A1552" s="30" t="s">
        <v>12139</v>
      </c>
      <c r="B1552" s="30" t="s">
        <v>12140</v>
      </c>
      <c r="C1552" s="32">
        <v>196.3</v>
      </c>
      <c r="D1552" s="30">
        <v>1.76</v>
      </c>
      <c r="E1552" s="31">
        <v>9.0500000000000008E-3</v>
      </c>
      <c r="F1552" s="30">
        <v>1047615214</v>
      </c>
      <c r="G1552" s="30" t="s">
        <v>5427</v>
      </c>
      <c r="H1552" s="30"/>
      <c r="I1552" s="30">
        <v>65020</v>
      </c>
      <c r="J1552" s="30" t="s">
        <v>5457</v>
      </c>
      <c r="K1552" s="30" t="s">
        <v>5644</v>
      </c>
    </row>
    <row r="1553" spans="1:11" x14ac:dyDescent="0.35">
      <c r="A1553" s="30" t="s">
        <v>12141</v>
      </c>
      <c r="B1553" s="30" t="s">
        <v>12142</v>
      </c>
      <c r="C1553" s="32">
        <v>10.43</v>
      </c>
      <c r="D1553" s="30">
        <v>-0.14000000000000001</v>
      </c>
      <c r="E1553" s="31">
        <v>-1.325E-2</v>
      </c>
      <c r="F1553" s="30">
        <v>187414063</v>
      </c>
      <c r="G1553" s="30" t="s">
        <v>6387</v>
      </c>
      <c r="H1553" s="30">
        <v>2020</v>
      </c>
      <c r="I1553" s="30">
        <v>339</v>
      </c>
      <c r="J1553" s="30" t="s">
        <v>5435</v>
      </c>
      <c r="K1553" s="30" t="s">
        <v>5482</v>
      </c>
    </row>
    <row r="1554" spans="1:11" x14ac:dyDescent="0.35">
      <c r="A1554" s="30" t="s">
        <v>12143</v>
      </c>
      <c r="B1554" s="30" t="s">
        <v>12144</v>
      </c>
      <c r="C1554" s="32">
        <v>10.31</v>
      </c>
      <c r="D1554" s="30">
        <v>-0.01</v>
      </c>
      <c r="E1554" s="31">
        <v>-9.7000000000000005E-4</v>
      </c>
      <c r="F1554" s="30">
        <v>259360938</v>
      </c>
      <c r="G1554" s="30" t="s">
        <v>5427</v>
      </c>
      <c r="H1554" s="30">
        <v>2021</v>
      </c>
      <c r="I1554" s="30">
        <v>76504</v>
      </c>
      <c r="J1554" s="30" t="s">
        <v>5457</v>
      </c>
      <c r="K1554" s="30" t="s">
        <v>5571</v>
      </c>
    </row>
    <row r="1555" spans="1:11" x14ac:dyDescent="0.35">
      <c r="A1555" s="30" t="s">
        <v>12145</v>
      </c>
      <c r="B1555" s="30" t="s">
        <v>12146</v>
      </c>
      <c r="C1555" s="32">
        <v>13.67</v>
      </c>
      <c r="D1555" s="30">
        <v>0.01</v>
      </c>
      <c r="E1555" s="31">
        <v>7.2999999999999996E-4</v>
      </c>
      <c r="F1555" s="30">
        <v>6084364210</v>
      </c>
      <c r="G1555" s="30" t="s">
        <v>6387</v>
      </c>
      <c r="H1555" s="30">
        <v>2006</v>
      </c>
      <c r="I1555" s="30">
        <v>3267398</v>
      </c>
      <c r="J1555" s="30" t="s">
        <v>5442</v>
      </c>
      <c r="K1555" s="30" t="s">
        <v>5704</v>
      </c>
    </row>
    <row r="1556" spans="1:11" x14ac:dyDescent="0.35">
      <c r="A1556" s="30" t="s">
        <v>12147</v>
      </c>
      <c r="B1556" s="30" t="s">
        <v>12148</v>
      </c>
      <c r="C1556" s="32">
        <v>5.15</v>
      </c>
      <c r="D1556" s="30">
        <v>-0.15</v>
      </c>
      <c r="E1556" s="31">
        <v>-2.8299999999999999E-2</v>
      </c>
      <c r="F1556" s="30">
        <v>250798434</v>
      </c>
      <c r="G1556" s="30" t="s">
        <v>5823</v>
      </c>
      <c r="H1556" s="30"/>
      <c r="I1556" s="30">
        <v>6622</v>
      </c>
      <c r="J1556" s="30" t="s">
        <v>5435</v>
      </c>
      <c r="K1556" s="30" t="s">
        <v>5482</v>
      </c>
    </row>
    <row r="1557" spans="1:11" x14ac:dyDescent="0.35">
      <c r="A1557" s="30" t="s">
        <v>12149</v>
      </c>
      <c r="B1557" s="30" t="s">
        <v>12150</v>
      </c>
      <c r="C1557" s="32">
        <v>2.08</v>
      </c>
      <c r="D1557" s="30">
        <v>-0.05</v>
      </c>
      <c r="E1557" s="31">
        <v>-2.3470000000000001E-2</v>
      </c>
      <c r="F1557" s="30">
        <v>91221948</v>
      </c>
      <c r="G1557" s="30" t="s">
        <v>5427</v>
      </c>
      <c r="H1557" s="30">
        <v>2021</v>
      </c>
      <c r="I1557" s="30">
        <v>456123</v>
      </c>
      <c r="J1557" s="30" t="s">
        <v>5219</v>
      </c>
      <c r="K1557" s="30" t="s">
        <v>5447</v>
      </c>
    </row>
    <row r="1558" spans="1:11" x14ac:dyDescent="0.35">
      <c r="A1558" s="30" t="s">
        <v>12151</v>
      </c>
      <c r="B1558" s="30" t="s">
        <v>12152</v>
      </c>
      <c r="C1558" s="32">
        <v>23.97</v>
      </c>
      <c r="D1558" s="30">
        <v>0.09</v>
      </c>
      <c r="E1558" s="31">
        <v>3.7699999999999999E-3</v>
      </c>
      <c r="F1558" s="30">
        <v>1811821708</v>
      </c>
      <c r="G1558" s="30" t="s">
        <v>5427</v>
      </c>
      <c r="H1558" s="30"/>
      <c r="I1558" s="30">
        <v>804720</v>
      </c>
      <c r="J1558" s="30" t="s">
        <v>5442</v>
      </c>
      <c r="K1558" s="30" t="s">
        <v>5505</v>
      </c>
    </row>
    <row r="1559" spans="1:11" x14ac:dyDescent="0.35">
      <c r="A1559" s="30" t="s">
        <v>12153</v>
      </c>
      <c r="B1559" s="30" t="s">
        <v>12154</v>
      </c>
      <c r="C1559" s="32">
        <v>12.21</v>
      </c>
      <c r="D1559" s="30">
        <v>0.26</v>
      </c>
      <c r="E1559" s="31">
        <v>2.1760000000000002E-2</v>
      </c>
      <c r="F1559" s="30">
        <v>643480565</v>
      </c>
      <c r="G1559" s="30" t="s">
        <v>5427</v>
      </c>
      <c r="H1559" s="30">
        <v>2020</v>
      </c>
      <c r="I1559" s="30">
        <v>68872</v>
      </c>
      <c r="J1559" s="30" t="s">
        <v>5431</v>
      </c>
      <c r="K1559" s="30" t="s">
        <v>5430</v>
      </c>
    </row>
    <row r="1560" spans="1:11" x14ac:dyDescent="0.35">
      <c r="A1560" s="30" t="s">
        <v>12155</v>
      </c>
      <c r="B1560" s="30" t="s">
        <v>12156</v>
      </c>
      <c r="C1560" s="32">
        <v>17.71</v>
      </c>
      <c r="D1560" s="30">
        <v>0.12</v>
      </c>
      <c r="E1560" s="31">
        <v>6.8199999999999997E-3</v>
      </c>
      <c r="F1560" s="30">
        <v>135195094</v>
      </c>
      <c r="G1560" s="30" t="s">
        <v>5427</v>
      </c>
      <c r="H1560" s="30">
        <v>2008</v>
      </c>
      <c r="I1560" s="30">
        <v>22821</v>
      </c>
      <c r="J1560" s="30" t="s">
        <v>5435</v>
      </c>
      <c r="K1560" s="30" t="s">
        <v>6698</v>
      </c>
    </row>
    <row r="1561" spans="1:11" x14ac:dyDescent="0.35">
      <c r="A1561" s="30" t="s">
        <v>12157</v>
      </c>
      <c r="B1561" s="30" t="s">
        <v>12158</v>
      </c>
      <c r="C1561" s="32">
        <v>1</v>
      </c>
      <c r="D1561" s="30">
        <v>-0.01</v>
      </c>
      <c r="E1561" s="31">
        <v>-9.9000000000000008E-3</v>
      </c>
      <c r="F1561" s="30">
        <v>361930468</v>
      </c>
      <c r="G1561" s="30" t="s">
        <v>5427</v>
      </c>
      <c r="H1561" s="30"/>
      <c r="I1561" s="30">
        <v>3045085</v>
      </c>
      <c r="J1561" s="30" t="s">
        <v>5219</v>
      </c>
      <c r="K1561" s="30" t="s">
        <v>5526</v>
      </c>
    </row>
    <row r="1562" spans="1:11" x14ac:dyDescent="0.35">
      <c r="A1562" s="30" t="s">
        <v>12159</v>
      </c>
      <c r="B1562" s="30" t="s">
        <v>12160</v>
      </c>
      <c r="C1562" s="32">
        <v>3.01</v>
      </c>
      <c r="D1562" s="30">
        <v>-0.23</v>
      </c>
      <c r="E1562" s="31">
        <v>-7.0989999999999998E-2</v>
      </c>
      <c r="F1562" s="30">
        <v>116940758</v>
      </c>
      <c r="G1562" s="30" t="s">
        <v>5427</v>
      </c>
      <c r="H1562" s="30">
        <v>2002</v>
      </c>
      <c r="I1562" s="30">
        <v>70896</v>
      </c>
      <c r="J1562" s="30" t="s">
        <v>5464</v>
      </c>
      <c r="K1562" s="30" t="s">
        <v>6032</v>
      </c>
    </row>
    <row r="1563" spans="1:11" x14ac:dyDescent="0.35">
      <c r="A1563" s="30" t="s">
        <v>12161</v>
      </c>
      <c r="B1563" s="30" t="s">
        <v>12162</v>
      </c>
      <c r="C1563" s="32">
        <v>2.0299999999999998</v>
      </c>
      <c r="D1563" s="30">
        <v>0.03</v>
      </c>
      <c r="E1563" s="31">
        <v>1.4999999999999999E-2</v>
      </c>
      <c r="F1563" s="30">
        <v>73725250</v>
      </c>
      <c r="G1563" s="30" t="s">
        <v>5427</v>
      </c>
      <c r="H1563" s="30"/>
      <c r="I1563" s="30">
        <v>173796</v>
      </c>
      <c r="J1563" s="30" t="s">
        <v>5541</v>
      </c>
      <c r="K1563" s="30" t="s">
        <v>5774</v>
      </c>
    </row>
    <row r="1564" spans="1:11" x14ac:dyDescent="0.35">
      <c r="A1564" s="30" t="s">
        <v>12163</v>
      </c>
      <c r="B1564" s="30" t="s">
        <v>12164</v>
      </c>
      <c r="C1564" s="32">
        <v>71.92</v>
      </c>
      <c r="D1564" s="30">
        <v>0.56999999999999995</v>
      </c>
      <c r="E1564" s="31">
        <v>7.9900000000000006E-3</v>
      </c>
      <c r="F1564" s="30">
        <v>4093643608</v>
      </c>
      <c r="G1564" s="30" t="s">
        <v>5427</v>
      </c>
      <c r="H1564" s="30"/>
      <c r="I1564" s="30">
        <v>321318</v>
      </c>
      <c r="J1564" s="30" t="s">
        <v>5431</v>
      </c>
      <c r="K1564" s="30" t="s">
        <v>5500</v>
      </c>
    </row>
    <row r="1565" spans="1:11" x14ac:dyDescent="0.35">
      <c r="A1565" s="30" t="s">
        <v>12165</v>
      </c>
      <c r="B1565" s="30" t="s">
        <v>12166</v>
      </c>
      <c r="C1565" s="32">
        <v>2.2400000000000002</v>
      </c>
      <c r="D1565" s="30">
        <v>-0.01</v>
      </c>
      <c r="E1565" s="31">
        <v>-4.4400000000000004E-3</v>
      </c>
      <c r="F1565" s="30">
        <v>73469514</v>
      </c>
      <c r="G1565" s="30" t="s">
        <v>6387</v>
      </c>
      <c r="H1565" s="30">
        <v>2021</v>
      </c>
      <c r="I1565" s="30">
        <v>332310</v>
      </c>
      <c r="J1565" s="30"/>
      <c r="K1565" s="30"/>
    </row>
    <row r="1566" spans="1:11" x14ac:dyDescent="0.35">
      <c r="A1566" s="30" t="s">
        <v>12167</v>
      </c>
      <c r="B1566" s="30" t="s">
        <v>12168</v>
      </c>
      <c r="C1566" s="32">
        <v>28.53</v>
      </c>
      <c r="D1566" s="30">
        <v>-0.45</v>
      </c>
      <c r="E1566" s="31">
        <v>-1.553E-2</v>
      </c>
      <c r="F1566" s="30">
        <v>3003465851</v>
      </c>
      <c r="G1566" s="30" t="s">
        <v>5529</v>
      </c>
      <c r="H1566" s="30">
        <v>2010</v>
      </c>
      <c r="I1566" s="30">
        <v>581880</v>
      </c>
      <c r="J1566" s="30" t="s">
        <v>5219</v>
      </c>
      <c r="K1566" s="30" t="s">
        <v>5453</v>
      </c>
    </row>
    <row r="1567" spans="1:11" x14ac:dyDescent="0.35">
      <c r="A1567" s="30" t="s">
        <v>12169</v>
      </c>
      <c r="B1567" s="30" t="s">
        <v>12170</v>
      </c>
      <c r="C1567" s="32">
        <v>5.27</v>
      </c>
      <c r="D1567" s="30">
        <v>-0.2</v>
      </c>
      <c r="E1567" s="31">
        <v>-3.6560000000000002E-2</v>
      </c>
      <c r="F1567" s="30">
        <v>1387040775</v>
      </c>
      <c r="G1567" s="30" t="s">
        <v>5427</v>
      </c>
      <c r="H1567" s="30">
        <v>2004</v>
      </c>
      <c r="I1567" s="30">
        <v>3618639</v>
      </c>
      <c r="J1567" s="30" t="s">
        <v>5431</v>
      </c>
      <c r="K1567" s="30" t="s">
        <v>5430</v>
      </c>
    </row>
    <row r="1568" spans="1:11" x14ac:dyDescent="0.35">
      <c r="A1568" s="30" t="s">
        <v>12171</v>
      </c>
      <c r="B1568" s="30" t="s">
        <v>12172</v>
      </c>
      <c r="C1568" s="32">
        <v>3.44</v>
      </c>
      <c r="D1568" s="30">
        <v>0.03</v>
      </c>
      <c r="E1568" s="31">
        <v>8.8000000000000005E-3</v>
      </c>
      <c r="F1568" s="30">
        <v>129244718</v>
      </c>
      <c r="G1568" s="30" t="s">
        <v>5515</v>
      </c>
      <c r="H1568" s="30"/>
      <c r="I1568" s="30">
        <v>363308</v>
      </c>
      <c r="J1568" s="30" t="s">
        <v>5431</v>
      </c>
      <c r="K1568" s="30" t="s">
        <v>8643</v>
      </c>
    </row>
    <row r="1569" spans="1:11" x14ac:dyDescent="0.35">
      <c r="A1569" s="30" t="s">
        <v>12173</v>
      </c>
      <c r="B1569" s="30" t="s">
        <v>12174</v>
      </c>
      <c r="C1569" s="32">
        <v>2.4</v>
      </c>
      <c r="D1569" s="30">
        <v>0.01</v>
      </c>
      <c r="E1569" s="31">
        <v>4.1799999999999997E-3</v>
      </c>
      <c r="F1569" s="30">
        <v>117710990</v>
      </c>
      <c r="G1569" s="30" t="s">
        <v>5427</v>
      </c>
      <c r="H1569" s="30"/>
      <c r="I1569" s="30">
        <v>6209</v>
      </c>
      <c r="J1569" s="30" t="s">
        <v>5431</v>
      </c>
      <c r="K1569" s="30" t="s">
        <v>5430</v>
      </c>
    </row>
    <row r="1570" spans="1:11" x14ac:dyDescent="0.35">
      <c r="A1570" s="30" t="s">
        <v>12175</v>
      </c>
      <c r="B1570" s="30" t="s">
        <v>12176</v>
      </c>
      <c r="C1570" s="32">
        <v>53.05</v>
      </c>
      <c r="D1570" s="30">
        <v>2.15</v>
      </c>
      <c r="E1570" s="31">
        <v>4.224E-2</v>
      </c>
      <c r="F1570" s="30">
        <v>1668712790</v>
      </c>
      <c r="G1570" s="30" t="s">
        <v>5427</v>
      </c>
      <c r="H1570" s="30">
        <v>1991</v>
      </c>
      <c r="I1570" s="30">
        <v>481662</v>
      </c>
      <c r="J1570" s="30"/>
      <c r="K1570" s="30"/>
    </row>
    <row r="1571" spans="1:11" x14ac:dyDescent="0.35">
      <c r="A1571" s="30" t="s">
        <v>12177</v>
      </c>
      <c r="B1571" s="30" t="s">
        <v>12178</v>
      </c>
      <c r="C1571" s="32">
        <v>28.75</v>
      </c>
      <c r="D1571" s="30">
        <v>0.05</v>
      </c>
      <c r="E1571" s="31">
        <v>1.74E-3</v>
      </c>
      <c r="F1571" s="30">
        <v>213978861</v>
      </c>
      <c r="G1571" s="30" t="s">
        <v>5427</v>
      </c>
      <c r="H1571" s="30"/>
      <c r="I1571" s="30">
        <v>14091</v>
      </c>
      <c r="J1571" s="30" t="s">
        <v>5435</v>
      </c>
      <c r="K1571" s="30" t="s">
        <v>5579</v>
      </c>
    </row>
    <row r="1572" spans="1:11" x14ac:dyDescent="0.35">
      <c r="A1572" s="30" t="s">
        <v>12179</v>
      </c>
      <c r="B1572" s="30" t="s">
        <v>12180</v>
      </c>
      <c r="C1572" s="32">
        <v>104.04</v>
      </c>
      <c r="D1572" s="30">
        <v>-0.04</v>
      </c>
      <c r="E1572" s="31">
        <v>-3.8000000000000002E-4</v>
      </c>
      <c r="F1572" s="30">
        <v>54321911634</v>
      </c>
      <c r="G1572" s="30" t="s">
        <v>5427</v>
      </c>
      <c r="H1572" s="30"/>
      <c r="I1572" s="30">
        <v>1995626</v>
      </c>
      <c r="J1572" s="30" t="s">
        <v>5541</v>
      </c>
      <c r="K1572" s="30" t="s">
        <v>5997</v>
      </c>
    </row>
    <row r="1573" spans="1:11" x14ac:dyDescent="0.35">
      <c r="A1573" s="30" t="s">
        <v>12181</v>
      </c>
      <c r="B1573" s="30" t="s">
        <v>12182</v>
      </c>
      <c r="C1573" s="32">
        <v>11.12</v>
      </c>
      <c r="D1573" s="30">
        <v>0.01</v>
      </c>
      <c r="E1573" s="31">
        <v>8.9999999999999998E-4</v>
      </c>
      <c r="F1573" s="30">
        <v>1596872933</v>
      </c>
      <c r="G1573" s="30" t="s">
        <v>5427</v>
      </c>
      <c r="H1573" s="30">
        <v>2021</v>
      </c>
      <c r="I1573" s="30">
        <v>244330</v>
      </c>
      <c r="J1573" s="30" t="s">
        <v>5426</v>
      </c>
      <c r="K1573" s="30" t="s">
        <v>5593</v>
      </c>
    </row>
    <row r="1574" spans="1:11" x14ac:dyDescent="0.35">
      <c r="A1574" s="30" t="s">
        <v>12183</v>
      </c>
      <c r="B1574" s="30" t="s">
        <v>12184</v>
      </c>
      <c r="C1574" s="32">
        <v>0.91920000000000002</v>
      </c>
      <c r="D1574" s="30">
        <v>1.4200000000000001E-2</v>
      </c>
      <c r="E1574" s="31">
        <v>1.5689999999999999E-2</v>
      </c>
      <c r="F1574" s="30">
        <v>77350424</v>
      </c>
      <c r="G1574" s="30" t="s">
        <v>5427</v>
      </c>
      <c r="H1574" s="30">
        <v>2019</v>
      </c>
      <c r="I1574" s="30">
        <v>294221</v>
      </c>
      <c r="J1574" s="30"/>
      <c r="K1574" s="30"/>
    </row>
    <row r="1575" spans="1:11" x14ac:dyDescent="0.35">
      <c r="A1575" s="30" t="s">
        <v>12185</v>
      </c>
      <c r="B1575" s="30" t="s">
        <v>12186</v>
      </c>
      <c r="C1575" s="32">
        <v>8.26</v>
      </c>
      <c r="D1575" s="30">
        <v>0.55000000000000004</v>
      </c>
      <c r="E1575" s="31">
        <v>7.1340000000000001E-2</v>
      </c>
      <c r="F1575" s="30">
        <v>1227953101</v>
      </c>
      <c r="G1575" s="30" t="s">
        <v>5427</v>
      </c>
      <c r="H1575" s="30">
        <v>2018</v>
      </c>
      <c r="I1575" s="30">
        <v>2144625</v>
      </c>
      <c r="J1575" s="30" t="s">
        <v>5219</v>
      </c>
      <c r="K1575" s="30" t="s">
        <v>5447</v>
      </c>
    </row>
    <row r="1576" spans="1:11" x14ac:dyDescent="0.35">
      <c r="A1576" s="30" t="s">
        <v>12187</v>
      </c>
      <c r="B1576" s="30" t="s">
        <v>12188</v>
      </c>
      <c r="C1576" s="32">
        <v>4.0599999999999996</v>
      </c>
      <c r="D1576" s="30">
        <v>-0.02</v>
      </c>
      <c r="E1576" s="31">
        <v>-4.8999999999999998E-3</v>
      </c>
      <c r="F1576" s="30">
        <v>81614364</v>
      </c>
      <c r="G1576" s="30" t="s">
        <v>5427</v>
      </c>
      <c r="H1576" s="30"/>
      <c r="I1576" s="30">
        <v>73242</v>
      </c>
      <c r="J1576" s="30" t="s">
        <v>5219</v>
      </c>
      <c r="K1576" s="30" t="s">
        <v>5644</v>
      </c>
    </row>
    <row r="1577" spans="1:11" x14ac:dyDescent="0.35">
      <c r="A1577" s="30" t="s">
        <v>12189</v>
      </c>
      <c r="B1577" s="30" t="s">
        <v>12190</v>
      </c>
      <c r="C1577" s="32">
        <v>10.32</v>
      </c>
      <c r="D1577" s="30">
        <v>1.4999999999999999E-2</v>
      </c>
      <c r="E1577" s="31">
        <v>1.4599999999999999E-3</v>
      </c>
      <c r="F1577" s="30">
        <v>135703872</v>
      </c>
      <c r="G1577" s="30" t="s">
        <v>5427</v>
      </c>
      <c r="H1577" s="30">
        <v>2022</v>
      </c>
      <c r="I1577" s="30">
        <v>31800</v>
      </c>
      <c r="J1577" s="30" t="s">
        <v>5457</v>
      </c>
      <c r="K1577" s="30" t="s">
        <v>5571</v>
      </c>
    </row>
    <row r="1578" spans="1:11" x14ac:dyDescent="0.35">
      <c r="A1578" s="30" t="s">
        <v>12191</v>
      </c>
      <c r="B1578" s="30" t="s">
        <v>12192</v>
      </c>
      <c r="C1578" s="32">
        <v>105.04</v>
      </c>
      <c r="D1578" s="30">
        <v>-2.2200000000000002</v>
      </c>
      <c r="E1578" s="31">
        <v>-2.07E-2</v>
      </c>
      <c r="F1578" s="30">
        <v>1485089553</v>
      </c>
      <c r="G1578" s="30" t="s">
        <v>5427</v>
      </c>
      <c r="H1578" s="30">
        <v>2003</v>
      </c>
      <c r="I1578" s="30">
        <v>116471</v>
      </c>
      <c r="J1578" s="30"/>
      <c r="K1578" s="30"/>
    </row>
    <row r="1579" spans="1:11" x14ac:dyDescent="0.35">
      <c r="A1579" s="30" t="s">
        <v>12193</v>
      </c>
      <c r="B1579" s="30" t="s">
        <v>12194</v>
      </c>
      <c r="C1579" s="32">
        <v>31.42</v>
      </c>
      <c r="D1579" s="30">
        <v>0.27</v>
      </c>
      <c r="E1579" s="31">
        <v>8.6700000000000006E-3</v>
      </c>
      <c r="F1579" s="30">
        <v>490905357</v>
      </c>
      <c r="G1579" s="30" t="s">
        <v>5427</v>
      </c>
      <c r="H1579" s="30"/>
      <c r="I1579" s="30">
        <v>49593</v>
      </c>
      <c r="J1579" s="30" t="s">
        <v>5435</v>
      </c>
      <c r="K1579" s="30" t="s">
        <v>5579</v>
      </c>
    </row>
    <row r="1580" spans="1:11" x14ac:dyDescent="0.35">
      <c r="A1580" s="30" t="s">
        <v>12195</v>
      </c>
      <c r="B1580" s="30" t="s">
        <v>12196</v>
      </c>
      <c r="C1580" s="32">
        <v>0.86040000000000005</v>
      </c>
      <c r="D1580" s="30">
        <v>5.1400000000000001E-2</v>
      </c>
      <c r="E1580" s="31">
        <v>6.3539999999999999E-2</v>
      </c>
      <c r="F1580" s="30">
        <v>65349961</v>
      </c>
      <c r="G1580" s="30" t="s">
        <v>5515</v>
      </c>
      <c r="H1580" s="30"/>
      <c r="I1580" s="30">
        <v>202151</v>
      </c>
      <c r="J1580" s="30"/>
      <c r="K1580" s="30"/>
    </row>
    <row r="1581" spans="1:11" x14ac:dyDescent="0.35">
      <c r="A1581" s="30" t="s">
        <v>12197</v>
      </c>
      <c r="B1581" s="30" t="s">
        <v>12198</v>
      </c>
      <c r="C1581" s="32">
        <v>6.4843999999999999</v>
      </c>
      <c r="D1581" s="30">
        <v>3.44E-2</v>
      </c>
      <c r="E1581" s="31">
        <v>5.3299999999999997E-3</v>
      </c>
      <c r="F1581" s="30">
        <v>233728292</v>
      </c>
      <c r="G1581" s="30" t="s">
        <v>5799</v>
      </c>
      <c r="H1581" s="30">
        <v>2021</v>
      </c>
      <c r="I1581" s="30">
        <v>4606</v>
      </c>
      <c r="J1581" s="30"/>
      <c r="K1581" s="30"/>
    </row>
    <row r="1582" spans="1:11" x14ac:dyDescent="0.35">
      <c r="A1582" s="30" t="s">
        <v>12199</v>
      </c>
      <c r="B1582" s="30" t="s">
        <v>12200</v>
      </c>
      <c r="C1582" s="32">
        <v>10.73</v>
      </c>
      <c r="D1582" s="30">
        <v>-0.17</v>
      </c>
      <c r="E1582" s="31">
        <v>-1.5599999999999999E-2</v>
      </c>
      <c r="F1582" s="30">
        <v>882715897</v>
      </c>
      <c r="G1582" s="30" t="s">
        <v>5427</v>
      </c>
      <c r="H1582" s="30">
        <v>2021</v>
      </c>
      <c r="I1582" s="30">
        <v>26146</v>
      </c>
      <c r="J1582" s="30" t="s">
        <v>5442</v>
      </c>
      <c r="K1582" s="30" t="s">
        <v>5914</v>
      </c>
    </row>
    <row r="1583" spans="1:11" x14ac:dyDescent="0.35">
      <c r="A1583" s="30" t="s">
        <v>12201</v>
      </c>
      <c r="B1583" s="30" t="s">
        <v>12202</v>
      </c>
      <c r="C1583" s="32">
        <v>5.0599999999999996</v>
      </c>
      <c r="D1583" s="30">
        <v>0.11</v>
      </c>
      <c r="E1583" s="31">
        <v>2.222E-2</v>
      </c>
      <c r="F1583" s="30">
        <v>691412022</v>
      </c>
      <c r="G1583" s="30" t="s">
        <v>6263</v>
      </c>
      <c r="H1583" s="30">
        <v>2018</v>
      </c>
      <c r="I1583" s="30">
        <v>62059</v>
      </c>
      <c r="J1583" s="30" t="s">
        <v>5431</v>
      </c>
      <c r="K1583" s="30" t="s">
        <v>5430</v>
      </c>
    </row>
    <row r="1584" spans="1:11" x14ac:dyDescent="0.35">
      <c r="A1584" s="30" t="s">
        <v>12203</v>
      </c>
      <c r="B1584" s="30" t="s">
        <v>12204</v>
      </c>
      <c r="C1584" s="32">
        <v>33.71</v>
      </c>
      <c r="D1584" s="30">
        <v>0.98</v>
      </c>
      <c r="E1584" s="31">
        <v>2.9940000000000001E-2</v>
      </c>
      <c r="F1584" s="30">
        <v>1299605483</v>
      </c>
      <c r="G1584" s="30" t="s">
        <v>5427</v>
      </c>
      <c r="H1584" s="30">
        <v>2019</v>
      </c>
      <c r="I1584" s="30">
        <v>268452</v>
      </c>
      <c r="J1584" s="30" t="s">
        <v>5431</v>
      </c>
      <c r="K1584" s="30" t="s">
        <v>5430</v>
      </c>
    </row>
    <row r="1585" spans="1:11" x14ac:dyDescent="0.35">
      <c r="A1585" s="30" t="s">
        <v>12205</v>
      </c>
      <c r="B1585" s="30" t="s">
        <v>12206</v>
      </c>
      <c r="C1585" s="32">
        <v>247.43</v>
      </c>
      <c r="D1585" s="30">
        <v>4.55</v>
      </c>
      <c r="E1585" s="31">
        <v>1.873E-2</v>
      </c>
      <c r="F1585" s="30">
        <v>10502460297</v>
      </c>
      <c r="G1585" s="30" t="s">
        <v>5427</v>
      </c>
      <c r="H1585" s="30">
        <v>2005</v>
      </c>
      <c r="I1585" s="30">
        <v>101910</v>
      </c>
      <c r="J1585" s="30" t="s">
        <v>5435</v>
      </c>
      <c r="K1585" s="30" t="s">
        <v>5856</v>
      </c>
    </row>
    <row r="1586" spans="1:11" x14ac:dyDescent="0.35">
      <c r="A1586" s="30" t="s">
        <v>12207</v>
      </c>
      <c r="B1586" s="30" t="s">
        <v>12208</v>
      </c>
      <c r="C1586" s="32">
        <v>15.03</v>
      </c>
      <c r="D1586" s="30">
        <v>0.47</v>
      </c>
      <c r="E1586" s="31">
        <v>3.2280000000000003E-2</v>
      </c>
      <c r="F1586" s="30">
        <v>291915380</v>
      </c>
      <c r="G1586" s="30" t="s">
        <v>5427</v>
      </c>
      <c r="H1586" s="30"/>
      <c r="I1586" s="30">
        <v>51018</v>
      </c>
      <c r="J1586" s="30" t="s">
        <v>5442</v>
      </c>
      <c r="K1586" s="30" t="s">
        <v>5853</v>
      </c>
    </row>
    <row r="1587" spans="1:11" x14ac:dyDescent="0.35">
      <c r="A1587" s="30" t="s">
        <v>12209</v>
      </c>
      <c r="B1587" s="30" t="s">
        <v>12210</v>
      </c>
      <c r="C1587" s="32">
        <v>31.48</v>
      </c>
      <c r="D1587" s="30">
        <v>0.01</v>
      </c>
      <c r="E1587" s="31">
        <v>3.2000000000000003E-4</v>
      </c>
      <c r="F1587" s="30">
        <v>500095782</v>
      </c>
      <c r="G1587" s="30" t="s">
        <v>5427</v>
      </c>
      <c r="H1587" s="30"/>
      <c r="I1587" s="30">
        <v>35079</v>
      </c>
      <c r="J1587" s="30" t="s">
        <v>5435</v>
      </c>
      <c r="K1587" s="30" t="s">
        <v>5579</v>
      </c>
    </row>
    <row r="1588" spans="1:11" x14ac:dyDescent="0.35">
      <c r="A1588" s="30" t="s">
        <v>12211</v>
      </c>
      <c r="B1588" s="30" t="s">
        <v>12212</v>
      </c>
      <c r="C1588" s="32">
        <v>10.36</v>
      </c>
      <c r="D1588" s="30">
        <v>-0.02</v>
      </c>
      <c r="E1588" s="31">
        <v>-1.9300000000000001E-3</v>
      </c>
      <c r="F1588" s="30">
        <v>297850000</v>
      </c>
      <c r="G1588" s="30" t="s">
        <v>5427</v>
      </c>
      <c r="H1588" s="30">
        <v>2021</v>
      </c>
      <c r="I1588" s="30">
        <v>3535</v>
      </c>
      <c r="J1588" s="30" t="s">
        <v>5457</v>
      </c>
      <c r="K1588" s="30" t="s">
        <v>5571</v>
      </c>
    </row>
    <row r="1589" spans="1:11" x14ac:dyDescent="0.35">
      <c r="A1589" s="30" t="s">
        <v>12213</v>
      </c>
      <c r="B1589" s="30" t="s">
        <v>12214</v>
      </c>
      <c r="C1589" s="32">
        <v>457.77</v>
      </c>
      <c r="D1589" s="30">
        <v>31.21</v>
      </c>
      <c r="E1589" s="31">
        <v>7.3169999999999999E-2</v>
      </c>
      <c r="F1589" s="30">
        <v>21488639340</v>
      </c>
      <c r="G1589" s="30" t="s">
        <v>5427</v>
      </c>
      <c r="H1589" s="30">
        <v>2004</v>
      </c>
      <c r="I1589" s="30">
        <v>1083082</v>
      </c>
      <c r="J1589" s="30" t="s">
        <v>5219</v>
      </c>
      <c r="K1589" s="30" t="s">
        <v>5526</v>
      </c>
    </row>
    <row r="1590" spans="1:11" x14ac:dyDescent="0.35">
      <c r="A1590" s="30" t="s">
        <v>12215</v>
      </c>
      <c r="B1590" s="30" t="s">
        <v>12216</v>
      </c>
      <c r="C1590" s="32">
        <v>6.96</v>
      </c>
      <c r="D1590" s="30">
        <v>0.33</v>
      </c>
      <c r="E1590" s="31">
        <v>4.9770000000000002E-2</v>
      </c>
      <c r="F1590" s="30">
        <v>3793914200</v>
      </c>
      <c r="G1590" s="30" t="s">
        <v>5427</v>
      </c>
      <c r="H1590" s="30">
        <v>2021</v>
      </c>
      <c r="I1590" s="30">
        <v>5866059</v>
      </c>
      <c r="J1590" s="30" t="s">
        <v>5219</v>
      </c>
      <c r="K1590" s="30" t="s">
        <v>5447</v>
      </c>
    </row>
    <row r="1591" spans="1:11" x14ac:dyDescent="0.35">
      <c r="A1591" s="30" t="s">
        <v>12217</v>
      </c>
      <c r="B1591" s="30" t="s">
        <v>12218</v>
      </c>
      <c r="C1591" s="32">
        <v>7.11</v>
      </c>
      <c r="D1591" s="30">
        <v>0.21</v>
      </c>
      <c r="E1591" s="31">
        <v>3.0429999999999999E-2</v>
      </c>
      <c r="F1591" s="30">
        <v>144635531</v>
      </c>
      <c r="G1591" s="30" t="s">
        <v>5427</v>
      </c>
      <c r="H1591" s="30">
        <v>2016</v>
      </c>
      <c r="I1591" s="30">
        <v>76583</v>
      </c>
      <c r="J1591" s="30" t="s">
        <v>5219</v>
      </c>
      <c r="K1591" s="30" t="s">
        <v>5965</v>
      </c>
    </row>
    <row r="1592" spans="1:11" x14ac:dyDescent="0.35">
      <c r="A1592" s="30" t="s">
        <v>12219</v>
      </c>
      <c r="B1592" s="30" t="s">
        <v>12220</v>
      </c>
      <c r="C1592" s="32">
        <v>31.92</v>
      </c>
      <c r="D1592" s="30">
        <v>7.0000000000000007E-2</v>
      </c>
      <c r="E1592" s="31">
        <v>2.2000000000000001E-3</v>
      </c>
      <c r="F1592" s="30">
        <v>185152790</v>
      </c>
      <c r="G1592" s="30" t="s">
        <v>5427</v>
      </c>
      <c r="H1592" s="30">
        <v>2017</v>
      </c>
      <c r="I1592" s="30">
        <v>10226</v>
      </c>
      <c r="J1592" s="30" t="s">
        <v>5435</v>
      </c>
      <c r="K1592" s="30" t="s">
        <v>5579</v>
      </c>
    </row>
    <row r="1593" spans="1:11" x14ac:dyDescent="0.35">
      <c r="A1593" s="30" t="s">
        <v>12221</v>
      </c>
      <c r="B1593" s="30" t="s">
        <v>12222</v>
      </c>
      <c r="C1593" s="32">
        <v>8.35</v>
      </c>
      <c r="D1593" s="30">
        <v>0.09</v>
      </c>
      <c r="E1593" s="31">
        <v>1.09E-2</v>
      </c>
      <c r="F1593" s="30">
        <v>180913939</v>
      </c>
      <c r="G1593" s="30" t="s">
        <v>5427</v>
      </c>
      <c r="H1593" s="30">
        <v>2012</v>
      </c>
      <c r="I1593" s="30">
        <v>23154</v>
      </c>
      <c r="J1593" s="30" t="s">
        <v>5435</v>
      </c>
      <c r="K1593" s="30" t="s">
        <v>5434</v>
      </c>
    </row>
    <row r="1594" spans="1:11" x14ac:dyDescent="0.35">
      <c r="A1594" s="30" t="s">
        <v>12223</v>
      </c>
      <c r="B1594" s="30" t="s">
        <v>12224</v>
      </c>
      <c r="C1594" s="32">
        <v>56.19</v>
      </c>
      <c r="D1594" s="30">
        <v>6.2050000000000001</v>
      </c>
      <c r="E1594" s="31">
        <v>0.12414</v>
      </c>
      <c r="F1594" s="30">
        <v>3258032742</v>
      </c>
      <c r="G1594" s="30" t="s">
        <v>5427</v>
      </c>
      <c r="H1594" s="30">
        <v>1998</v>
      </c>
      <c r="I1594" s="30">
        <v>2444994</v>
      </c>
      <c r="J1594" s="30"/>
      <c r="K1594" s="30"/>
    </row>
    <row r="1595" spans="1:11" x14ac:dyDescent="0.35">
      <c r="A1595" s="30" t="s">
        <v>12225</v>
      </c>
      <c r="B1595" s="30" t="s">
        <v>12226</v>
      </c>
      <c r="C1595" s="32">
        <v>0.97</v>
      </c>
      <c r="D1595" s="30">
        <v>3.49E-2</v>
      </c>
      <c r="E1595" s="31">
        <v>3.7319999999999999E-2</v>
      </c>
      <c r="F1595" s="30">
        <v>121236132</v>
      </c>
      <c r="G1595" s="30" t="s">
        <v>5775</v>
      </c>
      <c r="H1595" s="30"/>
      <c r="I1595" s="30">
        <v>733840</v>
      </c>
      <c r="J1595" s="30" t="s">
        <v>5431</v>
      </c>
      <c r="K1595" s="30" t="s">
        <v>5430</v>
      </c>
    </row>
    <row r="1596" spans="1:11" x14ac:dyDescent="0.35">
      <c r="A1596" s="30" t="s">
        <v>5068</v>
      </c>
      <c r="B1596" s="30" t="s">
        <v>12227</v>
      </c>
      <c r="C1596" s="32">
        <v>174.3</v>
      </c>
      <c r="D1596" s="30">
        <v>-1.76</v>
      </c>
      <c r="E1596" s="31">
        <v>-0.01</v>
      </c>
      <c r="F1596" s="30">
        <v>66962655747</v>
      </c>
      <c r="G1596" s="30" t="s">
        <v>5427</v>
      </c>
      <c r="H1596" s="30">
        <v>2018</v>
      </c>
      <c r="I1596" s="30">
        <v>5602715</v>
      </c>
      <c r="J1596" s="30" t="s">
        <v>5431</v>
      </c>
      <c r="K1596" s="30" t="s">
        <v>6409</v>
      </c>
    </row>
    <row r="1597" spans="1:11" x14ac:dyDescent="0.35">
      <c r="A1597" s="30" t="s">
        <v>12228</v>
      </c>
      <c r="B1597" s="30" t="s">
        <v>12229</v>
      </c>
      <c r="C1597" s="32">
        <v>6.63</v>
      </c>
      <c r="D1597" s="30">
        <v>0.28000000000000003</v>
      </c>
      <c r="E1597" s="31">
        <v>4.4089999999999997E-2</v>
      </c>
      <c r="F1597" s="30">
        <v>328965331</v>
      </c>
      <c r="G1597" s="30" t="s">
        <v>5427</v>
      </c>
      <c r="H1597" s="30">
        <v>2014</v>
      </c>
      <c r="I1597" s="30">
        <v>471937</v>
      </c>
      <c r="J1597" s="30" t="s">
        <v>5431</v>
      </c>
      <c r="K1597" s="30" t="s">
        <v>5430</v>
      </c>
    </row>
    <row r="1598" spans="1:11" x14ac:dyDescent="0.35">
      <c r="A1598" s="30" t="s">
        <v>12230</v>
      </c>
      <c r="B1598" s="30" t="s">
        <v>12231</v>
      </c>
      <c r="C1598" s="32">
        <v>6.72</v>
      </c>
      <c r="D1598" s="30">
        <v>0.14000000000000001</v>
      </c>
      <c r="E1598" s="31">
        <v>2.128E-2</v>
      </c>
      <c r="F1598" s="30">
        <v>670480319</v>
      </c>
      <c r="G1598" s="30" t="s">
        <v>5427</v>
      </c>
      <c r="H1598" s="30">
        <v>2017</v>
      </c>
      <c r="I1598" s="30">
        <v>1093828</v>
      </c>
      <c r="J1598" s="30" t="s">
        <v>5431</v>
      </c>
      <c r="K1598" s="30" t="s">
        <v>5430</v>
      </c>
    </row>
    <row r="1599" spans="1:11" x14ac:dyDescent="0.35">
      <c r="A1599" s="30" t="s">
        <v>12232</v>
      </c>
      <c r="B1599" s="30" t="s">
        <v>12233</v>
      </c>
      <c r="C1599" s="32">
        <v>22.77</v>
      </c>
      <c r="D1599" s="30">
        <v>0.68</v>
      </c>
      <c r="E1599" s="31">
        <v>3.0779999999999998E-2</v>
      </c>
      <c r="F1599" s="30">
        <v>1846991556</v>
      </c>
      <c r="G1599" s="30" t="s">
        <v>5427</v>
      </c>
      <c r="H1599" s="30">
        <v>1986</v>
      </c>
      <c r="I1599" s="30">
        <v>299787</v>
      </c>
      <c r="J1599" s="30" t="s">
        <v>5457</v>
      </c>
      <c r="K1599" s="30" t="s">
        <v>5725</v>
      </c>
    </row>
    <row r="1600" spans="1:11" x14ac:dyDescent="0.35">
      <c r="A1600" s="30" t="s">
        <v>12234</v>
      </c>
      <c r="B1600" s="30" t="s">
        <v>12235</v>
      </c>
      <c r="C1600" s="32">
        <v>52.69</v>
      </c>
      <c r="D1600" s="30">
        <v>-0.72</v>
      </c>
      <c r="E1600" s="31">
        <v>-1.3480000000000001E-2</v>
      </c>
      <c r="F1600" s="30">
        <v>3034252760</v>
      </c>
      <c r="G1600" s="30" t="s">
        <v>5427</v>
      </c>
      <c r="H1600" s="30"/>
      <c r="I1600" s="30">
        <v>1585549</v>
      </c>
      <c r="J1600" s="30" t="s">
        <v>5431</v>
      </c>
      <c r="K1600" s="30" t="s">
        <v>5430</v>
      </c>
    </row>
    <row r="1601" spans="1:11" x14ac:dyDescent="0.35">
      <c r="A1601" s="30" t="s">
        <v>12236</v>
      </c>
      <c r="B1601" s="30" t="s">
        <v>12237</v>
      </c>
      <c r="C1601" s="32">
        <v>15.36</v>
      </c>
      <c r="D1601" s="30">
        <v>-0.24</v>
      </c>
      <c r="E1601" s="31">
        <v>-1.538E-2</v>
      </c>
      <c r="F1601" s="30">
        <v>711212191</v>
      </c>
      <c r="G1601" s="30" t="s">
        <v>6073</v>
      </c>
      <c r="H1601" s="30">
        <v>2016</v>
      </c>
      <c r="I1601" s="30">
        <v>142278</v>
      </c>
      <c r="J1601" s="30" t="s">
        <v>5431</v>
      </c>
      <c r="K1601" s="30" t="s">
        <v>5430</v>
      </c>
    </row>
    <row r="1602" spans="1:11" x14ac:dyDescent="0.35">
      <c r="A1602" s="30" t="s">
        <v>12238</v>
      </c>
      <c r="B1602" s="30" t="s">
        <v>12239</v>
      </c>
      <c r="C1602" s="32">
        <v>15.14</v>
      </c>
      <c r="D1602" s="30">
        <v>0.48</v>
      </c>
      <c r="E1602" s="31">
        <v>3.2739999999999998E-2</v>
      </c>
      <c r="F1602" s="30">
        <v>1991510180</v>
      </c>
      <c r="G1602" s="30" t="s">
        <v>5427</v>
      </c>
      <c r="H1602" s="30">
        <v>2020</v>
      </c>
      <c r="I1602" s="30">
        <v>932782</v>
      </c>
      <c r="J1602" s="30" t="s">
        <v>5431</v>
      </c>
      <c r="K1602" s="30" t="s">
        <v>5430</v>
      </c>
    </row>
    <row r="1603" spans="1:11" x14ac:dyDescent="0.35">
      <c r="A1603" s="30" t="s">
        <v>12240</v>
      </c>
      <c r="B1603" s="30" t="s">
        <v>12241</v>
      </c>
      <c r="C1603" s="32">
        <v>46.12</v>
      </c>
      <c r="D1603" s="30">
        <v>2.97</v>
      </c>
      <c r="E1603" s="31">
        <v>6.8830000000000002E-2</v>
      </c>
      <c r="F1603" s="30">
        <v>39349584000</v>
      </c>
      <c r="G1603" s="30" t="s">
        <v>5427</v>
      </c>
      <c r="H1603" s="30">
        <v>2000</v>
      </c>
      <c r="I1603" s="30">
        <v>14936816</v>
      </c>
      <c r="J1603" s="30" t="s">
        <v>5219</v>
      </c>
      <c r="K1603" s="30" t="s">
        <v>5526</v>
      </c>
    </row>
    <row r="1604" spans="1:11" x14ac:dyDescent="0.35">
      <c r="A1604" s="30" t="s">
        <v>12242</v>
      </c>
      <c r="B1604" s="30" t="s">
        <v>12243</v>
      </c>
      <c r="C1604" s="32">
        <v>10.11</v>
      </c>
      <c r="D1604" s="30">
        <v>0</v>
      </c>
      <c r="E1604" s="31">
        <v>0</v>
      </c>
      <c r="F1604" s="30">
        <v>117427650</v>
      </c>
      <c r="G1604" s="30" t="s">
        <v>5427</v>
      </c>
      <c r="H1604" s="30">
        <v>2021</v>
      </c>
      <c r="I1604" s="30">
        <v>191</v>
      </c>
      <c r="J1604" s="30" t="s">
        <v>5435</v>
      </c>
      <c r="K1604" s="30" t="s">
        <v>5482</v>
      </c>
    </row>
    <row r="1605" spans="1:11" x14ac:dyDescent="0.35">
      <c r="A1605" s="30" t="s">
        <v>12244</v>
      </c>
      <c r="B1605" s="30" t="s">
        <v>12245</v>
      </c>
      <c r="C1605" s="32">
        <v>25.54</v>
      </c>
      <c r="D1605" s="30">
        <v>0.06</v>
      </c>
      <c r="E1605" s="31">
        <v>2.3500000000000001E-3</v>
      </c>
      <c r="F1605" s="30">
        <v>567368878</v>
      </c>
      <c r="G1605" s="30" t="s">
        <v>5427</v>
      </c>
      <c r="H1605" s="30">
        <v>2016</v>
      </c>
      <c r="I1605" s="30">
        <v>84575</v>
      </c>
      <c r="J1605" s="30" t="s">
        <v>5435</v>
      </c>
      <c r="K1605" s="30" t="s">
        <v>5579</v>
      </c>
    </row>
    <row r="1606" spans="1:11" x14ac:dyDescent="0.35">
      <c r="A1606" s="30" t="s">
        <v>12246</v>
      </c>
      <c r="B1606" s="30" t="s">
        <v>12247</v>
      </c>
      <c r="C1606" s="32">
        <v>10.16</v>
      </c>
      <c r="D1606" s="30">
        <v>0</v>
      </c>
      <c r="E1606" s="31">
        <v>0</v>
      </c>
      <c r="F1606" s="30">
        <v>730250000</v>
      </c>
      <c r="G1606" s="30" t="s">
        <v>5427</v>
      </c>
      <c r="H1606" s="30">
        <v>2021</v>
      </c>
      <c r="I1606" s="30">
        <v>402631</v>
      </c>
      <c r="J1606" s="30" t="s">
        <v>5435</v>
      </c>
      <c r="K1606" s="30" t="s">
        <v>5482</v>
      </c>
    </row>
    <row r="1607" spans="1:11" x14ac:dyDescent="0.35">
      <c r="A1607" s="30" t="s">
        <v>12248</v>
      </c>
      <c r="B1607" s="30" t="s">
        <v>12249</v>
      </c>
      <c r="C1607" s="32">
        <v>86.38</v>
      </c>
      <c r="D1607" s="30">
        <v>2.52</v>
      </c>
      <c r="E1607" s="31">
        <v>3.005E-2</v>
      </c>
      <c r="F1607" s="30">
        <v>1523621836</v>
      </c>
      <c r="G1607" s="30" t="s">
        <v>5427</v>
      </c>
      <c r="H1607" s="30"/>
      <c r="I1607" s="30">
        <v>149168</v>
      </c>
      <c r="J1607" s="30" t="s">
        <v>5426</v>
      </c>
      <c r="K1607" s="30" t="s">
        <v>5490</v>
      </c>
    </row>
    <row r="1608" spans="1:11" x14ac:dyDescent="0.35">
      <c r="A1608" s="30" t="s">
        <v>12250</v>
      </c>
      <c r="B1608" s="30" t="s">
        <v>12251</v>
      </c>
      <c r="C1608" s="32">
        <v>252.75</v>
      </c>
      <c r="D1608" s="30">
        <v>4.9400000000000004</v>
      </c>
      <c r="E1608" s="31">
        <v>1.993E-2</v>
      </c>
      <c r="F1608" s="30">
        <v>1881421342966</v>
      </c>
      <c r="G1608" s="30" t="s">
        <v>5427</v>
      </c>
      <c r="H1608" s="30">
        <v>1986</v>
      </c>
      <c r="I1608" s="30">
        <v>31136136</v>
      </c>
      <c r="J1608" s="30" t="s">
        <v>5219</v>
      </c>
      <c r="K1608" s="30" t="s">
        <v>5560</v>
      </c>
    </row>
    <row r="1609" spans="1:11" x14ac:dyDescent="0.35">
      <c r="A1609" s="30" t="s">
        <v>12252</v>
      </c>
      <c r="B1609" s="30" t="s">
        <v>12253</v>
      </c>
      <c r="C1609" s="32">
        <v>10.23</v>
      </c>
      <c r="D1609" s="30">
        <v>0.04</v>
      </c>
      <c r="E1609" s="31">
        <v>3.9300000000000003E-3</v>
      </c>
      <c r="F1609" s="30">
        <v>150125250</v>
      </c>
      <c r="G1609" s="30" t="s">
        <v>5427</v>
      </c>
      <c r="H1609" s="30">
        <v>2022</v>
      </c>
      <c r="I1609" s="30">
        <v>100</v>
      </c>
      <c r="J1609" s="30" t="s">
        <v>5435</v>
      </c>
      <c r="K1609" s="30" t="s">
        <v>5482</v>
      </c>
    </row>
    <row r="1610" spans="1:11" x14ac:dyDescent="0.35">
      <c r="A1610" s="30" t="s">
        <v>12254</v>
      </c>
      <c r="B1610" s="30" t="s">
        <v>12255</v>
      </c>
      <c r="C1610" s="32">
        <v>267.92</v>
      </c>
      <c r="D1610" s="30">
        <v>16.190000000000001</v>
      </c>
      <c r="E1610" s="31">
        <v>6.4310000000000006E-2</v>
      </c>
      <c r="F1610" s="30">
        <v>3090803888</v>
      </c>
      <c r="G1610" s="30" t="s">
        <v>5427</v>
      </c>
      <c r="H1610" s="30">
        <v>1998</v>
      </c>
      <c r="I1610" s="30">
        <v>650197</v>
      </c>
      <c r="J1610" s="30" t="s">
        <v>5219</v>
      </c>
      <c r="K1610" s="30" t="s">
        <v>5560</v>
      </c>
    </row>
    <row r="1611" spans="1:11" x14ac:dyDescent="0.35">
      <c r="A1611" s="30" t="s">
        <v>12256</v>
      </c>
      <c r="B1611" s="30" t="s">
        <v>12257</v>
      </c>
      <c r="C1611" s="32">
        <v>10.09</v>
      </c>
      <c r="D1611" s="30">
        <v>0</v>
      </c>
      <c r="E1611" s="31">
        <v>0</v>
      </c>
      <c r="F1611" s="30">
        <v>82772528</v>
      </c>
      <c r="G1611" s="30" t="s">
        <v>5427</v>
      </c>
      <c r="H1611" s="30">
        <v>2021</v>
      </c>
      <c r="I1611" s="30">
        <v>5</v>
      </c>
      <c r="J1611" s="30" t="s">
        <v>5457</v>
      </c>
      <c r="K1611" s="30" t="s">
        <v>5571</v>
      </c>
    </row>
    <row r="1612" spans="1:11" x14ac:dyDescent="0.35">
      <c r="A1612" s="30" t="s">
        <v>12258</v>
      </c>
      <c r="B1612" s="30" t="s">
        <v>12259</v>
      </c>
      <c r="C1612" s="32">
        <v>51.41</v>
      </c>
      <c r="D1612" s="30">
        <v>-2.71</v>
      </c>
      <c r="E1612" s="31">
        <v>-5.0070000000000003E-2</v>
      </c>
      <c r="F1612" s="30">
        <v>14359126909</v>
      </c>
      <c r="G1612" s="30" t="s">
        <v>5427</v>
      </c>
      <c r="H1612" s="30"/>
      <c r="I1612" s="30">
        <v>14187345</v>
      </c>
      <c r="J1612" s="30" t="s">
        <v>5219</v>
      </c>
      <c r="K1612" s="30" t="s">
        <v>10991</v>
      </c>
    </row>
    <row r="1613" spans="1:11" x14ac:dyDescent="0.35">
      <c r="A1613" s="30" t="s">
        <v>12260</v>
      </c>
      <c r="B1613" s="30" t="s">
        <v>12261</v>
      </c>
      <c r="C1613" s="32">
        <v>10.82</v>
      </c>
      <c r="D1613" s="30">
        <v>0.28000000000000003</v>
      </c>
      <c r="E1613" s="31">
        <v>2.657E-2</v>
      </c>
      <c r="F1613" s="30">
        <v>639067297</v>
      </c>
      <c r="G1613" s="30" t="s">
        <v>8520</v>
      </c>
      <c r="H1613" s="30">
        <v>2014</v>
      </c>
      <c r="I1613" s="30">
        <v>206535</v>
      </c>
      <c r="J1613" s="30" t="s">
        <v>5219</v>
      </c>
      <c r="K1613" s="30" t="s">
        <v>5560</v>
      </c>
    </row>
    <row r="1614" spans="1:11" x14ac:dyDescent="0.35">
      <c r="A1614" s="30" t="s">
        <v>12262</v>
      </c>
      <c r="B1614" s="30" t="s">
        <v>12263</v>
      </c>
      <c r="C1614" s="32">
        <v>8.57</v>
      </c>
      <c r="D1614" s="30">
        <v>0.5</v>
      </c>
      <c r="E1614" s="31">
        <v>6.1960000000000001E-2</v>
      </c>
      <c r="F1614" s="30">
        <v>231624158</v>
      </c>
      <c r="G1614" s="30" t="s">
        <v>5427</v>
      </c>
      <c r="H1614" s="30">
        <v>1990</v>
      </c>
      <c r="I1614" s="30">
        <v>191770</v>
      </c>
      <c r="J1614" s="30" t="s">
        <v>5442</v>
      </c>
      <c r="K1614" s="30" t="s">
        <v>5701</v>
      </c>
    </row>
    <row r="1615" spans="1:11" x14ac:dyDescent="0.35">
      <c r="A1615" s="30" t="s">
        <v>12264</v>
      </c>
      <c r="B1615" s="30" t="s">
        <v>12265</v>
      </c>
      <c r="C1615" s="32">
        <v>10.5</v>
      </c>
      <c r="D1615" s="30">
        <v>-0.06</v>
      </c>
      <c r="E1615" s="31">
        <v>-5.6800000000000002E-3</v>
      </c>
      <c r="F1615" s="30">
        <v>51391032</v>
      </c>
      <c r="G1615" s="30" t="s">
        <v>5427</v>
      </c>
      <c r="H1615" s="30">
        <v>2021</v>
      </c>
      <c r="I1615" s="30">
        <v>100</v>
      </c>
      <c r="J1615" s="30" t="s">
        <v>5457</v>
      </c>
      <c r="K1615" s="30" t="s">
        <v>5571</v>
      </c>
    </row>
    <row r="1616" spans="1:11" x14ac:dyDescent="0.35">
      <c r="A1616" s="30" t="s">
        <v>12266</v>
      </c>
      <c r="B1616" s="30" t="s">
        <v>12267</v>
      </c>
      <c r="C1616" s="32">
        <v>68.53</v>
      </c>
      <c r="D1616" s="30">
        <v>1.51</v>
      </c>
      <c r="E1616" s="31">
        <v>2.2530000000000001E-2</v>
      </c>
      <c r="F1616" s="30">
        <v>4847348595</v>
      </c>
      <c r="G1616" s="30" t="s">
        <v>5427</v>
      </c>
      <c r="H1616" s="30">
        <v>2012</v>
      </c>
      <c r="I1616" s="30">
        <v>552833</v>
      </c>
      <c r="J1616" s="30" t="s">
        <v>5219</v>
      </c>
      <c r="K1616" s="30" t="s">
        <v>5526</v>
      </c>
    </row>
    <row r="1617" spans="1:11" x14ac:dyDescent="0.35">
      <c r="A1617" s="30" t="s">
        <v>12268</v>
      </c>
      <c r="B1617" s="30" t="s">
        <v>12269</v>
      </c>
      <c r="C1617" s="32">
        <v>3.72</v>
      </c>
      <c r="D1617" s="30">
        <v>0.2</v>
      </c>
      <c r="E1617" s="31">
        <v>5.6820000000000002E-2</v>
      </c>
      <c r="F1617" s="30">
        <v>1069289887</v>
      </c>
      <c r="G1617" s="30" t="s">
        <v>5427</v>
      </c>
      <c r="H1617" s="30">
        <v>2021</v>
      </c>
      <c r="I1617" s="30">
        <v>3118786</v>
      </c>
      <c r="J1617" s="30" t="s">
        <v>5219</v>
      </c>
      <c r="K1617" s="30" t="s">
        <v>5560</v>
      </c>
    </row>
    <row r="1618" spans="1:11" x14ac:dyDescent="0.35">
      <c r="A1618" s="30" t="s">
        <v>12270</v>
      </c>
      <c r="B1618" s="30" t="s">
        <v>12271</v>
      </c>
      <c r="C1618" s="32">
        <v>62.6</v>
      </c>
      <c r="D1618" s="30">
        <v>2.2999999999999998</v>
      </c>
      <c r="E1618" s="31">
        <v>3.814E-2</v>
      </c>
      <c r="F1618" s="30">
        <v>68307652155</v>
      </c>
      <c r="G1618" s="30" t="s">
        <v>5427</v>
      </c>
      <c r="H1618" s="30"/>
      <c r="I1618" s="30">
        <v>20890536</v>
      </c>
      <c r="J1618" s="30" t="s">
        <v>5219</v>
      </c>
      <c r="K1618" s="30" t="s">
        <v>5526</v>
      </c>
    </row>
    <row r="1619" spans="1:11" x14ac:dyDescent="0.35">
      <c r="A1619" s="30" t="s">
        <v>12272</v>
      </c>
      <c r="B1619" s="30" t="s">
        <v>12273</v>
      </c>
      <c r="C1619" s="32">
        <v>0.3513</v>
      </c>
      <c r="D1619" s="30">
        <v>7.4000000000000003E-3</v>
      </c>
      <c r="E1619" s="31">
        <v>2.1520000000000001E-2</v>
      </c>
      <c r="F1619" s="30">
        <v>595995859</v>
      </c>
      <c r="G1619" s="30" t="s">
        <v>5427</v>
      </c>
      <c r="H1619" s="30"/>
      <c r="I1619" s="30">
        <v>149383805</v>
      </c>
      <c r="J1619" s="30" t="s">
        <v>5442</v>
      </c>
      <c r="K1619" s="30" t="s">
        <v>5926</v>
      </c>
    </row>
    <row r="1620" spans="1:11" x14ac:dyDescent="0.35">
      <c r="A1620" s="30" t="s">
        <v>12274</v>
      </c>
      <c r="B1620" s="30" t="s">
        <v>12275</v>
      </c>
      <c r="C1620" s="32">
        <v>10.345000000000001</v>
      </c>
      <c r="D1620" s="30">
        <v>3.7600000000000001E-2</v>
      </c>
      <c r="E1620" s="31">
        <v>3.65E-3</v>
      </c>
      <c r="F1620" s="30">
        <v>178815911</v>
      </c>
      <c r="G1620" s="30" t="s">
        <v>5427</v>
      </c>
      <c r="H1620" s="30">
        <v>2022</v>
      </c>
      <c r="I1620" s="30">
        <v>7370</v>
      </c>
      <c r="J1620" s="30" t="s">
        <v>5457</v>
      </c>
      <c r="K1620" s="30" t="s">
        <v>5571</v>
      </c>
    </row>
    <row r="1621" spans="1:11" x14ac:dyDescent="0.35">
      <c r="A1621" s="30" t="s">
        <v>12276</v>
      </c>
      <c r="B1621" s="30" t="s">
        <v>12277</v>
      </c>
      <c r="C1621" s="32">
        <v>22.67</v>
      </c>
      <c r="D1621" s="30">
        <v>0.59</v>
      </c>
      <c r="E1621" s="31">
        <v>2.6720000000000001E-2</v>
      </c>
      <c r="F1621" s="30">
        <v>286003927</v>
      </c>
      <c r="G1621" s="30" t="s">
        <v>5427</v>
      </c>
      <c r="H1621" s="30"/>
      <c r="I1621" s="30">
        <v>24055</v>
      </c>
      <c r="J1621" s="30" t="s">
        <v>5435</v>
      </c>
      <c r="K1621" s="30" t="s">
        <v>6556</v>
      </c>
    </row>
    <row r="1622" spans="1:11" x14ac:dyDescent="0.35">
      <c r="A1622" s="30" t="s">
        <v>12278</v>
      </c>
      <c r="B1622" s="30" t="s">
        <v>12279</v>
      </c>
      <c r="C1622" s="32">
        <v>2.94</v>
      </c>
      <c r="D1622" s="30">
        <v>0.43</v>
      </c>
      <c r="E1622" s="31">
        <v>0.17130999999999999</v>
      </c>
      <c r="F1622" s="30">
        <v>488143756</v>
      </c>
      <c r="G1622" s="30" t="s">
        <v>5427</v>
      </c>
      <c r="H1622" s="30">
        <v>1996</v>
      </c>
      <c r="I1622" s="30">
        <v>6868412</v>
      </c>
      <c r="J1622" s="30" t="s">
        <v>5457</v>
      </c>
      <c r="K1622" s="30" t="s">
        <v>5644</v>
      </c>
    </row>
    <row r="1623" spans="1:11" x14ac:dyDescent="0.35">
      <c r="A1623" s="30" t="s">
        <v>12280</v>
      </c>
      <c r="B1623" s="30" t="s">
        <v>12281</v>
      </c>
      <c r="C1623" s="32">
        <v>1.63</v>
      </c>
      <c r="D1623" s="30">
        <v>0</v>
      </c>
      <c r="E1623" s="31">
        <v>0</v>
      </c>
      <c r="F1623" s="30">
        <v>504146069</v>
      </c>
      <c r="G1623" s="30" t="s">
        <v>5427</v>
      </c>
      <c r="H1623" s="30">
        <v>2019</v>
      </c>
      <c r="I1623" s="30">
        <v>2175208</v>
      </c>
      <c r="J1623" s="30" t="s">
        <v>5457</v>
      </c>
      <c r="K1623" s="30" t="s">
        <v>5644</v>
      </c>
    </row>
    <row r="1624" spans="1:11" x14ac:dyDescent="0.35">
      <c r="A1624" s="30" t="s">
        <v>12282</v>
      </c>
      <c r="B1624" s="30" t="s">
        <v>12283</v>
      </c>
      <c r="C1624" s="32">
        <v>5.69</v>
      </c>
      <c r="D1624" s="30">
        <v>-0.15</v>
      </c>
      <c r="E1624" s="31">
        <v>-2.5680000000000001E-2</v>
      </c>
      <c r="F1624" s="30">
        <v>580646116</v>
      </c>
      <c r="G1624" s="30" t="s">
        <v>5427</v>
      </c>
      <c r="H1624" s="30">
        <v>2021</v>
      </c>
      <c r="I1624" s="30">
        <v>303881</v>
      </c>
      <c r="J1624" s="30" t="s">
        <v>5431</v>
      </c>
      <c r="K1624" s="30" t="s">
        <v>6537</v>
      </c>
    </row>
    <row r="1625" spans="1:11" x14ac:dyDescent="0.35">
      <c r="A1625" s="30" t="s">
        <v>12284</v>
      </c>
      <c r="B1625" s="30" t="s">
        <v>12285</v>
      </c>
      <c r="C1625" s="32">
        <v>43.24</v>
      </c>
      <c r="D1625" s="30">
        <v>2.04</v>
      </c>
      <c r="E1625" s="31">
        <v>4.9509999999999998E-2</v>
      </c>
      <c r="F1625" s="30">
        <v>3397190294</v>
      </c>
      <c r="G1625" s="30" t="s">
        <v>5427</v>
      </c>
      <c r="H1625" s="30">
        <v>2010</v>
      </c>
      <c r="I1625" s="30">
        <v>785106</v>
      </c>
      <c r="J1625" s="30" t="s">
        <v>5219</v>
      </c>
      <c r="K1625" s="30" t="s">
        <v>5526</v>
      </c>
    </row>
    <row r="1626" spans="1:11" x14ac:dyDescent="0.35">
      <c r="A1626" s="30" t="s">
        <v>12286</v>
      </c>
      <c r="B1626" s="30" t="s">
        <v>12287</v>
      </c>
      <c r="C1626" s="32">
        <v>27</v>
      </c>
      <c r="D1626" s="30">
        <v>0.75</v>
      </c>
      <c r="E1626" s="31">
        <v>2.8570000000000002E-2</v>
      </c>
      <c r="F1626" s="30">
        <v>256376880</v>
      </c>
      <c r="G1626" s="30" t="s">
        <v>5427</v>
      </c>
      <c r="H1626" s="30">
        <v>2018</v>
      </c>
      <c r="I1626" s="30">
        <v>46650</v>
      </c>
      <c r="J1626" s="30" t="s">
        <v>5435</v>
      </c>
      <c r="K1626" s="30" t="s">
        <v>5579</v>
      </c>
    </row>
    <row r="1627" spans="1:11" x14ac:dyDescent="0.35">
      <c r="A1627" s="30" t="s">
        <v>12288</v>
      </c>
      <c r="B1627" s="30" t="s">
        <v>12289</v>
      </c>
      <c r="C1627" s="32">
        <v>19.940000000000001</v>
      </c>
      <c r="D1627" s="30">
        <v>0.22</v>
      </c>
      <c r="E1627" s="31">
        <v>1.116E-2</v>
      </c>
      <c r="F1627" s="30">
        <v>1615814291</v>
      </c>
      <c r="G1627" s="30" t="s">
        <v>5427</v>
      </c>
      <c r="H1627" s="30">
        <v>1995</v>
      </c>
      <c r="I1627" s="30">
        <v>594273</v>
      </c>
      <c r="J1627" s="30" t="s">
        <v>5431</v>
      </c>
      <c r="K1627" s="30" t="s">
        <v>9105</v>
      </c>
    </row>
    <row r="1628" spans="1:11" x14ac:dyDescent="0.35">
      <c r="A1628" s="30" t="s">
        <v>12290</v>
      </c>
      <c r="B1628" s="30" t="s">
        <v>12291</v>
      </c>
      <c r="C1628" s="32">
        <v>2.86</v>
      </c>
      <c r="D1628" s="30">
        <v>0.16</v>
      </c>
      <c r="E1628" s="31">
        <v>5.926E-2</v>
      </c>
      <c r="F1628" s="30">
        <v>112884226</v>
      </c>
      <c r="G1628" s="30" t="s">
        <v>5427</v>
      </c>
      <c r="H1628" s="30">
        <v>2014</v>
      </c>
      <c r="I1628" s="30">
        <v>594552</v>
      </c>
      <c r="J1628" s="30" t="s">
        <v>5431</v>
      </c>
      <c r="K1628" s="30" t="s">
        <v>5685</v>
      </c>
    </row>
    <row r="1629" spans="1:11" x14ac:dyDescent="0.35">
      <c r="A1629" s="30" t="s">
        <v>12292</v>
      </c>
      <c r="B1629" s="30" t="s">
        <v>12293</v>
      </c>
      <c r="C1629" s="32">
        <v>4.24</v>
      </c>
      <c r="D1629" s="30">
        <v>-0.35</v>
      </c>
      <c r="E1629" s="31">
        <v>-7.6249999999999998E-2</v>
      </c>
      <c r="F1629" s="30">
        <v>88920398</v>
      </c>
      <c r="G1629" s="30" t="s">
        <v>6263</v>
      </c>
      <c r="H1629" s="30">
        <v>2021</v>
      </c>
      <c r="I1629" s="30">
        <v>16659</v>
      </c>
      <c r="J1629" s="30"/>
      <c r="K1629" s="30"/>
    </row>
    <row r="1630" spans="1:11" x14ac:dyDescent="0.35">
      <c r="A1630" s="30" t="s">
        <v>12294</v>
      </c>
      <c r="B1630" s="30" t="s">
        <v>12295</v>
      </c>
      <c r="C1630" s="32">
        <v>6.71</v>
      </c>
      <c r="D1630" s="30">
        <v>0.11</v>
      </c>
      <c r="E1630" s="31">
        <v>1.6670000000000001E-2</v>
      </c>
      <c r="F1630" s="30">
        <v>97247849</v>
      </c>
      <c r="G1630" s="30" t="s">
        <v>6263</v>
      </c>
      <c r="H1630" s="30">
        <v>2021</v>
      </c>
      <c r="I1630" s="30">
        <v>1623</v>
      </c>
      <c r="J1630" s="30" t="s">
        <v>5431</v>
      </c>
      <c r="K1630" s="30" t="s">
        <v>5430</v>
      </c>
    </row>
    <row r="1631" spans="1:11" x14ac:dyDescent="0.35">
      <c r="A1631" s="30" t="s">
        <v>12296</v>
      </c>
      <c r="B1631" s="30" t="s">
        <v>12297</v>
      </c>
      <c r="C1631" s="32">
        <v>4.42</v>
      </c>
      <c r="D1631" s="30">
        <v>-0.2</v>
      </c>
      <c r="E1631" s="31">
        <v>-4.3290000000000002E-2</v>
      </c>
      <c r="F1631" s="30">
        <v>574091797</v>
      </c>
      <c r="G1631" s="30" t="s">
        <v>5427</v>
      </c>
      <c r="H1631" s="30">
        <v>2020</v>
      </c>
      <c r="I1631" s="30">
        <v>371765</v>
      </c>
      <c r="J1631" s="30" t="s">
        <v>5219</v>
      </c>
      <c r="K1631" s="30" t="s">
        <v>5447</v>
      </c>
    </row>
    <row r="1632" spans="1:11" x14ac:dyDescent="0.35">
      <c r="A1632" s="30" t="s">
        <v>12298</v>
      </c>
      <c r="B1632" s="30" t="s">
        <v>12299</v>
      </c>
      <c r="C1632" s="32">
        <v>99.26</v>
      </c>
      <c r="D1632" s="30">
        <v>0.2</v>
      </c>
      <c r="E1632" s="31">
        <v>2.0200000000000001E-3</v>
      </c>
      <c r="F1632" s="30">
        <v>1647790842</v>
      </c>
      <c r="G1632" s="30" t="s">
        <v>5427</v>
      </c>
      <c r="H1632" s="30">
        <v>2008</v>
      </c>
      <c r="I1632" s="30">
        <v>78039</v>
      </c>
      <c r="J1632" s="30" t="s">
        <v>5457</v>
      </c>
      <c r="K1632" s="30" t="s">
        <v>6933</v>
      </c>
    </row>
    <row r="1633" spans="1:11" x14ac:dyDescent="0.35">
      <c r="A1633" s="30" t="s">
        <v>12300</v>
      </c>
      <c r="B1633" s="30" t="s">
        <v>12301</v>
      </c>
      <c r="C1633" s="32">
        <v>8.75</v>
      </c>
      <c r="D1633" s="30">
        <v>-0.15</v>
      </c>
      <c r="E1633" s="31">
        <v>-1.685E-2</v>
      </c>
      <c r="F1633" s="30">
        <v>53038414</v>
      </c>
      <c r="G1633" s="30" t="s">
        <v>5427</v>
      </c>
      <c r="H1633" s="30"/>
      <c r="I1633" s="30">
        <v>8030</v>
      </c>
      <c r="J1633" s="30" t="s">
        <v>5442</v>
      </c>
      <c r="K1633" s="30" t="s">
        <v>5735</v>
      </c>
    </row>
    <row r="1634" spans="1:11" x14ac:dyDescent="0.35">
      <c r="A1634" s="30" t="s">
        <v>12302</v>
      </c>
      <c r="B1634" s="30" t="s">
        <v>12303</v>
      </c>
      <c r="C1634" s="32">
        <v>12.824999999999999</v>
      </c>
      <c r="D1634" s="30">
        <v>-0.55000000000000004</v>
      </c>
      <c r="E1634" s="31">
        <v>-4.1119999999999997E-2</v>
      </c>
      <c r="F1634" s="30">
        <v>1046004179</v>
      </c>
      <c r="G1634" s="30" t="s">
        <v>6073</v>
      </c>
      <c r="H1634" s="30"/>
      <c r="I1634" s="30">
        <v>128157</v>
      </c>
      <c r="J1634" s="30"/>
      <c r="K1634" s="30"/>
    </row>
    <row r="1635" spans="1:11" x14ac:dyDescent="0.35">
      <c r="A1635" s="30" t="s">
        <v>12304</v>
      </c>
      <c r="B1635" s="30" t="s">
        <v>12305</v>
      </c>
      <c r="C1635" s="32">
        <v>57.39</v>
      </c>
      <c r="D1635" s="30">
        <v>0.34</v>
      </c>
      <c r="E1635" s="31">
        <v>5.96E-3</v>
      </c>
      <c r="F1635" s="30">
        <v>3079137062</v>
      </c>
      <c r="G1635" s="30" t="s">
        <v>5427</v>
      </c>
      <c r="H1635" s="30">
        <v>2020</v>
      </c>
      <c r="I1635" s="30">
        <v>842563</v>
      </c>
      <c r="J1635" s="30" t="s">
        <v>5431</v>
      </c>
      <c r="K1635" s="30" t="s">
        <v>6537</v>
      </c>
    </row>
    <row r="1636" spans="1:11" x14ac:dyDescent="0.35">
      <c r="A1636" s="30" t="s">
        <v>12306</v>
      </c>
      <c r="B1636" s="30" t="s">
        <v>12307</v>
      </c>
      <c r="C1636" s="32">
        <v>71.84</v>
      </c>
      <c r="D1636" s="30">
        <v>-2.04</v>
      </c>
      <c r="E1636" s="31">
        <v>-2.7609999999999999E-2</v>
      </c>
      <c r="F1636" s="30">
        <v>293087085</v>
      </c>
      <c r="G1636" s="30" t="s">
        <v>5427</v>
      </c>
      <c r="H1636" s="30">
        <v>1993</v>
      </c>
      <c r="I1636" s="30">
        <v>5710</v>
      </c>
      <c r="J1636" s="30" t="s">
        <v>5442</v>
      </c>
      <c r="K1636" s="30" t="s">
        <v>5441</v>
      </c>
    </row>
    <row r="1637" spans="1:11" x14ac:dyDescent="0.35">
      <c r="A1637" s="30" t="s">
        <v>12308</v>
      </c>
      <c r="B1637" s="30" t="s">
        <v>12309</v>
      </c>
      <c r="C1637" s="32">
        <v>54.49</v>
      </c>
      <c r="D1637" s="30">
        <v>0.49</v>
      </c>
      <c r="E1637" s="31">
        <v>9.0699999999999999E-3</v>
      </c>
      <c r="F1637" s="30">
        <v>7114679690</v>
      </c>
      <c r="G1637" s="30" t="s">
        <v>5427</v>
      </c>
      <c r="H1637" s="30">
        <v>1995</v>
      </c>
      <c r="I1637" s="30">
        <v>2074636</v>
      </c>
      <c r="J1637" s="30" t="s">
        <v>5219</v>
      </c>
      <c r="K1637" s="30" t="s">
        <v>5560</v>
      </c>
    </row>
    <row r="1638" spans="1:11" x14ac:dyDescent="0.35">
      <c r="A1638" s="30" t="s">
        <v>12310</v>
      </c>
      <c r="B1638" s="30" t="s">
        <v>12311</v>
      </c>
      <c r="C1638" s="32">
        <v>10.29</v>
      </c>
      <c r="D1638" s="30">
        <v>-0.27</v>
      </c>
      <c r="E1638" s="31">
        <v>-2.5569999999999999E-2</v>
      </c>
      <c r="F1638" s="30">
        <v>197224674</v>
      </c>
      <c r="G1638" s="30" t="s">
        <v>5427</v>
      </c>
      <c r="H1638" s="30"/>
      <c r="I1638" s="30">
        <v>74992</v>
      </c>
      <c r="J1638" s="30" t="s">
        <v>5541</v>
      </c>
      <c r="K1638" s="30" t="s">
        <v>5774</v>
      </c>
    </row>
    <row r="1639" spans="1:11" x14ac:dyDescent="0.35">
      <c r="A1639" s="30" t="s">
        <v>12312</v>
      </c>
      <c r="B1639" s="30" t="s">
        <v>12313</v>
      </c>
      <c r="C1639" s="32">
        <v>2</v>
      </c>
      <c r="D1639" s="30">
        <v>0.04</v>
      </c>
      <c r="E1639" s="31">
        <v>2.0410000000000001E-2</v>
      </c>
      <c r="F1639" s="30">
        <v>249447050</v>
      </c>
      <c r="G1639" s="30" t="s">
        <v>5427</v>
      </c>
      <c r="H1639" s="30">
        <v>2020</v>
      </c>
      <c r="I1639" s="30">
        <v>108281</v>
      </c>
      <c r="J1639" s="30" t="s">
        <v>5431</v>
      </c>
      <c r="K1639" s="30" t="s">
        <v>5430</v>
      </c>
    </row>
    <row r="1640" spans="1:11" x14ac:dyDescent="0.35">
      <c r="A1640" s="30" t="s">
        <v>12314</v>
      </c>
      <c r="B1640" s="30" t="s">
        <v>12315</v>
      </c>
      <c r="C1640" s="32">
        <v>19.12</v>
      </c>
      <c r="D1640" s="30">
        <v>0.15</v>
      </c>
      <c r="E1640" s="31">
        <v>7.9100000000000004E-3</v>
      </c>
      <c r="F1640" s="30">
        <v>2485600000</v>
      </c>
      <c r="G1640" s="30" t="s">
        <v>5427</v>
      </c>
      <c r="H1640" s="30"/>
      <c r="I1640" s="30">
        <v>971525</v>
      </c>
      <c r="J1640" s="30" t="s">
        <v>5435</v>
      </c>
      <c r="K1640" s="30" t="s">
        <v>5598</v>
      </c>
    </row>
    <row r="1641" spans="1:11" x14ac:dyDescent="0.35">
      <c r="A1641" s="30" t="s">
        <v>12316</v>
      </c>
      <c r="B1641" s="30" t="s">
        <v>12317</v>
      </c>
      <c r="C1641" s="32">
        <v>110.22</v>
      </c>
      <c r="D1641" s="30">
        <v>-0.71</v>
      </c>
      <c r="E1641" s="31">
        <v>-6.4000000000000003E-3</v>
      </c>
      <c r="F1641" s="30">
        <v>10595932245</v>
      </c>
      <c r="G1641" s="30" t="s">
        <v>5427</v>
      </c>
      <c r="H1641" s="30">
        <v>1996</v>
      </c>
      <c r="I1641" s="30">
        <v>817255</v>
      </c>
      <c r="J1641" s="30" t="s">
        <v>5431</v>
      </c>
      <c r="K1641" s="30" t="s">
        <v>6409</v>
      </c>
    </row>
    <row r="1642" spans="1:11" x14ac:dyDescent="0.35">
      <c r="A1642" s="30" t="s">
        <v>12318</v>
      </c>
      <c r="B1642" s="30" t="s">
        <v>12319</v>
      </c>
      <c r="C1642" s="32">
        <v>46.88</v>
      </c>
      <c r="D1642" s="30">
        <v>-0.32</v>
      </c>
      <c r="E1642" s="31">
        <v>-6.7799999999999996E-3</v>
      </c>
      <c r="F1642" s="30">
        <v>349129518</v>
      </c>
      <c r="G1642" s="30" t="s">
        <v>5427</v>
      </c>
      <c r="H1642" s="30"/>
      <c r="I1642" s="30">
        <v>13605</v>
      </c>
      <c r="J1642" s="30" t="s">
        <v>5435</v>
      </c>
      <c r="K1642" s="30" t="s">
        <v>5579</v>
      </c>
    </row>
    <row r="1643" spans="1:11" x14ac:dyDescent="0.35">
      <c r="A1643" s="30" t="s">
        <v>12320</v>
      </c>
      <c r="B1643" s="30" t="s">
        <v>12321</v>
      </c>
      <c r="C1643" s="32">
        <v>10.07</v>
      </c>
      <c r="D1643" s="30">
        <v>0</v>
      </c>
      <c r="E1643" s="31">
        <v>0</v>
      </c>
      <c r="F1643" s="30">
        <v>167784326</v>
      </c>
      <c r="G1643" s="30" t="s">
        <v>5427</v>
      </c>
      <c r="H1643" s="30">
        <v>2021</v>
      </c>
      <c r="I1643" s="30">
        <v>52</v>
      </c>
      <c r="J1643" s="30" t="s">
        <v>5457</v>
      </c>
      <c r="K1643" s="30" t="s">
        <v>5571</v>
      </c>
    </row>
    <row r="1644" spans="1:11" x14ac:dyDescent="0.35">
      <c r="A1644" s="30" t="s">
        <v>12322</v>
      </c>
      <c r="B1644" s="30" t="s">
        <v>12323</v>
      </c>
      <c r="C1644" s="32">
        <v>39.86</v>
      </c>
      <c r="D1644" s="30">
        <v>0.55000000000000004</v>
      </c>
      <c r="E1644" s="31">
        <v>1.3990000000000001E-2</v>
      </c>
      <c r="F1644" s="30">
        <v>1707598534</v>
      </c>
      <c r="G1644" s="30" t="s">
        <v>5427</v>
      </c>
      <c r="H1644" s="30"/>
      <c r="I1644" s="30">
        <v>294969</v>
      </c>
      <c r="J1644" s="30" t="s">
        <v>5435</v>
      </c>
      <c r="K1644" s="30" t="s">
        <v>5579</v>
      </c>
    </row>
    <row r="1645" spans="1:11" x14ac:dyDescent="0.35">
      <c r="A1645" s="30" t="s">
        <v>12324</v>
      </c>
      <c r="B1645" s="30" t="s">
        <v>12325</v>
      </c>
      <c r="C1645" s="32">
        <v>4.2</v>
      </c>
      <c r="D1645" s="30">
        <v>-6.59E-2</v>
      </c>
      <c r="E1645" s="31">
        <v>-1.545E-2</v>
      </c>
      <c r="F1645" s="30">
        <v>146385767</v>
      </c>
      <c r="G1645" s="30" t="s">
        <v>5847</v>
      </c>
      <c r="H1645" s="30">
        <v>2020</v>
      </c>
      <c r="I1645" s="30">
        <v>8127</v>
      </c>
      <c r="J1645" s="30" t="s">
        <v>5431</v>
      </c>
      <c r="K1645" s="30" t="s">
        <v>5430</v>
      </c>
    </row>
    <row r="1646" spans="1:11" x14ac:dyDescent="0.35">
      <c r="A1646" s="30" t="s">
        <v>12326</v>
      </c>
      <c r="B1646" s="30" t="s">
        <v>12327</v>
      </c>
      <c r="C1646" s="32">
        <v>10.5207</v>
      </c>
      <c r="D1646" s="30">
        <v>0</v>
      </c>
      <c r="E1646" s="31">
        <v>0</v>
      </c>
      <c r="F1646" s="30">
        <v>344568706</v>
      </c>
      <c r="G1646" s="30" t="s">
        <v>5427</v>
      </c>
      <c r="H1646" s="30">
        <v>2021</v>
      </c>
      <c r="I1646" s="30">
        <v>20</v>
      </c>
      <c r="J1646" s="30" t="s">
        <v>5435</v>
      </c>
      <c r="K1646" s="30" t="s">
        <v>5482</v>
      </c>
    </row>
    <row r="1647" spans="1:11" x14ac:dyDescent="0.35">
      <c r="A1647" s="30" t="s">
        <v>12328</v>
      </c>
      <c r="B1647" s="30" t="s">
        <v>12329</v>
      </c>
      <c r="C1647" s="32">
        <v>10.57</v>
      </c>
      <c r="D1647" s="30">
        <v>0.16</v>
      </c>
      <c r="E1647" s="31">
        <v>1.537E-2</v>
      </c>
      <c r="F1647" s="30">
        <v>345374750</v>
      </c>
      <c r="G1647" s="30" t="s">
        <v>5427</v>
      </c>
      <c r="H1647" s="30">
        <v>2021</v>
      </c>
      <c r="I1647" s="30">
        <v>1800</v>
      </c>
      <c r="J1647" s="30" t="s">
        <v>5435</v>
      </c>
      <c r="K1647" s="30" t="s">
        <v>5482</v>
      </c>
    </row>
    <row r="1648" spans="1:11" x14ac:dyDescent="0.35">
      <c r="A1648" s="30" t="s">
        <v>12330</v>
      </c>
      <c r="B1648" s="30" t="s">
        <v>12331</v>
      </c>
      <c r="C1648" s="32">
        <v>1.58</v>
      </c>
      <c r="D1648" s="30">
        <v>7.0000000000000007E-2</v>
      </c>
      <c r="E1648" s="31">
        <v>4.6359999999999998E-2</v>
      </c>
      <c r="F1648" s="30">
        <v>82469680</v>
      </c>
      <c r="G1648" s="30" t="s">
        <v>5775</v>
      </c>
      <c r="H1648" s="30">
        <v>2017</v>
      </c>
      <c r="I1648" s="30">
        <v>125171</v>
      </c>
      <c r="J1648" s="30" t="s">
        <v>5431</v>
      </c>
      <c r="K1648" s="30" t="s">
        <v>5430</v>
      </c>
    </row>
    <row r="1649" spans="1:11" x14ac:dyDescent="0.35">
      <c r="A1649" s="30" t="s">
        <v>12332</v>
      </c>
      <c r="B1649" s="30" t="s">
        <v>12333</v>
      </c>
      <c r="C1649" s="32">
        <v>29.97</v>
      </c>
      <c r="D1649" s="30">
        <v>1.37</v>
      </c>
      <c r="E1649" s="31">
        <v>4.7899999999999998E-2</v>
      </c>
      <c r="F1649" s="30">
        <v>3327704654</v>
      </c>
      <c r="G1649" s="30" t="s">
        <v>5427</v>
      </c>
      <c r="H1649" s="30">
        <v>2020</v>
      </c>
      <c r="I1649" s="30">
        <v>497106</v>
      </c>
      <c r="J1649" s="30" t="s">
        <v>5219</v>
      </c>
      <c r="K1649" s="30" t="s">
        <v>5560</v>
      </c>
    </row>
    <row r="1650" spans="1:11" x14ac:dyDescent="0.35">
      <c r="A1650" s="30" t="s">
        <v>12334</v>
      </c>
      <c r="B1650" s="30" t="s">
        <v>12335</v>
      </c>
      <c r="C1650" s="32">
        <v>25.95</v>
      </c>
      <c r="D1650" s="30">
        <v>0</v>
      </c>
      <c r="E1650" s="31">
        <v>0</v>
      </c>
      <c r="F1650" s="30">
        <v>62499900</v>
      </c>
      <c r="G1650" s="30" t="s">
        <v>5427</v>
      </c>
      <c r="H1650" s="30">
        <v>2017</v>
      </c>
      <c r="I1650" s="30">
        <v>235</v>
      </c>
      <c r="J1650" s="30" t="s">
        <v>5464</v>
      </c>
      <c r="K1650" s="30" t="s">
        <v>5588</v>
      </c>
    </row>
    <row r="1651" spans="1:11" x14ac:dyDescent="0.35">
      <c r="A1651" s="30" t="s">
        <v>12336</v>
      </c>
      <c r="B1651" s="30" t="s">
        <v>12337</v>
      </c>
      <c r="C1651" s="32">
        <v>59.5</v>
      </c>
      <c r="D1651" s="30">
        <v>-0.69</v>
      </c>
      <c r="E1651" s="31">
        <v>-1.146E-2</v>
      </c>
      <c r="F1651" s="30">
        <v>29394982659</v>
      </c>
      <c r="G1651" s="30" t="s">
        <v>5427</v>
      </c>
      <c r="H1651" s="30"/>
      <c r="I1651" s="30">
        <v>2492349</v>
      </c>
      <c r="J1651" s="30" t="s">
        <v>5435</v>
      </c>
      <c r="K1651" s="30" t="s">
        <v>6221</v>
      </c>
    </row>
    <row r="1652" spans="1:11" x14ac:dyDescent="0.35">
      <c r="A1652" s="30" t="s">
        <v>12338</v>
      </c>
      <c r="B1652" s="30" t="s">
        <v>12339</v>
      </c>
      <c r="C1652" s="32">
        <v>6.37</v>
      </c>
      <c r="D1652" s="30">
        <v>0.08</v>
      </c>
      <c r="E1652" s="31">
        <v>1.272E-2</v>
      </c>
      <c r="F1652" s="30">
        <v>293176454</v>
      </c>
      <c r="G1652" s="30" t="s">
        <v>5427</v>
      </c>
      <c r="H1652" s="30">
        <v>2013</v>
      </c>
      <c r="I1652" s="30">
        <v>123139</v>
      </c>
      <c r="J1652" s="30" t="s">
        <v>5442</v>
      </c>
      <c r="K1652" s="30" t="s">
        <v>5441</v>
      </c>
    </row>
    <row r="1653" spans="1:11" x14ac:dyDescent="0.35">
      <c r="A1653" s="30" t="s">
        <v>12340</v>
      </c>
      <c r="B1653" s="30" t="s">
        <v>12341</v>
      </c>
      <c r="C1653" s="32">
        <v>246.01</v>
      </c>
      <c r="D1653" s="30">
        <v>2.71</v>
      </c>
      <c r="E1653" s="31">
        <v>1.1140000000000001E-2</v>
      </c>
      <c r="F1653" s="30">
        <v>14066527805</v>
      </c>
      <c r="G1653" s="30" t="s">
        <v>5427</v>
      </c>
      <c r="H1653" s="30"/>
      <c r="I1653" s="30">
        <v>305004</v>
      </c>
      <c r="J1653" s="30" t="s">
        <v>5457</v>
      </c>
      <c r="K1653" s="30" t="s">
        <v>5644</v>
      </c>
    </row>
    <row r="1654" spans="1:11" x14ac:dyDescent="0.35">
      <c r="A1654" s="30" t="s">
        <v>12342</v>
      </c>
      <c r="B1654" s="30" t="s">
        <v>12343</v>
      </c>
      <c r="C1654" s="32">
        <v>15.72</v>
      </c>
      <c r="D1654" s="30">
        <v>0.21</v>
      </c>
      <c r="E1654" s="31">
        <v>1.354E-2</v>
      </c>
      <c r="F1654" s="30">
        <v>253405205</v>
      </c>
      <c r="G1654" s="30" t="s">
        <v>5427</v>
      </c>
      <c r="H1654" s="30">
        <v>2021</v>
      </c>
      <c r="I1654" s="30">
        <v>91675</v>
      </c>
      <c r="J1654" s="30" t="s">
        <v>5435</v>
      </c>
      <c r="K1654" s="30" t="s">
        <v>6556</v>
      </c>
    </row>
    <row r="1655" spans="1:11" x14ac:dyDescent="0.35">
      <c r="A1655" s="30" t="s">
        <v>12344</v>
      </c>
      <c r="B1655" s="30" t="s">
        <v>12345</v>
      </c>
      <c r="C1655" s="32">
        <v>12.5</v>
      </c>
      <c r="D1655" s="30">
        <v>0.62</v>
      </c>
      <c r="E1655" s="31">
        <v>5.219E-2</v>
      </c>
      <c r="F1655" s="30">
        <v>1578790763</v>
      </c>
      <c r="G1655" s="30" t="s">
        <v>5427</v>
      </c>
      <c r="H1655" s="30"/>
      <c r="I1655" s="30">
        <v>1362324</v>
      </c>
      <c r="J1655" s="30" t="s">
        <v>5431</v>
      </c>
      <c r="K1655" s="30" t="s">
        <v>5232</v>
      </c>
    </row>
    <row r="1656" spans="1:11" x14ac:dyDescent="0.35">
      <c r="A1656" s="30" t="s">
        <v>12346</v>
      </c>
      <c r="B1656" s="30" t="s">
        <v>12347</v>
      </c>
      <c r="C1656" s="32">
        <v>20.87</v>
      </c>
      <c r="D1656" s="30">
        <v>-0.54</v>
      </c>
      <c r="E1656" s="31">
        <v>-2.5219999999999999E-2</v>
      </c>
      <c r="F1656" s="30">
        <v>4511139886</v>
      </c>
      <c r="G1656" s="30" t="s">
        <v>5427</v>
      </c>
      <c r="H1656" s="30">
        <v>1989</v>
      </c>
      <c r="I1656" s="30">
        <v>4238492</v>
      </c>
      <c r="J1656" s="30" t="s">
        <v>5431</v>
      </c>
      <c r="K1656" s="30" t="s">
        <v>9105</v>
      </c>
    </row>
    <row r="1657" spans="1:11" x14ac:dyDescent="0.35">
      <c r="A1657" s="30" t="s">
        <v>12348</v>
      </c>
      <c r="B1657" s="30" t="s">
        <v>12349</v>
      </c>
      <c r="C1657" s="32">
        <v>8.8699999999999992</v>
      </c>
      <c r="D1657" s="30">
        <v>0.6</v>
      </c>
      <c r="E1657" s="31">
        <v>7.2550000000000003E-2</v>
      </c>
      <c r="F1657" s="30">
        <v>120368756</v>
      </c>
      <c r="G1657" s="30" t="s">
        <v>8891</v>
      </c>
      <c r="H1657" s="30"/>
      <c r="I1657" s="30">
        <v>247956</v>
      </c>
      <c r="J1657" s="30" t="s">
        <v>5219</v>
      </c>
      <c r="K1657" s="30" t="s">
        <v>5644</v>
      </c>
    </row>
    <row r="1658" spans="1:11" x14ac:dyDescent="0.35">
      <c r="A1658" s="30" t="s">
        <v>12350</v>
      </c>
      <c r="B1658" s="30" t="s">
        <v>12351</v>
      </c>
      <c r="C1658" s="32">
        <v>2.12</v>
      </c>
      <c r="D1658" s="30">
        <v>-9.0200000000000002E-2</v>
      </c>
      <c r="E1658" s="31">
        <v>-4.0809999999999999E-2</v>
      </c>
      <c r="F1658" s="30">
        <v>69632180</v>
      </c>
      <c r="G1658" s="30" t="s">
        <v>5427</v>
      </c>
      <c r="H1658" s="30"/>
      <c r="I1658" s="30">
        <v>42387</v>
      </c>
      <c r="J1658" s="30" t="s">
        <v>5442</v>
      </c>
      <c r="K1658" s="30" t="s">
        <v>5647</v>
      </c>
    </row>
    <row r="1659" spans="1:11" x14ac:dyDescent="0.35">
      <c r="A1659" s="30" t="s">
        <v>12352</v>
      </c>
      <c r="B1659" s="30" t="s">
        <v>12353</v>
      </c>
      <c r="C1659" s="32">
        <v>7.38</v>
      </c>
      <c r="D1659" s="30">
        <v>-0.18</v>
      </c>
      <c r="E1659" s="31">
        <v>-2.3810000000000001E-2</v>
      </c>
      <c r="F1659" s="30">
        <v>674245914</v>
      </c>
      <c r="G1659" s="30" t="s">
        <v>5427</v>
      </c>
      <c r="H1659" s="30">
        <v>2017</v>
      </c>
      <c r="I1659" s="30">
        <v>225806</v>
      </c>
      <c r="J1659" s="30" t="s">
        <v>5464</v>
      </c>
      <c r="K1659" s="30" t="s">
        <v>5588</v>
      </c>
    </row>
    <row r="1660" spans="1:11" x14ac:dyDescent="0.35">
      <c r="A1660" s="30" t="s">
        <v>12354</v>
      </c>
      <c r="B1660" s="30" t="s">
        <v>12355</v>
      </c>
      <c r="C1660" s="32">
        <v>18.98</v>
      </c>
      <c r="D1660" s="30">
        <v>0.4</v>
      </c>
      <c r="E1660" s="31">
        <v>2.1530000000000001E-2</v>
      </c>
      <c r="F1660" s="30">
        <v>467241004</v>
      </c>
      <c r="G1660" s="30" t="s">
        <v>5427</v>
      </c>
      <c r="H1660" s="30"/>
      <c r="I1660" s="30">
        <v>241536</v>
      </c>
      <c r="J1660" s="30" t="s">
        <v>5435</v>
      </c>
      <c r="K1660" s="30" t="s">
        <v>5985</v>
      </c>
    </row>
    <row r="1661" spans="1:11" x14ac:dyDescent="0.35">
      <c r="A1661" s="30" t="s">
        <v>12356</v>
      </c>
      <c r="B1661" s="30" t="s">
        <v>12357</v>
      </c>
      <c r="C1661" s="32">
        <v>5.87</v>
      </c>
      <c r="D1661" s="30">
        <v>-0.12</v>
      </c>
      <c r="E1661" s="31">
        <v>-2.0029999999999999E-2</v>
      </c>
      <c r="F1661" s="30">
        <v>847581803</v>
      </c>
      <c r="G1661" s="30" t="s">
        <v>5427</v>
      </c>
      <c r="H1661" s="30">
        <v>2015</v>
      </c>
      <c r="I1661" s="30">
        <v>511741</v>
      </c>
      <c r="J1661" s="30" t="s">
        <v>5464</v>
      </c>
      <c r="K1661" s="30" t="s">
        <v>5463</v>
      </c>
    </row>
    <row r="1662" spans="1:11" x14ac:dyDescent="0.35">
      <c r="A1662" s="30" t="s">
        <v>12358</v>
      </c>
      <c r="B1662" s="30" t="s">
        <v>12359</v>
      </c>
      <c r="C1662" s="32">
        <v>14.19</v>
      </c>
      <c r="D1662" s="30">
        <v>-0.76</v>
      </c>
      <c r="E1662" s="31">
        <v>-5.0840000000000003E-2</v>
      </c>
      <c r="F1662" s="30">
        <v>673208905</v>
      </c>
      <c r="G1662" s="30" t="s">
        <v>5427</v>
      </c>
      <c r="H1662" s="30">
        <v>2007</v>
      </c>
      <c r="I1662" s="30">
        <v>306346</v>
      </c>
      <c r="J1662" s="30" t="s">
        <v>5435</v>
      </c>
      <c r="K1662" s="30" t="s">
        <v>5579</v>
      </c>
    </row>
    <row r="1663" spans="1:11" x14ac:dyDescent="0.35">
      <c r="A1663" s="30" t="s">
        <v>12360</v>
      </c>
      <c r="B1663" s="30" t="s">
        <v>12361</v>
      </c>
      <c r="C1663" s="32">
        <v>40.479999999999997</v>
      </c>
      <c r="D1663" s="30">
        <v>1.69</v>
      </c>
      <c r="E1663" s="31">
        <v>4.3569999999999998E-2</v>
      </c>
      <c r="F1663" s="30">
        <v>8451013162</v>
      </c>
      <c r="G1663" s="30" t="s">
        <v>5427</v>
      </c>
      <c r="H1663" s="30">
        <v>2019</v>
      </c>
      <c r="I1663" s="30">
        <v>3162117</v>
      </c>
      <c r="J1663" s="30" t="s">
        <v>5426</v>
      </c>
      <c r="K1663" s="30" t="s">
        <v>6094</v>
      </c>
    </row>
    <row r="1664" spans="1:11" x14ac:dyDescent="0.35">
      <c r="A1664" s="30" t="s">
        <v>12362</v>
      </c>
      <c r="B1664" s="30" t="s">
        <v>12363</v>
      </c>
      <c r="C1664" s="32">
        <v>361.99</v>
      </c>
      <c r="D1664" s="30">
        <v>8.1300000000000008</v>
      </c>
      <c r="E1664" s="31">
        <v>2.298E-2</v>
      </c>
      <c r="F1664" s="30">
        <v>161211079444</v>
      </c>
      <c r="G1664" s="30" t="s">
        <v>5427</v>
      </c>
      <c r="H1664" s="30">
        <v>2002</v>
      </c>
      <c r="I1664" s="30">
        <v>7993158</v>
      </c>
      <c r="J1664" s="30" t="s">
        <v>5442</v>
      </c>
      <c r="K1664" s="30" t="s">
        <v>8702</v>
      </c>
    </row>
    <row r="1665" spans="1:11" x14ac:dyDescent="0.35">
      <c r="A1665" s="30" t="s">
        <v>12364</v>
      </c>
      <c r="B1665" s="30" t="s">
        <v>12365</v>
      </c>
      <c r="C1665" s="32">
        <v>5.21</v>
      </c>
      <c r="D1665" s="30">
        <v>-0.03</v>
      </c>
      <c r="E1665" s="31">
        <v>-5.7299999999999999E-3</v>
      </c>
      <c r="F1665" s="30">
        <v>425793049</v>
      </c>
      <c r="G1665" s="30" t="s">
        <v>5427</v>
      </c>
      <c r="H1665" s="30">
        <v>2019</v>
      </c>
      <c r="I1665" s="30">
        <v>224024</v>
      </c>
      <c r="J1665" s="30" t="s">
        <v>5431</v>
      </c>
      <c r="K1665" s="30" t="s">
        <v>6409</v>
      </c>
    </row>
    <row r="1666" spans="1:11" x14ac:dyDescent="0.35">
      <c r="A1666" s="30" t="s">
        <v>12366</v>
      </c>
      <c r="B1666" s="30" t="s">
        <v>12367</v>
      </c>
      <c r="C1666" s="32">
        <v>10.175000000000001</v>
      </c>
      <c r="D1666" s="30">
        <v>-5.0000000000000001E-3</v>
      </c>
      <c r="E1666" s="31">
        <v>-4.8999999999999998E-4</v>
      </c>
      <c r="F1666" s="30">
        <v>247888438</v>
      </c>
      <c r="G1666" s="30" t="s">
        <v>5427</v>
      </c>
      <c r="H1666" s="30">
        <v>2021</v>
      </c>
      <c r="I1666" s="30">
        <v>1733</v>
      </c>
      <c r="J1666" s="30" t="s">
        <v>5457</v>
      </c>
      <c r="K1666" s="30" t="s">
        <v>5571</v>
      </c>
    </row>
    <row r="1667" spans="1:11" x14ac:dyDescent="0.35">
      <c r="A1667" s="30" t="s">
        <v>12368</v>
      </c>
      <c r="B1667" s="30" t="s">
        <v>12369</v>
      </c>
      <c r="C1667" s="32">
        <v>4.6900000000000004</v>
      </c>
      <c r="D1667" s="30">
        <v>0.02</v>
      </c>
      <c r="E1667" s="31">
        <v>4.28E-3</v>
      </c>
      <c r="F1667" s="30">
        <v>53571708</v>
      </c>
      <c r="G1667" s="30" t="s">
        <v>5427</v>
      </c>
      <c r="H1667" s="30"/>
      <c r="I1667" s="30">
        <v>11782</v>
      </c>
      <c r="J1667" s="30" t="s">
        <v>5682</v>
      </c>
      <c r="K1667" s="30" t="s">
        <v>5746</v>
      </c>
    </row>
    <row r="1668" spans="1:11" x14ac:dyDescent="0.35">
      <c r="A1668" s="30" t="s">
        <v>12370</v>
      </c>
      <c r="B1668" s="30" t="s">
        <v>12371</v>
      </c>
      <c r="C1668" s="32">
        <v>2.66</v>
      </c>
      <c r="D1668" s="30">
        <v>-0.05</v>
      </c>
      <c r="E1668" s="31">
        <v>-1.8450000000000001E-2</v>
      </c>
      <c r="F1668" s="30">
        <v>1364009390</v>
      </c>
      <c r="G1668" s="30" t="s">
        <v>5427</v>
      </c>
      <c r="H1668" s="30">
        <v>2018</v>
      </c>
      <c r="I1668" s="30">
        <v>14759810</v>
      </c>
      <c r="J1668" s="30" t="s">
        <v>5457</v>
      </c>
      <c r="K1668" s="30" t="s">
        <v>5644</v>
      </c>
    </row>
    <row r="1669" spans="1:11" x14ac:dyDescent="0.35">
      <c r="A1669" s="30" t="s">
        <v>12372</v>
      </c>
      <c r="B1669" s="30" t="s">
        <v>12373</v>
      </c>
      <c r="C1669" s="32">
        <v>40.11</v>
      </c>
      <c r="D1669" s="30">
        <v>-0.45</v>
      </c>
      <c r="E1669" s="31">
        <v>-1.1089999999999999E-2</v>
      </c>
      <c r="F1669" s="30">
        <v>238569266</v>
      </c>
      <c r="G1669" s="30" t="s">
        <v>5427</v>
      </c>
      <c r="H1669" s="30"/>
      <c r="I1669" s="30">
        <v>13163</v>
      </c>
      <c r="J1669" s="30" t="s">
        <v>5435</v>
      </c>
      <c r="K1669" s="30" t="s">
        <v>5579</v>
      </c>
    </row>
    <row r="1670" spans="1:11" x14ac:dyDescent="0.35">
      <c r="A1670" s="30" t="s">
        <v>12374</v>
      </c>
      <c r="B1670" s="30" t="s">
        <v>12375</v>
      </c>
      <c r="C1670" s="32">
        <v>2.95</v>
      </c>
      <c r="D1670" s="30">
        <v>0.23</v>
      </c>
      <c r="E1670" s="31">
        <v>8.4559999999999996E-2</v>
      </c>
      <c r="F1670" s="30">
        <v>554465722</v>
      </c>
      <c r="G1670" s="30" t="s">
        <v>5427</v>
      </c>
      <c r="H1670" s="30"/>
      <c r="I1670" s="30">
        <v>2186901</v>
      </c>
      <c r="J1670" s="30" t="s">
        <v>5431</v>
      </c>
      <c r="K1670" s="30" t="s">
        <v>5430</v>
      </c>
    </row>
    <row r="1671" spans="1:11" x14ac:dyDescent="0.35">
      <c r="A1671" s="30" t="s">
        <v>12376</v>
      </c>
      <c r="B1671" s="30" t="s">
        <v>12377</v>
      </c>
      <c r="C1671" s="32">
        <v>5.57</v>
      </c>
      <c r="D1671" s="30">
        <v>0.24</v>
      </c>
      <c r="E1671" s="31">
        <v>4.5030000000000001E-2</v>
      </c>
      <c r="F1671" s="30">
        <v>271892420</v>
      </c>
      <c r="G1671" s="30" t="s">
        <v>5427</v>
      </c>
      <c r="H1671" s="30">
        <v>2020</v>
      </c>
      <c r="I1671" s="30">
        <v>470413</v>
      </c>
      <c r="J1671" s="30" t="s">
        <v>5431</v>
      </c>
      <c r="K1671" s="30" t="s">
        <v>5430</v>
      </c>
    </row>
    <row r="1672" spans="1:11" x14ac:dyDescent="0.35">
      <c r="A1672" s="30" t="s">
        <v>12378</v>
      </c>
      <c r="B1672" s="30" t="s">
        <v>12379</v>
      </c>
      <c r="C1672" s="32">
        <v>1.4100999999999999</v>
      </c>
      <c r="D1672" s="30">
        <v>0.1101</v>
      </c>
      <c r="E1672" s="31">
        <v>8.4690000000000001E-2</v>
      </c>
      <c r="F1672" s="30">
        <v>50300777</v>
      </c>
      <c r="G1672" s="30" t="s">
        <v>5799</v>
      </c>
      <c r="H1672" s="30">
        <v>2021</v>
      </c>
      <c r="I1672" s="30">
        <v>76460</v>
      </c>
      <c r="J1672" s="30" t="s">
        <v>5431</v>
      </c>
      <c r="K1672" s="30" t="s">
        <v>5430</v>
      </c>
    </row>
    <row r="1673" spans="1:11" x14ac:dyDescent="0.35">
      <c r="A1673" s="30" t="s">
        <v>12380</v>
      </c>
      <c r="B1673" s="30" t="s">
        <v>12381</v>
      </c>
      <c r="C1673" s="32">
        <v>13.03</v>
      </c>
      <c r="D1673" s="30">
        <v>0.11</v>
      </c>
      <c r="E1673" s="31">
        <v>8.5100000000000002E-3</v>
      </c>
      <c r="F1673" s="30">
        <v>1315209449</v>
      </c>
      <c r="G1673" s="30" t="s">
        <v>5427</v>
      </c>
      <c r="H1673" s="30"/>
      <c r="I1673" s="30">
        <v>383707</v>
      </c>
      <c r="J1673" s="30" t="s">
        <v>5435</v>
      </c>
      <c r="K1673" s="30" t="s">
        <v>5985</v>
      </c>
    </row>
    <row r="1674" spans="1:11" x14ac:dyDescent="0.35">
      <c r="A1674" s="30" t="s">
        <v>12382</v>
      </c>
      <c r="B1674" s="30" t="s">
        <v>12383</v>
      </c>
      <c r="C1674" s="32">
        <v>23.08</v>
      </c>
      <c r="D1674" s="30">
        <v>-0.15</v>
      </c>
      <c r="E1674" s="31">
        <v>-6.4599999999999996E-3</v>
      </c>
      <c r="F1674" s="30">
        <v>1929050195</v>
      </c>
      <c r="G1674" s="30" t="s">
        <v>5427</v>
      </c>
      <c r="H1674" s="30">
        <v>2013</v>
      </c>
      <c r="I1674" s="30">
        <v>409782</v>
      </c>
      <c r="J1674" s="30" t="s">
        <v>5435</v>
      </c>
      <c r="K1674" s="30" t="s">
        <v>5493</v>
      </c>
    </row>
    <row r="1675" spans="1:11" x14ac:dyDescent="0.35">
      <c r="A1675" s="30" t="s">
        <v>12384</v>
      </c>
      <c r="B1675" s="30" t="s">
        <v>12385</v>
      </c>
      <c r="C1675" s="32">
        <v>8.5500000000000007</v>
      </c>
      <c r="D1675" s="30">
        <v>-0.02</v>
      </c>
      <c r="E1675" s="31">
        <v>-2.33E-3</v>
      </c>
      <c r="F1675" s="30">
        <v>1532642562</v>
      </c>
      <c r="G1675" s="30" t="s">
        <v>5427</v>
      </c>
      <c r="H1675" s="30">
        <v>2017</v>
      </c>
      <c r="I1675" s="30">
        <v>1201011</v>
      </c>
      <c r="J1675" s="30" t="s">
        <v>5435</v>
      </c>
      <c r="K1675" s="30" t="s">
        <v>5197</v>
      </c>
    </row>
    <row r="1676" spans="1:11" x14ac:dyDescent="0.35">
      <c r="A1676" s="30" t="s">
        <v>12386</v>
      </c>
      <c r="B1676" s="30" t="s">
        <v>12387</v>
      </c>
      <c r="C1676" s="32">
        <v>2.99</v>
      </c>
      <c r="D1676" s="30">
        <v>0.03</v>
      </c>
      <c r="E1676" s="31">
        <v>1.014E-2</v>
      </c>
      <c r="F1676" s="30">
        <v>318088486</v>
      </c>
      <c r="G1676" s="30" t="s">
        <v>5427</v>
      </c>
      <c r="H1676" s="30"/>
      <c r="I1676" s="30">
        <v>653356</v>
      </c>
      <c r="J1676" s="30" t="s">
        <v>5457</v>
      </c>
      <c r="K1676" s="30" t="s">
        <v>5644</v>
      </c>
    </row>
    <row r="1677" spans="1:11" x14ac:dyDescent="0.35">
      <c r="A1677" s="30" t="s">
        <v>12388</v>
      </c>
      <c r="B1677" s="30" t="s">
        <v>12389</v>
      </c>
      <c r="C1677" s="32">
        <v>2.25</v>
      </c>
      <c r="D1677" s="30">
        <v>0.19</v>
      </c>
      <c r="E1677" s="31">
        <v>9.2230000000000006E-2</v>
      </c>
      <c r="F1677" s="30">
        <v>98705554</v>
      </c>
      <c r="G1677" s="30" t="s">
        <v>5427</v>
      </c>
      <c r="H1677" s="30">
        <v>1994</v>
      </c>
      <c r="I1677" s="30">
        <v>396765</v>
      </c>
      <c r="J1677" s="30" t="s">
        <v>5457</v>
      </c>
      <c r="K1677" s="30" t="s">
        <v>5571</v>
      </c>
    </row>
    <row r="1678" spans="1:11" x14ac:dyDescent="0.35">
      <c r="A1678" s="30" t="s">
        <v>12390</v>
      </c>
      <c r="B1678" s="30" t="s">
        <v>12391</v>
      </c>
      <c r="C1678" s="32">
        <v>13.78</v>
      </c>
      <c r="D1678" s="30">
        <v>0.53</v>
      </c>
      <c r="E1678" s="31">
        <v>0.04</v>
      </c>
      <c r="F1678" s="30">
        <v>291066217</v>
      </c>
      <c r="G1678" s="30" t="s">
        <v>5427</v>
      </c>
      <c r="H1678" s="30">
        <v>2017</v>
      </c>
      <c r="I1678" s="30">
        <v>15607</v>
      </c>
      <c r="J1678" s="30" t="s">
        <v>5435</v>
      </c>
      <c r="K1678" s="30" t="s">
        <v>5493</v>
      </c>
    </row>
    <row r="1679" spans="1:11" x14ac:dyDescent="0.35">
      <c r="A1679" s="30" t="s">
        <v>12392</v>
      </c>
      <c r="B1679" s="30" t="s">
        <v>12393</v>
      </c>
      <c r="C1679" s="32">
        <v>7.7</v>
      </c>
      <c r="D1679" s="30">
        <v>0.45</v>
      </c>
      <c r="E1679" s="31">
        <v>6.207E-2</v>
      </c>
      <c r="F1679" s="30">
        <v>197290447</v>
      </c>
      <c r="G1679" s="30" t="s">
        <v>5427</v>
      </c>
      <c r="H1679" s="30"/>
      <c r="I1679" s="30">
        <v>521461</v>
      </c>
      <c r="J1679" s="30" t="s">
        <v>5431</v>
      </c>
      <c r="K1679" s="30" t="s">
        <v>5430</v>
      </c>
    </row>
    <row r="1680" spans="1:11" x14ac:dyDescent="0.35">
      <c r="A1680" s="30" t="s">
        <v>12394</v>
      </c>
      <c r="B1680" s="30" t="s">
        <v>12395</v>
      </c>
      <c r="C1680" s="32">
        <v>167.91</v>
      </c>
      <c r="D1680" s="30">
        <v>6.44</v>
      </c>
      <c r="E1680" s="31">
        <v>3.9879999999999999E-2</v>
      </c>
      <c r="F1680" s="30">
        <v>5992743161</v>
      </c>
      <c r="G1680" s="30" t="s">
        <v>5427</v>
      </c>
      <c r="H1680" s="30"/>
      <c r="I1680" s="30">
        <v>141708</v>
      </c>
      <c r="J1680" s="30"/>
      <c r="K1680" s="30"/>
    </row>
    <row r="1681" spans="1:11" x14ac:dyDescent="0.35">
      <c r="A1681" s="30" t="s">
        <v>12396</v>
      </c>
      <c r="B1681" s="30" t="s">
        <v>12397</v>
      </c>
      <c r="C1681" s="32">
        <v>10.27</v>
      </c>
      <c r="D1681" s="30">
        <v>0</v>
      </c>
      <c r="E1681" s="31">
        <v>0</v>
      </c>
      <c r="F1681" s="30">
        <v>320937500</v>
      </c>
      <c r="G1681" s="30" t="s">
        <v>5427</v>
      </c>
      <c r="H1681" s="30">
        <v>2021</v>
      </c>
      <c r="I1681" s="30">
        <v>8105</v>
      </c>
      <c r="J1681" s="30" t="s">
        <v>5457</v>
      </c>
      <c r="K1681" s="30" t="s">
        <v>5571</v>
      </c>
    </row>
    <row r="1682" spans="1:11" x14ac:dyDescent="0.35">
      <c r="A1682" s="30" t="s">
        <v>12398</v>
      </c>
      <c r="B1682" s="30" t="s">
        <v>12399</v>
      </c>
      <c r="C1682" s="32">
        <v>4.62</v>
      </c>
      <c r="D1682" s="30">
        <v>-0.06</v>
      </c>
      <c r="E1682" s="31">
        <v>-1.282E-2</v>
      </c>
      <c r="F1682" s="30">
        <v>115052535</v>
      </c>
      <c r="G1682" s="30" t="s">
        <v>5427</v>
      </c>
      <c r="H1682" s="30">
        <v>2021</v>
      </c>
      <c r="I1682" s="30">
        <v>18121</v>
      </c>
      <c r="J1682" s="30" t="s">
        <v>5431</v>
      </c>
      <c r="K1682" s="30" t="s">
        <v>5610</v>
      </c>
    </row>
    <row r="1683" spans="1:11" x14ac:dyDescent="0.35">
      <c r="A1683" s="30" t="s">
        <v>12400</v>
      </c>
      <c r="B1683" s="30" t="s">
        <v>12401</v>
      </c>
      <c r="C1683" s="32">
        <v>10.17</v>
      </c>
      <c r="D1683" s="30">
        <v>0.01</v>
      </c>
      <c r="E1683" s="31">
        <v>9.7999999999999997E-4</v>
      </c>
      <c r="F1683" s="30">
        <v>307006875</v>
      </c>
      <c r="G1683" s="30" t="s">
        <v>5427</v>
      </c>
      <c r="H1683" s="30">
        <v>2021</v>
      </c>
      <c r="I1683" s="30">
        <v>18869</v>
      </c>
      <c r="J1683" s="30" t="s">
        <v>5435</v>
      </c>
      <c r="K1683" s="30" t="s">
        <v>5482</v>
      </c>
    </row>
    <row r="1684" spans="1:11" x14ac:dyDescent="0.35">
      <c r="A1684" s="30" t="s">
        <v>12402</v>
      </c>
      <c r="B1684" s="30" t="s">
        <v>12403</v>
      </c>
      <c r="C1684" s="32">
        <v>47.17</v>
      </c>
      <c r="D1684" s="30">
        <v>0.75</v>
      </c>
      <c r="E1684" s="31">
        <v>1.6160000000000001E-2</v>
      </c>
      <c r="F1684" s="30">
        <v>1164686074</v>
      </c>
      <c r="G1684" s="30" t="s">
        <v>5427</v>
      </c>
      <c r="H1684" s="30"/>
      <c r="I1684" s="30">
        <v>55818</v>
      </c>
      <c r="J1684" s="30" t="s">
        <v>5219</v>
      </c>
      <c r="K1684" s="30" t="s">
        <v>5560</v>
      </c>
    </row>
    <row r="1685" spans="1:11" x14ac:dyDescent="0.35">
      <c r="A1685" s="30" t="s">
        <v>12404</v>
      </c>
      <c r="B1685" s="30" t="s">
        <v>12405</v>
      </c>
      <c r="C1685" s="32">
        <v>11.99</v>
      </c>
      <c r="D1685" s="30">
        <v>0.3</v>
      </c>
      <c r="E1685" s="31">
        <v>2.5659999999999999E-2</v>
      </c>
      <c r="F1685" s="30">
        <v>891263665</v>
      </c>
      <c r="G1685" s="30" t="s">
        <v>5427</v>
      </c>
      <c r="H1685" s="30">
        <v>2021</v>
      </c>
      <c r="I1685" s="30">
        <v>173540</v>
      </c>
      <c r="J1685" s="30" t="s">
        <v>5435</v>
      </c>
      <c r="K1685" s="30" t="s">
        <v>5856</v>
      </c>
    </row>
    <row r="1686" spans="1:11" x14ac:dyDescent="0.35">
      <c r="A1686" s="30" t="s">
        <v>12406</v>
      </c>
      <c r="B1686" s="30" t="s">
        <v>12407</v>
      </c>
      <c r="C1686" s="32">
        <v>53.87</v>
      </c>
      <c r="D1686" s="30">
        <v>0.34</v>
      </c>
      <c r="E1686" s="31">
        <v>6.3499999999999997E-3</v>
      </c>
      <c r="F1686" s="30">
        <v>307098217</v>
      </c>
      <c r="G1686" s="30" t="s">
        <v>5427</v>
      </c>
      <c r="H1686" s="30"/>
      <c r="I1686" s="30">
        <v>31177</v>
      </c>
      <c r="J1686" s="30" t="s">
        <v>5435</v>
      </c>
      <c r="K1686" s="30" t="s">
        <v>6556</v>
      </c>
    </row>
    <row r="1687" spans="1:11" x14ac:dyDescent="0.35">
      <c r="A1687" s="30" t="s">
        <v>12408</v>
      </c>
      <c r="B1687" s="30" t="s">
        <v>12409</v>
      </c>
      <c r="C1687" s="32">
        <v>12.36</v>
      </c>
      <c r="D1687" s="30">
        <v>7.0000000000000007E-2</v>
      </c>
      <c r="E1687" s="31">
        <v>5.7000000000000002E-3</v>
      </c>
      <c r="F1687" s="30">
        <v>582746573</v>
      </c>
      <c r="G1687" s="30" t="s">
        <v>5427</v>
      </c>
      <c r="H1687" s="30">
        <v>2020</v>
      </c>
      <c r="I1687" s="30">
        <v>264824</v>
      </c>
      <c r="J1687" s="30" t="s">
        <v>5431</v>
      </c>
      <c r="K1687" s="30" t="s">
        <v>5430</v>
      </c>
    </row>
    <row r="1688" spans="1:11" x14ac:dyDescent="0.35">
      <c r="A1688" s="30" t="s">
        <v>12410</v>
      </c>
      <c r="B1688" s="30" t="s">
        <v>12411</v>
      </c>
      <c r="C1688" s="32">
        <v>1.18</v>
      </c>
      <c r="D1688" s="30">
        <v>0.01</v>
      </c>
      <c r="E1688" s="31">
        <v>8.5500000000000003E-3</v>
      </c>
      <c r="F1688" s="30">
        <v>79875279</v>
      </c>
      <c r="G1688" s="30" t="s">
        <v>5427</v>
      </c>
      <c r="H1688" s="30">
        <v>2017</v>
      </c>
      <c r="I1688" s="30">
        <v>74054</v>
      </c>
      <c r="J1688" s="30" t="s">
        <v>5431</v>
      </c>
      <c r="K1688" s="30" t="s">
        <v>5430</v>
      </c>
    </row>
    <row r="1689" spans="1:11" x14ac:dyDescent="0.35">
      <c r="A1689" s="30" t="s">
        <v>12412</v>
      </c>
      <c r="B1689" s="30" t="s">
        <v>12413</v>
      </c>
      <c r="C1689" s="32">
        <v>113.85</v>
      </c>
      <c r="D1689" s="30">
        <v>1.1299999999999999</v>
      </c>
      <c r="E1689" s="31">
        <v>1.0019999999999999E-2</v>
      </c>
      <c r="F1689" s="30">
        <v>3965526997</v>
      </c>
      <c r="G1689" s="30" t="s">
        <v>5427</v>
      </c>
      <c r="H1689" s="30">
        <v>1995</v>
      </c>
      <c r="I1689" s="30">
        <v>204988</v>
      </c>
      <c r="J1689" s="30" t="s">
        <v>5219</v>
      </c>
      <c r="K1689" s="30" t="s">
        <v>5447</v>
      </c>
    </row>
    <row r="1690" spans="1:11" x14ac:dyDescent="0.35">
      <c r="A1690" s="30" t="s">
        <v>12414</v>
      </c>
      <c r="B1690" s="30" t="s">
        <v>12415</v>
      </c>
      <c r="C1690" s="32">
        <v>29.58</v>
      </c>
      <c r="D1690" s="30">
        <v>0.61</v>
      </c>
      <c r="E1690" s="31">
        <v>2.1059999999999999E-2</v>
      </c>
      <c r="F1690" s="30">
        <v>1086909853</v>
      </c>
      <c r="G1690" s="30" t="s">
        <v>5427</v>
      </c>
      <c r="H1690" s="30"/>
      <c r="I1690" s="30">
        <v>170305</v>
      </c>
      <c r="J1690" s="30" t="s">
        <v>5219</v>
      </c>
      <c r="K1690" s="30" t="s">
        <v>6786</v>
      </c>
    </row>
    <row r="1691" spans="1:11" x14ac:dyDescent="0.35">
      <c r="A1691" s="30" t="s">
        <v>12416</v>
      </c>
      <c r="B1691" s="30" t="s">
        <v>12417</v>
      </c>
      <c r="C1691" s="32">
        <v>11.35</v>
      </c>
      <c r="D1691" s="30">
        <v>0.77</v>
      </c>
      <c r="E1691" s="31">
        <v>7.2779999999999997E-2</v>
      </c>
      <c r="F1691" s="30">
        <v>529441248</v>
      </c>
      <c r="G1691" s="30" t="s">
        <v>5427</v>
      </c>
      <c r="H1691" s="30">
        <v>2013</v>
      </c>
      <c r="I1691" s="30">
        <v>824747</v>
      </c>
      <c r="J1691" s="30" t="s">
        <v>5431</v>
      </c>
      <c r="K1691" s="30" t="s">
        <v>6409</v>
      </c>
    </row>
    <row r="1692" spans="1:11" x14ac:dyDescent="0.35">
      <c r="A1692" s="30" t="s">
        <v>12418</v>
      </c>
      <c r="B1692" s="30" t="s">
        <v>12419</v>
      </c>
      <c r="C1692" s="32">
        <v>10.6</v>
      </c>
      <c r="D1692" s="30">
        <v>0.03</v>
      </c>
      <c r="E1692" s="31">
        <v>2.8400000000000001E-3</v>
      </c>
      <c r="F1692" s="30">
        <v>57218365</v>
      </c>
      <c r="G1692" s="30" t="s">
        <v>5427</v>
      </c>
      <c r="H1692" s="30">
        <v>2022</v>
      </c>
      <c r="I1692" s="30">
        <v>7652</v>
      </c>
      <c r="J1692" s="30" t="s">
        <v>5435</v>
      </c>
      <c r="K1692" s="30" t="s">
        <v>5579</v>
      </c>
    </row>
    <row r="1693" spans="1:11" x14ac:dyDescent="0.35">
      <c r="A1693" s="30" t="s">
        <v>12420</v>
      </c>
      <c r="B1693" s="30" t="s">
        <v>12421</v>
      </c>
      <c r="C1693" s="32">
        <v>67.11</v>
      </c>
      <c r="D1693" s="30">
        <v>0.88</v>
      </c>
      <c r="E1693" s="31">
        <v>1.329E-2</v>
      </c>
      <c r="F1693" s="30">
        <v>14467127988</v>
      </c>
      <c r="G1693" s="30" t="s">
        <v>5427</v>
      </c>
      <c r="H1693" s="30">
        <v>1995</v>
      </c>
      <c r="I1693" s="30">
        <v>1952605</v>
      </c>
      <c r="J1693" s="30" t="s">
        <v>5219</v>
      </c>
      <c r="K1693" s="30" t="s">
        <v>5965</v>
      </c>
    </row>
    <row r="1694" spans="1:11" x14ac:dyDescent="0.35">
      <c r="A1694" s="30" t="s">
        <v>12422</v>
      </c>
      <c r="B1694" s="30" t="s">
        <v>12423</v>
      </c>
      <c r="C1694" s="32">
        <v>32.32</v>
      </c>
      <c r="D1694" s="30">
        <v>0.22</v>
      </c>
      <c r="E1694" s="31">
        <v>6.8500000000000002E-3</v>
      </c>
      <c r="F1694" s="30">
        <v>2334991980</v>
      </c>
      <c r="G1694" s="30" t="s">
        <v>5427</v>
      </c>
      <c r="H1694" s="30">
        <v>1999</v>
      </c>
      <c r="I1694" s="30">
        <v>528815</v>
      </c>
      <c r="J1694" s="30" t="s">
        <v>5219</v>
      </c>
      <c r="K1694" s="30" t="s">
        <v>5447</v>
      </c>
    </row>
    <row r="1695" spans="1:11" x14ac:dyDescent="0.35">
      <c r="A1695" s="30" t="s">
        <v>12424</v>
      </c>
      <c r="B1695" s="30" t="s">
        <v>12425</v>
      </c>
      <c r="C1695" s="32">
        <v>20.55</v>
      </c>
      <c r="D1695" s="30">
        <v>0.57999999999999996</v>
      </c>
      <c r="E1695" s="31">
        <v>2.904E-2</v>
      </c>
      <c r="F1695" s="30">
        <v>593876608</v>
      </c>
      <c r="G1695" s="30" t="s">
        <v>5427</v>
      </c>
      <c r="H1695" s="30">
        <v>2003</v>
      </c>
      <c r="I1695" s="30">
        <v>266528</v>
      </c>
      <c r="J1695" s="30" t="s">
        <v>5426</v>
      </c>
      <c r="K1695" s="30" t="s">
        <v>5520</v>
      </c>
    </row>
    <row r="1696" spans="1:11" x14ac:dyDescent="0.35">
      <c r="A1696" s="30" t="s">
        <v>12426</v>
      </c>
      <c r="B1696" s="30" t="s">
        <v>12427</v>
      </c>
      <c r="C1696" s="32">
        <v>12.86</v>
      </c>
      <c r="D1696" s="30">
        <v>-0.14000000000000001</v>
      </c>
      <c r="E1696" s="31">
        <v>-1.077E-2</v>
      </c>
      <c r="F1696" s="30">
        <v>120451364</v>
      </c>
      <c r="G1696" s="30" t="s">
        <v>5427</v>
      </c>
      <c r="H1696" s="30"/>
      <c r="I1696" s="30">
        <v>4374</v>
      </c>
      <c r="J1696" s="30" t="s">
        <v>5457</v>
      </c>
      <c r="K1696" s="30" t="s">
        <v>5555</v>
      </c>
    </row>
    <row r="1697" spans="1:11" x14ac:dyDescent="0.35">
      <c r="A1697" s="30" t="s">
        <v>12428</v>
      </c>
      <c r="B1697" s="30" t="s">
        <v>12429</v>
      </c>
      <c r="C1697" s="32">
        <v>43.15</v>
      </c>
      <c r="D1697" s="30">
        <v>0.71</v>
      </c>
      <c r="E1697" s="31">
        <v>1.6729999999999998E-2</v>
      </c>
      <c r="F1697" s="30">
        <v>3720254489</v>
      </c>
      <c r="G1697" s="30" t="s">
        <v>5427</v>
      </c>
      <c r="H1697" s="30">
        <v>2016</v>
      </c>
      <c r="I1697" s="30">
        <v>1207569</v>
      </c>
      <c r="J1697" s="30" t="s">
        <v>5431</v>
      </c>
      <c r="K1697" s="30" t="s">
        <v>9105</v>
      </c>
    </row>
    <row r="1698" spans="1:11" x14ac:dyDescent="0.35">
      <c r="A1698" s="30" t="s">
        <v>12430</v>
      </c>
      <c r="B1698" s="30" t="s">
        <v>12431</v>
      </c>
      <c r="C1698" s="32">
        <v>28.56</v>
      </c>
      <c r="D1698" s="30">
        <v>0.69</v>
      </c>
      <c r="E1698" s="31">
        <v>2.4760000000000001E-2</v>
      </c>
      <c r="F1698" s="30">
        <v>6571958622</v>
      </c>
      <c r="G1698" s="30" t="s">
        <v>5427</v>
      </c>
      <c r="H1698" s="30">
        <v>2016</v>
      </c>
      <c r="I1698" s="30">
        <v>1362755</v>
      </c>
      <c r="J1698" s="30" t="s">
        <v>5219</v>
      </c>
      <c r="K1698" s="30" t="s">
        <v>5447</v>
      </c>
    </row>
    <row r="1699" spans="1:11" x14ac:dyDescent="0.35">
      <c r="A1699" s="30" t="s">
        <v>12432</v>
      </c>
      <c r="B1699" s="30" t="s">
        <v>12433</v>
      </c>
      <c r="C1699" s="32">
        <v>43.97</v>
      </c>
      <c r="D1699" s="30">
        <v>1.04</v>
      </c>
      <c r="E1699" s="31">
        <v>2.4230000000000002E-2</v>
      </c>
      <c r="F1699" s="30">
        <v>4794175338</v>
      </c>
      <c r="G1699" s="30" t="s">
        <v>5427</v>
      </c>
      <c r="H1699" s="30">
        <v>2015</v>
      </c>
      <c r="I1699" s="30">
        <v>1506148</v>
      </c>
      <c r="J1699" s="30" t="s">
        <v>5431</v>
      </c>
      <c r="K1699" s="30" t="s">
        <v>5610</v>
      </c>
    </row>
    <row r="1700" spans="1:11" x14ac:dyDescent="0.35">
      <c r="A1700" s="30" t="s">
        <v>12434</v>
      </c>
      <c r="B1700" s="30" t="s">
        <v>12435</v>
      </c>
      <c r="C1700" s="32">
        <v>96.75</v>
      </c>
      <c r="D1700" s="30">
        <v>-0.22</v>
      </c>
      <c r="E1700" s="31">
        <v>-2.2699999999999999E-3</v>
      </c>
      <c r="F1700" s="30">
        <v>20165409000</v>
      </c>
      <c r="G1700" s="30" t="s">
        <v>5427</v>
      </c>
      <c r="H1700" s="30"/>
      <c r="I1700" s="30">
        <v>1675840</v>
      </c>
      <c r="J1700" s="30" t="s">
        <v>5435</v>
      </c>
      <c r="K1700" s="30" t="s">
        <v>5568</v>
      </c>
    </row>
    <row r="1701" spans="1:11" x14ac:dyDescent="0.35">
      <c r="A1701" s="30" t="s">
        <v>12436</v>
      </c>
      <c r="B1701" s="30" t="s">
        <v>12437</v>
      </c>
      <c r="C1701" s="32">
        <v>10.31</v>
      </c>
      <c r="D1701" s="30">
        <v>0</v>
      </c>
      <c r="E1701" s="31">
        <v>0</v>
      </c>
      <c r="F1701" s="30">
        <v>161207160</v>
      </c>
      <c r="G1701" s="30" t="s">
        <v>5427</v>
      </c>
      <c r="H1701" s="30">
        <v>2022</v>
      </c>
      <c r="I1701" s="30">
        <v>154639</v>
      </c>
      <c r="J1701" s="30" t="s">
        <v>5457</v>
      </c>
      <c r="K1701" s="30" t="s">
        <v>5571</v>
      </c>
    </row>
    <row r="1702" spans="1:11" x14ac:dyDescent="0.35">
      <c r="A1702" s="30" t="s">
        <v>12438</v>
      </c>
      <c r="B1702" s="30" t="s">
        <v>12439</v>
      </c>
      <c r="C1702" s="32">
        <v>1.32</v>
      </c>
      <c r="D1702" s="30">
        <v>-0.02</v>
      </c>
      <c r="E1702" s="31">
        <v>-1.4930000000000001E-2</v>
      </c>
      <c r="F1702" s="30">
        <v>857696491</v>
      </c>
      <c r="G1702" s="30" t="s">
        <v>5427</v>
      </c>
      <c r="H1702" s="30"/>
      <c r="I1702" s="30">
        <v>981169</v>
      </c>
      <c r="J1702" s="30" t="s">
        <v>5219</v>
      </c>
      <c r="K1702" s="30" t="s">
        <v>5812</v>
      </c>
    </row>
    <row r="1703" spans="1:11" x14ac:dyDescent="0.35">
      <c r="A1703" s="30" t="s">
        <v>12440</v>
      </c>
      <c r="B1703" s="30" t="s">
        <v>12441</v>
      </c>
      <c r="C1703" s="32">
        <v>46.56</v>
      </c>
      <c r="D1703" s="30">
        <v>0.96</v>
      </c>
      <c r="E1703" s="31">
        <v>2.1049999999999999E-2</v>
      </c>
      <c r="F1703" s="30">
        <v>2427357224</v>
      </c>
      <c r="G1703" s="30" t="s">
        <v>5427</v>
      </c>
      <c r="H1703" s="30">
        <v>2004</v>
      </c>
      <c r="I1703" s="30">
        <v>468138</v>
      </c>
      <c r="J1703" s="30" t="s">
        <v>5431</v>
      </c>
      <c r="K1703" s="30" t="s">
        <v>5500</v>
      </c>
    </row>
    <row r="1704" spans="1:11" x14ac:dyDescent="0.35">
      <c r="A1704" s="30" t="s">
        <v>12442</v>
      </c>
      <c r="B1704" s="30" t="s">
        <v>12443</v>
      </c>
      <c r="C1704" s="32">
        <v>29.01</v>
      </c>
      <c r="D1704" s="30">
        <v>-1.24</v>
      </c>
      <c r="E1704" s="31">
        <v>-4.0989999999999999E-2</v>
      </c>
      <c r="F1704" s="30">
        <v>1637367016</v>
      </c>
      <c r="G1704" s="30" t="s">
        <v>5427</v>
      </c>
      <c r="H1704" s="30">
        <v>2021</v>
      </c>
      <c r="I1704" s="30">
        <v>272582</v>
      </c>
      <c r="J1704" s="30" t="s">
        <v>5431</v>
      </c>
      <c r="K1704" s="30" t="s">
        <v>5430</v>
      </c>
    </row>
    <row r="1705" spans="1:11" x14ac:dyDescent="0.35">
      <c r="A1705" s="30" t="s">
        <v>12444</v>
      </c>
      <c r="B1705" s="30" t="s">
        <v>12445</v>
      </c>
      <c r="C1705" s="32">
        <v>10.210000000000001</v>
      </c>
      <c r="D1705" s="30">
        <v>-1.4999999999999999E-2</v>
      </c>
      <c r="E1705" s="31">
        <v>-1.47E-3</v>
      </c>
      <c r="F1705" s="30">
        <v>246762938</v>
      </c>
      <c r="G1705" s="30" t="s">
        <v>5427</v>
      </c>
      <c r="H1705" s="30">
        <v>2022</v>
      </c>
      <c r="I1705" s="30">
        <v>25001</v>
      </c>
      <c r="J1705" s="30" t="s">
        <v>5457</v>
      </c>
      <c r="K1705" s="30" t="s">
        <v>5571</v>
      </c>
    </row>
    <row r="1706" spans="1:11" x14ac:dyDescent="0.35">
      <c r="A1706" s="30" t="s">
        <v>12446</v>
      </c>
      <c r="B1706" s="30" t="s">
        <v>12447</v>
      </c>
      <c r="C1706" s="32">
        <v>11.23</v>
      </c>
      <c r="D1706" s="30">
        <v>0.32</v>
      </c>
      <c r="E1706" s="31">
        <v>2.9329999999999998E-2</v>
      </c>
      <c r="F1706" s="30">
        <v>954594381</v>
      </c>
      <c r="G1706" s="30" t="s">
        <v>5427</v>
      </c>
      <c r="H1706" s="30"/>
      <c r="I1706" s="30">
        <v>10612939</v>
      </c>
      <c r="J1706" s="30" t="s">
        <v>5431</v>
      </c>
      <c r="K1706" s="30" t="s">
        <v>6409</v>
      </c>
    </row>
    <row r="1707" spans="1:11" x14ac:dyDescent="0.35">
      <c r="A1707" s="30" t="s">
        <v>12448</v>
      </c>
      <c r="B1707" s="30" t="s">
        <v>12449</v>
      </c>
      <c r="C1707" s="32">
        <v>28</v>
      </c>
      <c r="D1707" s="30">
        <v>0.1</v>
      </c>
      <c r="E1707" s="31">
        <v>3.5799999999999998E-3</v>
      </c>
      <c r="F1707" s="30">
        <v>77107268</v>
      </c>
      <c r="G1707" s="30" t="s">
        <v>5515</v>
      </c>
      <c r="H1707" s="30"/>
      <c r="I1707" s="30">
        <v>34270</v>
      </c>
      <c r="J1707" s="30" t="s">
        <v>5431</v>
      </c>
      <c r="K1707" s="30" t="s">
        <v>8643</v>
      </c>
    </row>
    <row r="1708" spans="1:11" x14ac:dyDescent="0.35">
      <c r="A1708" s="30" t="s">
        <v>12450</v>
      </c>
      <c r="B1708" s="30" t="s">
        <v>12451</v>
      </c>
      <c r="C1708" s="32">
        <v>91.12</v>
      </c>
      <c r="D1708" s="30">
        <v>-0.06</v>
      </c>
      <c r="E1708" s="31">
        <v>-6.6E-4</v>
      </c>
      <c r="F1708" s="30">
        <v>9563051472</v>
      </c>
      <c r="G1708" s="30" t="s">
        <v>8150</v>
      </c>
      <c r="H1708" s="30">
        <v>2015</v>
      </c>
      <c r="I1708" s="30">
        <v>802622</v>
      </c>
      <c r="J1708" s="30" t="s">
        <v>5431</v>
      </c>
      <c r="K1708" s="30" t="s">
        <v>5500</v>
      </c>
    </row>
    <row r="1709" spans="1:11" x14ac:dyDescent="0.35">
      <c r="A1709" s="30" t="s">
        <v>12452</v>
      </c>
      <c r="B1709" s="30" t="s">
        <v>12453</v>
      </c>
      <c r="C1709" s="32">
        <v>10.69</v>
      </c>
      <c r="D1709" s="30">
        <v>0.77</v>
      </c>
      <c r="E1709" s="31">
        <v>7.7619999999999995E-2</v>
      </c>
      <c r="F1709" s="30">
        <v>156528143</v>
      </c>
      <c r="G1709" s="30" t="s">
        <v>5427</v>
      </c>
      <c r="H1709" s="30">
        <v>2022</v>
      </c>
      <c r="I1709" s="30">
        <v>164396</v>
      </c>
      <c r="J1709" s="30" t="s">
        <v>5431</v>
      </c>
      <c r="K1709" s="30" t="s">
        <v>5685</v>
      </c>
    </row>
    <row r="1710" spans="1:11" x14ac:dyDescent="0.35">
      <c r="A1710" s="30" t="s">
        <v>12454</v>
      </c>
      <c r="B1710" s="30" t="s">
        <v>12455</v>
      </c>
      <c r="C1710" s="32">
        <v>209.43</v>
      </c>
      <c r="D1710" s="30">
        <v>14.06</v>
      </c>
      <c r="E1710" s="31">
        <v>7.1970000000000006E-2</v>
      </c>
      <c r="F1710" s="30">
        <v>515197800000</v>
      </c>
      <c r="G1710" s="30" t="s">
        <v>5427</v>
      </c>
      <c r="H1710" s="30">
        <v>1999</v>
      </c>
      <c r="I1710" s="30">
        <v>65869199</v>
      </c>
      <c r="J1710" s="30" t="s">
        <v>5219</v>
      </c>
      <c r="K1710" s="30" t="s">
        <v>5526</v>
      </c>
    </row>
    <row r="1711" spans="1:11" x14ac:dyDescent="0.35">
      <c r="A1711" s="30" t="s">
        <v>12456</v>
      </c>
      <c r="B1711" s="30" t="s">
        <v>12457</v>
      </c>
      <c r="C1711" s="32">
        <v>72.739999999999995</v>
      </c>
      <c r="D1711" s="30">
        <v>-0.13</v>
      </c>
      <c r="E1711" s="31">
        <v>-1.7799999999999999E-3</v>
      </c>
      <c r="F1711" s="30">
        <v>351394283</v>
      </c>
      <c r="G1711" s="30" t="s">
        <v>5427</v>
      </c>
      <c r="H1711" s="30"/>
      <c r="I1711" s="30">
        <v>39885</v>
      </c>
      <c r="J1711" s="30" t="s">
        <v>5219</v>
      </c>
      <c r="K1711" s="30" t="s">
        <v>5526</v>
      </c>
    </row>
    <row r="1712" spans="1:11" x14ac:dyDescent="0.35">
      <c r="A1712" s="30" t="s">
        <v>12458</v>
      </c>
      <c r="B1712" s="30" t="s">
        <v>12459</v>
      </c>
      <c r="C1712" s="32">
        <v>138.44999999999999</v>
      </c>
      <c r="D1712" s="30">
        <v>5.16</v>
      </c>
      <c r="E1712" s="31">
        <v>3.8710000000000001E-2</v>
      </c>
      <c r="F1712" s="30">
        <v>2154279508</v>
      </c>
      <c r="G1712" s="30" t="s">
        <v>5427</v>
      </c>
      <c r="H1712" s="30">
        <v>2013</v>
      </c>
      <c r="I1712" s="30">
        <v>96044</v>
      </c>
      <c r="J1712" s="30" t="s">
        <v>5442</v>
      </c>
      <c r="K1712" s="30" t="s">
        <v>5701</v>
      </c>
    </row>
    <row r="1713" spans="1:11" x14ac:dyDescent="0.35">
      <c r="A1713" s="30" t="s">
        <v>12460</v>
      </c>
      <c r="B1713" s="30" t="s">
        <v>12461</v>
      </c>
      <c r="C1713" s="32">
        <v>36.36</v>
      </c>
      <c r="D1713" s="30">
        <v>1.03</v>
      </c>
      <c r="E1713" s="31">
        <v>2.9149999999999999E-2</v>
      </c>
      <c r="F1713" s="30">
        <v>5197564373</v>
      </c>
      <c r="G1713" s="30" t="s">
        <v>5515</v>
      </c>
      <c r="H1713" s="30"/>
      <c r="I1713" s="30">
        <v>178068</v>
      </c>
      <c r="J1713" s="30"/>
      <c r="K1713" s="30"/>
    </row>
    <row r="1714" spans="1:11" x14ac:dyDescent="0.35">
      <c r="A1714" s="30" t="s">
        <v>12462</v>
      </c>
      <c r="B1714" s="30" t="s">
        <v>12463</v>
      </c>
      <c r="C1714" s="32">
        <v>6.02</v>
      </c>
      <c r="D1714" s="30">
        <v>0.39</v>
      </c>
      <c r="E1714" s="31">
        <v>6.9269999999999998E-2</v>
      </c>
      <c r="F1714" s="30">
        <v>57021031</v>
      </c>
      <c r="G1714" s="30" t="s">
        <v>5427</v>
      </c>
      <c r="H1714" s="30">
        <v>2018</v>
      </c>
      <c r="I1714" s="30">
        <v>14074</v>
      </c>
      <c r="J1714" s="30" t="s">
        <v>5431</v>
      </c>
      <c r="K1714" s="30" t="s">
        <v>5500</v>
      </c>
    </row>
    <row r="1715" spans="1:11" x14ac:dyDescent="0.35">
      <c r="A1715" s="30" t="s">
        <v>12464</v>
      </c>
      <c r="B1715" s="30" t="s">
        <v>12465</v>
      </c>
      <c r="C1715" s="32">
        <v>10.145</v>
      </c>
      <c r="D1715" s="30">
        <v>0</v>
      </c>
      <c r="E1715" s="31">
        <v>0</v>
      </c>
      <c r="F1715" s="30">
        <v>350002500</v>
      </c>
      <c r="G1715" s="30" t="s">
        <v>5427</v>
      </c>
      <c r="H1715" s="30">
        <v>2021</v>
      </c>
      <c r="I1715" s="30">
        <v>343212</v>
      </c>
      <c r="J1715" s="30" t="s">
        <v>5435</v>
      </c>
      <c r="K1715" s="30" t="s">
        <v>5482</v>
      </c>
    </row>
    <row r="1716" spans="1:11" x14ac:dyDescent="0.35">
      <c r="A1716" s="30" t="s">
        <v>12466</v>
      </c>
      <c r="B1716" s="30" t="s">
        <v>12467</v>
      </c>
      <c r="C1716" s="32">
        <v>5.56</v>
      </c>
      <c r="D1716" s="30">
        <v>0.6</v>
      </c>
      <c r="E1716" s="31">
        <v>0.12096999999999999</v>
      </c>
      <c r="F1716" s="30">
        <v>853143664</v>
      </c>
      <c r="G1716" s="30" t="s">
        <v>5427</v>
      </c>
      <c r="H1716" s="30"/>
      <c r="I1716" s="30">
        <v>1873361</v>
      </c>
      <c r="J1716" s="30" t="s">
        <v>5219</v>
      </c>
      <c r="K1716" s="30" t="s">
        <v>5526</v>
      </c>
    </row>
    <row r="1717" spans="1:11" x14ac:dyDescent="0.35">
      <c r="A1717" s="30" t="s">
        <v>12468</v>
      </c>
      <c r="B1717" s="30" t="s">
        <v>12469</v>
      </c>
      <c r="C1717" s="32">
        <v>5.29</v>
      </c>
      <c r="D1717" s="30">
        <v>0.01</v>
      </c>
      <c r="E1717" s="31">
        <v>1.89E-3</v>
      </c>
      <c r="F1717" s="30">
        <v>642670684</v>
      </c>
      <c r="G1717" s="30" t="s">
        <v>6338</v>
      </c>
      <c r="H1717" s="30"/>
      <c r="I1717" s="30">
        <v>26953</v>
      </c>
      <c r="J1717" s="30" t="s">
        <v>5682</v>
      </c>
      <c r="K1717" s="30" t="s">
        <v>5644</v>
      </c>
    </row>
    <row r="1718" spans="1:11" x14ac:dyDescent="0.35">
      <c r="A1718" s="30" t="s">
        <v>12470</v>
      </c>
      <c r="B1718" s="30" t="s">
        <v>12471</v>
      </c>
      <c r="C1718" s="32">
        <v>14.14</v>
      </c>
      <c r="D1718" s="30">
        <v>0.2</v>
      </c>
      <c r="E1718" s="31">
        <v>1.435E-2</v>
      </c>
      <c r="F1718" s="30">
        <v>1796187911</v>
      </c>
      <c r="G1718" s="30" t="s">
        <v>5427</v>
      </c>
      <c r="H1718" s="30">
        <v>2009</v>
      </c>
      <c r="I1718" s="30">
        <v>962936</v>
      </c>
      <c r="J1718" s="30" t="s">
        <v>5435</v>
      </c>
      <c r="K1718" s="30" t="s">
        <v>5579</v>
      </c>
    </row>
    <row r="1719" spans="1:11" x14ac:dyDescent="0.35">
      <c r="A1719" s="30" t="s">
        <v>12472</v>
      </c>
      <c r="B1719" s="30" t="s">
        <v>12473</v>
      </c>
      <c r="C1719" s="32">
        <v>57.54</v>
      </c>
      <c r="D1719" s="30">
        <v>0.74</v>
      </c>
      <c r="E1719" s="31">
        <v>1.303E-2</v>
      </c>
      <c r="F1719" s="30">
        <v>3437407435</v>
      </c>
      <c r="G1719" s="30" t="s">
        <v>5427</v>
      </c>
      <c r="H1719" s="30"/>
      <c r="I1719" s="30">
        <v>416889</v>
      </c>
      <c r="J1719" s="30" t="s">
        <v>5426</v>
      </c>
      <c r="K1719" s="30" t="s">
        <v>5593</v>
      </c>
    </row>
    <row r="1720" spans="1:11" x14ac:dyDescent="0.35">
      <c r="A1720" s="30" t="s">
        <v>12474</v>
      </c>
      <c r="B1720" s="30" t="s">
        <v>12475</v>
      </c>
      <c r="C1720" s="32">
        <v>34.5</v>
      </c>
      <c r="D1720" s="30">
        <v>0.15</v>
      </c>
      <c r="E1720" s="31">
        <v>4.3699999999999998E-3</v>
      </c>
      <c r="F1720" s="30">
        <v>281752910</v>
      </c>
      <c r="G1720" s="30" t="s">
        <v>5427</v>
      </c>
      <c r="H1720" s="30"/>
      <c r="I1720" s="30">
        <v>19655</v>
      </c>
      <c r="J1720" s="30" t="s">
        <v>5435</v>
      </c>
      <c r="K1720" s="30" t="s">
        <v>5579</v>
      </c>
    </row>
    <row r="1721" spans="1:11" x14ac:dyDescent="0.35">
      <c r="A1721" s="30" t="s">
        <v>12476</v>
      </c>
      <c r="B1721" s="30" t="s">
        <v>12477</v>
      </c>
      <c r="C1721" s="32">
        <v>16.2</v>
      </c>
      <c r="D1721" s="30">
        <v>0.24</v>
      </c>
      <c r="E1721" s="31">
        <v>1.504E-2</v>
      </c>
      <c r="F1721" s="30">
        <v>6700320000</v>
      </c>
      <c r="G1721" s="30" t="s">
        <v>5427</v>
      </c>
      <c r="H1721" s="30"/>
      <c r="I1721" s="30">
        <v>2980394</v>
      </c>
      <c r="J1721" s="30" t="s">
        <v>5457</v>
      </c>
      <c r="K1721" s="30" t="s">
        <v>5838</v>
      </c>
    </row>
    <row r="1722" spans="1:11" x14ac:dyDescent="0.35">
      <c r="A1722" s="30" t="s">
        <v>12478</v>
      </c>
      <c r="B1722" s="30" t="s">
        <v>12479</v>
      </c>
      <c r="C1722" s="32">
        <v>273.01</v>
      </c>
      <c r="D1722" s="30">
        <v>-3.79</v>
      </c>
      <c r="E1722" s="31">
        <v>-1.3690000000000001E-2</v>
      </c>
      <c r="F1722" s="30">
        <v>992669820</v>
      </c>
      <c r="G1722" s="30" t="s">
        <v>5427</v>
      </c>
      <c r="H1722" s="30"/>
      <c r="I1722" s="30">
        <v>7317</v>
      </c>
      <c r="J1722" s="30" t="s">
        <v>5435</v>
      </c>
      <c r="K1722" s="30" t="s">
        <v>6352</v>
      </c>
    </row>
    <row r="1723" spans="1:11" x14ac:dyDescent="0.35">
      <c r="A1723" s="30" t="s">
        <v>12480</v>
      </c>
      <c r="B1723" s="30" t="s">
        <v>12481</v>
      </c>
      <c r="C1723" s="32">
        <v>37.924999999999997</v>
      </c>
      <c r="D1723" s="30">
        <v>0.52500000000000002</v>
      </c>
      <c r="E1723" s="31">
        <v>1.404E-2</v>
      </c>
      <c r="F1723" s="30">
        <v>376495128</v>
      </c>
      <c r="G1723" s="30" t="s">
        <v>5427</v>
      </c>
      <c r="H1723" s="30">
        <v>1995</v>
      </c>
      <c r="I1723" s="30">
        <v>43062</v>
      </c>
      <c r="J1723" s="30" t="s">
        <v>5457</v>
      </c>
      <c r="K1723" s="30" t="s">
        <v>5472</v>
      </c>
    </row>
    <row r="1724" spans="1:11" x14ac:dyDescent="0.35">
      <c r="A1724" s="30" t="s">
        <v>12482</v>
      </c>
      <c r="B1724" s="30" t="s">
        <v>12483</v>
      </c>
      <c r="C1724" s="32">
        <v>20.91</v>
      </c>
      <c r="D1724" s="30">
        <v>0.47</v>
      </c>
      <c r="E1724" s="31">
        <v>2.299E-2</v>
      </c>
      <c r="F1724" s="30">
        <v>12036377235</v>
      </c>
      <c r="G1724" s="30" t="s">
        <v>5427</v>
      </c>
      <c r="H1724" s="30"/>
      <c r="I1724" s="30">
        <v>682275</v>
      </c>
      <c r="J1724" s="30" t="s">
        <v>5442</v>
      </c>
      <c r="K1724" s="30" t="s">
        <v>5450</v>
      </c>
    </row>
    <row r="1725" spans="1:11" x14ac:dyDescent="0.35">
      <c r="A1725" s="30" t="s">
        <v>12484</v>
      </c>
      <c r="B1725" s="30" t="s">
        <v>12485</v>
      </c>
      <c r="C1725" s="32">
        <v>20.72</v>
      </c>
      <c r="D1725" s="30">
        <v>0.46</v>
      </c>
      <c r="E1725" s="31">
        <v>2.2700000000000001E-2</v>
      </c>
      <c r="F1725" s="30">
        <v>11927007954</v>
      </c>
      <c r="G1725" s="30" t="s">
        <v>5427</v>
      </c>
      <c r="H1725" s="30"/>
      <c r="I1725" s="30">
        <v>3252834</v>
      </c>
      <c r="J1725" s="30" t="s">
        <v>5442</v>
      </c>
      <c r="K1725" s="30" t="s">
        <v>5450</v>
      </c>
    </row>
    <row r="1726" spans="1:11" x14ac:dyDescent="0.35">
      <c r="A1726" s="30" t="s">
        <v>12486</v>
      </c>
      <c r="B1726" s="30" t="s">
        <v>12487</v>
      </c>
      <c r="C1726" s="32">
        <v>18.78</v>
      </c>
      <c r="D1726" s="30">
        <v>-0.24</v>
      </c>
      <c r="E1726" s="31">
        <v>-1.2619999999999999E-2</v>
      </c>
      <c r="F1726" s="30">
        <v>1239884822</v>
      </c>
      <c r="G1726" s="30" t="s">
        <v>5427</v>
      </c>
      <c r="H1726" s="30"/>
      <c r="I1726" s="30">
        <v>524262</v>
      </c>
      <c r="J1726" s="30" t="s">
        <v>5431</v>
      </c>
      <c r="K1726" s="30" t="s">
        <v>6530</v>
      </c>
    </row>
    <row r="1727" spans="1:11" x14ac:dyDescent="0.35">
      <c r="A1727" s="30" t="s">
        <v>12488</v>
      </c>
      <c r="B1727" s="30" t="s">
        <v>12489</v>
      </c>
      <c r="C1727" s="32">
        <v>193.94</v>
      </c>
      <c r="D1727" s="30">
        <v>9.6300000000000008</v>
      </c>
      <c r="E1727" s="31">
        <v>5.2249999999999998E-2</v>
      </c>
      <c r="F1727" s="30">
        <v>50256615136</v>
      </c>
      <c r="G1727" s="30" t="s">
        <v>6073</v>
      </c>
      <c r="H1727" s="30">
        <v>2010</v>
      </c>
      <c r="I1727" s="30">
        <v>4466688</v>
      </c>
      <c r="J1727" s="30" t="s">
        <v>5219</v>
      </c>
      <c r="K1727" s="30" t="s">
        <v>5526</v>
      </c>
    </row>
    <row r="1728" spans="1:11" x14ac:dyDescent="0.35">
      <c r="A1728" s="30" t="s">
        <v>12490</v>
      </c>
      <c r="B1728" s="30" t="s">
        <v>12491</v>
      </c>
      <c r="C1728" s="32">
        <v>210.87</v>
      </c>
      <c r="D1728" s="30">
        <v>6.1</v>
      </c>
      <c r="E1728" s="31">
        <v>2.9790000000000001E-2</v>
      </c>
      <c r="F1728" s="30">
        <v>7951579375</v>
      </c>
      <c r="G1728" s="30" t="s">
        <v>5427</v>
      </c>
      <c r="H1728" s="30">
        <v>2003</v>
      </c>
      <c r="I1728" s="30">
        <v>329218</v>
      </c>
      <c r="J1728" s="30" t="s">
        <v>5442</v>
      </c>
      <c r="K1728" s="30" t="s">
        <v>5450</v>
      </c>
    </row>
    <row r="1729" spans="1:11" x14ac:dyDescent="0.35">
      <c r="A1729" s="30" t="s">
        <v>12492</v>
      </c>
      <c r="B1729" s="30" t="s">
        <v>12493</v>
      </c>
      <c r="C1729" s="32">
        <v>3.17</v>
      </c>
      <c r="D1729" s="30">
        <v>0.05</v>
      </c>
      <c r="E1729" s="31">
        <v>1.6029999999999999E-2</v>
      </c>
      <c r="F1729" s="30">
        <v>1176270667</v>
      </c>
      <c r="G1729" s="30" t="s">
        <v>5427</v>
      </c>
      <c r="H1729" s="30"/>
      <c r="I1729" s="30">
        <v>2608178</v>
      </c>
      <c r="J1729" s="30" t="s">
        <v>5197</v>
      </c>
      <c r="K1729" s="30" t="s">
        <v>5467</v>
      </c>
    </row>
    <row r="1730" spans="1:11" x14ac:dyDescent="0.35">
      <c r="A1730" s="30" t="s">
        <v>12494</v>
      </c>
      <c r="B1730" s="30" t="s">
        <v>12495</v>
      </c>
      <c r="C1730" s="32">
        <v>5.3507999999999996</v>
      </c>
      <c r="D1730" s="30">
        <v>-3.9199999999999999E-2</v>
      </c>
      <c r="E1730" s="31">
        <v>-7.2700000000000004E-3</v>
      </c>
      <c r="F1730" s="30">
        <v>138298270</v>
      </c>
      <c r="G1730" s="30" t="s">
        <v>8520</v>
      </c>
      <c r="H1730" s="30">
        <v>2021</v>
      </c>
      <c r="I1730" s="30">
        <v>8645</v>
      </c>
      <c r="J1730" s="30" t="s">
        <v>5431</v>
      </c>
      <c r="K1730" s="30" t="s">
        <v>5500</v>
      </c>
    </row>
    <row r="1731" spans="1:11" x14ac:dyDescent="0.35">
      <c r="A1731" s="30" t="s">
        <v>12496</v>
      </c>
      <c r="B1731" s="30" t="s">
        <v>12497</v>
      </c>
      <c r="C1731" s="32">
        <v>4.25</v>
      </c>
      <c r="D1731" s="30">
        <v>0.11</v>
      </c>
      <c r="E1731" s="31">
        <v>2.657E-2</v>
      </c>
      <c r="F1731" s="30">
        <v>488671766</v>
      </c>
      <c r="G1731" s="30" t="s">
        <v>5427</v>
      </c>
      <c r="H1731" s="30">
        <v>2021</v>
      </c>
      <c r="I1731" s="30">
        <v>453792</v>
      </c>
      <c r="J1731" s="30" t="s">
        <v>5431</v>
      </c>
      <c r="K1731" s="30" t="s">
        <v>5430</v>
      </c>
    </row>
    <row r="1732" spans="1:11" x14ac:dyDescent="0.35">
      <c r="A1732" s="30" t="s">
        <v>12498</v>
      </c>
      <c r="B1732" s="30" t="s">
        <v>12499</v>
      </c>
      <c r="C1732" s="32">
        <v>4.95</v>
      </c>
      <c r="D1732" s="30">
        <v>0.03</v>
      </c>
      <c r="E1732" s="31">
        <v>6.1000000000000004E-3</v>
      </c>
      <c r="F1732" s="30">
        <v>260151012</v>
      </c>
      <c r="G1732" s="30" t="s">
        <v>5427</v>
      </c>
      <c r="H1732" s="30">
        <v>2021</v>
      </c>
      <c r="I1732" s="30">
        <v>202927</v>
      </c>
      <c r="J1732" s="30" t="s">
        <v>5457</v>
      </c>
      <c r="K1732" s="30" t="s">
        <v>5644</v>
      </c>
    </row>
    <row r="1733" spans="1:11" x14ac:dyDescent="0.35">
      <c r="A1733" s="30" t="s">
        <v>12500</v>
      </c>
      <c r="B1733" s="30" t="s">
        <v>12501</v>
      </c>
      <c r="C1733" s="32">
        <v>8.48</v>
      </c>
      <c r="D1733" s="30">
        <v>-0.22</v>
      </c>
      <c r="E1733" s="31">
        <v>-2.529E-2</v>
      </c>
      <c r="F1733" s="30">
        <v>268087390</v>
      </c>
      <c r="G1733" s="30" t="s">
        <v>5427</v>
      </c>
      <c r="H1733" s="30">
        <v>2020</v>
      </c>
      <c r="I1733" s="30">
        <v>64421</v>
      </c>
      <c r="J1733" s="30" t="s">
        <v>5431</v>
      </c>
      <c r="K1733" s="30" t="s">
        <v>5685</v>
      </c>
    </row>
    <row r="1734" spans="1:11" x14ac:dyDescent="0.35">
      <c r="A1734" s="30" t="s">
        <v>12502</v>
      </c>
      <c r="B1734" s="30" t="s">
        <v>12503</v>
      </c>
      <c r="C1734" s="32">
        <v>38.43</v>
      </c>
      <c r="D1734" s="30">
        <v>0.93</v>
      </c>
      <c r="E1734" s="31">
        <v>2.4799999999999999E-2</v>
      </c>
      <c r="F1734" s="30">
        <v>1181591838</v>
      </c>
      <c r="G1734" s="30" t="s">
        <v>5427</v>
      </c>
      <c r="H1734" s="30">
        <v>2018</v>
      </c>
      <c r="I1734" s="30">
        <v>145158</v>
      </c>
      <c r="J1734" s="30" t="s">
        <v>5435</v>
      </c>
      <c r="K1734" s="30" t="s">
        <v>5582</v>
      </c>
    </row>
    <row r="1735" spans="1:11" x14ac:dyDescent="0.35">
      <c r="A1735" s="30" t="s">
        <v>12504</v>
      </c>
      <c r="B1735" s="30" t="s">
        <v>12505</v>
      </c>
      <c r="C1735" s="32">
        <v>48.06</v>
      </c>
      <c r="D1735" s="30">
        <v>0.36</v>
      </c>
      <c r="E1735" s="31">
        <v>7.5500000000000003E-3</v>
      </c>
      <c r="F1735" s="30">
        <v>271184365</v>
      </c>
      <c r="G1735" s="30" t="s">
        <v>5427</v>
      </c>
      <c r="H1735" s="30"/>
      <c r="I1735" s="30">
        <v>3720</v>
      </c>
      <c r="J1735" s="30" t="s">
        <v>5435</v>
      </c>
      <c r="K1735" s="30" t="s">
        <v>5579</v>
      </c>
    </row>
    <row r="1736" spans="1:11" x14ac:dyDescent="0.35">
      <c r="A1736" s="30" t="s">
        <v>12506</v>
      </c>
      <c r="B1736" s="30" t="s">
        <v>12507</v>
      </c>
      <c r="C1736" s="32">
        <v>10.26</v>
      </c>
      <c r="D1736" s="30">
        <v>0</v>
      </c>
      <c r="E1736" s="31">
        <v>0</v>
      </c>
      <c r="F1736" s="30">
        <v>191733750</v>
      </c>
      <c r="G1736" s="30" t="s">
        <v>5427</v>
      </c>
      <c r="H1736" s="30">
        <v>2021</v>
      </c>
      <c r="I1736" s="30">
        <v>1760</v>
      </c>
      <c r="J1736" s="30" t="s">
        <v>5457</v>
      </c>
      <c r="K1736" s="30" t="s">
        <v>5571</v>
      </c>
    </row>
    <row r="1737" spans="1:11" x14ac:dyDescent="0.35">
      <c r="A1737" s="30" t="s">
        <v>12508</v>
      </c>
      <c r="B1737" s="30" t="s">
        <v>12509</v>
      </c>
      <c r="C1737" s="32">
        <v>24.22</v>
      </c>
      <c r="D1737" s="30">
        <v>0.3</v>
      </c>
      <c r="E1737" s="31">
        <v>1.2540000000000001E-2</v>
      </c>
      <c r="F1737" s="30">
        <v>1432470780</v>
      </c>
      <c r="G1737" s="30" t="s">
        <v>5427</v>
      </c>
      <c r="H1737" s="30"/>
      <c r="I1737" s="30">
        <v>275933</v>
      </c>
      <c r="J1737" s="30" t="s">
        <v>5435</v>
      </c>
      <c r="K1737" s="30" t="s">
        <v>6556</v>
      </c>
    </row>
    <row r="1738" spans="1:11" x14ac:dyDescent="0.35">
      <c r="A1738" s="30" t="s">
        <v>12510</v>
      </c>
      <c r="B1738" s="30" t="s">
        <v>12511</v>
      </c>
      <c r="C1738" s="32">
        <v>1.27</v>
      </c>
      <c r="D1738" s="30">
        <v>0</v>
      </c>
      <c r="E1738" s="31">
        <v>0</v>
      </c>
      <c r="F1738" s="30">
        <v>277986354</v>
      </c>
      <c r="G1738" s="30" t="s">
        <v>5427</v>
      </c>
      <c r="H1738" s="30">
        <v>2014</v>
      </c>
      <c r="I1738" s="30">
        <v>5691789</v>
      </c>
      <c r="J1738" s="30" t="s">
        <v>5431</v>
      </c>
      <c r="K1738" s="30" t="s">
        <v>5430</v>
      </c>
    </row>
    <row r="1739" spans="1:11" x14ac:dyDescent="0.35">
      <c r="A1739" s="30" t="s">
        <v>12512</v>
      </c>
      <c r="B1739" s="30" t="s">
        <v>12513</v>
      </c>
      <c r="C1739" s="32">
        <v>20.38</v>
      </c>
      <c r="D1739" s="30">
        <v>0.37</v>
      </c>
      <c r="E1739" s="31">
        <v>1.8489999999999999E-2</v>
      </c>
      <c r="F1739" s="30">
        <v>1570886548</v>
      </c>
      <c r="G1739" s="30" t="s">
        <v>5427</v>
      </c>
      <c r="H1739" s="30"/>
      <c r="I1739" s="30">
        <v>607806</v>
      </c>
      <c r="J1739" s="30" t="s">
        <v>5435</v>
      </c>
      <c r="K1739" s="30" t="s">
        <v>5598</v>
      </c>
    </row>
    <row r="1740" spans="1:11" x14ac:dyDescent="0.35">
      <c r="A1740" s="30" t="s">
        <v>12514</v>
      </c>
      <c r="B1740" s="30" t="s">
        <v>12515</v>
      </c>
      <c r="C1740" s="32">
        <v>3.87</v>
      </c>
      <c r="D1740" s="30">
        <v>-0.04</v>
      </c>
      <c r="E1740" s="31">
        <v>-1.023E-2</v>
      </c>
      <c r="F1740" s="30">
        <v>298030190</v>
      </c>
      <c r="G1740" s="30" t="s">
        <v>5427</v>
      </c>
      <c r="H1740" s="30">
        <v>2014</v>
      </c>
      <c r="I1740" s="30">
        <v>504502</v>
      </c>
      <c r="J1740" s="30" t="s">
        <v>5431</v>
      </c>
      <c r="K1740" s="30" t="s">
        <v>5430</v>
      </c>
    </row>
    <row r="1741" spans="1:11" x14ac:dyDescent="0.35">
      <c r="A1741" s="30" t="s">
        <v>12516</v>
      </c>
      <c r="B1741" s="30" t="s">
        <v>12517</v>
      </c>
      <c r="C1741" s="32">
        <v>3.54</v>
      </c>
      <c r="D1741" s="30">
        <v>7.0000000000000007E-2</v>
      </c>
      <c r="E1741" s="31">
        <v>2.017E-2</v>
      </c>
      <c r="F1741" s="30">
        <v>73656833</v>
      </c>
      <c r="G1741" s="30" t="s">
        <v>5427</v>
      </c>
      <c r="H1741" s="30"/>
      <c r="I1741" s="30">
        <v>98875</v>
      </c>
      <c r="J1741" s="30" t="s">
        <v>5431</v>
      </c>
      <c r="K1741" s="30" t="s">
        <v>5430</v>
      </c>
    </row>
    <row r="1742" spans="1:11" x14ac:dyDescent="0.35">
      <c r="A1742" s="30" t="s">
        <v>12518</v>
      </c>
      <c r="B1742" s="30" t="s">
        <v>12519</v>
      </c>
      <c r="C1742" s="32">
        <v>367.62</v>
      </c>
      <c r="D1742" s="30">
        <v>34.380000000000003</v>
      </c>
      <c r="E1742" s="31">
        <v>0.10317</v>
      </c>
      <c r="F1742" s="30">
        <v>40615253880</v>
      </c>
      <c r="G1742" s="30" t="s">
        <v>5427</v>
      </c>
      <c r="H1742" s="30">
        <v>1991</v>
      </c>
      <c r="I1742" s="30">
        <v>2649282</v>
      </c>
      <c r="J1742" s="30" t="s">
        <v>5457</v>
      </c>
      <c r="K1742" s="30" t="s">
        <v>5725</v>
      </c>
    </row>
    <row r="1743" spans="1:11" x14ac:dyDescent="0.35">
      <c r="A1743" s="30" t="s">
        <v>12520</v>
      </c>
      <c r="B1743" s="30" t="s">
        <v>12521</v>
      </c>
      <c r="C1743" s="32">
        <v>51.99</v>
      </c>
      <c r="D1743" s="30">
        <v>0.39</v>
      </c>
      <c r="E1743" s="31">
        <v>7.5599999999999999E-3</v>
      </c>
      <c r="F1743" s="30">
        <v>2381696369</v>
      </c>
      <c r="G1743" s="30" t="s">
        <v>5427</v>
      </c>
      <c r="H1743" s="30"/>
      <c r="I1743" s="30">
        <v>364876</v>
      </c>
      <c r="J1743" s="30" t="s">
        <v>5682</v>
      </c>
      <c r="K1743" s="30" t="s">
        <v>5746</v>
      </c>
    </row>
    <row r="1744" spans="1:11" x14ac:dyDescent="0.35">
      <c r="A1744" s="30" t="s">
        <v>12522</v>
      </c>
      <c r="B1744" s="30" t="s">
        <v>12523</v>
      </c>
      <c r="C1744" s="32">
        <v>1.72</v>
      </c>
      <c r="D1744" s="30">
        <v>0.06</v>
      </c>
      <c r="E1744" s="31">
        <v>3.6139999999999999E-2</v>
      </c>
      <c r="F1744" s="30">
        <v>55013589</v>
      </c>
      <c r="G1744" s="30" t="s">
        <v>5427</v>
      </c>
      <c r="H1744" s="30">
        <v>2015</v>
      </c>
      <c r="I1744" s="30">
        <v>69470</v>
      </c>
      <c r="J1744" s="30" t="s">
        <v>5442</v>
      </c>
      <c r="K1744" s="30" t="s">
        <v>5537</v>
      </c>
    </row>
    <row r="1745" spans="1:11" x14ac:dyDescent="0.35">
      <c r="A1745" s="30" t="s">
        <v>12524</v>
      </c>
      <c r="B1745" s="30" t="s">
        <v>12525</v>
      </c>
      <c r="C1745" s="32">
        <v>23.41</v>
      </c>
      <c r="D1745" s="30">
        <v>0</v>
      </c>
      <c r="E1745" s="31">
        <v>0</v>
      </c>
      <c r="F1745" s="30">
        <v>131317084</v>
      </c>
      <c r="G1745" s="30" t="s">
        <v>5427</v>
      </c>
      <c r="H1745" s="30">
        <v>2011</v>
      </c>
      <c r="I1745" s="30">
        <v>144</v>
      </c>
      <c r="J1745" s="30" t="s">
        <v>5435</v>
      </c>
      <c r="K1745" s="30" t="s">
        <v>6556</v>
      </c>
    </row>
    <row r="1746" spans="1:11" x14ac:dyDescent="0.35">
      <c r="A1746" s="30" t="s">
        <v>12526</v>
      </c>
      <c r="B1746" s="30" t="s">
        <v>12527</v>
      </c>
      <c r="C1746" s="32">
        <v>105.04</v>
      </c>
      <c r="D1746" s="30">
        <v>-1.26</v>
      </c>
      <c r="E1746" s="31">
        <v>-1.1849999999999999E-2</v>
      </c>
      <c r="F1746" s="30">
        <v>1060307583</v>
      </c>
      <c r="G1746" s="30" t="s">
        <v>5427</v>
      </c>
      <c r="H1746" s="30"/>
      <c r="I1746" s="30">
        <v>9297</v>
      </c>
      <c r="J1746" s="30" t="s">
        <v>5457</v>
      </c>
      <c r="K1746" s="30" t="s">
        <v>5537</v>
      </c>
    </row>
    <row r="1747" spans="1:11" x14ac:dyDescent="0.35">
      <c r="A1747" s="30" t="s">
        <v>12528</v>
      </c>
      <c r="B1747" s="30" t="s">
        <v>12529</v>
      </c>
      <c r="C1747" s="32">
        <v>10.1</v>
      </c>
      <c r="D1747" s="30">
        <v>0.06</v>
      </c>
      <c r="E1747" s="31">
        <v>5.9800000000000001E-3</v>
      </c>
      <c r="F1747" s="30">
        <v>135269825</v>
      </c>
      <c r="G1747" s="30" t="s">
        <v>5427</v>
      </c>
      <c r="H1747" s="30"/>
      <c r="I1747" s="30">
        <v>20464</v>
      </c>
      <c r="J1747" s="30" t="s">
        <v>5435</v>
      </c>
      <c r="K1747" s="30" t="s">
        <v>5985</v>
      </c>
    </row>
    <row r="1748" spans="1:11" x14ac:dyDescent="0.35">
      <c r="A1748" s="30" t="s">
        <v>12530</v>
      </c>
      <c r="B1748" s="30" t="s">
        <v>12531</v>
      </c>
      <c r="C1748" s="32">
        <v>0.94810000000000005</v>
      </c>
      <c r="D1748" s="30">
        <v>3.9100000000000003E-2</v>
      </c>
      <c r="E1748" s="31">
        <v>4.301E-2</v>
      </c>
      <c r="F1748" s="30">
        <v>297567738</v>
      </c>
      <c r="G1748" s="30" t="s">
        <v>5515</v>
      </c>
      <c r="H1748" s="30"/>
      <c r="I1748" s="30">
        <v>990589</v>
      </c>
      <c r="J1748" s="30" t="s">
        <v>5431</v>
      </c>
      <c r="K1748" s="30" t="s">
        <v>8643</v>
      </c>
    </row>
    <row r="1749" spans="1:11" x14ac:dyDescent="0.35">
      <c r="A1749" s="30" t="s">
        <v>12532</v>
      </c>
      <c r="B1749" s="30" t="s">
        <v>12533</v>
      </c>
      <c r="C1749" s="32">
        <v>76.150000000000006</v>
      </c>
      <c r="D1749" s="30">
        <v>2.54</v>
      </c>
      <c r="E1749" s="31">
        <v>3.4509999999999999E-2</v>
      </c>
      <c r="F1749" s="30">
        <v>12197948091</v>
      </c>
      <c r="G1749" s="30" t="s">
        <v>5427</v>
      </c>
      <c r="H1749" s="30">
        <v>2017</v>
      </c>
      <c r="I1749" s="30">
        <v>3533510</v>
      </c>
      <c r="J1749" s="30" t="s">
        <v>5219</v>
      </c>
      <c r="K1749" s="30" t="s">
        <v>5447</v>
      </c>
    </row>
    <row r="1750" spans="1:11" x14ac:dyDescent="0.35">
      <c r="A1750" s="30" t="s">
        <v>12534</v>
      </c>
      <c r="B1750" s="30" t="s">
        <v>12535</v>
      </c>
      <c r="C1750" s="32">
        <v>135.84</v>
      </c>
      <c r="D1750" s="30">
        <v>3.31</v>
      </c>
      <c r="E1750" s="31">
        <v>2.4979999999999999E-2</v>
      </c>
      <c r="F1750" s="30">
        <v>6416613903</v>
      </c>
      <c r="G1750" s="30" t="s">
        <v>5427</v>
      </c>
      <c r="H1750" s="30"/>
      <c r="I1750" s="30">
        <v>270760</v>
      </c>
      <c r="J1750" s="30" t="s">
        <v>5219</v>
      </c>
      <c r="K1750" s="30" t="s">
        <v>5644</v>
      </c>
    </row>
    <row r="1751" spans="1:11" x14ac:dyDescent="0.35">
      <c r="A1751" s="30" t="s">
        <v>12536</v>
      </c>
      <c r="B1751" s="30" t="s">
        <v>12537</v>
      </c>
      <c r="C1751" s="32">
        <v>10.19</v>
      </c>
      <c r="D1751" s="30">
        <v>0.04</v>
      </c>
      <c r="E1751" s="31">
        <v>3.9399999999999999E-3</v>
      </c>
      <c r="F1751" s="30">
        <v>62563706</v>
      </c>
      <c r="G1751" s="30" t="s">
        <v>5427</v>
      </c>
      <c r="H1751" s="30">
        <v>2022</v>
      </c>
      <c r="I1751" s="30">
        <v>1019</v>
      </c>
      <c r="J1751" s="30" t="s">
        <v>5457</v>
      </c>
      <c r="K1751" s="30" t="s">
        <v>5571</v>
      </c>
    </row>
    <row r="1752" spans="1:11" x14ac:dyDescent="0.35">
      <c r="A1752" s="30" t="s">
        <v>12538</v>
      </c>
      <c r="B1752" s="30" t="s">
        <v>12539</v>
      </c>
      <c r="C1752" s="32">
        <v>19.420000000000002</v>
      </c>
      <c r="D1752" s="30">
        <v>-0.16</v>
      </c>
      <c r="E1752" s="31">
        <v>-8.1700000000000002E-3</v>
      </c>
      <c r="F1752" s="30">
        <v>2312885452</v>
      </c>
      <c r="G1752" s="30" t="s">
        <v>8891</v>
      </c>
      <c r="H1752" s="30">
        <v>2021</v>
      </c>
      <c r="I1752" s="30">
        <v>125338</v>
      </c>
      <c r="J1752" s="30" t="s">
        <v>5457</v>
      </c>
      <c r="K1752" s="30" t="s">
        <v>5921</v>
      </c>
    </row>
    <row r="1753" spans="1:11" x14ac:dyDescent="0.35">
      <c r="A1753" s="30" t="s">
        <v>12540</v>
      </c>
      <c r="B1753" s="30" t="s">
        <v>12541</v>
      </c>
      <c r="C1753" s="32">
        <v>56.45</v>
      </c>
      <c r="D1753" s="30">
        <v>1.69</v>
      </c>
      <c r="E1753" s="31">
        <v>3.0859999999999999E-2</v>
      </c>
      <c r="F1753" s="30">
        <v>3513392284</v>
      </c>
      <c r="G1753" s="30" t="s">
        <v>5427</v>
      </c>
      <c r="H1753" s="30">
        <v>2015</v>
      </c>
      <c r="I1753" s="30">
        <v>634528</v>
      </c>
      <c r="J1753" s="30" t="s">
        <v>5442</v>
      </c>
      <c r="K1753" s="30" t="s">
        <v>5534</v>
      </c>
    </row>
    <row r="1754" spans="1:11" x14ac:dyDescent="0.35">
      <c r="A1754" s="30" t="s">
        <v>12542</v>
      </c>
      <c r="B1754" s="30" t="s">
        <v>12543</v>
      </c>
      <c r="C1754" s="32">
        <v>4.87</v>
      </c>
      <c r="D1754" s="30">
        <v>0.04</v>
      </c>
      <c r="E1754" s="31">
        <v>8.2799999999999992E-3</v>
      </c>
      <c r="F1754" s="30">
        <v>197017929</v>
      </c>
      <c r="G1754" s="30" t="s">
        <v>5427</v>
      </c>
      <c r="H1754" s="30">
        <v>2020</v>
      </c>
      <c r="I1754" s="30">
        <v>171372</v>
      </c>
      <c r="J1754" s="30" t="s">
        <v>5431</v>
      </c>
      <c r="K1754" s="30" t="s">
        <v>5430</v>
      </c>
    </row>
    <row r="1755" spans="1:11" x14ac:dyDescent="0.35">
      <c r="A1755" s="30" t="s">
        <v>12544</v>
      </c>
      <c r="B1755" s="30" t="s">
        <v>12545</v>
      </c>
      <c r="C1755" s="32">
        <v>6.57</v>
      </c>
      <c r="D1755" s="30">
        <v>0.26</v>
      </c>
      <c r="E1755" s="31">
        <v>4.1200000000000001E-2</v>
      </c>
      <c r="F1755" s="30">
        <v>4265121364</v>
      </c>
      <c r="G1755" s="30" t="s">
        <v>5427</v>
      </c>
      <c r="H1755" s="30">
        <v>2021</v>
      </c>
      <c r="I1755" s="30">
        <v>1975591</v>
      </c>
      <c r="J1755" s="30" t="s">
        <v>5682</v>
      </c>
      <c r="K1755" s="30" t="s">
        <v>5746</v>
      </c>
    </row>
    <row r="1756" spans="1:11" x14ac:dyDescent="0.35">
      <c r="A1756" s="30" t="s">
        <v>12546</v>
      </c>
      <c r="B1756" s="30" t="s">
        <v>12547</v>
      </c>
      <c r="C1756" s="32">
        <v>28.36</v>
      </c>
      <c r="D1756" s="30">
        <v>0.24</v>
      </c>
      <c r="E1756" s="31">
        <v>8.5299999999999994E-3</v>
      </c>
      <c r="F1756" s="30">
        <v>1370011477</v>
      </c>
      <c r="G1756" s="30" t="s">
        <v>5427</v>
      </c>
      <c r="H1756" s="30">
        <v>2020</v>
      </c>
      <c r="I1756" s="30">
        <v>352974</v>
      </c>
      <c r="J1756" s="30" t="s">
        <v>5431</v>
      </c>
      <c r="K1756" s="30" t="s">
        <v>6537</v>
      </c>
    </row>
    <row r="1757" spans="1:11" x14ac:dyDescent="0.35">
      <c r="A1757" s="30" t="s">
        <v>12548</v>
      </c>
      <c r="B1757" s="30" t="s">
        <v>12549</v>
      </c>
      <c r="C1757" s="32">
        <v>75.790000000000006</v>
      </c>
      <c r="D1757" s="30">
        <v>2.74</v>
      </c>
      <c r="E1757" s="31">
        <v>3.7510000000000002E-2</v>
      </c>
      <c r="F1757" s="30">
        <v>3658472581</v>
      </c>
      <c r="G1757" s="30" t="s">
        <v>5835</v>
      </c>
      <c r="H1757" s="30">
        <v>2006</v>
      </c>
      <c r="I1757" s="30">
        <v>84618</v>
      </c>
      <c r="J1757" s="30" t="s">
        <v>5442</v>
      </c>
      <c r="K1757" s="30" t="s">
        <v>5523</v>
      </c>
    </row>
    <row r="1758" spans="1:11" x14ac:dyDescent="0.35">
      <c r="A1758" s="30" t="s">
        <v>12550</v>
      </c>
      <c r="B1758" s="30" t="s">
        <v>12551</v>
      </c>
      <c r="C1758" s="32">
        <v>57.05</v>
      </c>
      <c r="D1758" s="30">
        <v>1.58</v>
      </c>
      <c r="E1758" s="31">
        <v>2.8479999999999998E-2</v>
      </c>
      <c r="F1758" s="30">
        <v>2547273486</v>
      </c>
      <c r="G1758" s="30" t="s">
        <v>5427</v>
      </c>
      <c r="H1758" s="30">
        <v>2001</v>
      </c>
      <c r="I1758" s="30">
        <v>508711</v>
      </c>
      <c r="J1758" s="30" t="s">
        <v>5431</v>
      </c>
      <c r="K1758" s="30" t="s">
        <v>6530</v>
      </c>
    </row>
    <row r="1759" spans="1:11" x14ac:dyDescent="0.35">
      <c r="A1759" s="30" t="s">
        <v>12552</v>
      </c>
      <c r="B1759" s="30" t="s">
        <v>12553</v>
      </c>
      <c r="C1759" s="32">
        <v>2.88</v>
      </c>
      <c r="D1759" s="30">
        <v>-0.02</v>
      </c>
      <c r="E1759" s="31">
        <v>-6.8999999999999999E-3</v>
      </c>
      <c r="F1759" s="30">
        <v>180662443</v>
      </c>
      <c r="G1759" s="30" t="s">
        <v>5427</v>
      </c>
      <c r="H1759" s="30">
        <v>2009</v>
      </c>
      <c r="I1759" s="30">
        <v>250499</v>
      </c>
      <c r="J1759" s="30" t="s">
        <v>5431</v>
      </c>
      <c r="K1759" s="30" t="s">
        <v>5430</v>
      </c>
    </row>
    <row r="1760" spans="1:11" x14ac:dyDescent="0.35">
      <c r="A1760" s="30" t="s">
        <v>12554</v>
      </c>
      <c r="B1760" s="30" t="s">
        <v>12555</v>
      </c>
      <c r="C1760" s="32">
        <v>3.12</v>
      </c>
      <c r="D1760" s="30">
        <v>0.03</v>
      </c>
      <c r="E1760" s="31">
        <v>9.7099999999999999E-3</v>
      </c>
      <c r="F1760" s="30">
        <v>60863303</v>
      </c>
      <c r="G1760" s="30" t="s">
        <v>5427</v>
      </c>
      <c r="H1760" s="30"/>
      <c r="I1760" s="30">
        <v>46182</v>
      </c>
      <c r="J1760" s="30" t="s">
        <v>5442</v>
      </c>
      <c r="K1760" s="30" t="s">
        <v>5910</v>
      </c>
    </row>
    <row r="1761" spans="1:11" x14ac:dyDescent="0.35">
      <c r="A1761" s="30" t="s">
        <v>12556</v>
      </c>
      <c r="B1761" s="30" t="s">
        <v>12557</v>
      </c>
      <c r="C1761" s="32">
        <v>7.73</v>
      </c>
      <c r="D1761" s="30">
        <v>-0.12</v>
      </c>
      <c r="E1761" s="31">
        <v>-1.529E-2</v>
      </c>
      <c r="F1761" s="30">
        <v>371417649</v>
      </c>
      <c r="G1761" s="30" t="s">
        <v>5427</v>
      </c>
      <c r="H1761" s="30">
        <v>2021</v>
      </c>
      <c r="I1761" s="30">
        <v>35422</v>
      </c>
      <c r="J1761" s="30" t="s">
        <v>5431</v>
      </c>
      <c r="K1761" s="30" t="s">
        <v>5430</v>
      </c>
    </row>
    <row r="1762" spans="1:11" x14ac:dyDescent="0.35">
      <c r="A1762" s="30" t="s">
        <v>12558</v>
      </c>
      <c r="B1762" s="30" t="s">
        <v>12559</v>
      </c>
      <c r="C1762" s="32">
        <v>2.62</v>
      </c>
      <c r="D1762" s="30">
        <v>-5.5E-2</v>
      </c>
      <c r="E1762" s="31">
        <v>-2.0559999999999998E-2</v>
      </c>
      <c r="F1762" s="30">
        <v>187057808</v>
      </c>
      <c r="G1762" s="30" t="s">
        <v>5427</v>
      </c>
      <c r="H1762" s="30">
        <v>2021</v>
      </c>
      <c r="I1762" s="30">
        <v>69260</v>
      </c>
      <c r="J1762" s="30" t="s">
        <v>5431</v>
      </c>
      <c r="K1762" s="30" t="s">
        <v>5500</v>
      </c>
    </row>
    <row r="1763" spans="1:11" x14ac:dyDescent="0.35">
      <c r="A1763" s="30" t="s">
        <v>12560</v>
      </c>
      <c r="B1763" s="30" t="s">
        <v>12561</v>
      </c>
      <c r="C1763" s="32">
        <v>77.84</v>
      </c>
      <c r="D1763" s="30">
        <v>4.3899999999999997</v>
      </c>
      <c r="E1763" s="31">
        <v>5.9769999999999997E-2</v>
      </c>
      <c r="F1763" s="30">
        <v>33659850922</v>
      </c>
      <c r="G1763" s="30" t="s">
        <v>5427</v>
      </c>
      <c r="H1763" s="30"/>
      <c r="I1763" s="30">
        <v>9105363</v>
      </c>
      <c r="J1763" s="30" t="s">
        <v>5219</v>
      </c>
      <c r="K1763" s="30" t="s">
        <v>5526</v>
      </c>
    </row>
    <row r="1764" spans="1:11" x14ac:dyDescent="0.35">
      <c r="A1764" s="30" t="s">
        <v>12562</v>
      </c>
      <c r="B1764" s="30" t="s">
        <v>12563</v>
      </c>
      <c r="C1764" s="32">
        <v>17.54</v>
      </c>
      <c r="D1764" s="30">
        <v>0.04</v>
      </c>
      <c r="E1764" s="31">
        <v>2.2899999999999999E-3</v>
      </c>
      <c r="F1764" s="30">
        <v>5137518620</v>
      </c>
      <c r="G1764" s="30" t="s">
        <v>5427</v>
      </c>
      <c r="H1764" s="30"/>
      <c r="I1764" s="30">
        <v>1935357</v>
      </c>
      <c r="J1764" s="30" t="s">
        <v>5435</v>
      </c>
      <c r="K1764" s="30" t="s">
        <v>5579</v>
      </c>
    </row>
    <row r="1765" spans="1:11" x14ac:dyDescent="0.35">
      <c r="A1765" s="30" t="s">
        <v>12564</v>
      </c>
      <c r="B1765" s="30" t="s">
        <v>12565</v>
      </c>
      <c r="C1765" s="32">
        <v>1.1299999999999999</v>
      </c>
      <c r="D1765" s="30">
        <v>0.01</v>
      </c>
      <c r="E1765" s="31">
        <v>8.9300000000000004E-3</v>
      </c>
      <c r="F1765" s="30">
        <v>64934608</v>
      </c>
      <c r="G1765" s="30" t="s">
        <v>5427</v>
      </c>
      <c r="H1765" s="30">
        <v>2004</v>
      </c>
      <c r="I1765" s="30">
        <v>250020</v>
      </c>
      <c r="J1765" s="30" t="s">
        <v>5431</v>
      </c>
      <c r="K1765" s="30" t="s">
        <v>5430</v>
      </c>
    </row>
    <row r="1766" spans="1:11" x14ac:dyDescent="0.35">
      <c r="A1766" s="30" t="s">
        <v>12566</v>
      </c>
      <c r="B1766" s="30" t="s">
        <v>12567</v>
      </c>
      <c r="C1766" s="32">
        <v>1.85</v>
      </c>
      <c r="D1766" s="30">
        <v>7.0000000000000007E-2</v>
      </c>
      <c r="E1766" s="31">
        <v>3.9329999999999997E-2</v>
      </c>
      <c r="F1766" s="30">
        <v>109203073</v>
      </c>
      <c r="G1766" s="30" t="s">
        <v>5515</v>
      </c>
      <c r="H1766" s="30"/>
      <c r="I1766" s="30">
        <v>126399</v>
      </c>
      <c r="J1766" s="30" t="s">
        <v>5431</v>
      </c>
      <c r="K1766" s="30" t="s">
        <v>8643</v>
      </c>
    </row>
    <row r="1767" spans="1:11" x14ac:dyDescent="0.35">
      <c r="A1767" s="30" t="s">
        <v>12568</v>
      </c>
      <c r="B1767" s="30" t="s">
        <v>12569</v>
      </c>
      <c r="C1767" s="32">
        <v>2.14</v>
      </c>
      <c r="D1767" s="30">
        <v>0.15</v>
      </c>
      <c r="E1767" s="31">
        <v>7.5380000000000003E-2</v>
      </c>
      <c r="F1767" s="30">
        <v>97819488</v>
      </c>
      <c r="G1767" s="30" t="s">
        <v>5427</v>
      </c>
      <c r="H1767" s="30"/>
      <c r="I1767" s="30">
        <v>237059</v>
      </c>
      <c r="J1767" s="30" t="s">
        <v>5732</v>
      </c>
      <c r="K1767" s="30" t="s">
        <v>5520</v>
      </c>
    </row>
    <row r="1768" spans="1:11" x14ac:dyDescent="0.35">
      <c r="A1768" s="30" t="s">
        <v>12570</v>
      </c>
      <c r="B1768" s="30" t="s">
        <v>12571</v>
      </c>
      <c r="C1768" s="32">
        <v>15.92</v>
      </c>
      <c r="D1768" s="30">
        <v>-7.0000000000000007E-2</v>
      </c>
      <c r="E1768" s="31">
        <v>-4.3800000000000002E-3</v>
      </c>
      <c r="F1768" s="30">
        <v>3253257938</v>
      </c>
      <c r="G1768" s="30" t="s">
        <v>5427</v>
      </c>
      <c r="H1768" s="30">
        <v>2020</v>
      </c>
      <c r="I1768" s="30">
        <v>4106615</v>
      </c>
      <c r="J1768" s="30" t="s">
        <v>5431</v>
      </c>
      <c r="K1768" s="30" t="s">
        <v>5980</v>
      </c>
    </row>
    <row r="1769" spans="1:11" x14ac:dyDescent="0.35">
      <c r="A1769" s="30" t="s">
        <v>12572</v>
      </c>
      <c r="B1769" s="30" t="s">
        <v>12573</v>
      </c>
      <c r="C1769" s="32">
        <v>33.57</v>
      </c>
      <c r="D1769" s="30">
        <v>0.83</v>
      </c>
      <c r="E1769" s="31">
        <v>2.5350000000000001E-2</v>
      </c>
      <c r="F1769" s="30">
        <v>479530699</v>
      </c>
      <c r="G1769" s="30" t="s">
        <v>5427</v>
      </c>
      <c r="H1769" s="30">
        <v>2020</v>
      </c>
      <c r="I1769" s="30">
        <v>126573</v>
      </c>
      <c r="J1769" s="30" t="s">
        <v>5442</v>
      </c>
      <c r="K1769" s="30" t="s">
        <v>5576</v>
      </c>
    </row>
    <row r="1770" spans="1:11" x14ac:dyDescent="0.35">
      <c r="A1770" s="30" t="s">
        <v>12574</v>
      </c>
      <c r="B1770" s="30" t="s">
        <v>12575</v>
      </c>
      <c r="C1770" s="32">
        <v>10.42</v>
      </c>
      <c r="D1770" s="30">
        <v>0.04</v>
      </c>
      <c r="E1770" s="31">
        <v>3.8500000000000001E-3</v>
      </c>
      <c r="F1770" s="30">
        <v>344511250</v>
      </c>
      <c r="G1770" s="30" t="s">
        <v>5427</v>
      </c>
      <c r="H1770" s="30">
        <v>2021</v>
      </c>
      <c r="I1770" s="30">
        <v>202</v>
      </c>
      <c r="J1770" s="30" t="s">
        <v>5435</v>
      </c>
      <c r="K1770" s="30" t="s">
        <v>5482</v>
      </c>
    </row>
    <row r="1771" spans="1:11" x14ac:dyDescent="0.35">
      <c r="A1771" s="30" t="s">
        <v>12576</v>
      </c>
      <c r="B1771" s="30" t="s">
        <v>12577</v>
      </c>
      <c r="C1771" s="32">
        <v>7.3</v>
      </c>
      <c r="D1771" s="30">
        <v>-0.05</v>
      </c>
      <c r="E1771" s="31">
        <v>-6.7999999999999996E-3</v>
      </c>
      <c r="F1771" s="30">
        <v>215188451</v>
      </c>
      <c r="G1771" s="30" t="s">
        <v>5427</v>
      </c>
      <c r="H1771" s="30">
        <v>2021</v>
      </c>
      <c r="I1771" s="30">
        <v>314492</v>
      </c>
      <c r="J1771" s="30" t="s">
        <v>5426</v>
      </c>
      <c r="K1771" s="30" t="s">
        <v>5546</v>
      </c>
    </row>
    <row r="1772" spans="1:11" x14ac:dyDescent="0.35">
      <c r="A1772" s="30" t="s">
        <v>12578</v>
      </c>
      <c r="B1772" s="30" t="s">
        <v>12579</v>
      </c>
      <c r="C1772" s="32">
        <v>11.33</v>
      </c>
      <c r="D1772" s="30">
        <v>-0.01</v>
      </c>
      <c r="E1772" s="31">
        <v>-8.8000000000000003E-4</v>
      </c>
      <c r="F1772" s="30">
        <v>173012998</v>
      </c>
      <c r="G1772" s="30" t="s">
        <v>5427</v>
      </c>
      <c r="H1772" s="30">
        <v>2018</v>
      </c>
      <c r="I1772" s="30">
        <v>32400</v>
      </c>
      <c r="J1772" s="30" t="s">
        <v>5435</v>
      </c>
      <c r="K1772" s="30" t="s">
        <v>5582</v>
      </c>
    </row>
    <row r="1773" spans="1:11" x14ac:dyDescent="0.35">
      <c r="A1773" s="30" t="s">
        <v>12580</v>
      </c>
      <c r="B1773" s="30" t="s">
        <v>12581</v>
      </c>
      <c r="C1773" s="32">
        <v>29.18</v>
      </c>
      <c r="D1773" s="30">
        <v>0.31</v>
      </c>
      <c r="E1773" s="31">
        <v>1.074E-2</v>
      </c>
      <c r="F1773" s="30">
        <v>5307869137</v>
      </c>
      <c r="G1773" s="30" t="s">
        <v>5427</v>
      </c>
      <c r="H1773" s="30"/>
      <c r="I1773" s="30">
        <v>774880</v>
      </c>
      <c r="J1773" s="30" t="s">
        <v>5431</v>
      </c>
      <c r="K1773" s="30" t="s">
        <v>5980</v>
      </c>
    </row>
    <row r="1774" spans="1:11" x14ac:dyDescent="0.35">
      <c r="A1774" s="30" t="s">
        <v>12582</v>
      </c>
      <c r="B1774" s="30" t="s">
        <v>12583</v>
      </c>
      <c r="C1774" s="32">
        <v>2.4</v>
      </c>
      <c r="D1774" s="30">
        <v>0.21</v>
      </c>
      <c r="E1774" s="31">
        <v>9.5890000000000003E-2</v>
      </c>
      <c r="F1774" s="30">
        <v>1522085834</v>
      </c>
      <c r="G1774" s="30" t="s">
        <v>5427</v>
      </c>
      <c r="H1774" s="30"/>
      <c r="I1774" s="30">
        <v>38447848</v>
      </c>
      <c r="J1774" s="30" t="s">
        <v>5435</v>
      </c>
      <c r="K1774" s="30" t="s">
        <v>5197</v>
      </c>
    </row>
    <row r="1775" spans="1:11" x14ac:dyDescent="0.35">
      <c r="A1775" s="30" t="s">
        <v>12584</v>
      </c>
      <c r="B1775" s="30" t="s">
        <v>12585</v>
      </c>
      <c r="C1775" s="32">
        <v>17.09</v>
      </c>
      <c r="D1775" s="30">
        <v>-7.0000000000000007E-2</v>
      </c>
      <c r="E1775" s="31">
        <v>-4.0800000000000003E-3</v>
      </c>
      <c r="F1775" s="30">
        <v>829993948</v>
      </c>
      <c r="G1775" s="30" t="s">
        <v>5427</v>
      </c>
      <c r="H1775" s="30"/>
      <c r="I1775" s="30">
        <v>327805</v>
      </c>
      <c r="J1775" s="30" t="s">
        <v>5197</v>
      </c>
      <c r="K1775" s="30" t="s">
        <v>5467</v>
      </c>
    </row>
    <row r="1776" spans="1:11" x14ac:dyDescent="0.35">
      <c r="A1776" s="30" t="s">
        <v>12586</v>
      </c>
      <c r="B1776" s="30" t="s">
        <v>12587</v>
      </c>
      <c r="C1776" s="32">
        <v>1.38</v>
      </c>
      <c r="D1776" s="30">
        <v>0.09</v>
      </c>
      <c r="E1776" s="31">
        <v>6.9769999999999999E-2</v>
      </c>
      <c r="F1776" s="30">
        <v>1066306513</v>
      </c>
      <c r="G1776" s="30" t="s">
        <v>5427</v>
      </c>
      <c r="H1776" s="30"/>
      <c r="I1776" s="30">
        <v>4626609</v>
      </c>
      <c r="J1776" s="30" t="s">
        <v>5431</v>
      </c>
      <c r="K1776" s="30" t="s">
        <v>9105</v>
      </c>
    </row>
    <row r="1777" spans="1:11" x14ac:dyDescent="0.35">
      <c r="A1777" s="30" t="s">
        <v>12588</v>
      </c>
      <c r="B1777" s="30" t="s">
        <v>12589</v>
      </c>
      <c r="C1777" s="32">
        <v>20.03</v>
      </c>
      <c r="D1777" s="30">
        <v>-0.15</v>
      </c>
      <c r="E1777" s="31">
        <v>-7.43E-3</v>
      </c>
      <c r="F1777" s="30">
        <v>105531600</v>
      </c>
      <c r="G1777" s="30" t="s">
        <v>5427</v>
      </c>
      <c r="H1777" s="30"/>
      <c r="I1777" s="30">
        <v>231349</v>
      </c>
      <c r="J1777" s="30" t="s">
        <v>5431</v>
      </c>
      <c r="K1777" s="30" t="s">
        <v>5430</v>
      </c>
    </row>
    <row r="1778" spans="1:11" x14ac:dyDescent="0.35">
      <c r="A1778" s="30" t="s">
        <v>12590</v>
      </c>
      <c r="B1778" s="30" t="s">
        <v>12591</v>
      </c>
      <c r="C1778" s="32">
        <v>25.21</v>
      </c>
      <c r="D1778" s="30">
        <v>1.45</v>
      </c>
      <c r="E1778" s="31">
        <v>6.1030000000000001E-2</v>
      </c>
      <c r="F1778" s="30">
        <v>125967513</v>
      </c>
      <c r="G1778" s="30" t="s">
        <v>5427</v>
      </c>
      <c r="H1778" s="30"/>
      <c r="I1778" s="30">
        <v>2126</v>
      </c>
      <c r="J1778" s="30" t="s">
        <v>5435</v>
      </c>
      <c r="K1778" s="30" t="s">
        <v>5579</v>
      </c>
    </row>
    <row r="1779" spans="1:11" x14ac:dyDescent="0.35">
      <c r="A1779" s="30" t="s">
        <v>12592</v>
      </c>
      <c r="B1779" s="30" t="s">
        <v>12593</v>
      </c>
      <c r="C1779" s="32">
        <v>6.46</v>
      </c>
      <c r="D1779" s="30">
        <v>-0.16</v>
      </c>
      <c r="E1779" s="31">
        <v>-2.4170000000000001E-2</v>
      </c>
      <c r="F1779" s="30">
        <v>577839429</v>
      </c>
      <c r="G1779" s="30" t="s">
        <v>7953</v>
      </c>
      <c r="H1779" s="30">
        <v>2018</v>
      </c>
      <c r="I1779" s="30">
        <v>68186</v>
      </c>
      <c r="J1779" s="30" t="s">
        <v>5219</v>
      </c>
      <c r="K1779" s="30" t="s">
        <v>5560</v>
      </c>
    </row>
    <row r="1780" spans="1:11" x14ac:dyDescent="0.35">
      <c r="A1780" s="30" t="s">
        <v>12594</v>
      </c>
      <c r="B1780" s="30" t="s">
        <v>12595</v>
      </c>
      <c r="C1780" s="32">
        <v>7.35</v>
      </c>
      <c r="D1780" s="30">
        <v>0.34</v>
      </c>
      <c r="E1780" s="31">
        <v>4.8500000000000001E-2</v>
      </c>
      <c r="F1780" s="30">
        <v>243966367</v>
      </c>
      <c r="G1780" s="30" t="s">
        <v>5427</v>
      </c>
      <c r="H1780" s="30">
        <v>2019</v>
      </c>
      <c r="I1780" s="30">
        <v>340573</v>
      </c>
      <c r="J1780" s="30" t="s">
        <v>5435</v>
      </c>
      <c r="K1780" s="30" t="s">
        <v>5563</v>
      </c>
    </row>
    <row r="1781" spans="1:11" x14ac:dyDescent="0.35">
      <c r="A1781" s="30" t="s">
        <v>12596</v>
      </c>
      <c r="B1781" s="30" t="s">
        <v>12597</v>
      </c>
      <c r="C1781" s="32">
        <v>18.88</v>
      </c>
      <c r="D1781" s="30">
        <v>0.93</v>
      </c>
      <c r="E1781" s="31">
        <v>5.1810000000000002E-2</v>
      </c>
      <c r="F1781" s="30">
        <v>323843297</v>
      </c>
      <c r="G1781" s="30" t="s">
        <v>5427</v>
      </c>
      <c r="H1781" s="30"/>
      <c r="I1781" s="30">
        <v>175171</v>
      </c>
      <c r="J1781" s="30" t="s">
        <v>5431</v>
      </c>
      <c r="K1781" s="30" t="s">
        <v>6530</v>
      </c>
    </row>
    <row r="1782" spans="1:11" x14ac:dyDescent="0.35">
      <c r="A1782" s="30" t="s">
        <v>12598</v>
      </c>
      <c r="B1782" s="30" t="s">
        <v>12599</v>
      </c>
      <c r="C1782" s="32">
        <v>5.4499000000000004</v>
      </c>
      <c r="D1782" s="30">
        <v>-0.1201</v>
      </c>
      <c r="E1782" s="31">
        <v>-2.1559999999999999E-2</v>
      </c>
      <c r="F1782" s="30">
        <v>275884440</v>
      </c>
      <c r="G1782" s="30" t="s">
        <v>6338</v>
      </c>
      <c r="H1782" s="30">
        <v>2020</v>
      </c>
      <c r="I1782" s="30">
        <v>2482</v>
      </c>
      <c r="J1782" s="30" t="s">
        <v>5431</v>
      </c>
      <c r="K1782" s="30" t="s">
        <v>6409</v>
      </c>
    </row>
    <row r="1783" spans="1:11" x14ac:dyDescent="0.35">
      <c r="A1783" s="30" t="s">
        <v>12600</v>
      </c>
      <c r="B1783" s="30" t="s">
        <v>12601</v>
      </c>
      <c r="C1783" s="32">
        <v>1.81</v>
      </c>
      <c r="D1783" s="30">
        <v>0.02</v>
      </c>
      <c r="E1783" s="31">
        <v>1.1169999999999999E-2</v>
      </c>
      <c r="F1783" s="30">
        <v>201601004</v>
      </c>
      <c r="G1783" s="30" t="s">
        <v>5427</v>
      </c>
      <c r="H1783" s="30">
        <v>2017</v>
      </c>
      <c r="I1783" s="30">
        <v>77976</v>
      </c>
      <c r="J1783" s="30" t="s">
        <v>5431</v>
      </c>
      <c r="K1783" s="30" t="s">
        <v>5430</v>
      </c>
    </row>
    <row r="1784" spans="1:11" x14ac:dyDescent="0.35">
      <c r="A1784" s="30" t="s">
        <v>12602</v>
      </c>
      <c r="B1784" s="30" t="s">
        <v>12603</v>
      </c>
      <c r="C1784" s="32">
        <v>5.96</v>
      </c>
      <c r="D1784" s="30">
        <v>-0.09</v>
      </c>
      <c r="E1784" s="31">
        <v>-1.4880000000000001E-2</v>
      </c>
      <c r="F1784" s="30">
        <v>850515453</v>
      </c>
      <c r="G1784" s="30" t="s">
        <v>5427</v>
      </c>
      <c r="H1784" s="30">
        <v>2020</v>
      </c>
      <c r="I1784" s="30">
        <v>1076868</v>
      </c>
      <c r="J1784" s="30" t="s">
        <v>5457</v>
      </c>
      <c r="K1784" s="30" t="s">
        <v>5438</v>
      </c>
    </row>
    <row r="1785" spans="1:11" x14ac:dyDescent="0.35">
      <c r="A1785" s="30" t="s">
        <v>12604</v>
      </c>
      <c r="B1785" s="30" t="s">
        <v>12605</v>
      </c>
      <c r="C1785" s="32">
        <v>2.63</v>
      </c>
      <c r="D1785" s="30">
        <v>7.0000000000000007E-2</v>
      </c>
      <c r="E1785" s="31">
        <v>2.734E-2</v>
      </c>
      <c r="F1785" s="30">
        <v>344306710</v>
      </c>
      <c r="G1785" s="30" t="s">
        <v>5427</v>
      </c>
      <c r="H1785" s="30">
        <v>2016</v>
      </c>
      <c r="I1785" s="30">
        <v>504475</v>
      </c>
      <c r="J1785" s="30" t="s">
        <v>5431</v>
      </c>
      <c r="K1785" s="30" t="s">
        <v>5430</v>
      </c>
    </row>
    <row r="1786" spans="1:11" x14ac:dyDescent="0.35">
      <c r="A1786" s="30" t="s">
        <v>12606</v>
      </c>
      <c r="B1786" s="30" t="s">
        <v>12607</v>
      </c>
      <c r="C1786" s="32">
        <v>10.130000000000001</v>
      </c>
      <c r="D1786" s="30">
        <v>0</v>
      </c>
      <c r="E1786" s="31">
        <v>0</v>
      </c>
      <c r="F1786" s="30">
        <v>253250000</v>
      </c>
      <c r="G1786" s="30" t="s">
        <v>5427</v>
      </c>
      <c r="H1786" s="30">
        <v>2021</v>
      </c>
      <c r="I1786" s="30">
        <v>47015</v>
      </c>
      <c r="J1786" s="30" t="s">
        <v>5435</v>
      </c>
      <c r="K1786" s="30" t="s">
        <v>5482</v>
      </c>
    </row>
    <row r="1787" spans="1:11" x14ac:dyDescent="0.35">
      <c r="A1787" s="30" t="s">
        <v>12608</v>
      </c>
      <c r="B1787" s="30" t="s">
        <v>12609</v>
      </c>
      <c r="C1787" s="32">
        <v>6</v>
      </c>
      <c r="D1787" s="30">
        <v>0.34</v>
      </c>
      <c r="E1787" s="31">
        <v>6.0069999999999998E-2</v>
      </c>
      <c r="F1787" s="30">
        <v>237459942</v>
      </c>
      <c r="G1787" s="30" t="s">
        <v>5427</v>
      </c>
      <c r="H1787" s="30">
        <v>2020</v>
      </c>
      <c r="I1787" s="30">
        <v>135985</v>
      </c>
      <c r="J1787" s="30" t="s">
        <v>5431</v>
      </c>
      <c r="K1787" s="30" t="s">
        <v>5430</v>
      </c>
    </row>
    <row r="1788" spans="1:11" x14ac:dyDescent="0.35">
      <c r="A1788" s="30" t="s">
        <v>12610</v>
      </c>
      <c r="B1788" s="30" t="s">
        <v>12611</v>
      </c>
      <c r="C1788" s="32">
        <v>807.93</v>
      </c>
      <c r="D1788" s="30">
        <v>15.58</v>
      </c>
      <c r="E1788" s="31">
        <v>1.966E-2</v>
      </c>
      <c r="F1788" s="30">
        <v>50556955774</v>
      </c>
      <c r="G1788" s="30" t="s">
        <v>5427</v>
      </c>
      <c r="H1788" s="30">
        <v>1993</v>
      </c>
      <c r="I1788" s="30">
        <v>515202</v>
      </c>
      <c r="J1788" s="30" t="s">
        <v>5442</v>
      </c>
      <c r="K1788" s="30" t="s">
        <v>9027</v>
      </c>
    </row>
    <row r="1789" spans="1:11" x14ac:dyDescent="0.35">
      <c r="A1789" s="30" t="s">
        <v>12612</v>
      </c>
      <c r="B1789" s="30" t="s">
        <v>12613</v>
      </c>
      <c r="C1789" s="32">
        <v>24.51</v>
      </c>
      <c r="D1789" s="30">
        <v>-0.24</v>
      </c>
      <c r="E1789" s="31">
        <v>-9.7000000000000003E-3</v>
      </c>
      <c r="F1789" s="30">
        <v>261556333</v>
      </c>
      <c r="G1789" s="30" t="s">
        <v>5427</v>
      </c>
      <c r="H1789" s="30"/>
      <c r="I1789" s="30">
        <v>17036</v>
      </c>
      <c r="J1789" s="30" t="s">
        <v>5435</v>
      </c>
      <c r="K1789" s="30" t="s">
        <v>5579</v>
      </c>
    </row>
    <row r="1790" spans="1:11" x14ac:dyDescent="0.35">
      <c r="A1790" s="30" t="s">
        <v>12614</v>
      </c>
      <c r="B1790" s="30" t="s">
        <v>12615</v>
      </c>
      <c r="C1790" s="32">
        <v>0.56999999999999995</v>
      </c>
      <c r="D1790" s="30">
        <v>1.34E-2</v>
      </c>
      <c r="E1790" s="31">
        <v>2.4070000000000001E-2</v>
      </c>
      <c r="F1790" s="30">
        <v>72213139</v>
      </c>
      <c r="G1790" s="30" t="s">
        <v>5775</v>
      </c>
      <c r="H1790" s="30">
        <v>2018</v>
      </c>
      <c r="I1790" s="30">
        <v>146787</v>
      </c>
      <c r="J1790" s="30" t="s">
        <v>5431</v>
      </c>
      <c r="K1790" s="30" t="s">
        <v>6409</v>
      </c>
    </row>
    <row r="1791" spans="1:11" x14ac:dyDescent="0.35">
      <c r="A1791" s="30" t="s">
        <v>12616</v>
      </c>
      <c r="B1791" s="30" t="s">
        <v>12617</v>
      </c>
      <c r="C1791" s="32">
        <v>5.2</v>
      </c>
      <c r="D1791" s="30">
        <v>0.19</v>
      </c>
      <c r="E1791" s="31">
        <v>3.7920000000000002E-2</v>
      </c>
      <c r="F1791" s="30">
        <v>83450505</v>
      </c>
      <c r="G1791" s="30" t="s">
        <v>5427</v>
      </c>
      <c r="H1791" s="30"/>
      <c r="I1791" s="30">
        <v>3886</v>
      </c>
      <c r="J1791" s="30" t="s">
        <v>5431</v>
      </c>
      <c r="K1791" s="30" t="s">
        <v>5610</v>
      </c>
    </row>
    <row r="1792" spans="1:11" x14ac:dyDescent="0.35">
      <c r="A1792" s="30" t="s">
        <v>12618</v>
      </c>
      <c r="B1792" s="30" t="s">
        <v>12619</v>
      </c>
      <c r="C1792" s="32">
        <v>16.850000000000001</v>
      </c>
      <c r="D1792" s="30">
        <v>-0.14000000000000001</v>
      </c>
      <c r="E1792" s="31">
        <v>-8.2400000000000008E-3</v>
      </c>
      <c r="F1792" s="30">
        <v>751211940</v>
      </c>
      <c r="G1792" s="30" t="s">
        <v>5427</v>
      </c>
      <c r="H1792" s="30"/>
      <c r="I1792" s="30">
        <v>177256</v>
      </c>
      <c r="J1792" s="30" t="s">
        <v>5435</v>
      </c>
      <c r="K1792" s="30" t="s">
        <v>5579</v>
      </c>
    </row>
    <row r="1793" spans="1:11" x14ac:dyDescent="0.35">
      <c r="A1793" s="30" t="s">
        <v>12620</v>
      </c>
      <c r="B1793" s="30" t="s">
        <v>12621</v>
      </c>
      <c r="C1793" s="32">
        <v>94.66</v>
      </c>
      <c r="D1793" s="30">
        <v>-0.05</v>
      </c>
      <c r="E1793" s="31">
        <v>-5.2999999999999998E-4</v>
      </c>
      <c r="F1793" s="30">
        <v>1595343412</v>
      </c>
      <c r="G1793" s="30" t="s">
        <v>5427</v>
      </c>
      <c r="H1793" s="30">
        <v>1997</v>
      </c>
      <c r="I1793" s="30">
        <v>97787</v>
      </c>
      <c r="J1793" s="30" t="s">
        <v>5219</v>
      </c>
      <c r="K1793" s="30" t="s">
        <v>5644</v>
      </c>
    </row>
    <row r="1794" spans="1:11" x14ac:dyDescent="0.35">
      <c r="A1794" s="30" t="s">
        <v>12622</v>
      </c>
      <c r="B1794" s="30" t="s">
        <v>12623</v>
      </c>
      <c r="C1794" s="32">
        <v>14.42</v>
      </c>
      <c r="D1794" s="30">
        <v>0.61</v>
      </c>
      <c r="E1794" s="31">
        <v>4.4170000000000001E-2</v>
      </c>
      <c r="F1794" s="30">
        <v>571927482</v>
      </c>
      <c r="G1794" s="30" t="s">
        <v>5427</v>
      </c>
      <c r="H1794" s="30"/>
      <c r="I1794" s="30">
        <v>207543</v>
      </c>
      <c r="J1794" s="30" t="s">
        <v>5219</v>
      </c>
      <c r="K1794" s="30" t="s">
        <v>5447</v>
      </c>
    </row>
    <row r="1795" spans="1:11" x14ac:dyDescent="0.35">
      <c r="A1795" s="30" t="s">
        <v>12624</v>
      </c>
      <c r="B1795" s="30" t="s">
        <v>12625</v>
      </c>
      <c r="C1795" s="32">
        <v>3.45</v>
      </c>
      <c r="D1795" s="30">
        <v>-0.08</v>
      </c>
      <c r="E1795" s="31">
        <v>-2.266E-2</v>
      </c>
      <c r="F1795" s="30">
        <v>69111949</v>
      </c>
      <c r="G1795" s="30" t="s">
        <v>5427</v>
      </c>
      <c r="H1795" s="30">
        <v>2018</v>
      </c>
      <c r="I1795" s="30">
        <v>5685</v>
      </c>
      <c r="J1795" s="30" t="s">
        <v>5219</v>
      </c>
      <c r="K1795" s="30" t="s">
        <v>7535</v>
      </c>
    </row>
    <row r="1796" spans="1:11" x14ac:dyDescent="0.35">
      <c r="A1796" s="30" t="s">
        <v>12626</v>
      </c>
      <c r="B1796" s="30" t="s">
        <v>12627</v>
      </c>
      <c r="C1796" s="32">
        <v>24.38</v>
      </c>
      <c r="D1796" s="30">
        <v>0.17</v>
      </c>
      <c r="E1796" s="31">
        <v>7.0200000000000002E-3</v>
      </c>
      <c r="F1796" s="30">
        <v>1115135300</v>
      </c>
      <c r="G1796" s="30" t="s">
        <v>5427</v>
      </c>
      <c r="H1796" s="30">
        <v>2002</v>
      </c>
      <c r="I1796" s="30">
        <v>1652100</v>
      </c>
      <c r="J1796" s="30" t="s">
        <v>5442</v>
      </c>
      <c r="K1796" s="30" t="s">
        <v>5618</v>
      </c>
    </row>
    <row r="1797" spans="1:11" x14ac:dyDescent="0.35">
      <c r="A1797" s="30" t="s">
        <v>12628</v>
      </c>
      <c r="B1797" s="30" t="s">
        <v>12629</v>
      </c>
      <c r="C1797" s="32">
        <v>5.34</v>
      </c>
      <c r="D1797" s="30">
        <v>-0.24</v>
      </c>
      <c r="E1797" s="31">
        <v>-4.301E-2</v>
      </c>
      <c r="F1797" s="30">
        <v>387801710</v>
      </c>
      <c r="G1797" s="30" t="s">
        <v>5427</v>
      </c>
      <c r="H1797" s="30"/>
      <c r="I1797" s="30">
        <v>425333</v>
      </c>
      <c r="J1797" s="30" t="s">
        <v>5431</v>
      </c>
      <c r="K1797" s="30" t="s">
        <v>5500</v>
      </c>
    </row>
    <row r="1798" spans="1:11" x14ac:dyDescent="0.35">
      <c r="A1798" s="30" t="s">
        <v>12630</v>
      </c>
      <c r="B1798" s="30" t="s">
        <v>12631</v>
      </c>
      <c r="C1798" s="32">
        <v>10.54</v>
      </c>
      <c r="D1798" s="30">
        <v>0.01</v>
      </c>
      <c r="E1798" s="31">
        <v>9.5E-4</v>
      </c>
      <c r="F1798" s="30">
        <v>137133410</v>
      </c>
      <c r="G1798" s="30" t="s">
        <v>5427</v>
      </c>
      <c r="H1798" s="30">
        <v>2021</v>
      </c>
      <c r="I1798" s="30">
        <v>101</v>
      </c>
      <c r="J1798" s="30" t="s">
        <v>5457</v>
      </c>
      <c r="K1798" s="30" t="s">
        <v>5571</v>
      </c>
    </row>
    <row r="1799" spans="1:11" x14ac:dyDescent="0.35">
      <c r="A1799" s="30" t="s">
        <v>12632</v>
      </c>
      <c r="B1799" s="30" t="s">
        <v>12633</v>
      </c>
      <c r="C1799" s="32">
        <v>32.99</v>
      </c>
      <c r="D1799" s="30">
        <v>-0.56000000000000005</v>
      </c>
      <c r="E1799" s="31">
        <v>-1.669E-2</v>
      </c>
      <c r="F1799" s="30">
        <v>8915060370</v>
      </c>
      <c r="G1799" s="30" t="s">
        <v>5515</v>
      </c>
      <c r="H1799" s="30">
        <v>1996</v>
      </c>
      <c r="I1799" s="30">
        <v>1208527</v>
      </c>
      <c r="J1799" s="30"/>
      <c r="K1799" s="30"/>
    </row>
    <row r="1800" spans="1:11" x14ac:dyDescent="0.35">
      <c r="A1800" s="30" t="s">
        <v>12634</v>
      </c>
      <c r="B1800" s="30" t="s">
        <v>12635</v>
      </c>
      <c r="C1800" s="32">
        <v>1.17</v>
      </c>
      <c r="D1800" s="30">
        <v>0.02</v>
      </c>
      <c r="E1800" s="31">
        <v>1.7389999999999999E-2</v>
      </c>
      <c r="F1800" s="30">
        <v>300300149</v>
      </c>
      <c r="G1800" s="30" t="s">
        <v>5427</v>
      </c>
      <c r="H1800" s="30">
        <v>2016</v>
      </c>
      <c r="I1800" s="30">
        <v>482755</v>
      </c>
      <c r="J1800" s="30" t="s">
        <v>5431</v>
      </c>
      <c r="K1800" s="30" t="s">
        <v>5430</v>
      </c>
    </row>
    <row r="1801" spans="1:11" x14ac:dyDescent="0.35">
      <c r="A1801" s="30" t="s">
        <v>12636</v>
      </c>
      <c r="B1801" s="30" t="s">
        <v>12637</v>
      </c>
      <c r="C1801" s="32">
        <v>2.59</v>
      </c>
      <c r="D1801" s="30">
        <v>0.15</v>
      </c>
      <c r="E1801" s="31">
        <v>6.148E-2</v>
      </c>
      <c r="F1801" s="30">
        <v>1533023590</v>
      </c>
      <c r="G1801" s="30" t="s">
        <v>8891</v>
      </c>
      <c r="H1801" s="30">
        <v>2021</v>
      </c>
      <c r="I1801" s="30">
        <v>4144162</v>
      </c>
      <c r="J1801" s="30" t="s">
        <v>5541</v>
      </c>
      <c r="K1801" s="30" t="s">
        <v>5938</v>
      </c>
    </row>
    <row r="1802" spans="1:11" x14ac:dyDescent="0.35">
      <c r="A1802" s="30" t="s">
        <v>12638</v>
      </c>
      <c r="B1802" s="30" t="s">
        <v>12639</v>
      </c>
      <c r="C1802" s="32">
        <v>65.09</v>
      </c>
      <c r="D1802" s="30">
        <v>0.94</v>
      </c>
      <c r="E1802" s="31">
        <v>1.465E-2</v>
      </c>
      <c r="F1802" s="30">
        <v>2709758666</v>
      </c>
      <c r="G1802" s="30" t="s">
        <v>5427</v>
      </c>
      <c r="H1802" s="30"/>
      <c r="I1802" s="30">
        <v>134377</v>
      </c>
      <c r="J1802" s="30" t="s">
        <v>5426</v>
      </c>
      <c r="K1802" s="30" t="s">
        <v>6000</v>
      </c>
    </row>
    <row r="1803" spans="1:11" x14ac:dyDescent="0.35">
      <c r="A1803" s="30" t="s">
        <v>12640</v>
      </c>
      <c r="B1803" s="30" t="s">
        <v>12641</v>
      </c>
      <c r="C1803" s="32">
        <v>26.06</v>
      </c>
      <c r="D1803" s="30">
        <v>-0.01</v>
      </c>
      <c r="E1803" s="31">
        <v>-3.8000000000000002E-4</v>
      </c>
      <c r="F1803" s="30">
        <v>124352430</v>
      </c>
      <c r="G1803" s="30" t="s">
        <v>5427</v>
      </c>
      <c r="H1803" s="30"/>
      <c r="I1803" s="30">
        <v>1248</v>
      </c>
      <c r="J1803" s="30" t="s">
        <v>5435</v>
      </c>
      <c r="K1803" s="30" t="s">
        <v>5579</v>
      </c>
    </row>
    <row r="1804" spans="1:11" x14ac:dyDescent="0.35">
      <c r="A1804" s="30" t="s">
        <v>12642</v>
      </c>
      <c r="B1804" s="30" t="s">
        <v>12643</v>
      </c>
      <c r="C1804" s="32">
        <v>2.42</v>
      </c>
      <c r="D1804" s="30">
        <v>-0.08</v>
      </c>
      <c r="E1804" s="31">
        <v>-3.2000000000000001E-2</v>
      </c>
      <c r="F1804" s="30">
        <v>170529862</v>
      </c>
      <c r="G1804" s="30" t="s">
        <v>5427</v>
      </c>
      <c r="H1804" s="30">
        <v>2017</v>
      </c>
      <c r="I1804" s="30">
        <v>75354</v>
      </c>
      <c r="J1804" s="30" t="s">
        <v>5431</v>
      </c>
      <c r="K1804" s="30" t="s">
        <v>5430</v>
      </c>
    </row>
    <row r="1805" spans="1:11" x14ac:dyDescent="0.35">
      <c r="A1805" s="30" t="s">
        <v>12644</v>
      </c>
      <c r="B1805" s="30" t="s">
        <v>12645</v>
      </c>
      <c r="C1805" s="32">
        <v>25.37</v>
      </c>
      <c r="D1805" s="30">
        <v>0.05</v>
      </c>
      <c r="E1805" s="31">
        <v>1.97E-3</v>
      </c>
      <c r="F1805" s="30">
        <v>209502771</v>
      </c>
      <c r="G1805" s="30" t="s">
        <v>5427</v>
      </c>
      <c r="H1805" s="30"/>
      <c r="I1805" s="30">
        <v>13673</v>
      </c>
      <c r="J1805" s="30" t="s">
        <v>5435</v>
      </c>
      <c r="K1805" s="30" t="s">
        <v>5579</v>
      </c>
    </row>
    <row r="1806" spans="1:11" x14ac:dyDescent="0.35">
      <c r="A1806" s="30" t="s">
        <v>12646</v>
      </c>
      <c r="B1806" s="30" t="s">
        <v>12647</v>
      </c>
      <c r="C1806" s="32">
        <v>5.98</v>
      </c>
      <c r="D1806" s="30">
        <v>0.14000000000000001</v>
      </c>
      <c r="E1806" s="31">
        <v>2.3970000000000002E-2</v>
      </c>
      <c r="F1806" s="30">
        <v>977730000</v>
      </c>
      <c r="G1806" s="30" t="s">
        <v>5427</v>
      </c>
      <c r="H1806" s="30">
        <v>2011</v>
      </c>
      <c r="I1806" s="30">
        <v>1576121</v>
      </c>
      <c r="J1806" s="30" t="s">
        <v>5435</v>
      </c>
      <c r="K1806" s="30" t="s">
        <v>5434</v>
      </c>
    </row>
    <row r="1807" spans="1:11" x14ac:dyDescent="0.35">
      <c r="A1807" s="30" t="s">
        <v>12648</v>
      </c>
      <c r="B1807" s="30" t="s">
        <v>12649</v>
      </c>
      <c r="C1807" s="32">
        <v>3.61</v>
      </c>
      <c r="D1807" s="30">
        <v>-0.03</v>
      </c>
      <c r="E1807" s="31">
        <v>-8.2400000000000008E-3</v>
      </c>
      <c r="F1807" s="30">
        <v>179835309</v>
      </c>
      <c r="G1807" s="30" t="s">
        <v>5427</v>
      </c>
      <c r="H1807" s="30">
        <v>2003</v>
      </c>
      <c r="I1807" s="30">
        <v>163157</v>
      </c>
      <c r="J1807" s="30" t="s">
        <v>5435</v>
      </c>
      <c r="K1807" s="30" t="s">
        <v>6221</v>
      </c>
    </row>
    <row r="1808" spans="1:11" x14ac:dyDescent="0.35">
      <c r="A1808" s="30" t="s">
        <v>12650</v>
      </c>
      <c r="B1808" s="30" t="s">
        <v>12651</v>
      </c>
      <c r="C1808" s="32">
        <v>46.38</v>
      </c>
      <c r="D1808" s="30">
        <v>0.71</v>
      </c>
      <c r="E1808" s="31">
        <v>1.555E-2</v>
      </c>
      <c r="F1808" s="30">
        <v>5452508353</v>
      </c>
      <c r="G1808" s="30" t="s">
        <v>5427</v>
      </c>
      <c r="H1808" s="30"/>
      <c r="I1808" s="30">
        <v>693568</v>
      </c>
      <c r="J1808" s="30" t="s">
        <v>5435</v>
      </c>
      <c r="K1808" s="30" t="s">
        <v>5579</v>
      </c>
    </row>
    <row r="1809" spans="1:11" x14ac:dyDescent="0.35">
      <c r="A1809" s="30" t="s">
        <v>12652</v>
      </c>
      <c r="B1809" s="30" t="s">
        <v>12653</v>
      </c>
      <c r="C1809" s="32">
        <v>12.51</v>
      </c>
      <c r="D1809" s="30">
        <v>0.05</v>
      </c>
      <c r="E1809" s="31">
        <v>4.0099999999999997E-3</v>
      </c>
      <c r="F1809" s="30">
        <v>8736141889</v>
      </c>
      <c r="G1809" s="30" t="s">
        <v>5427</v>
      </c>
      <c r="H1809" s="30">
        <v>1998</v>
      </c>
      <c r="I1809" s="30">
        <v>4639416</v>
      </c>
      <c r="J1809" s="30" t="s">
        <v>5464</v>
      </c>
      <c r="K1809" s="30" t="s">
        <v>5463</v>
      </c>
    </row>
    <row r="1810" spans="1:11" x14ac:dyDescent="0.35">
      <c r="A1810" s="30" t="s">
        <v>12654</v>
      </c>
      <c r="B1810" s="30" t="s">
        <v>12655</v>
      </c>
      <c r="C1810" s="32">
        <v>18.75</v>
      </c>
      <c r="D1810" s="30">
        <v>0.52</v>
      </c>
      <c r="E1810" s="31">
        <v>2.852E-2</v>
      </c>
      <c r="F1810" s="30">
        <v>3950401181</v>
      </c>
      <c r="G1810" s="30" t="s">
        <v>5515</v>
      </c>
      <c r="H1810" s="30"/>
      <c r="I1810" s="30">
        <v>3224045</v>
      </c>
      <c r="J1810" s="30"/>
      <c r="K1810" s="30"/>
    </row>
    <row r="1811" spans="1:11" x14ac:dyDescent="0.35">
      <c r="A1811" s="30" t="s">
        <v>12656</v>
      </c>
      <c r="B1811" s="30" t="s">
        <v>12657</v>
      </c>
      <c r="C1811" s="32">
        <v>11.48</v>
      </c>
      <c r="D1811" s="30">
        <v>0.39</v>
      </c>
      <c r="E1811" s="31">
        <v>3.517E-2</v>
      </c>
      <c r="F1811" s="30">
        <v>2826769477</v>
      </c>
      <c r="G1811" s="30" t="s">
        <v>5427</v>
      </c>
      <c r="H1811" s="30">
        <v>2010</v>
      </c>
      <c r="I1811" s="30">
        <v>4708665</v>
      </c>
      <c r="J1811" s="30" t="s">
        <v>5431</v>
      </c>
      <c r="K1811" s="30" t="s">
        <v>6537</v>
      </c>
    </row>
    <row r="1812" spans="1:11" x14ac:dyDescent="0.35">
      <c r="A1812" s="30" t="s">
        <v>12658</v>
      </c>
      <c r="B1812" s="30" t="s">
        <v>12659</v>
      </c>
      <c r="C1812" s="32">
        <v>28.44</v>
      </c>
      <c r="D1812" s="30">
        <v>0.78</v>
      </c>
      <c r="E1812" s="31">
        <v>2.8199999999999999E-2</v>
      </c>
      <c r="F1812" s="30">
        <v>3419115301</v>
      </c>
      <c r="G1812" s="30" t="s">
        <v>5427</v>
      </c>
      <c r="H1812" s="30"/>
      <c r="I1812" s="30">
        <v>1695744</v>
      </c>
      <c r="J1812" s="30" t="s">
        <v>5435</v>
      </c>
      <c r="K1812" s="30" t="s">
        <v>5579</v>
      </c>
    </row>
    <row r="1813" spans="1:11" x14ac:dyDescent="0.35">
      <c r="A1813" s="30" t="s">
        <v>12660</v>
      </c>
      <c r="B1813" s="30" t="s">
        <v>12661</v>
      </c>
      <c r="C1813" s="32">
        <v>13.18</v>
      </c>
      <c r="D1813" s="30">
        <v>0.09</v>
      </c>
      <c r="E1813" s="31">
        <v>6.8799999999999998E-3</v>
      </c>
      <c r="F1813" s="30">
        <v>2560690350</v>
      </c>
      <c r="G1813" s="30" t="s">
        <v>5427</v>
      </c>
      <c r="H1813" s="30"/>
      <c r="I1813" s="30">
        <v>3383538</v>
      </c>
      <c r="J1813" s="30" t="s">
        <v>5464</v>
      </c>
      <c r="K1813" s="30" t="s">
        <v>5463</v>
      </c>
    </row>
    <row r="1814" spans="1:11" x14ac:dyDescent="0.35">
      <c r="A1814" s="30" t="s">
        <v>12662</v>
      </c>
      <c r="B1814" s="30" t="s">
        <v>12663</v>
      </c>
      <c r="C1814" s="32">
        <v>15.89</v>
      </c>
      <c r="D1814" s="30">
        <v>0.49</v>
      </c>
      <c r="E1814" s="31">
        <v>3.1820000000000001E-2</v>
      </c>
      <c r="F1814" s="30">
        <v>643602331</v>
      </c>
      <c r="G1814" s="30" t="s">
        <v>5427</v>
      </c>
      <c r="H1814" s="30">
        <v>2014</v>
      </c>
      <c r="I1814" s="30">
        <v>114180</v>
      </c>
      <c r="J1814" s="30"/>
      <c r="K1814" s="30"/>
    </row>
    <row r="1815" spans="1:11" x14ac:dyDescent="0.35">
      <c r="A1815" s="30" t="s">
        <v>12664</v>
      </c>
      <c r="B1815" s="30" t="s">
        <v>12665</v>
      </c>
      <c r="C1815" s="32">
        <v>10.11</v>
      </c>
      <c r="D1815" s="30">
        <v>0</v>
      </c>
      <c r="E1815" s="31">
        <v>0</v>
      </c>
      <c r="F1815" s="30">
        <v>238039950</v>
      </c>
      <c r="G1815" s="30" t="s">
        <v>5427</v>
      </c>
      <c r="H1815" s="30">
        <v>2021</v>
      </c>
      <c r="I1815" s="30">
        <v>50798</v>
      </c>
      <c r="J1815" s="30" t="s">
        <v>5435</v>
      </c>
      <c r="K1815" s="30" t="s">
        <v>5482</v>
      </c>
    </row>
    <row r="1816" spans="1:11" x14ac:dyDescent="0.35">
      <c r="A1816" s="30" t="s">
        <v>12666</v>
      </c>
      <c r="B1816" s="30" t="s">
        <v>12667</v>
      </c>
      <c r="C1816" s="32">
        <v>6.04</v>
      </c>
      <c r="D1816" s="30">
        <v>-0.03</v>
      </c>
      <c r="E1816" s="31">
        <v>-4.9399999999999999E-3</v>
      </c>
      <c r="F1816" s="30">
        <v>277373060</v>
      </c>
      <c r="G1816" s="30" t="s">
        <v>5427</v>
      </c>
      <c r="H1816" s="30">
        <v>2013</v>
      </c>
      <c r="I1816" s="30">
        <v>301094</v>
      </c>
      <c r="J1816" s="30" t="s">
        <v>5442</v>
      </c>
      <c r="K1816" s="30" t="s">
        <v>5910</v>
      </c>
    </row>
    <row r="1817" spans="1:11" x14ac:dyDescent="0.35">
      <c r="A1817" s="30" t="s">
        <v>12668</v>
      </c>
      <c r="B1817" s="30" t="s">
        <v>12669</v>
      </c>
      <c r="C1817" s="32">
        <v>159.72</v>
      </c>
      <c r="D1817" s="30">
        <v>1.08</v>
      </c>
      <c r="E1817" s="31">
        <v>6.8100000000000001E-3</v>
      </c>
      <c r="F1817" s="30">
        <v>48292448380</v>
      </c>
      <c r="G1817" s="30" t="s">
        <v>5427</v>
      </c>
      <c r="H1817" s="30"/>
      <c r="I1817" s="30">
        <v>5337387</v>
      </c>
      <c r="J1817" s="30" t="s">
        <v>5219</v>
      </c>
      <c r="K1817" s="30" t="s">
        <v>5447</v>
      </c>
    </row>
    <row r="1818" spans="1:11" x14ac:dyDescent="0.35">
      <c r="A1818" s="30" t="s">
        <v>12670</v>
      </c>
      <c r="B1818" s="30" t="s">
        <v>12671</v>
      </c>
      <c r="C1818" s="32">
        <v>24.4</v>
      </c>
      <c r="D1818" s="30">
        <v>1.24</v>
      </c>
      <c r="E1818" s="31">
        <v>5.3539999999999997E-2</v>
      </c>
      <c r="F1818" s="30">
        <v>15839855628</v>
      </c>
      <c r="G1818" s="30" t="s">
        <v>5427</v>
      </c>
      <c r="H1818" s="30"/>
      <c r="I1818" s="30">
        <v>16297716</v>
      </c>
      <c r="J1818" s="30" t="s">
        <v>5442</v>
      </c>
      <c r="K1818" s="30" t="s">
        <v>5450</v>
      </c>
    </row>
    <row r="1819" spans="1:11" x14ac:dyDescent="0.35">
      <c r="A1819" s="30" t="s">
        <v>12672</v>
      </c>
      <c r="B1819" s="30" t="s">
        <v>12673</v>
      </c>
      <c r="C1819" s="32">
        <v>27.81</v>
      </c>
      <c r="D1819" s="30">
        <v>1.1599999999999999</v>
      </c>
      <c r="E1819" s="31">
        <v>4.3529999999999999E-2</v>
      </c>
      <c r="F1819" s="30">
        <v>18053540370</v>
      </c>
      <c r="G1819" s="30" t="s">
        <v>5427</v>
      </c>
      <c r="H1819" s="30"/>
      <c r="I1819" s="30">
        <v>96341</v>
      </c>
      <c r="J1819" s="30" t="s">
        <v>5442</v>
      </c>
      <c r="K1819" s="30" t="s">
        <v>5450</v>
      </c>
    </row>
    <row r="1820" spans="1:11" x14ac:dyDescent="0.35">
      <c r="A1820" s="30" t="s">
        <v>12674</v>
      </c>
      <c r="B1820" s="30" t="s">
        <v>12675</v>
      </c>
      <c r="C1820" s="32">
        <v>1.49</v>
      </c>
      <c r="D1820" s="30">
        <v>0.03</v>
      </c>
      <c r="E1820" s="31">
        <v>2.0549999999999999E-2</v>
      </c>
      <c r="F1820" s="30">
        <v>81284362</v>
      </c>
      <c r="G1820" s="30" t="s">
        <v>5427</v>
      </c>
      <c r="H1820" s="30">
        <v>2020</v>
      </c>
      <c r="I1820" s="30">
        <v>99853</v>
      </c>
      <c r="J1820" s="30" t="s">
        <v>5431</v>
      </c>
      <c r="K1820" s="30" t="s">
        <v>5430</v>
      </c>
    </row>
    <row r="1821" spans="1:11" x14ac:dyDescent="0.35">
      <c r="A1821" s="30" t="s">
        <v>12676</v>
      </c>
      <c r="B1821" s="30" t="s">
        <v>12677</v>
      </c>
      <c r="C1821" s="32">
        <v>72.53</v>
      </c>
      <c r="D1821" s="30">
        <v>1.56</v>
      </c>
      <c r="E1821" s="31">
        <v>2.198E-2</v>
      </c>
      <c r="F1821" s="30">
        <v>1643797798</v>
      </c>
      <c r="G1821" s="30" t="s">
        <v>5427</v>
      </c>
      <c r="H1821" s="30"/>
      <c r="I1821" s="30">
        <v>221007</v>
      </c>
      <c r="J1821" s="30" t="s">
        <v>5442</v>
      </c>
      <c r="K1821" s="30" t="s">
        <v>5505</v>
      </c>
    </row>
    <row r="1822" spans="1:11" x14ac:dyDescent="0.35">
      <c r="A1822" s="30" t="s">
        <v>12678</v>
      </c>
      <c r="B1822" s="30" t="s">
        <v>12679</v>
      </c>
      <c r="C1822" s="32">
        <v>9.73</v>
      </c>
      <c r="D1822" s="30">
        <v>0.01</v>
      </c>
      <c r="E1822" s="31">
        <v>1.0300000000000001E-3</v>
      </c>
      <c r="F1822" s="30">
        <v>1286682775</v>
      </c>
      <c r="G1822" s="30" t="s">
        <v>5427</v>
      </c>
      <c r="H1822" s="30"/>
      <c r="I1822" s="30">
        <v>824039</v>
      </c>
      <c r="J1822" s="30" t="s">
        <v>5219</v>
      </c>
      <c r="K1822" s="30" t="s">
        <v>5560</v>
      </c>
    </row>
    <row r="1823" spans="1:11" x14ac:dyDescent="0.35">
      <c r="A1823" s="30" t="s">
        <v>12680</v>
      </c>
      <c r="B1823" s="30" t="s">
        <v>12681</v>
      </c>
      <c r="C1823" s="32">
        <v>6.12</v>
      </c>
      <c r="D1823" s="30">
        <v>0.16</v>
      </c>
      <c r="E1823" s="31">
        <v>2.6849999999999999E-2</v>
      </c>
      <c r="F1823" s="30">
        <v>2143185364</v>
      </c>
      <c r="G1823" s="30" t="s">
        <v>5427</v>
      </c>
      <c r="H1823" s="30"/>
      <c r="I1823" s="30">
        <v>2362446</v>
      </c>
      <c r="J1823" s="30" t="s">
        <v>5219</v>
      </c>
      <c r="K1823" s="30" t="s">
        <v>5447</v>
      </c>
    </row>
    <row r="1824" spans="1:11" x14ac:dyDescent="0.35">
      <c r="A1824" s="30" t="s">
        <v>12682</v>
      </c>
      <c r="B1824" s="30" t="s">
        <v>12683</v>
      </c>
      <c r="C1824" s="32">
        <v>3.28</v>
      </c>
      <c r="D1824" s="30">
        <v>-0.19</v>
      </c>
      <c r="E1824" s="31">
        <v>-5.4760000000000003E-2</v>
      </c>
      <c r="F1824" s="30">
        <v>171369937</v>
      </c>
      <c r="G1824" s="30" t="s">
        <v>5427</v>
      </c>
      <c r="H1824" s="30"/>
      <c r="I1824" s="30">
        <v>147831</v>
      </c>
      <c r="J1824" s="30" t="s">
        <v>5219</v>
      </c>
      <c r="K1824" s="30" t="s">
        <v>5447</v>
      </c>
    </row>
    <row r="1825" spans="1:11" x14ac:dyDescent="0.35">
      <c r="A1825" s="30" t="s">
        <v>12684</v>
      </c>
      <c r="B1825" s="30" t="s">
        <v>12685</v>
      </c>
      <c r="C1825" s="32">
        <v>117.71</v>
      </c>
      <c r="D1825" s="30">
        <v>1.85</v>
      </c>
      <c r="E1825" s="31">
        <v>1.5970000000000002E-2</v>
      </c>
      <c r="F1825" s="30">
        <v>42430517365</v>
      </c>
      <c r="G1825" s="30" t="s">
        <v>5427</v>
      </c>
      <c r="H1825" s="30">
        <v>1983</v>
      </c>
      <c r="I1825" s="30">
        <v>1535673</v>
      </c>
      <c r="J1825" s="30" t="s">
        <v>5442</v>
      </c>
      <c r="K1825" s="30" t="s">
        <v>5482</v>
      </c>
    </row>
    <row r="1826" spans="1:11" x14ac:dyDescent="0.35">
      <c r="A1826" s="30" t="s">
        <v>12686</v>
      </c>
      <c r="B1826" s="30" t="s">
        <v>12687</v>
      </c>
      <c r="C1826" s="32">
        <v>10.55</v>
      </c>
      <c r="D1826" s="30">
        <v>0.03</v>
      </c>
      <c r="E1826" s="31">
        <v>2.8500000000000001E-3</v>
      </c>
      <c r="F1826" s="30">
        <v>242452188</v>
      </c>
      <c r="G1826" s="30" t="s">
        <v>5427</v>
      </c>
      <c r="H1826" s="30">
        <v>2021</v>
      </c>
      <c r="I1826" s="30">
        <v>209</v>
      </c>
      <c r="J1826" s="30" t="s">
        <v>5457</v>
      </c>
      <c r="K1826" s="30" t="s">
        <v>5571</v>
      </c>
    </row>
    <row r="1827" spans="1:11" x14ac:dyDescent="0.35">
      <c r="A1827" s="30" t="s">
        <v>12688</v>
      </c>
      <c r="B1827" s="30" t="s">
        <v>12689</v>
      </c>
      <c r="C1827" s="32">
        <v>11.51</v>
      </c>
      <c r="D1827" s="30">
        <v>0.26</v>
      </c>
      <c r="E1827" s="31">
        <v>2.3109999999999999E-2</v>
      </c>
      <c r="F1827" s="30">
        <v>299003085</v>
      </c>
      <c r="G1827" s="30" t="s">
        <v>5427</v>
      </c>
      <c r="H1827" s="30">
        <v>2019</v>
      </c>
      <c r="I1827" s="30">
        <v>14536</v>
      </c>
      <c r="J1827" s="30" t="s">
        <v>5435</v>
      </c>
      <c r="K1827" s="30" t="s">
        <v>5582</v>
      </c>
    </row>
    <row r="1828" spans="1:11" x14ac:dyDescent="0.35">
      <c r="A1828" s="30" t="s">
        <v>12690</v>
      </c>
      <c r="B1828" s="30" t="s">
        <v>12691</v>
      </c>
      <c r="C1828" s="32">
        <v>18.649999999999999</v>
      </c>
      <c r="D1828" s="30">
        <v>-0.35</v>
      </c>
      <c r="E1828" s="31">
        <v>-1.8419999999999999E-2</v>
      </c>
      <c r="F1828" s="30">
        <v>111920608</v>
      </c>
      <c r="G1828" s="30" t="s">
        <v>5427</v>
      </c>
      <c r="H1828" s="30"/>
      <c r="I1828" s="30">
        <v>8809</v>
      </c>
      <c r="J1828" s="30" t="s">
        <v>5435</v>
      </c>
      <c r="K1828" s="30" t="s">
        <v>6698</v>
      </c>
    </row>
    <row r="1829" spans="1:11" x14ac:dyDescent="0.35">
      <c r="A1829" s="30" t="s">
        <v>12692</v>
      </c>
      <c r="B1829" s="30" t="s">
        <v>12693</v>
      </c>
      <c r="C1829" s="32">
        <v>7.86</v>
      </c>
      <c r="D1829" s="30">
        <v>-0.13</v>
      </c>
      <c r="E1829" s="31">
        <v>-1.627E-2</v>
      </c>
      <c r="F1829" s="30">
        <v>226464379</v>
      </c>
      <c r="G1829" s="30" t="s">
        <v>5427</v>
      </c>
      <c r="H1829" s="30">
        <v>2013</v>
      </c>
      <c r="I1829" s="30">
        <v>100455</v>
      </c>
      <c r="J1829" s="30" t="s">
        <v>5442</v>
      </c>
      <c r="K1829" s="30" t="s">
        <v>5441</v>
      </c>
    </row>
    <row r="1830" spans="1:11" x14ac:dyDescent="0.35">
      <c r="A1830" s="30" t="s">
        <v>12694</v>
      </c>
      <c r="B1830" s="30" t="s">
        <v>12695</v>
      </c>
      <c r="C1830" s="32">
        <v>4.3499999999999996</v>
      </c>
      <c r="D1830" s="30">
        <v>0.05</v>
      </c>
      <c r="E1830" s="31">
        <v>1.163E-2</v>
      </c>
      <c r="F1830" s="30">
        <v>201603621</v>
      </c>
      <c r="G1830" s="30" t="s">
        <v>5427</v>
      </c>
      <c r="H1830" s="30"/>
      <c r="I1830" s="30">
        <v>307726</v>
      </c>
      <c r="J1830" s="30" t="s">
        <v>5431</v>
      </c>
      <c r="K1830" s="30" t="s">
        <v>5430</v>
      </c>
    </row>
    <row r="1831" spans="1:11" x14ac:dyDescent="0.35">
      <c r="A1831" s="30" t="s">
        <v>12696</v>
      </c>
      <c r="B1831" s="30" t="s">
        <v>12697</v>
      </c>
      <c r="C1831" s="32">
        <v>111.36</v>
      </c>
      <c r="D1831" s="30">
        <v>2.0499999999999998</v>
      </c>
      <c r="E1831" s="31">
        <v>1.8749999999999999E-2</v>
      </c>
      <c r="F1831" s="30">
        <v>38727397152</v>
      </c>
      <c r="G1831" s="30" t="s">
        <v>5427</v>
      </c>
      <c r="H1831" s="30"/>
      <c r="I1831" s="30">
        <v>2582388</v>
      </c>
      <c r="J1831" s="30" t="s">
        <v>5457</v>
      </c>
      <c r="K1831" s="30" t="s">
        <v>5460</v>
      </c>
    </row>
    <row r="1832" spans="1:11" x14ac:dyDescent="0.35">
      <c r="A1832" s="30" t="s">
        <v>12698</v>
      </c>
      <c r="B1832" s="30" t="s">
        <v>12699</v>
      </c>
      <c r="C1832" s="32">
        <v>18.75</v>
      </c>
      <c r="D1832" s="30">
        <v>0.18</v>
      </c>
      <c r="E1832" s="31">
        <v>9.6900000000000007E-3</v>
      </c>
      <c r="F1832" s="30">
        <v>274227638</v>
      </c>
      <c r="G1832" s="30" t="s">
        <v>5427</v>
      </c>
      <c r="H1832" s="30">
        <v>2018</v>
      </c>
      <c r="I1832" s="30">
        <v>74642</v>
      </c>
      <c r="J1832" s="30" t="s">
        <v>5435</v>
      </c>
      <c r="K1832" s="30" t="s">
        <v>5579</v>
      </c>
    </row>
    <row r="1833" spans="1:11" x14ac:dyDescent="0.35">
      <c r="A1833" s="30" t="s">
        <v>12700</v>
      </c>
      <c r="B1833" s="30" t="s">
        <v>12701</v>
      </c>
      <c r="C1833" s="32">
        <v>10.4</v>
      </c>
      <c r="D1833" s="30">
        <v>-0.12</v>
      </c>
      <c r="E1833" s="31">
        <v>-1.141E-2</v>
      </c>
      <c r="F1833" s="30">
        <v>85362077</v>
      </c>
      <c r="G1833" s="30" t="s">
        <v>5427</v>
      </c>
      <c r="H1833" s="30">
        <v>2021</v>
      </c>
      <c r="I1833" s="30">
        <v>48919</v>
      </c>
      <c r="J1833" s="30" t="s">
        <v>5435</v>
      </c>
      <c r="K1833" s="30" t="s">
        <v>5482</v>
      </c>
    </row>
    <row r="1834" spans="1:11" x14ac:dyDescent="0.35">
      <c r="A1834" s="30" t="s">
        <v>12702</v>
      </c>
      <c r="B1834" s="30" t="s">
        <v>12703</v>
      </c>
      <c r="C1834" s="32">
        <v>49.22</v>
      </c>
      <c r="D1834" s="30">
        <v>0.27</v>
      </c>
      <c r="E1834" s="31">
        <v>5.5199999999999997E-3</v>
      </c>
      <c r="F1834" s="30">
        <v>3975824252</v>
      </c>
      <c r="G1834" s="30" t="s">
        <v>5427</v>
      </c>
      <c r="H1834" s="30"/>
      <c r="I1834" s="30">
        <v>427339</v>
      </c>
      <c r="J1834" s="30" t="s">
        <v>5197</v>
      </c>
      <c r="K1834" s="30" t="s">
        <v>5467</v>
      </c>
    </row>
    <row r="1835" spans="1:11" x14ac:dyDescent="0.35">
      <c r="A1835" s="30" t="s">
        <v>12704</v>
      </c>
      <c r="B1835" s="30" t="s">
        <v>12705</v>
      </c>
      <c r="C1835" s="32">
        <v>40.57</v>
      </c>
      <c r="D1835" s="30">
        <v>1.3</v>
      </c>
      <c r="E1835" s="31">
        <v>3.3099999999999997E-2</v>
      </c>
      <c r="F1835" s="30">
        <v>1861436310</v>
      </c>
      <c r="G1835" s="30" t="s">
        <v>5427</v>
      </c>
      <c r="H1835" s="30">
        <v>2011</v>
      </c>
      <c r="I1835" s="30">
        <v>375936</v>
      </c>
      <c r="J1835" s="30" t="s">
        <v>5431</v>
      </c>
      <c r="K1835" s="30" t="s">
        <v>5430</v>
      </c>
    </row>
    <row r="1836" spans="1:11" x14ac:dyDescent="0.35">
      <c r="A1836" s="30" t="s">
        <v>12706</v>
      </c>
      <c r="B1836" s="30" t="s">
        <v>12707</v>
      </c>
      <c r="C1836" s="32">
        <v>8.32</v>
      </c>
      <c r="D1836" s="30">
        <v>-0.06</v>
      </c>
      <c r="E1836" s="31">
        <v>-7.1599999999999997E-3</v>
      </c>
      <c r="F1836" s="30">
        <v>1360373656</v>
      </c>
      <c r="G1836" s="30" t="s">
        <v>5427</v>
      </c>
      <c r="H1836" s="30"/>
      <c r="I1836" s="30">
        <v>1108675</v>
      </c>
      <c r="J1836" s="30" t="s">
        <v>5426</v>
      </c>
      <c r="K1836" s="30" t="s">
        <v>5425</v>
      </c>
    </row>
    <row r="1837" spans="1:11" x14ac:dyDescent="0.35">
      <c r="A1837" s="30" t="s">
        <v>12708</v>
      </c>
      <c r="B1837" s="30" t="s">
        <v>12709</v>
      </c>
      <c r="C1837" s="32">
        <v>4.71</v>
      </c>
      <c r="D1837" s="30">
        <v>0.08</v>
      </c>
      <c r="E1837" s="31">
        <v>1.728E-2</v>
      </c>
      <c r="F1837" s="30">
        <v>88425512</v>
      </c>
      <c r="G1837" s="30" t="s">
        <v>5427</v>
      </c>
      <c r="H1837" s="30">
        <v>1999</v>
      </c>
      <c r="I1837" s="30">
        <v>16302</v>
      </c>
      <c r="J1837" s="30" t="s">
        <v>5219</v>
      </c>
      <c r="K1837" s="30" t="s">
        <v>5780</v>
      </c>
    </row>
    <row r="1838" spans="1:11" x14ac:dyDescent="0.35">
      <c r="A1838" s="30" t="s">
        <v>12710</v>
      </c>
      <c r="B1838" s="30" t="s">
        <v>12711</v>
      </c>
      <c r="C1838" s="32">
        <v>219.52</v>
      </c>
      <c r="D1838" s="30">
        <v>11.23</v>
      </c>
      <c r="E1838" s="31">
        <v>5.3920000000000003E-2</v>
      </c>
      <c r="F1838" s="30">
        <v>12221532113</v>
      </c>
      <c r="G1838" s="30" t="s">
        <v>5427</v>
      </c>
      <c r="H1838" s="30">
        <v>2014</v>
      </c>
      <c r="I1838" s="30">
        <v>453551</v>
      </c>
      <c r="J1838" s="30" t="s">
        <v>5219</v>
      </c>
      <c r="K1838" s="30" t="s">
        <v>5560</v>
      </c>
    </row>
    <row r="1839" spans="1:11" x14ac:dyDescent="0.35">
      <c r="A1839" s="30" t="s">
        <v>12712</v>
      </c>
      <c r="B1839" s="30" t="s">
        <v>12713</v>
      </c>
      <c r="C1839" s="32">
        <v>44.44</v>
      </c>
      <c r="D1839" s="30">
        <v>-0.91</v>
      </c>
      <c r="E1839" s="31">
        <v>-2.0070000000000001E-2</v>
      </c>
      <c r="F1839" s="30">
        <v>3509879910</v>
      </c>
      <c r="G1839" s="30" t="s">
        <v>5427</v>
      </c>
      <c r="H1839" s="30">
        <v>2020</v>
      </c>
      <c r="I1839" s="30">
        <v>409188</v>
      </c>
      <c r="J1839" s="30" t="s">
        <v>5431</v>
      </c>
      <c r="K1839" s="30" t="s">
        <v>5430</v>
      </c>
    </row>
    <row r="1840" spans="1:11" x14ac:dyDescent="0.35">
      <c r="A1840" s="30" t="s">
        <v>12714</v>
      </c>
      <c r="B1840" s="30" t="s">
        <v>12715</v>
      </c>
      <c r="C1840" s="32">
        <v>5.81</v>
      </c>
      <c r="D1840" s="30">
        <v>0.01</v>
      </c>
      <c r="E1840" s="31">
        <v>1.72E-3</v>
      </c>
      <c r="F1840" s="30">
        <v>113059916</v>
      </c>
      <c r="G1840" s="30" t="s">
        <v>5427</v>
      </c>
      <c r="H1840" s="30"/>
      <c r="I1840" s="30">
        <v>19683</v>
      </c>
      <c r="J1840" s="30" t="s">
        <v>5219</v>
      </c>
      <c r="K1840" s="30" t="s">
        <v>5447</v>
      </c>
    </row>
    <row r="1841" spans="1:11" x14ac:dyDescent="0.35">
      <c r="A1841" s="30" t="s">
        <v>12716</v>
      </c>
      <c r="B1841" s="30" t="s">
        <v>12717</v>
      </c>
      <c r="C1841" s="32">
        <v>9.1300000000000008</v>
      </c>
      <c r="D1841" s="30">
        <v>0.16</v>
      </c>
      <c r="E1841" s="31">
        <v>1.7840000000000002E-2</v>
      </c>
      <c r="F1841" s="30">
        <v>218998069</v>
      </c>
      <c r="G1841" s="30" t="s">
        <v>5427</v>
      </c>
      <c r="H1841" s="30"/>
      <c r="I1841" s="30">
        <v>119404</v>
      </c>
      <c r="J1841" s="30" t="s">
        <v>5426</v>
      </c>
      <c r="K1841" s="30" t="s">
        <v>5490</v>
      </c>
    </row>
    <row r="1842" spans="1:11" x14ac:dyDescent="0.35">
      <c r="A1842" s="30" t="s">
        <v>12718</v>
      </c>
      <c r="B1842" s="30" t="s">
        <v>12719</v>
      </c>
      <c r="C1842" s="32">
        <v>65.709999999999994</v>
      </c>
      <c r="D1842" s="30">
        <v>-2.02</v>
      </c>
      <c r="E1842" s="31">
        <v>-2.9819999999999999E-2</v>
      </c>
      <c r="F1842" s="30">
        <v>6054825806</v>
      </c>
      <c r="G1842" s="30" t="s">
        <v>5427</v>
      </c>
      <c r="H1842" s="30"/>
      <c r="I1842" s="30">
        <v>905837</v>
      </c>
      <c r="J1842" s="30" t="s">
        <v>5464</v>
      </c>
      <c r="K1842" s="30" t="s">
        <v>5463</v>
      </c>
    </row>
    <row r="1843" spans="1:11" x14ac:dyDescent="0.35">
      <c r="A1843" s="30" t="s">
        <v>12720</v>
      </c>
      <c r="B1843" s="30" t="s">
        <v>12721</v>
      </c>
      <c r="C1843" s="32">
        <v>30.53</v>
      </c>
      <c r="D1843" s="30">
        <v>0.34</v>
      </c>
      <c r="E1843" s="31">
        <v>1.1259999999999999E-2</v>
      </c>
      <c r="F1843" s="30">
        <v>2963486040</v>
      </c>
      <c r="G1843" s="30" t="s">
        <v>5427</v>
      </c>
      <c r="H1843" s="30">
        <v>1992</v>
      </c>
      <c r="I1843" s="30">
        <v>585355</v>
      </c>
      <c r="J1843" s="30" t="s">
        <v>5431</v>
      </c>
      <c r="K1843" s="30" t="s">
        <v>5610</v>
      </c>
    </row>
    <row r="1844" spans="1:11" x14ac:dyDescent="0.35">
      <c r="A1844" s="30" t="s">
        <v>12722</v>
      </c>
      <c r="B1844" s="30" t="s">
        <v>12723</v>
      </c>
      <c r="C1844" s="32">
        <v>17.5</v>
      </c>
      <c r="D1844" s="30">
        <v>0.27</v>
      </c>
      <c r="E1844" s="31">
        <v>1.567E-2</v>
      </c>
      <c r="F1844" s="30">
        <v>62655530</v>
      </c>
      <c r="G1844" s="30" t="s">
        <v>5427</v>
      </c>
      <c r="H1844" s="30"/>
      <c r="I1844" s="30">
        <v>1717</v>
      </c>
      <c r="J1844" s="30" t="s">
        <v>5431</v>
      </c>
      <c r="K1844" s="30" t="s">
        <v>5500</v>
      </c>
    </row>
    <row r="1845" spans="1:11" x14ac:dyDescent="0.35">
      <c r="A1845" s="30" t="s">
        <v>12724</v>
      </c>
      <c r="B1845" s="30" t="s">
        <v>12725</v>
      </c>
      <c r="C1845" s="32">
        <v>32.65</v>
      </c>
      <c r="D1845" s="30">
        <v>0.87</v>
      </c>
      <c r="E1845" s="31">
        <v>2.7380000000000002E-2</v>
      </c>
      <c r="F1845" s="30">
        <v>1220552567</v>
      </c>
      <c r="G1845" s="30" t="s">
        <v>5427</v>
      </c>
      <c r="H1845" s="30">
        <v>2001</v>
      </c>
      <c r="I1845" s="30">
        <v>165082</v>
      </c>
      <c r="J1845" s="30" t="s">
        <v>5219</v>
      </c>
      <c r="K1845" s="30" t="s">
        <v>5447</v>
      </c>
    </row>
    <row r="1846" spans="1:11" x14ac:dyDescent="0.35">
      <c r="A1846" s="30" t="s">
        <v>12726</v>
      </c>
      <c r="B1846" s="30" t="s">
        <v>12727</v>
      </c>
      <c r="C1846" s="32">
        <v>9.2799999999999994</v>
      </c>
      <c r="D1846" s="30">
        <v>0.18</v>
      </c>
      <c r="E1846" s="31">
        <v>1.9779999999999999E-2</v>
      </c>
      <c r="F1846" s="30">
        <v>229480109</v>
      </c>
      <c r="G1846" s="30" t="s">
        <v>5427</v>
      </c>
      <c r="H1846" s="30">
        <v>2017</v>
      </c>
      <c r="I1846" s="30">
        <v>723656</v>
      </c>
      <c r="J1846" s="30"/>
      <c r="K1846" s="30"/>
    </row>
    <row r="1847" spans="1:11" x14ac:dyDescent="0.35">
      <c r="A1847" s="30" t="s">
        <v>12728</v>
      </c>
      <c r="B1847" s="30" t="s">
        <v>12729</v>
      </c>
      <c r="C1847" s="32">
        <v>8.23</v>
      </c>
      <c r="D1847" s="30">
        <v>-0.1</v>
      </c>
      <c r="E1847" s="31">
        <v>-1.2E-2</v>
      </c>
      <c r="F1847" s="30">
        <v>237743919</v>
      </c>
      <c r="G1847" s="30" t="s">
        <v>5427</v>
      </c>
      <c r="H1847" s="30">
        <v>2015</v>
      </c>
      <c r="I1847" s="30">
        <v>708609</v>
      </c>
      <c r="J1847" s="30" t="s">
        <v>5431</v>
      </c>
      <c r="K1847" s="30" t="s">
        <v>5430</v>
      </c>
    </row>
    <row r="1848" spans="1:11" x14ac:dyDescent="0.35">
      <c r="A1848" s="30" t="s">
        <v>12730</v>
      </c>
      <c r="B1848" s="30" t="s">
        <v>12731</v>
      </c>
      <c r="C1848" s="32">
        <v>1.0900000000000001</v>
      </c>
      <c r="D1848" s="30">
        <v>0</v>
      </c>
      <c r="E1848" s="31">
        <v>0</v>
      </c>
      <c r="F1848" s="30">
        <v>152630874</v>
      </c>
      <c r="G1848" s="30" t="s">
        <v>5427</v>
      </c>
      <c r="H1848" s="30">
        <v>2021</v>
      </c>
      <c r="I1848" s="30">
        <v>281290</v>
      </c>
      <c r="J1848" s="30" t="s">
        <v>5219</v>
      </c>
      <c r="K1848" s="30" t="s">
        <v>5560</v>
      </c>
    </row>
    <row r="1849" spans="1:11" x14ac:dyDescent="0.35">
      <c r="A1849" s="30" t="s">
        <v>12732</v>
      </c>
      <c r="B1849" s="30" t="s">
        <v>12733</v>
      </c>
      <c r="C1849" s="32">
        <v>33.24</v>
      </c>
      <c r="D1849" s="30">
        <v>0.04</v>
      </c>
      <c r="E1849" s="31">
        <v>1.1999999999999999E-3</v>
      </c>
      <c r="F1849" s="30">
        <v>187368229</v>
      </c>
      <c r="G1849" s="30" t="s">
        <v>5427</v>
      </c>
      <c r="H1849" s="30"/>
      <c r="I1849" s="30">
        <v>16951</v>
      </c>
      <c r="J1849" s="30" t="s">
        <v>5435</v>
      </c>
      <c r="K1849" s="30" t="s">
        <v>5579</v>
      </c>
    </row>
    <row r="1850" spans="1:11" x14ac:dyDescent="0.35">
      <c r="A1850" s="30" t="s">
        <v>12734</v>
      </c>
      <c r="B1850" s="30" t="s">
        <v>12735</v>
      </c>
      <c r="C1850" s="32">
        <v>29.65</v>
      </c>
      <c r="D1850" s="30">
        <v>-0.02</v>
      </c>
      <c r="E1850" s="31">
        <v>-6.7000000000000002E-4</v>
      </c>
      <c r="F1850" s="30">
        <v>838734367</v>
      </c>
      <c r="G1850" s="30" t="s">
        <v>5427</v>
      </c>
      <c r="H1850" s="30"/>
      <c r="I1850" s="30">
        <v>155777</v>
      </c>
      <c r="J1850" s="30" t="s">
        <v>5435</v>
      </c>
      <c r="K1850" s="30" t="s">
        <v>5579</v>
      </c>
    </row>
    <row r="1851" spans="1:11" x14ac:dyDescent="0.35">
      <c r="A1851" s="30" t="s">
        <v>12736</v>
      </c>
      <c r="B1851" s="30" t="s">
        <v>12737</v>
      </c>
      <c r="C1851" s="32">
        <v>33.78</v>
      </c>
      <c r="D1851" s="30">
        <v>0.26</v>
      </c>
      <c r="E1851" s="31">
        <v>7.7600000000000004E-3</v>
      </c>
      <c r="F1851" s="30">
        <v>3955638000</v>
      </c>
      <c r="G1851" s="30" t="s">
        <v>5427</v>
      </c>
      <c r="H1851" s="30">
        <v>2021</v>
      </c>
      <c r="I1851" s="30">
        <v>393696</v>
      </c>
      <c r="J1851" s="30" t="s">
        <v>5197</v>
      </c>
      <c r="K1851" s="30" t="s">
        <v>5467</v>
      </c>
    </row>
    <row r="1852" spans="1:11" x14ac:dyDescent="0.35">
      <c r="A1852" s="30" t="s">
        <v>12738</v>
      </c>
      <c r="B1852" s="30" t="s">
        <v>12739</v>
      </c>
      <c r="C1852" s="32">
        <v>40.409999999999997</v>
      </c>
      <c r="D1852" s="30">
        <v>1.53</v>
      </c>
      <c r="E1852" s="31">
        <v>3.9350000000000003E-2</v>
      </c>
      <c r="F1852" s="30">
        <v>3321336572</v>
      </c>
      <c r="G1852" s="30" t="s">
        <v>5427</v>
      </c>
      <c r="H1852" s="30">
        <v>1996</v>
      </c>
      <c r="I1852" s="30">
        <v>428793</v>
      </c>
      <c r="J1852" s="30" t="s">
        <v>5219</v>
      </c>
      <c r="K1852" s="30" t="s">
        <v>5447</v>
      </c>
    </row>
    <row r="1853" spans="1:11" x14ac:dyDescent="0.35">
      <c r="A1853" s="30" t="s">
        <v>12740</v>
      </c>
      <c r="B1853" s="30" t="s">
        <v>12741</v>
      </c>
      <c r="C1853" s="32">
        <v>35.85</v>
      </c>
      <c r="D1853" s="30">
        <v>0.4</v>
      </c>
      <c r="E1853" s="31">
        <v>1.128E-2</v>
      </c>
      <c r="F1853" s="30">
        <v>5560968756</v>
      </c>
      <c r="G1853" s="30" t="s">
        <v>5427</v>
      </c>
      <c r="H1853" s="30">
        <v>1994</v>
      </c>
      <c r="I1853" s="30">
        <v>3016507</v>
      </c>
      <c r="J1853" s="30" t="s">
        <v>5442</v>
      </c>
      <c r="K1853" s="30" t="s">
        <v>5450</v>
      </c>
    </row>
    <row r="1854" spans="1:11" x14ac:dyDescent="0.35">
      <c r="A1854" s="30" t="s">
        <v>12742</v>
      </c>
      <c r="B1854" s="30" t="s">
        <v>12743</v>
      </c>
      <c r="C1854" s="32">
        <v>171.56</v>
      </c>
      <c r="D1854" s="30">
        <v>0.54</v>
      </c>
      <c r="E1854" s="31">
        <v>3.16E-3</v>
      </c>
      <c r="F1854" s="30">
        <v>236359791896</v>
      </c>
      <c r="G1854" s="30" t="s">
        <v>5427</v>
      </c>
      <c r="H1854" s="30"/>
      <c r="I1854" s="30">
        <v>4140105</v>
      </c>
      <c r="J1854" s="30" t="s">
        <v>5541</v>
      </c>
      <c r="K1854" s="30" t="s">
        <v>5997</v>
      </c>
    </row>
    <row r="1855" spans="1:11" x14ac:dyDescent="0.35">
      <c r="A1855" s="30" t="s">
        <v>12744</v>
      </c>
      <c r="B1855" s="30" t="s">
        <v>12745</v>
      </c>
      <c r="C1855" s="32">
        <v>15.69</v>
      </c>
      <c r="D1855" s="30">
        <v>7.0000000000000007E-2</v>
      </c>
      <c r="E1855" s="31">
        <v>4.4799999999999996E-3</v>
      </c>
      <c r="F1855" s="30">
        <v>370784888</v>
      </c>
      <c r="G1855" s="30" t="s">
        <v>5427</v>
      </c>
      <c r="H1855" s="30">
        <v>2022</v>
      </c>
      <c r="I1855" s="30">
        <v>44983</v>
      </c>
      <c r="J1855" s="30" t="s">
        <v>5431</v>
      </c>
      <c r="K1855" s="30" t="s">
        <v>5430</v>
      </c>
    </row>
    <row r="1856" spans="1:11" x14ac:dyDescent="0.35">
      <c r="A1856" s="30" t="s">
        <v>12746</v>
      </c>
      <c r="B1856" s="30" t="s">
        <v>12747</v>
      </c>
      <c r="C1856" s="32">
        <v>10.17</v>
      </c>
      <c r="D1856" s="30">
        <v>0.02</v>
      </c>
      <c r="E1856" s="31">
        <v>1.97E-3</v>
      </c>
      <c r="F1856" s="30">
        <v>216112500</v>
      </c>
      <c r="G1856" s="30" t="s">
        <v>5427</v>
      </c>
      <c r="H1856" s="30">
        <v>2021</v>
      </c>
      <c r="I1856" s="30">
        <v>1316</v>
      </c>
      <c r="J1856" s="30" t="s">
        <v>5435</v>
      </c>
      <c r="K1856" s="30" t="s">
        <v>5482</v>
      </c>
    </row>
    <row r="1857" spans="1:11" x14ac:dyDescent="0.35">
      <c r="A1857" s="30" t="s">
        <v>12748</v>
      </c>
      <c r="B1857" s="30" t="s">
        <v>12749</v>
      </c>
      <c r="C1857" s="32">
        <v>4.71</v>
      </c>
      <c r="D1857" s="30">
        <v>0.56000000000000005</v>
      </c>
      <c r="E1857" s="31">
        <v>0.13494</v>
      </c>
      <c r="F1857" s="30">
        <v>62759601</v>
      </c>
      <c r="G1857" s="30" t="s">
        <v>5427</v>
      </c>
      <c r="H1857" s="30"/>
      <c r="I1857" s="30">
        <v>124390</v>
      </c>
      <c r="J1857" s="30" t="s">
        <v>5426</v>
      </c>
      <c r="K1857" s="30" t="s">
        <v>5425</v>
      </c>
    </row>
    <row r="1858" spans="1:11" x14ac:dyDescent="0.35">
      <c r="A1858" s="30" t="s">
        <v>12750</v>
      </c>
      <c r="B1858" s="30" t="s">
        <v>12751</v>
      </c>
      <c r="C1858" s="32">
        <v>2.93</v>
      </c>
      <c r="D1858" s="30">
        <v>-0.21</v>
      </c>
      <c r="E1858" s="31">
        <v>-6.6879999999999995E-2</v>
      </c>
      <c r="F1858" s="30">
        <v>107773862</v>
      </c>
      <c r="G1858" s="30" t="s">
        <v>5427</v>
      </c>
      <c r="H1858" s="30">
        <v>2021</v>
      </c>
      <c r="I1858" s="30">
        <v>24499</v>
      </c>
      <c r="J1858" s="30" t="s">
        <v>5219</v>
      </c>
      <c r="K1858" s="30" t="s">
        <v>5447</v>
      </c>
    </row>
    <row r="1859" spans="1:11" x14ac:dyDescent="0.35">
      <c r="A1859" s="30" t="s">
        <v>12752</v>
      </c>
      <c r="B1859" s="30" t="s">
        <v>12753</v>
      </c>
      <c r="C1859" s="32">
        <v>12.2</v>
      </c>
      <c r="D1859" s="30">
        <v>0.36</v>
      </c>
      <c r="E1859" s="31">
        <v>3.041E-2</v>
      </c>
      <c r="F1859" s="30">
        <v>353476310</v>
      </c>
      <c r="G1859" s="30" t="s">
        <v>5427</v>
      </c>
      <c r="H1859" s="30">
        <v>2017</v>
      </c>
      <c r="I1859" s="30">
        <v>280534</v>
      </c>
      <c r="J1859" s="30" t="s">
        <v>5431</v>
      </c>
      <c r="K1859" s="30" t="s">
        <v>5430</v>
      </c>
    </row>
    <row r="1860" spans="1:11" x14ac:dyDescent="0.35">
      <c r="A1860" s="30" t="s">
        <v>12754</v>
      </c>
      <c r="B1860" s="30" t="s">
        <v>12755</v>
      </c>
      <c r="C1860" s="32">
        <v>21.44</v>
      </c>
      <c r="D1860" s="30">
        <v>-0.04</v>
      </c>
      <c r="E1860" s="31">
        <v>-1.8600000000000001E-3</v>
      </c>
      <c r="F1860" s="30">
        <v>451862515</v>
      </c>
      <c r="G1860" s="30" t="s">
        <v>5427</v>
      </c>
      <c r="H1860" s="30"/>
      <c r="I1860" s="30">
        <v>281887</v>
      </c>
      <c r="J1860" s="30" t="s">
        <v>5541</v>
      </c>
      <c r="K1860" s="30" t="s">
        <v>6398</v>
      </c>
    </row>
    <row r="1861" spans="1:11" x14ac:dyDescent="0.35">
      <c r="A1861" s="30" t="s">
        <v>12756</v>
      </c>
      <c r="B1861" s="30" t="s">
        <v>12757</v>
      </c>
      <c r="C1861" s="32">
        <v>71.459999999999994</v>
      </c>
      <c r="D1861" s="30">
        <v>0.33</v>
      </c>
      <c r="E1861" s="31">
        <v>4.64E-3</v>
      </c>
      <c r="F1861" s="30">
        <v>1025971372</v>
      </c>
      <c r="G1861" s="30" t="s">
        <v>5427</v>
      </c>
      <c r="H1861" s="30"/>
      <c r="I1861" s="30">
        <v>82044</v>
      </c>
      <c r="J1861" s="30" t="s">
        <v>5435</v>
      </c>
      <c r="K1861" s="30" t="s">
        <v>5579</v>
      </c>
    </row>
    <row r="1862" spans="1:11" x14ac:dyDescent="0.35">
      <c r="A1862" s="30" t="s">
        <v>12758</v>
      </c>
      <c r="B1862" s="30" t="s">
        <v>12759</v>
      </c>
      <c r="C1862" s="32">
        <v>25.05</v>
      </c>
      <c r="D1862" s="30">
        <v>0.03</v>
      </c>
      <c r="E1862" s="31">
        <v>1.1999999999999999E-3</v>
      </c>
      <c r="F1862" s="30">
        <v>891554550</v>
      </c>
      <c r="G1862" s="30" t="s">
        <v>5427</v>
      </c>
      <c r="H1862" s="30"/>
      <c r="I1862" s="30">
        <v>160701</v>
      </c>
      <c r="J1862" s="30" t="s">
        <v>5435</v>
      </c>
      <c r="K1862" s="30" t="s">
        <v>6556</v>
      </c>
    </row>
    <row r="1863" spans="1:11" x14ac:dyDescent="0.35">
      <c r="A1863" s="30" t="s">
        <v>12760</v>
      </c>
      <c r="B1863" s="30" t="s">
        <v>12761</v>
      </c>
      <c r="C1863" s="32">
        <v>10.16</v>
      </c>
      <c r="D1863" s="30">
        <v>0</v>
      </c>
      <c r="E1863" s="31">
        <v>0</v>
      </c>
      <c r="F1863" s="30">
        <v>412750000</v>
      </c>
      <c r="G1863" s="30" t="s">
        <v>5427</v>
      </c>
      <c r="H1863" s="30">
        <v>2021</v>
      </c>
      <c r="I1863" s="30">
        <v>17712</v>
      </c>
      <c r="J1863" s="30" t="s">
        <v>5219</v>
      </c>
      <c r="K1863" s="30" t="s">
        <v>5560</v>
      </c>
    </row>
    <row r="1864" spans="1:11" x14ac:dyDescent="0.35">
      <c r="A1864" s="30" t="s">
        <v>12762</v>
      </c>
      <c r="B1864" s="30" t="s">
        <v>12763</v>
      </c>
      <c r="C1864" s="32">
        <v>92.08</v>
      </c>
      <c r="D1864" s="30">
        <v>-0.47</v>
      </c>
      <c r="E1864" s="31">
        <v>-5.0800000000000003E-3</v>
      </c>
      <c r="F1864" s="30">
        <v>22530391303</v>
      </c>
      <c r="G1864" s="30" t="s">
        <v>5427</v>
      </c>
      <c r="H1864" s="30">
        <v>2001</v>
      </c>
      <c r="I1864" s="30">
        <v>1992970</v>
      </c>
      <c r="J1864" s="30" t="s">
        <v>5435</v>
      </c>
      <c r="K1864" s="30" t="s">
        <v>5434</v>
      </c>
    </row>
    <row r="1865" spans="1:11" x14ac:dyDescent="0.35">
      <c r="A1865" s="30" t="s">
        <v>12764</v>
      </c>
      <c r="B1865" s="30" t="s">
        <v>12765</v>
      </c>
      <c r="C1865" s="32">
        <v>1.1100000000000001</v>
      </c>
      <c r="D1865" s="30">
        <v>0</v>
      </c>
      <c r="E1865" s="31">
        <v>0</v>
      </c>
      <c r="F1865" s="30">
        <v>52214570</v>
      </c>
      <c r="G1865" s="30" t="s">
        <v>5427</v>
      </c>
      <c r="H1865" s="30"/>
      <c r="I1865" s="30">
        <v>24182</v>
      </c>
      <c r="J1865" s="30" t="s">
        <v>5464</v>
      </c>
      <c r="K1865" s="30" t="s">
        <v>5463</v>
      </c>
    </row>
    <row r="1866" spans="1:11" x14ac:dyDescent="0.35">
      <c r="A1866" s="30" t="s">
        <v>12766</v>
      </c>
      <c r="B1866" s="30" t="s">
        <v>12767</v>
      </c>
      <c r="C1866" s="32">
        <v>51.09</v>
      </c>
      <c r="D1866" s="30">
        <v>0.11</v>
      </c>
      <c r="E1866" s="31">
        <v>2.16E-3</v>
      </c>
      <c r="F1866" s="30">
        <v>365703140</v>
      </c>
      <c r="G1866" s="30" t="s">
        <v>5427</v>
      </c>
      <c r="H1866" s="30"/>
      <c r="I1866" s="30">
        <v>18620</v>
      </c>
      <c r="J1866" s="30" t="s">
        <v>5435</v>
      </c>
      <c r="K1866" s="30" t="s">
        <v>5579</v>
      </c>
    </row>
    <row r="1867" spans="1:11" x14ac:dyDescent="0.35">
      <c r="A1867" s="30" t="s">
        <v>12768</v>
      </c>
      <c r="B1867" s="30" t="s">
        <v>12769</v>
      </c>
      <c r="C1867" s="32">
        <v>3.2</v>
      </c>
      <c r="D1867" s="30">
        <v>-0.04</v>
      </c>
      <c r="E1867" s="31">
        <v>-1.235E-2</v>
      </c>
      <c r="F1867" s="30">
        <v>237691184</v>
      </c>
      <c r="G1867" s="30" t="s">
        <v>5427</v>
      </c>
      <c r="H1867" s="30">
        <v>2012</v>
      </c>
      <c r="I1867" s="30">
        <v>181149</v>
      </c>
      <c r="J1867" s="30" t="s">
        <v>5431</v>
      </c>
      <c r="K1867" s="30" t="s">
        <v>6530</v>
      </c>
    </row>
    <row r="1868" spans="1:11" x14ac:dyDescent="0.35">
      <c r="A1868" s="30" t="s">
        <v>12770</v>
      </c>
      <c r="B1868" s="30" t="s">
        <v>12771</v>
      </c>
      <c r="C1868" s="32">
        <v>7.13</v>
      </c>
      <c r="D1868" s="30">
        <v>0.47</v>
      </c>
      <c r="E1868" s="31">
        <v>7.0569999999999994E-2</v>
      </c>
      <c r="F1868" s="30">
        <v>161453139</v>
      </c>
      <c r="G1868" s="30" t="s">
        <v>5427</v>
      </c>
      <c r="H1868" s="30">
        <v>1999</v>
      </c>
      <c r="I1868" s="30">
        <v>108215</v>
      </c>
      <c r="J1868" s="30" t="s">
        <v>5442</v>
      </c>
      <c r="K1868" s="30" t="s">
        <v>5482</v>
      </c>
    </row>
    <row r="1869" spans="1:11" x14ac:dyDescent="0.35">
      <c r="A1869" s="30" t="s">
        <v>12772</v>
      </c>
      <c r="B1869" s="30" t="s">
        <v>12773</v>
      </c>
      <c r="C1869" s="32">
        <v>10.11</v>
      </c>
      <c r="D1869" s="30">
        <v>-0.03</v>
      </c>
      <c r="E1869" s="31">
        <v>-2.96E-3</v>
      </c>
      <c r="F1869" s="30">
        <v>327455055</v>
      </c>
      <c r="G1869" s="30" t="s">
        <v>5427</v>
      </c>
      <c r="H1869" s="30">
        <v>2021</v>
      </c>
      <c r="I1869" s="30">
        <v>1201</v>
      </c>
      <c r="J1869" s="30" t="s">
        <v>5435</v>
      </c>
      <c r="K1869" s="30" t="s">
        <v>5482</v>
      </c>
    </row>
    <row r="1870" spans="1:11" x14ac:dyDescent="0.35">
      <c r="A1870" s="30" t="s">
        <v>12774</v>
      </c>
      <c r="B1870" s="30" t="s">
        <v>12775</v>
      </c>
      <c r="C1870" s="32">
        <v>33.625</v>
      </c>
      <c r="D1870" s="30">
        <v>0.875</v>
      </c>
      <c r="E1870" s="31">
        <v>2.6720000000000001E-2</v>
      </c>
      <c r="F1870" s="30">
        <v>70518888</v>
      </c>
      <c r="G1870" s="30" t="s">
        <v>5427</v>
      </c>
      <c r="H1870" s="30"/>
      <c r="I1870" s="30">
        <v>268</v>
      </c>
      <c r="J1870" s="30" t="s">
        <v>5435</v>
      </c>
      <c r="K1870" s="30" t="s">
        <v>5434</v>
      </c>
    </row>
    <row r="1871" spans="1:11" x14ac:dyDescent="0.35">
      <c r="A1871" s="30" t="s">
        <v>12776</v>
      </c>
      <c r="B1871" s="30" t="s">
        <v>12777</v>
      </c>
      <c r="C1871" s="32">
        <v>36.86</v>
      </c>
      <c r="D1871" s="30">
        <v>-0.23</v>
      </c>
      <c r="E1871" s="31">
        <v>-6.1999999999999998E-3</v>
      </c>
      <c r="F1871" s="30">
        <v>656603804</v>
      </c>
      <c r="G1871" s="30" t="s">
        <v>5427</v>
      </c>
      <c r="H1871" s="30"/>
      <c r="I1871" s="30">
        <v>62923</v>
      </c>
      <c r="J1871" s="30" t="s">
        <v>5435</v>
      </c>
      <c r="K1871" s="30" t="s">
        <v>5582</v>
      </c>
    </row>
    <row r="1872" spans="1:11" x14ac:dyDescent="0.35">
      <c r="A1872" s="30" t="s">
        <v>12778</v>
      </c>
      <c r="B1872" s="30" t="s">
        <v>12779</v>
      </c>
      <c r="C1872" s="32">
        <v>1.69</v>
      </c>
      <c r="D1872" s="30">
        <v>7.0000000000000007E-2</v>
      </c>
      <c r="E1872" s="31">
        <v>4.3209999999999998E-2</v>
      </c>
      <c r="F1872" s="30">
        <v>351773535</v>
      </c>
      <c r="G1872" s="30" t="s">
        <v>5427</v>
      </c>
      <c r="H1872" s="30"/>
      <c r="I1872" s="30">
        <v>5874392</v>
      </c>
      <c r="J1872" s="30" t="s">
        <v>5431</v>
      </c>
      <c r="K1872" s="30" t="s">
        <v>9124</v>
      </c>
    </row>
    <row r="1873" spans="1:11" x14ac:dyDescent="0.35">
      <c r="A1873" s="30" t="s">
        <v>12780</v>
      </c>
      <c r="B1873" s="30" t="s">
        <v>12781</v>
      </c>
      <c r="C1873" s="32">
        <v>35.21</v>
      </c>
      <c r="D1873" s="30">
        <v>0.82</v>
      </c>
      <c r="E1873" s="31">
        <v>2.384E-2</v>
      </c>
      <c r="F1873" s="30">
        <v>3270418951</v>
      </c>
      <c r="G1873" s="30" t="s">
        <v>5427</v>
      </c>
      <c r="H1873" s="30">
        <v>2019</v>
      </c>
      <c r="I1873" s="30">
        <v>987196</v>
      </c>
      <c r="J1873" s="30" t="s">
        <v>5431</v>
      </c>
      <c r="K1873" s="30" t="s">
        <v>6530</v>
      </c>
    </row>
    <row r="1874" spans="1:11" x14ac:dyDescent="0.35">
      <c r="A1874" s="30" t="s">
        <v>12782</v>
      </c>
      <c r="B1874" s="30" t="s">
        <v>12783</v>
      </c>
      <c r="C1874" s="32">
        <v>10.36</v>
      </c>
      <c r="D1874" s="30">
        <v>-0.02</v>
      </c>
      <c r="E1874" s="31">
        <v>-1.9300000000000001E-3</v>
      </c>
      <c r="F1874" s="30">
        <v>54604328</v>
      </c>
      <c r="G1874" s="30" t="s">
        <v>5427</v>
      </c>
      <c r="H1874" s="30">
        <v>2021</v>
      </c>
      <c r="I1874" s="30">
        <v>428</v>
      </c>
      <c r="J1874" s="30" t="s">
        <v>5457</v>
      </c>
      <c r="K1874" s="30" t="s">
        <v>5571</v>
      </c>
    </row>
    <row r="1875" spans="1:11" x14ac:dyDescent="0.35">
      <c r="A1875" s="30" t="s">
        <v>12784</v>
      </c>
      <c r="B1875" s="30" t="s">
        <v>12785</v>
      </c>
      <c r="C1875" s="32">
        <v>13.45</v>
      </c>
      <c r="D1875" s="30">
        <v>0.08</v>
      </c>
      <c r="E1875" s="31">
        <v>5.9800000000000001E-3</v>
      </c>
      <c r="F1875" s="30">
        <v>877497207</v>
      </c>
      <c r="G1875" s="30" t="s">
        <v>6073</v>
      </c>
      <c r="H1875" s="30"/>
      <c r="I1875" s="30">
        <v>8468</v>
      </c>
      <c r="J1875" s="30" t="s">
        <v>5431</v>
      </c>
      <c r="K1875" s="30" t="s">
        <v>5430</v>
      </c>
    </row>
    <row r="1876" spans="1:11" x14ac:dyDescent="0.35">
      <c r="A1876" s="30" t="s">
        <v>12786</v>
      </c>
      <c r="B1876" s="30" t="s">
        <v>12787</v>
      </c>
      <c r="C1876" s="32">
        <v>11.72</v>
      </c>
      <c r="D1876" s="30">
        <v>-0.21</v>
      </c>
      <c r="E1876" s="31">
        <v>-1.7600000000000001E-2</v>
      </c>
      <c r="F1876" s="30">
        <v>487796421</v>
      </c>
      <c r="G1876" s="30" t="s">
        <v>5427</v>
      </c>
      <c r="H1876" s="30">
        <v>2019</v>
      </c>
      <c r="I1876" s="30">
        <v>202560</v>
      </c>
      <c r="J1876" s="30" t="s">
        <v>5431</v>
      </c>
      <c r="K1876" s="30" t="s">
        <v>5430</v>
      </c>
    </row>
    <row r="1877" spans="1:11" x14ac:dyDescent="0.35">
      <c r="A1877" s="30" t="s">
        <v>12788</v>
      </c>
      <c r="B1877" s="30" t="s">
        <v>12789</v>
      </c>
      <c r="C1877" s="32">
        <v>1.05</v>
      </c>
      <c r="D1877" s="30">
        <v>-0.03</v>
      </c>
      <c r="E1877" s="31">
        <v>-2.7779999999999999E-2</v>
      </c>
      <c r="F1877" s="30">
        <v>107759733</v>
      </c>
      <c r="G1877" s="30" t="s">
        <v>5911</v>
      </c>
      <c r="H1877" s="30">
        <v>2016</v>
      </c>
      <c r="I1877" s="30">
        <v>1631481</v>
      </c>
      <c r="J1877" s="30" t="s">
        <v>5219</v>
      </c>
      <c r="K1877" s="30" t="s">
        <v>5447</v>
      </c>
    </row>
    <row r="1878" spans="1:11" x14ac:dyDescent="0.35">
      <c r="A1878" s="30" t="s">
        <v>12790</v>
      </c>
      <c r="B1878" s="30" t="s">
        <v>12791</v>
      </c>
      <c r="C1878" s="32">
        <v>9.5</v>
      </c>
      <c r="D1878" s="30">
        <v>0.5</v>
      </c>
      <c r="E1878" s="31">
        <v>5.5559999999999998E-2</v>
      </c>
      <c r="F1878" s="30">
        <v>320983530</v>
      </c>
      <c r="G1878" s="30" t="s">
        <v>6073</v>
      </c>
      <c r="H1878" s="30">
        <v>2021</v>
      </c>
      <c r="I1878" s="30">
        <v>32766</v>
      </c>
      <c r="J1878" s="30" t="s">
        <v>5431</v>
      </c>
      <c r="K1878" s="30" t="s">
        <v>5430</v>
      </c>
    </row>
    <row r="1879" spans="1:11" x14ac:dyDescent="0.35">
      <c r="A1879" s="30" t="s">
        <v>12792</v>
      </c>
      <c r="B1879" s="30" t="s">
        <v>12793</v>
      </c>
      <c r="C1879" s="32">
        <v>139.11000000000001</v>
      </c>
      <c r="D1879" s="30">
        <v>9.33</v>
      </c>
      <c r="E1879" s="31">
        <v>7.1889999999999996E-2</v>
      </c>
      <c r="F1879" s="30">
        <v>3605035372</v>
      </c>
      <c r="G1879" s="30" t="s">
        <v>5427</v>
      </c>
      <c r="H1879" s="30">
        <v>2016</v>
      </c>
      <c r="I1879" s="30">
        <v>820287</v>
      </c>
      <c r="J1879" s="30" t="s">
        <v>5426</v>
      </c>
      <c r="K1879" s="30" t="s">
        <v>5520</v>
      </c>
    </row>
    <row r="1880" spans="1:11" x14ac:dyDescent="0.35">
      <c r="A1880" s="30" t="s">
        <v>12794</v>
      </c>
      <c r="B1880" s="30" t="s">
        <v>12795</v>
      </c>
      <c r="C1880" s="32">
        <v>1.3</v>
      </c>
      <c r="D1880" s="30">
        <v>0.01</v>
      </c>
      <c r="E1880" s="31">
        <v>7.7499999999999999E-3</v>
      </c>
      <c r="F1880" s="30">
        <v>316684957</v>
      </c>
      <c r="G1880" s="30" t="s">
        <v>5427</v>
      </c>
      <c r="H1880" s="30">
        <v>2021</v>
      </c>
      <c r="I1880" s="30">
        <v>247579</v>
      </c>
      <c r="J1880" s="30"/>
      <c r="K1880" s="30"/>
    </row>
    <row r="1881" spans="1:11" x14ac:dyDescent="0.35">
      <c r="A1881" s="30" t="s">
        <v>12796</v>
      </c>
      <c r="B1881" s="30" t="s">
        <v>12797</v>
      </c>
      <c r="C1881" s="32">
        <v>33.340000000000003</v>
      </c>
      <c r="D1881" s="30">
        <v>-0.02</v>
      </c>
      <c r="E1881" s="31">
        <v>-5.9999999999999995E-4</v>
      </c>
      <c r="F1881" s="30">
        <v>3959529014</v>
      </c>
      <c r="G1881" s="30" t="s">
        <v>5427</v>
      </c>
      <c r="H1881" s="30">
        <v>2013</v>
      </c>
      <c r="I1881" s="30">
        <v>510562</v>
      </c>
      <c r="J1881" s="30" t="s">
        <v>5431</v>
      </c>
      <c r="K1881" s="30" t="s">
        <v>6530</v>
      </c>
    </row>
    <row r="1882" spans="1:11" x14ac:dyDescent="0.35">
      <c r="A1882" s="30" t="s">
        <v>12798</v>
      </c>
      <c r="B1882" s="30" t="s">
        <v>12799</v>
      </c>
      <c r="C1882" s="32">
        <v>1.68</v>
      </c>
      <c r="D1882" s="30">
        <v>0.08</v>
      </c>
      <c r="E1882" s="31">
        <v>0.05</v>
      </c>
      <c r="F1882" s="30">
        <v>125002505</v>
      </c>
      <c r="G1882" s="30" t="s">
        <v>6263</v>
      </c>
      <c r="H1882" s="30"/>
      <c r="I1882" s="30">
        <v>167682</v>
      </c>
      <c r="J1882" s="30" t="s">
        <v>5431</v>
      </c>
      <c r="K1882" s="30" t="s">
        <v>5430</v>
      </c>
    </row>
    <row r="1883" spans="1:11" x14ac:dyDescent="0.35">
      <c r="A1883" s="30" t="s">
        <v>12800</v>
      </c>
      <c r="B1883" s="30" t="s">
        <v>12801</v>
      </c>
      <c r="C1883" s="32">
        <v>10.42</v>
      </c>
      <c r="D1883" s="30">
        <v>-1.18</v>
      </c>
      <c r="E1883" s="31">
        <v>-0.10172</v>
      </c>
      <c r="F1883" s="30">
        <v>100773862</v>
      </c>
      <c r="G1883" s="30" t="s">
        <v>5427</v>
      </c>
      <c r="H1883" s="30">
        <v>2017</v>
      </c>
      <c r="I1883" s="30">
        <v>81118</v>
      </c>
      <c r="J1883" s="30" t="s">
        <v>5442</v>
      </c>
      <c r="K1883" s="30" t="s">
        <v>5746</v>
      </c>
    </row>
    <row r="1884" spans="1:11" x14ac:dyDescent="0.35">
      <c r="A1884" s="30" t="s">
        <v>12802</v>
      </c>
      <c r="B1884" s="30" t="s">
        <v>12803</v>
      </c>
      <c r="C1884" s="32">
        <v>20.79</v>
      </c>
      <c r="D1884" s="30">
        <v>8.5000000000000006E-2</v>
      </c>
      <c r="E1884" s="31">
        <v>4.1099999999999999E-3</v>
      </c>
      <c r="F1884" s="30">
        <v>247870334</v>
      </c>
      <c r="G1884" s="30" t="s">
        <v>5427</v>
      </c>
      <c r="H1884" s="30"/>
      <c r="I1884" s="30">
        <v>16516</v>
      </c>
      <c r="J1884" s="30" t="s">
        <v>5435</v>
      </c>
      <c r="K1884" s="30" t="s">
        <v>5579</v>
      </c>
    </row>
    <row r="1885" spans="1:11" x14ac:dyDescent="0.35">
      <c r="A1885" s="30" t="s">
        <v>12804</v>
      </c>
      <c r="B1885" s="30" t="s">
        <v>12805</v>
      </c>
      <c r="C1885" s="32">
        <v>13.78</v>
      </c>
      <c r="D1885" s="30">
        <v>0.53</v>
      </c>
      <c r="E1885" s="31">
        <v>0.04</v>
      </c>
      <c r="F1885" s="30">
        <v>176688924</v>
      </c>
      <c r="G1885" s="30" t="s">
        <v>5427</v>
      </c>
      <c r="H1885" s="30"/>
      <c r="I1885" s="30">
        <v>14037</v>
      </c>
      <c r="J1885" s="30" t="s">
        <v>5457</v>
      </c>
      <c r="K1885" s="30" t="s">
        <v>5487</v>
      </c>
    </row>
    <row r="1886" spans="1:11" x14ac:dyDescent="0.35">
      <c r="A1886" s="30" t="s">
        <v>12806</v>
      </c>
      <c r="B1886" s="30" t="s">
        <v>12807</v>
      </c>
      <c r="C1886" s="32">
        <v>18.91</v>
      </c>
      <c r="D1886" s="30">
        <v>0.79</v>
      </c>
      <c r="E1886" s="31">
        <v>4.36E-2</v>
      </c>
      <c r="F1886" s="30">
        <v>1167471499</v>
      </c>
      <c r="G1886" s="30" t="s">
        <v>5427</v>
      </c>
      <c r="H1886" s="30">
        <v>1987</v>
      </c>
      <c r="I1886" s="30">
        <v>838247</v>
      </c>
      <c r="J1886" s="30" t="s">
        <v>5219</v>
      </c>
      <c r="K1886" s="30" t="s">
        <v>5526</v>
      </c>
    </row>
    <row r="1887" spans="1:11" x14ac:dyDescent="0.35">
      <c r="A1887" s="30" t="s">
        <v>12808</v>
      </c>
      <c r="B1887" s="30" t="s">
        <v>12809</v>
      </c>
      <c r="C1887" s="32">
        <v>44.1</v>
      </c>
      <c r="D1887" s="30">
        <v>0.75</v>
      </c>
      <c r="E1887" s="31">
        <v>1.7299999999999999E-2</v>
      </c>
      <c r="F1887" s="30">
        <v>2129601701</v>
      </c>
      <c r="G1887" s="30" t="s">
        <v>5427</v>
      </c>
      <c r="H1887" s="30">
        <v>2014</v>
      </c>
      <c r="I1887" s="30">
        <v>970943</v>
      </c>
      <c r="J1887" s="30" t="s">
        <v>5442</v>
      </c>
      <c r="K1887" s="30" t="s">
        <v>5450</v>
      </c>
    </row>
    <row r="1888" spans="1:11" x14ac:dyDescent="0.35">
      <c r="A1888" s="30" t="s">
        <v>12810</v>
      </c>
      <c r="B1888" s="30" t="s">
        <v>12811</v>
      </c>
      <c r="C1888" s="32">
        <v>40.6</v>
      </c>
      <c r="D1888" s="30">
        <v>-0.39</v>
      </c>
      <c r="E1888" s="31">
        <v>-9.5099999999999994E-3</v>
      </c>
      <c r="F1888" s="30">
        <v>237518770</v>
      </c>
      <c r="G1888" s="30" t="s">
        <v>5427</v>
      </c>
      <c r="H1888" s="30"/>
      <c r="I1888" s="30">
        <v>17609</v>
      </c>
      <c r="J1888" s="30" t="s">
        <v>5435</v>
      </c>
      <c r="K1888" s="30" t="s">
        <v>5563</v>
      </c>
    </row>
    <row r="1889" spans="1:11" x14ac:dyDescent="0.35">
      <c r="A1889" s="30" t="s">
        <v>12812</v>
      </c>
      <c r="B1889" s="30" t="s">
        <v>12813</v>
      </c>
      <c r="C1889" s="32">
        <v>3.01</v>
      </c>
      <c r="D1889" s="30">
        <v>0.09</v>
      </c>
      <c r="E1889" s="31">
        <v>3.082E-2</v>
      </c>
      <c r="F1889" s="30">
        <v>159286626</v>
      </c>
      <c r="G1889" s="30" t="s">
        <v>5427</v>
      </c>
      <c r="H1889" s="30">
        <v>2020</v>
      </c>
      <c r="I1889" s="30">
        <v>1194979</v>
      </c>
      <c r="J1889" s="30" t="s">
        <v>5442</v>
      </c>
      <c r="K1889" s="30" t="s">
        <v>5641</v>
      </c>
    </row>
    <row r="1890" spans="1:11" x14ac:dyDescent="0.35">
      <c r="A1890" s="30" t="s">
        <v>12814</v>
      </c>
      <c r="B1890" s="30" t="s">
        <v>12815</v>
      </c>
      <c r="C1890" s="32">
        <v>46.14</v>
      </c>
      <c r="D1890" s="30">
        <v>0.77</v>
      </c>
      <c r="E1890" s="31">
        <v>1.6969999999999999E-2</v>
      </c>
      <c r="F1890" s="30">
        <v>564190138</v>
      </c>
      <c r="G1890" s="30" t="s">
        <v>5427</v>
      </c>
      <c r="H1890" s="30">
        <v>1997</v>
      </c>
      <c r="I1890" s="30">
        <v>343594</v>
      </c>
      <c r="J1890" s="30" t="s">
        <v>5442</v>
      </c>
      <c r="K1890" s="30" t="s">
        <v>7318</v>
      </c>
    </row>
    <row r="1891" spans="1:11" x14ac:dyDescent="0.35">
      <c r="A1891" s="30" t="s">
        <v>12816</v>
      </c>
      <c r="B1891" s="30" t="s">
        <v>12817</v>
      </c>
      <c r="C1891" s="32">
        <v>67.61</v>
      </c>
      <c r="D1891" s="30">
        <v>-1.03</v>
      </c>
      <c r="E1891" s="31">
        <v>-1.5010000000000001E-2</v>
      </c>
      <c r="F1891" s="30">
        <v>1217671515</v>
      </c>
      <c r="G1891" s="30" t="s">
        <v>5427</v>
      </c>
      <c r="H1891" s="30"/>
      <c r="I1891" s="30">
        <v>383467</v>
      </c>
      <c r="J1891" s="30" t="s">
        <v>6250</v>
      </c>
      <c r="K1891" s="30" t="s">
        <v>6914</v>
      </c>
    </row>
    <row r="1892" spans="1:11" x14ac:dyDescent="0.35">
      <c r="A1892" s="30" t="s">
        <v>12818</v>
      </c>
      <c r="B1892" s="30" t="s">
        <v>12819</v>
      </c>
      <c r="C1892" s="32">
        <v>10.15</v>
      </c>
      <c r="D1892" s="30">
        <v>-5.0000000000000001E-3</v>
      </c>
      <c r="E1892" s="31">
        <v>-4.8999999999999998E-4</v>
      </c>
      <c r="F1892" s="30">
        <v>405005736</v>
      </c>
      <c r="G1892" s="30" t="s">
        <v>5427</v>
      </c>
      <c r="H1892" s="30">
        <v>2021</v>
      </c>
      <c r="I1892" s="30">
        <v>9126</v>
      </c>
      <c r="J1892" s="30" t="s">
        <v>5435</v>
      </c>
      <c r="K1892" s="30" t="s">
        <v>5482</v>
      </c>
    </row>
    <row r="1893" spans="1:11" x14ac:dyDescent="0.35">
      <c r="A1893" s="30" t="s">
        <v>12820</v>
      </c>
      <c r="B1893" s="30" t="s">
        <v>12821</v>
      </c>
      <c r="C1893" s="32">
        <v>51.31</v>
      </c>
      <c r="D1893" s="30">
        <v>0.2</v>
      </c>
      <c r="E1893" s="31">
        <v>3.9100000000000003E-3</v>
      </c>
      <c r="F1893" s="30">
        <v>1294691684</v>
      </c>
      <c r="G1893" s="30" t="s">
        <v>5427</v>
      </c>
      <c r="H1893" s="30">
        <v>2019</v>
      </c>
      <c r="I1893" s="30">
        <v>171476</v>
      </c>
      <c r="J1893" s="30" t="s">
        <v>5435</v>
      </c>
      <c r="K1893" s="30" t="s">
        <v>5493</v>
      </c>
    </row>
    <row r="1894" spans="1:11" x14ac:dyDescent="0.35">
      <c r="A1894" s="30" t="s">
        <v>12822</v>
      </c>
      <c r="B1894" s="30" t="s">
        <v>12823</v>
      </c>
      <c r="C1894" s="32">
        <v>90.94</v>
      </c>
      <c r="D1894" s="30">
        <v>2.61</v>
      </c>
      <c r="E1894" s="31">
        <v>2.955E-2</v>
      </c>
      <c r="F1894" s="30">
        <v>447410341</v>
      </c>
      <c r="G1894" s="30" t="s">
        <v>5427</v>
      </c>
      <c r="H1894" s="30"/>
      <c r="I1894" s="30">
        <v>8671</v>
      </c>
      <c r="J1894" s="30" t="s">
        <v>5457</v>
      </c>
      <c r="K1894" s="30" t="s">
        <v>5520</v>
      </c>
    </row>
    <row r="1895" spans="1:11" x14ac:dyDescent="0.35">
      <c r="A1895" s="30" t="s">
        <v>12824</v>
      </c>
      <c r="B1895" s="30" t="s">
        <v>12825</v>
      </c>
      <c r="C1895" s="32">
        <v>34.450000000000003</v>
      </c>
      <c r="D1895" s="30">
        <v>-0.59</v>
      </c>
      <c r="E1895" s="31">
        <v>-1.6840000000000001E-2</v>
      </c>
      <c r="F1895" s="30">
        <v>2009907841</v>
      </c>
      <c r="G1895" s="30" t="s">
        <v>5427</v>
      </c>
      <c r="H1895" s="30">
        <v>2020</v>
      </c>
      <c r="I1895" s="30">
        <v>624409</v>
      </c>
      <c r="J1895" s="30" t="s">
        <v>5431</v>
      </c>
      <c r="K1895" s="30" t="s">
        <v>5685</v>
      </c>
    </row>
    <row r="1896" spans="1:11" x14ac:dyDescent="0.35">
      <c r="A1896" s="30" t="s">
        <v>12826</v>
      </c>
      <c r="B1896" s="30" t="s">
        <v>12827</v>
      </c>
      <c r="C1896" s="32">
        <v>3.27</v>
      </c>
      <c r="D1896" s="30">
        <v>0.14000000000000001</v>
      </c>
      <c r="E1896" s="31">
        <v>4.4729999999999999E-2</v>
      </c>
      <c r="F1896" s="30">
        <v>121736214</v>
      </c>
      <c r="G1896" s="30" t="s">
        <v>5427</v>
      </c>
      <c r="H1896" s="30">
        <v>2016</v>
      </c>
      <c r="I1896" s="30">
        <v>46133</v>
      </c>
      <c r="J1896" s="30" t="s">
        <v>5431</v>
      </c>
      <c r="K1896" s="30" t="s">
        <v>5500</v>
      </c>
    </row>
    <row r="1897" spans="1:11" x14ac:dyDescent="0.35">
      <c r="A1897" s="30" t="s">
        <v>12828</v>
      </c>
      <c r="B1897" s="30" t="s">
        <v>12829</v>
      </c>
      <c r="C1897" s="32">
        <v>10.14</v>
      </c>
      <c r="D1897" s="30">
        <v>-0.01</v>
      </c>
      <c r="E1897" s="31">
        <v>-9.8999999999999999E-4</v>
      </c>
      <c r="F1897" s="30">
        <v>76162808</v>
      </c>
      <c r="G1897" s="30" t="s">
        <v>5427</v>
      </c>
      <c r="H1897" s="30">
        <v>2023</v>
      </c>
      <c r="I1897" s="30">
        <v>106202</v>
      </c>
      <c r="J1897" s="30" t="s">
        <v>5457</v>
      </c>
      <c r="K1897" s="30" t="s">
        <v>5571</v>
      </c>
    </row>
    <row r="1898" spans="1:11" x14ac:dyDescent="0.35">
      <c r="A1898" s="30" t="s">
        <v>12830</v>
      </c>
      <c r="B1898" s="30" t="s">
        <v>12831</v>
      </c>
      <c r="C1898" s="32">
        <v>17.68</v>
      </c>
      <c r="D1898" s="30">
        <v>0.66</v>
      </c>
      <c r="E1898" s="31">
        <v>3.8780000000000002E-2</v>
      </c>
      <c r="F1898" s="30">
        <v>10305750163</v>
      </c>
      <c r="G1898" s="30" t="s">
        <v>5427</v>
      </c>
      <c r="H1898" s="30">
        <v>1999</v>
      </c>
      <c r="I1898" s="30">
        <v>22847392</v>
      </c>
      <c r="J1898" s="30" t="s">
        <v>5442</v>
      </c>
      <c r="K1898" s="30" t="s">
        <v>5647</v>
      </c>
    </row>
    <row r="1899" spans="1:11" x14ac:dyDescent="0.35">
      <c r="A1899" s="30" t="s">
        <v>12832</v>
      </c>
      <c r="B1899" s="30" t="s">
        <v>12833</v>
      </c>
      <c r="C1899" s="32">
        <v>51.41</v>
      </c>
      <c r="D1899" s="30">
        <v>1.63</v>
      </c>
      <c r="E1899" s="31">
        <v>3.2739999999999998E-2</v>
      </c>
      <c r="F1899" s="30">
        <v>1383273910</v>
      </c>
      <c r="G1899" s="30" t="s">
        <v>5427</v>
      </c>
      <c r="H1899" s="30">
        <v>1996</v>
      </c>
      <c r="I1899" s="30">
        <v>95935</v>
      </c>
      <c r="J1899" s="30" t="s">
        <v>5219</v>
      </c>
      <c r="K1899" s="30" t="s">
        <v>5812</v>
      </c>
    </row>
    <row r="1900" spans="1:11" x14ac:dyDescent="0.35">
      <c r="A1900" s="30" t="s">
        <v>12834</v>
      </c>
      <c r="B1900" s="30" t="s">
        <v>12835</v>
      </c>
      <c r="C1900" s="32">
        <v>99.93</v>
      </c>
      <c r="D1900" s="30">
        <v>3.94</v>
      </c>
      <c r="E1900" s="31">
        <v>4.1050000000000003E-2</v>
      </c>
      <c r="F1900" s="30">
        <v>2759267160</v>
      </c>
      <c r="G1900" s="30" t="s">
        <v>5427</v>
      </c>
      <c r="H1900" s="30"/>
      <c r="I1900" s="30">
        <v>351905</v>
      </c>
      <c r="J1900" s="30" t="s">
        <v>5219</v>
      </c>
      <c r="K1900" s="30" t="s">
        <v>5647</v>
      </c>
    </row>
    <row r="1901" spans="1:11" x14ac:dyDescent="0.35">
      <c r="A1901" s="30" t="s">
        <v>12836</v>
      </c>
      <c r="B1901" s="30" t="s">
        <v>12837</v>
      </c>
      <c r="C1901" s="32">
        <v>7.74</v>
      </c>
      <c r="D1901" s="30">
        <v>0.16</v>
      </c>
      <c r="E1901" s="31">
        <v>2.111E-2</v>
      </c>
      <c r="F1901" s="30">
        <v>1256877764</v>
      </c>
      <c r="G1901" s="30" t="s">
        <v>6073</v>
      </c>
      <c r="H1901" s="30"/>
      <c r="I1901" s="30">
        <v>731445</v>
      </c>
      <c r="J1901" s="30" t="s">
        <v>5442</v>
      </c>
      <c r="K1901" s="30" t="s">
        <v>5704</v>
      </c>
    </row>
    <row r="1902" spans="1:11" x14ac:dyDescent="0.35">
      <c r="A1902" s="30" t="s">
        <v>12838</v>
      </c>
      <c r="B1902" s="30" t="s">
        <v>12839</v>
      </c>
      <c r="C1902" s="32">
        <v>2.89</v>
      </c>
      <c r="D1902" s="30">
        <v>0</v>
      </c>
      <c r="E1902" s="31">
        <v>0</v>
      </c>
      <c r="F1902" s="30">
        <v>54119822</v>
      </c>
      <c r="G1902" s="30" t="s">
        <v>5427</v>
      </c>
      <c r="H1902" s="30"/>
      <c r="I1902" s="30">
        <v>95817</v>
      </c>
      <c r="J1902" s="30" t="s">
        <v>5431</v>
      </c>
      <c r="K1902" s="30" t="s">
        <v>6409</v>
      </c>
    </row>
    <row r="1903" spans="1:11" x14ac:dyDescent="0.35">
      <c r="A1903" s="30" t="s">
        <v>12840</v>
      </c>
      <c r="B1903" s="30" t="s">
        <v>12841</v>
      </c>
      <c r="C1903" s="32">
        <v>10.050000000000001</v>
      </c>
      <c r="D1903" s="30">
        <v>-0.04</v>
      </c>
      <c r="E1903" s="31">
        <v>-3.96E-3</v>
      </c>
      <c r="F1903" s="30">
        <v>346725000</v>
      </c>
      <c r="G1903" s="30" t="s">
        <v>5427</v>
      </c>
      <c r="H1903" s="30">
        <v>2021</v>
      </c>
      <c r="I1903" s="30">
        <v>11753</v>
      </c>
      <c r="J1903" s="30" t="s">
        <v>5457</v>
      </c>
      <c r="K1903" s="30" t="s">
        <v>5571</v>
      </c>
    </row>
    <row r="1904" spans="1:11" x14ac:dyDescent="0.35">
      <c r="A1904" s="30" t="s">
        <v>12842</v>
      </c>
      <c r="B1904" s="30" t="s">
        <v>12843</v>
      </c>
      <c r="C1904" s="32">
        <v>37.82</v>
      </c>
      <c r="D1904" s="30">
        <v>1.19</v>
      </c>
      <c r="E1904" s="31">
        <v>3.2489999999999998E-2</v>
      </c>
      <c r="F1904" s="30">
        <v>430604111</v>
      </c>
      <c r="G1904" s="30" t="s">
        <v>5427</v>
      </c>
      <c r="H1904" s="30"/>
      <c r="I1904" s="30">
        <v>90686</v>
      </c>
      <c r="J1904" s="30" t="s">
        <v>5435</v>
      </c>
      <c r="K1904" s="30" t="s">
        <v>5563</v>
      </c>
    </row>
    <row r="1905" spans="1:11" x14ac:dyDescent="0.35">
      <c r="A1905" s="30" t="s">
        <v>12844</v>
      </c>
      <c r="B1905" s="30" t="s">
        <v>12845</v>
      </c>
      <c r="C1905" s="32">
        <v>8.27</v>
      </c>
      <c r="D1905" s="30">
        <v>7.0000000000000007E-2</v>
      </c>
      <c r="E1905" s="31">
        <v>8.5400000000000007E-3</v>
      </c>
      <c r="F1905" s="30">
        <v>377653090</v>
      </c>
      <c r="G1905" s="30" t="s">
        <v>5427</v>
      </c>
      <c r="H1905" s="30">
        <v>2020</v>
      </c>
      <c r="I1905" s="30">
        <v>601062</v>
      </c>
      <c r="J1905" s="30" t="s">
        <v>5431</v>
      </c>
      <c r="K1905" s="30" t="s">
        <v>5685</v>
      </c>
    </row>
    <row r="1906" spans="1:11" x14ac:dyDescent="0.35">
      <c r="A1906" s="30" t="s">
        <v>12846</v>
      </c>
      <c r="B1906" s="30" t="s">
        <v>12847</v>
      </c>
      <c r="C1906" s="32">
        <v>10.199999999999999</v>
      </c>
      <c r="D1906" s="30">
        <v>0</v>
      </c>
      <c r="E1906" s="31">
        <v>0</v>
      </c>
      <c r="F1906" s="30">
        <v>86306198</v>
      </c>
      <c r="G1906" s="30" t="s">
        <v>5427</v>
      </c>
      <c r="H1906" s="30">
        <v>2022</v>
      </c>
      <c r="I1906" s="30">
        <v>21</v>
      </c>
      <c r="J1906" s="30" t="s">
        <v>5457</v>
      </c>
      <c r="K1906" s="30" t="s">
        <v>5571</v>
      </c>
    </row>
    <row r="1907" spans="1:11" x14ac:dyDescent="0.35">
      <c r="A1907" s="30" t="s">
        <v>12848</v>
      </c>
      <c r="B1907" s="30" t="s">
        <v>12849</v>
      </c>
      <c r="C1907" s="32">
        <v>78.64</v>
      </c>
      <c r="D1907" s="30">
        <v>-0.09</v>
      </c>
      <c r="E1907" s="31">
        <v>-1.14E-3</v>
      </c>
      <c r="F1907" s="30">
        <v>6012406494</v>
      </c>
      <c r="G1907" s="30" t="s">
        <v>5427</v>
      </c>
      <c r="H1907" s="30"/>
      <c r="I1907" s="30">
        <v>888318</v>
      </c>
      <c r="J1907" s="30" t="s">
        <v>5435</v>
      </c>
      <c r="K1907" s="30" t="s">
        <v>5579</v>
      </c>
    </row>
    <row r="1908" spans="1:11" x14ac:dyDescent="0.35">
      <c r="A1908" s="30" t="s">
        <v>12850</v>
      </c>
      <c r="B1908" s="30" t="s">
        <v>12851</v>
      </c>
      <c r="C1908" s="32">
        <v>91</v>
      </c>
      <c r="D1908" s="30">
        <v>-0.5</v>
      </c>
      <c r="E1908" s="31">
        <v>-5.4599999999999996E-3</v>
      </c>
      <c r="F1908" s="30">
        <v>174765500</v>
      </c>
      <c r="G1908" s="30" t="s">
        <v>5427</v>
      </c>
      <c r="H1908" s="30"/>
      <c r="I1908" s="30">
        <v>5306</v>
      </c>
      <c r="J1908" s="30" t="s">
        <v>5464</v>
      </c>
      <c r="K1908" s="30" t="s">
        <v>5463</v>
      </c>
    </row>
    <row r="1909" spans="1:11" x14ac:dyDescent="0.35">
      <c r="A1909" s="30" t="s">
        <v>12852</v>
      </c>
      <c r="B1909" s="30" t="s">
        <v>12853</v>
      </c>
      <c r="C1909" s="32">
        <v>7.95</v>
      </c>
      <c r="D1909" s="30">
        <v>-0.05</v>
      </c>
      <c r="E1909" s="31">
        <v>-6.2500000000000003E-3</v>
      </c>
      <c r="F1909" s="30">
        <v>839875691</v>
      </c>
      <c r="G1909" s="30" t="s">
        <v>5427</v>
      </c>
      <c r="H1909" s="30">
        <v>2020</v>
      </c>
      <c r="I1909" s="30">
        <v>741954</v>
      </c>
      <c r="J1909" s="30" t="s">
        <v>5431</v>
      </c>
      <c r="K1909" s="30" t="s">
        <v>5685</v>
      </c>
    </row>
    <row r="1910" spans="1:11" x14ac:dyDescent="0.35">
      <c r="A1910" s="30" t="s">
        <v>12854</v>
      </c>
      <c r="B1910" s="30" t="s">
        <v>12855</v>
      </c>
      <c r="C1910" s="32">
        <v>13.27</v>
      </c>
      <c r="D1910" s="30">
        <v>0.33</v>
      </c>
      <c r="E1910" s="31">
        <v>2.5499999999999998E-2</v>
      </c>
      <c r="F1910" s="30">
        <v>393808628</v>
      </c>
      <c r="G1910" s="30" t="s">
        <v>5427</v>
      </c>
      <c r="H1910" s="30"/>
      <c r="I1910" s="30">
        <v>213491</v>
      </c>
      <c r="J1910" s="30" t="s">
        <v>5431</v>
      </c>
      <c r="K1910" s="30" t="s">
        <v>5785</v>
      </c>
    </row>
    <row r="1911" spans="1:11" x14ac:dyDescent="0.35">
      <c r="A1911" s="30" t="s">
        <v>12856</v>
      </c>
      <c r="B1911" s="30" t="s">
        <v>12857</v>
      </c>
      <c r="C1911" s="32">
        <v>290.52999999999997</v>
      </c>
      <c r="D1911" s="30">
        <v>3.21</v>
      </c>
      <c r="E1911" s="31">
        <v>1.1169999999999999E-2</v>
      </c>
      <c r="F1911" s="30">
        <v>20176931683</v>
      </c>
      <c r="G1911" s="30" t="s">
        <v>5427</v>
      </c>
      <c r="H1911" s="30">
        <v>2007</v>
      </c>
      <c r="I1911" s="30">
        <v>339503</v>
      </c>
      <c r="J1911" s="30" t="s">
        <v>5431</v>
      </c>
      <c r="K1911" s="30" t="s">
        <v>5500</v>
      </c>
    </row>
    <row r="1912" spans="1:11" x14ac:dyDescent="0.35">
      <c r="A1912" s="30" t="s">
        <v>12858</v>
      </c>
      <c r="B1912" s="30" t="s">
        <v>12859</v>
      </c>
      <c r="C1912" s="32">
        <v>4.4400000000000004</v>
      </c>
      <c r="D1912" s="30">
        <v>-0.2</v>
      </c>
      <c r="E1912" s="31">
        <v>-4.3099999999999999E-2</v>
      </c>
      <c r="F1912" s="30">
        <v>168018258</v>
      </c>
      <c r="G1912" s="30" t="s">
        <v>5515</v>
      </c>
      <c r="H1912" s="30"/>
      <c r="I1912" s="30">
        <v>40735</v>
      </c>
      <c r="J1912" s="30" t="s">
        <v>5457</v>
      </c>
      <c r="K1912" s="30" t="s">
        <v>5634</v>
      </c>
    </row>
    <row r="1913" spans="1:11" x14ac:dyDescent="0.35">
      <c r="A1913" s="30" t="s">
        <v>12860</v>
      </c>
      <c r="B1913" s="30" t="s">
        <v>12861</v>
      </c>
      <c r="C1913" s="32">
        <v>12.75</v>
      </c>
      <c r="D1913" s="30">
        <v>1.42</v>
      </c>
      <c r="E1913" s="31">
        <v>0.12533</v>
      </c>
      <c r="F1913" s="30">
        <v>192865106</v>
      </c>
      <c r="G1913" s="30" t="s">
        <v>5427</v>
      </c>
      <c r="H1913" s="30">
        <v>2021</v>
      </c>
      <c r="I1913" s="30">
        <v>48819</v>
      </c>
      <c r="J1913" s="30" t="s">
        <v>5457</v>
      </c>
      <c r="K1913" s="30" t="s">
        <v>5571</v>
      </c>
    </row>
    <row r="1914" spans="1:11" x14ac:dyDescent="0.35">
      <c r="A1914" s="30" t="s">
        <v>12862</v>
      </c>
      <c r="B1914" s="30" t="s">
        <v>12863</v>
      </c>
      <c r="C1914" s="32">
        <v>398.14</v>
      </c>
      <c r="D1914" s="30">
        <v>12.53</v>
      </c>
      <c r="E1914" s="31">
        <v>3.2489999999999998E-2</v>
      </c>
      <c r="F1914" s="30">
        <v>15547613051</v>
      </c>
      <c r="G1914" s="30" t="s">
        <v>5427</v>
      </c>
      <c r="H1914" s="30">
        <v>1995</v>
      </c>
      <c r="I1914" s="30">
        <v>435233</v>
      </c>
      <c r="J1914" s="30" t="s">
        <v>5457</v>
      </c>
      <c r="K1914" s="30" t="s">
        <v>5644</v>
      </c>
    </row>
    <row r="1915" spans="1:11" x14ac:dyDescent="0.35">
      <c r="A1915" s="30" t="s">
        <v>12864</v>
      </c>
      <c r="B1915" s="30" t="s">
        <v>12865</v>
      </c>
      <c r="C1915" s="32">
        <v>88.96</v>
      </c>
      <c r="D1915" s="30">
        <v>2.87</v>
      </c>
      <c r="E1915" s="31">
        <v>3.3340000000000002E-2</v>
      </c>
      <c r="F1915" s="30">
        <v>5088321626</v>
      </c>
      <c r="G1915" s="30" t="s">
        <v>5427</v>
      </c>
      <c r="H1915" s="30">
        <v>1997</v>
      </c>
      <c r="I1915" s="30">
        <v>420070</v>
      </c>
      <c r="J1915" s="30" t="s">
        <v>5219</v>
      </c>
      <c r="K1915" s="30" t="s">
        <v>5526</v>
      </c>
    </row>
    <row r="1916" spans="1:11" x14ac:dyDescent="0.35">
      <c r="A1916" s="30" t="s">
        <v>12866</v>
      </c>
      <c r="B1916" s="30" t="s">
        <v>12867</v>
      </c>
      <c r="C1916" s="32">
        <v>44.62</v>
      </c>
      <c r="D1916" s="30">
        <v>4.92</v>
      </c>
      <c r="E1916" s="31">
        <v>0.12393</v>
      </c>
      <c r="F1916" s="30">
        <v>528063555</v>
      </c>
      <c r="G1916" s="30" t="s">
        <v>5427</v>
      </c>
      <c r="H1916" s="30"/>
      <c r="I1916" s="30">
        <v>241554</v>
      </c>
      <c r="J1916" s="30" t="s">
        <v>5464</v>
      </c>
      <c r="K1916" s="30" t="s">
        <v>5647</v>
      </c>
    </row>
    <row r="1917" spans="1:11" x14ac:dyDescent="0.35">
      <c r="A1917" s="30" t="s">
        <v>12868</v>
      </c>
      <c r="B1917" s="30" t="s">
        <v>12869</v>
      </c>
      <c r="C1917" s="32">
        <v>2.52</v>
      </c>
      <c r="D1917" s="30">
        <v>0.04</v>
      </c>
      <c r="E1917" s="31">
        <v>1.6129999999999999E-2</v>
      </c>
      <c r="F1917" s="30">
        <v>295973383</v>
      </c>
      <c r="G1917" s="30" t="s">
        <v>5427</v>
      </c>
      <c r="H1917" s="30"/>
      <c r="I1917" s="30">
        <v>790363</v>
      </c>
      <c r="J1917" s="30" t="s">
        <v>5457</v>
      </c>
      <c r="K1917" s="30" t="s">
        <v>5701</v>
      </c>
    </row>
    <row r="1918" spans="1:11" x14ac:dyDescent="0.35">
      <c r="A1918" s="30" t="s">
        <v>12870</v>
      </c>
      <c r="B1918" s="30" t="s">
        <v>12871</v>
      </c>
      <c r="C1918" s="32">
        <v>33.69</v>
      </c>
      <c r="D1918" s="30">
        <v>1.35</v>
      </c>
      <c r="E1918" s="31">
        <v>4.1739999999999999E-2</v>
      </c>
      <c r="F1918" s="30">
        <v>3201283094</v>
      </c>
      <c r="G1918" s="30" t="s">
        <v>5427</v>
      </c>
      <c r="H1918" s="30"/>
      <c r="I1918" s="30">
        <v>645879</v>
      </c>
      <c r="J1918" s="30" t="s">
        <v>5435</v>
      </c>
      <c r="K1918" s="30" t="s">
        <v>5579</v>
      </c>
    </row>
    <row r="1919" spans="1:11" x14ac:dyDescent="0.35">
      <c r="A1919" s="30" t="s">
        <v>12872</v>
      </c>
      <c r="B1919" s="30" t="s">
        <v>12873</v>
      </c>
      <c r="C1919" s="32">
        <v>24.46</v>
      </c>
      <c r="D1919" s="30">
        <v>0.18</v>
      </c>
      <c r="E1919" s="31">
        <v>7.4099999999999999E-3</v>
      </c>
      <c r="F1919" s="30">
        <v>5784040668</v>
      </c>
      <c r="G1919" s="30" t="s">
        <v>5427</v>
      </c>
      <c r="H1919" s="30"/>
      <c r="I1919" s="30">
        <v>986372</v>
      </c>
      <c r="J1919" s="30" t="s">
        <v>5541</v>
      </c>
      <c r="K1919" s="30" t="s">
        <v>5859</v>
      </c>
    </row>
    <row r="1920" spans="1:11" x14ac:dyDescent="0.35">
      <c r="A1920" s="30" t="s">
        <v>12874</v>
      </c>
      <c r="B1920" s="30" t="s">
        <v>12875</v>
      </c>
      <c r="C1920" s="32">
        <v>10.77</v>
      </c>
      <c r="D1920" s="30">
        <v>0.62</v>
      </c>
      <c r="E1920" s="31">
        <v>6.1080000000000002E-2</v>
      </c>
      <c r="F1920" s="30">
        <v>86209564</v>
      </c>
      <c r="G1920" s="30" t="s">
        <v>5427</v>
      </c>
      <c r="H1920" s="30"/>
      <c r="I1920" s="30">
        <v>16849</v>
      </c>
      <c r="J1920" s="30"/>
      <c r="K1920" s="30"/>
    </row>
    <row r="1921" spans="1:11" x14ac:dyDescent="0.35">
      <c r="A1921" s="30" t="s">
        <v>12876</v>
      </c>
      <c r="B1921" s="30" t="s">
        <v>12877</v>
      </c>
      <c r="C1921" s="32">
        <v>3.58</v>
      </c>
      <c r="D1921" s="30">
        <v>0.02</v>
      </c>
      <c r="E1921" s="31">
        <v>5.62E-3</v>
      </c>
      <c r="F1921" s="30">
        <v>225506380</v>
      </c>
      <c r="G1921" s="30" t="s">
        <v>5515</v>
      </c>
      <c r="H1921" s="30"/>
      <c r="I1921" s="30">
        <v>105983</v>
      </c>
      <c r="J1921" s="30"/>
      <c r="K1921" s="30"/>
    </row>
    <row r="1922" spans="1:11" x14ac:dyDescent="0.35">
      <c r="A1922" s="30" t="s">
        <v>12878</v>
      </c>
      <c r="B1922" s="30" t="s">
        <v>12879</v>
      </c>
      <c r="C1922" s="32">
        <v>10.32</v>
      </c>
      <c r="D1922" s="30">
        <v>0.02</v>
      </c>
      <c r="E1922" s="31">
        <v>1.9400000000000001E-3</v>
      </c>
      <c r="F1922" s="30">
        <v>388489950</v>
      </c>
      <c r="G1922" s="30" t="s">
        <v>5427</v>
      </c>
      <c r="H1922" s="30">
        <v>2022</v>
      </c>
      <c r="I1922" s="30">
        <v>7865</v>
      </c>
      <c r="J1922" s="30" t="s">
        <v>5457</v>
      </c>
      <c r="K1922" s="30" t="s">
        <v>5571</v>
      </c>
    </row>
    <row r="1923" spans="1:11" x14ac:dyDescent="0.35">
      <c r="A1923" s="30" t="s">
        <v>12880</v>
      </c>
      <c r="B1923" s="30" t="s">
        <v>12881</v>
      </c>
      <c r="C1923" s="32">
        <v>40.369999999999997</v>
      </c>
      <c r="D1923" s="30">
        <v>0.13</v>
      </c>
      <c r="E1923" s="31">
        <v>3.2299999999999998E-3</v>
      </c>
      <c r="F1923" s="30">
        <v>1573497857</v>
      </c>
      <c r="G1923" s="30" t="s">
        <v>5427</v>
      </c>
      <c r="H1923" s="30">
        <v>2002</v>
      </c>
      <c r="I1923" s="30">
        <v>234382</v>
      </c>
      <c r="J1923" s="30" t="s">
        <v>5435</v>
      </c>
      <c r="K1923" s="30" t="s">
        <v>5856</v>
      </c>
    </row>
    <row r="1924" spans="1:11" x14ac:dyDescent="0.35">
      <c r="A1924" s="30" t="s">
        <v>12882</v>
      </c>
      <c r="B1924" s="30" t="s">
        <v>12883</v>
      </c>
      <c r="C1924" s="32">
        <v>4.8899999999999997</v>
      </c>
      <c r="D1924" s="30">
        <v>-0.09</v>
      </c>
      <c r="E1924" s="31">
        <v>-1.8069999999999999E-2</v>
      </c>
      <c r="F1924" s="30">
        <v>230409846</v>
      </c>
      <c r="G1924" s="30" t="s">
        <v>5427</v>
      </c>
      <c r="H1924" s="30">
        <v>2020</v>
      </c>
      <c r="I1924" s="30">
        <v>738631</v>
      </c>
      <c r="J1924" s="30" t="s">
        <v>5431</v>
      </c>
      <c r="K1924" s="30" t="s">
        <v>5430</v>
      </c>
    </row>
    <row r="1925" spans="1:11" x14ac:dyDescent="0.35">
      <c r="A1925" s="30" t="s">
        <v>12884</v>
      </c>
      <c r="B1925" s="30" t="s">
        <v>12885</v>
      </c>
      <c r="C1925" s="32">
        <v>3.17</v>
      </c>
      <c r="D1925" s="30">
        <v>0.22</v>
      </c>
      <c r="E1925" s="31">
        <v>7.4579999999999994E-2</v>
      </c>
      <c r="F1925" s="30">
        <v>318757901</v>
      </c>
      <c r="G1925" s="30" t="s">
        <v>5427</v>
      </c>
      <c r="H1925" s="30">
        <v>2020</v>
      </c>
      <c r="I1925" s="30">
        <v>993198</v>
      </c>
      <c r="J1925" s="30" t="s">
        <v>5219</v>
      </c>
      <c r="K1925" s="30" t="s">
        <v>5560</v>
      </c>
    </row>
    <row r="1926" spans="1:11" x14ac:dyDescent="0.35">
      <c r="A1926" s="30" t="s">
        <v>12886</v>
      </c>
      <c r="B1926" s="30" t="s">
        <v>12887</v>
      </c>
      <c r="C1926" s="32">
        <v>39.130000000000003</v>
      </c>
      <c r="D1926" s="30">
        <v>0.24</v>
      </c>
      <c r="E1926" s="31">
        <v>6.1700000000000001E-3</v>
      </c>
      <c r="F1926" s="30">
        <v>1749895439</v>
      </c>
      <c r="G1926" s="30" t="s">
        <v>5427</v>
      </c>
      <c r="H1926" s="30">
        <v>2021</v>
      </c>
      <c r="I1926" s="30">
        <v>169150</v>
      </c>
      <c r="J1926" s="30" t="s">
        <v>5431</v>
      </c>
      <c r="K1926" s="30" t="s">
        <v>5610</v>
      </c>
    </row>
    <row r="1927" spans="1:11" x14ac:dyDescent="0.35">
      <c r="A1927" s="30" t="s">
        <v>5069</v>
      </c>
      <c r="B1927" s="30" t="s">
        <v>12888</v>
      </c>
      <c r="C1927" s="32">
        <v>14.67</v>
      </c>
      <c r="D1927" s="30">
        <v>-0.3</v>
      </c>
      <c r="E1927" s="31">
        <v>-2.0039999999999999E-2</v>
      </c>
      <c r="F1927" s="30">
        <v>985390575</v>
      </c>
      <c r="G1927" s="30" t="s">
        <v>5427</v>
      </c>
      <c r="H1927" s="30"/>
      <c r="I1927" s="30">
        <v>636818</v>
      </c>
      <c r="J1927" s="30" t="s">
        <v>5442</v>
      </c>
      <c r="K1927" s="30" t="s">
        <v>5914</v>
      </c>
    </row>
    <row r="1928" spans="1:11" x14ac:dyDescent="0.35">
      <c r="A1928" s="30" t="s">
        <v>12889</v>
      </c>
      <c r="B1928" s="30" t="s">
        <v>12890</v>
      </c>
      <c r="C1928" s="32">
        <v>2.08</v>
      </c>
      <c r="D1928" s="30">
        <v>0.01</v>
      </c>
      <c r="E1928" s="31">
        <v>4.8300000000000001E-3</v>
      </c>
      <c r="F1928" s="30">
        <v>128407433</v>
      </c>
      <c r="G1928" s="30" t="s">
        <v>5427</v>
      </c>
      <c r="H1928" s="30">
        <v>2021</v>
      </c>
      <c r="I1928" s="30">
        <v>76293</v>
      </c>
      <c r="J1928" s="30" t="s">
        <v>5431</v>
      </c>
      <c r="K1928" s="30" t="s">
        <v>5685</v>
      </c>
    </row>
    <row r="1929" spans="1:11" x14ac:dyDescent="0.35">
      <c r="A1929" s="30" t="s">
        <v>12891</v>
      </c>
      <c r="B1929" s="30" t="s">
        <v>12892</v>
      </c>
      <c r="C1929" s="32">
        <v>1.4950000000000001</v>
      </c>
      <c r="D1929" s="30">
        <v>-4.8999999999999998E-3</v>
      </c>
      <c r="E1929" s="31">
        <v>-3.2699999999999999E-3</v>
      </c>
      <c r="F1929" s="30">
        <v>177654692</v>
      </c>
      <c r="G1929" s="30" t="s">
        <v>6387</v>
      </c>
      <c r="H1929" s="30"/>
      <c r="I1929" s="30">
        <v>135947</v>
      </c>
      <c r="J1929" s="30" t="s">
        <v>5457</v>
      </c>
      <c r="K1929" s="30" t="s">
        <v>5921</v>
      </c>
    </row>
    <row r="1930" spans="1:11" x14ac:dyDescent="0.35">
      <c r="A1930" s="30" t="s">
        <v>12893</v>
      </c>
      <c r="B1930" s="30" t="s">
        <v>12894</v>
      </c>
      <c r="C1930" s="32">
        <v>77.48</v>
      </c>
      <c r="D1930" s="30">
        <v>3.34</v>
      </c>
      <c r="E1930" s="31">
        <v>4.505E-2</v>
      </c>
      <c r="F1930" s="30">
        <v>2683011841</v>
      </c>
      <c r="G1930" s="30" t="s">
        <v>5427</v>
      </c>
      <c r="H1930" s="30">
        <v>1999</v>
      </c>
      <c r="I1930" s="30">
        <v>156750</v>
      </c>
      <c r="J1930" s="30" t="s">
        <v>5219</v>
      </c>
      <c r="K1930" s="30" t="s">
        <v>5447</v>
      </c>
    </row>
    <row r="1931" spans="1:11" x14ac:dyDescent="0.35">
      <c r="A1931" s="30" t="s">
        <v>12895</v>
      </c>
      <c r="B1931" s="30" t="s">
        <v>12896</v>
      </c>
      <c r="C1931" s="32">
        <v>54.87</v>
      </c>
      <c r="D1931" s="30">
        <v>1.83</v>
      </c>
      <c r="E1931" s="31">
        <v>3.4500000000000003E-2</v>
      </c>
      <c r="F1931" s="30">
        <v>2378355898</v>
      </c>
      <c r="G1931" s="30" t="s">
        <v>5427</v>
      </c>
      <c r="H1931" s="30">
        <v>1991</v>
      </c>
      <c r="I1931" s="30">
        <v>417484</v>
      </c>
      <c r="J1931" s="30" t="s">
        <v>5219</v>
      </c>
      <c r="K1931" s="30" t="s">
        <v>5560</v>
      </c>
    </row>
    <row r="1932" spans="1:11" x14ac:dyDescent="0.35">
      <c r="A1932" s="30" t="s">
        <v>12897</v>
      </c>
      <c r="B1932" s="30" t="s">
        <v>12898</v>
      </c>
      <c r="C1932" s="32">
        <v>26.48</v>
      </c>
      <c r="D1932" s="30">
        <v>-0.12</v>
      </c>
      <c r="E1932" s="31">
        <v>-4.5100000000000001E-3</v>
      </c>
      <c r="F1932" s="30">
        <v>1406382113</v>
      </c>
      <c r="G1932" s="30" t="s">
        <v>5427</v>
      </c>
      <c r="H1932" s="30"/>
      <c r="I1932" s="30">
        <v>268948</v>
      </c>
      <c r="J1932" s="30" t="s">
        <v>5457</v>
      </c>
      <c r="K1932" s="30" t="s">
        <v>6933</v>
      </c>
    </row>
    <row r="1933" spans="1:11" x14ac:dyDescent="0.35">
      <c r="A1933" s="30" t="s">
        <v>12899</v>
      </c>
      <c r="B1933" s="30" t="s">
        <v>12900</v>
      </c>
      <c r="C1933" s="32">
        <v>6.59</v>
      </c>
      <c r="D1933" s="30">
        <v>0.21</v>
      </c>
      <c r="E1933" s="31">
        <v>3.2919999999999998E-2</v>
      </c>
      <c r="F1933" s="30">
        <v>315396168</v>
      </c>
      <c r="G1933" s="30" t="s">
        <v>5427</v>
      </c>
      <c r="H1933" s="30">
        <v>2020</v>
      </c>
      <c r="I1933" s="30">
        <v>52508</v>
      </c>
      <c r="J1933" s="30" t="s">
        <v>5431</v>
      </c>
      <c r="K1933" s="30" t="s">
        <v>5685</v>
      </c>
    </row>
    <row r="1934" spans="1:11" x14ac:dyDescent="0.35">
      <c r="A1934" s="30" t="s">
        <v>12901</v>
      </c>
      <c r="B1934" s="30" t="s">
        <v>12902</v>
      </c>
      <c r="C1934" s="32">
        <v>10.33</v>
      </c>
      <c r="D1934" s="30">
        <v>-0.01</v>
      </c>
      <c r="E1934" s="31">
        <v>-9.7000000000000005E-4</v>
      </c>
      <c r="F1934" s="30">
        <v>258250000</v>
      </c>
      <c r="G1934" s="30" t="s">
        <v>5427</v>
      </c>
      <c r="H1934" s="30">
        <v>2022</v>
      </c>
      <c r="I1934" s="30">
        <v>4100</v>
      </c>
      <c r="J1934" s="30" t="s">
        <v>5435</v>
      </c>
      <c r="K1934" s="30" t="s">
        <v>5482</v>
      </c>
    </row>
    <row r="1935" spans="1:11" x14ac:dyDescent="0.35">
      <c r="A1935" s="30" t="s">
        <v>12903</v>
      </c>
      <c r="B1935" s="30" t="s">
        <v>12904</v>
      </c>
      <c r="C1935" s="32">
        <v>17.649999999999999</v>
      </c>
      <c r="D1935" s="30">
        <v>7.0000000000000007E-2</v>
      </c>
      <c r="E1935" s="31">
        <v>3.98E-3</v>
      </c>
      <c r="F1935" s="30">
        <v>1715727236</v>
      </c>
      <c r="G1935" s="30" t="s">
        <v>5427</v>
      </c>
      <c r="H1935" s="30">
        <v>2022</v>
      </c>
      <c r="I1935" s="30">
        <v>52039</v>
      </c>
      <c r="J1935" s="30" t="s">
        <v>5431</v>
      </c>
      <c r="K1935" s="30" t="s">
        <v>5685</v>
      </c>
    </row>
    <row r="1936" spans="1:11" x14ac:dyDescent="0.35">
      <c r="A1936" s="30" t="s">
        <v>12905</v>
      </c>
      <c r="B1936" s="30" t="s">
        <v>12906</v>
      </c>
      <c r="C1936" s="32">
        <v>4.42</v>
      </c>
      <c r="D1936" s="30">
        <v>-0.18</v>
      </c>
      <c r="E1936" s="31">
        <v>-3.9129999999999998E-2</v>
      </c>
      <c r="F1936" s="30">
        <v>498682889</v>
      </c>
      <c r="G1936" s="30" t="s">
        <v>5823</v>
      </c>
      <c r="H1936" s="30"/>
      <c r="I1936" s="30">
        <v>32791</v>
      </c>
      <c r="J1936" s="30" t="s">
        <v>5431</v>
      </c>
      <c r="K1936" s="30" t="s">
        <v>5430</v>
      </c>
    </row>
    <row r="1937" spans="1:11" x14ac:dyDescent="0.35">
      <c r="A1937" s="30" t="s">
        <v>12907</v>
      </c>
      <c r="B1937" s="30" t="s">
        <v>12908</v>
      </c>
      <c r="C1937" s="32">
        <v>12.435</v>
      </c>
      <c r="D1937" s="30">
        <v>8.5000000000000006E-2</v>
      </c>
      <c r="E1937" s="31">
        <v>6.8799999999999998E-3</v>
      </c>
      <c r="F1937" s="30">
        <v>259593396</v>
      </c>
      <c r="G1937" s="30" t="s">
        <v>5515</v>
      </c>
      <c r="H1937" s="30"/>
      <c r="I1937" s="30">
        <v>34443</v>
      </c>
      <c r="J1937" s="30"/>
      <c r="K1937" s="30"/>
    </row>
    <row r="1938" spans="1:11" x14ac:dyDescent="0.35">
      <c r="A1938" s="30" t="s">
        <v>12909</v>
      </c>
      <c r="B1938" s="30" t="s">
        <v>12910</v>
      </c>
      <c r="C1938" s="32">
        <v>10.46</v>
      </c>
      <c r="D1938" s="30">
        <v>0.03</v>
      </c>
      <c r="E1938" s="31">
        <v>2.8800000000000002E-3</v>
      </c>
      <c r="F1938" s="30">
        <v>2429483448</v>
      </c>
      <c r="G1938" s="30" t="s">
        <v>5427</v>
      </c>
      <c r="H1938" s="30">
        <v>2021</v>
      </c>
      <c r="I1938" s="30">
        <v>74355</v>
      </c>
      <c r="J1938" s="30" t="s">
        <v>5431</v>
      </c>
      <c r="K1938" s="30" t="s">
        <v>6409</v>
      </c>
    </row>
    <row r="1939" spans="1:11" x14ac:dyDescent="0.35">
      <c r="A1939" s="30" t="s">
        <v>12911</v>
      </c>
      <c r="B1939" s="30" t="s">
        <v>12912</v>
      </c>
      <c r="C1939" s="32">
        <v>14.18</v>
      </c>
      <c r="D1939" s="30">
        <v>-0.03</v>
      </c>
      <c r="E1939" s="31">
        <v>-2.1099999999999999E-3</v>
      </c>
      <c r="F1939" s="30">
        <v>101135589</v>
      </c>
      <c r="G1939" s="30" t="s">
        <v>5427</v>
      </c>
      <c r="H1939" s="30"/>
      <c r="I1939" s="30">
        <v>6403</v>
      </c>
      <c r="J1939" s="30" t="s">
        <v>5435</v>
      </c>
      <c r="K1939" s="30" t="s">
        <v>6556</v>
      </c>
    </row>
    <row r="1940" spans="1:11" x14ac:dyDescent="0.35">
      <c r="A1940" s="30" t="s">
        <v>12913</v>
      </c>
      <c r="B1940" s="30" t="s">
        <v>12914</v>
      </c>
      <c r="C1940" s="32">
        <v>8</v>
      </c>
      <c r="D1940" s="30">
        <v>-0.18</v>
      </c>
      <c r="E1940" s="31">
        <v>-2.1999999999999999E-2</v>
      </c>
      <c r="F1940" s="30">
        <v>134861944</v>
      </c>
      <c r="G1940" s="30" t="s">
        <v>5427</v>
      </c>
      <c r="H1940" s="30"/>
      <c r="I1940" s="30">
        <v>55480</v>
      </c>
      <c r="J1940" s="30" t="s">
        <v>5431</v>
      </c>
      <c r="K1940" s="30" t="s">
        <v>5430</v>
      </c>
    </row>
    <row r="1941" spans="1:11" x14ac:dyDescent="0.35">
      <c r="A1941" s="30" t="s">
        <v>12915</v>
      </c>
      <c r="B1941" s="30" t="s">
        <v>12916</v>
      </c>
      <c r="C1941" s="32">
        <v>6.19</v>
      </c>
      <c r="D1941" s="30">
        <v>0.39</v>
      </c>
      <c r="E1941" s="31">
        <v>6.7239999999999994E-2</v>
      </c>
      <c r="F1941" s="30">
        <v>565705449</v>
      </c>
      <c r="G1941" s="30" t="s">
        <v>5427</v>
      </c>
      <c r="H1941" s="30">
        <v>2015</v>
      </c>
      <c r="I1941" s="30">
        <v>1302066</v>
      </c>
      <c r="J1941" s="30" t="s">
        <v>5442</v>
      </c>
      <c r="K1941" s="30" t="s">
        <v>5894</v>
      </c>
    </row>
    <row r="1942" spans="1:11" x14ac:dyDescent="0.35">
      <c r="A1942" s="30" t="s">
        <v>12917</v>
      </c>
      <c r="B1942" s="30" t="s">
        <v>12918</v>
      </c>
      <c r="C1942" s="32">
        <v>2.85</v>
      </c>
      <c r="D1942" s="30">
        <v>0.09</v>
      </c>
      <c r="E1942" s="31">
        <v>3.261E-2</v>
      </c>
      <c r="F1942" s="30">
        <v>203588678</v>
      </c>
      <c r="G1942" s="30" t="s">
        <v>6073</v>
      </c>
      <c r="H1942" s="30">
        <v>2014</v>
      </c>
      <c r="I1942" s="30">
        <v>503333</v>
      </c>
      <c r="J1942" s="30" t="s">
        <v>5431</v>
      </c>
      <c r="K1942" s="30" t="s">
        <v>5430</v>
      </c>
    </row>
    <row r="1943" spans="1:11" x14ac:dyDescent="0.35">
      <c r="A1943" s="30" t="s">
        <v>12919</v>
      </c>
      <c r="B1943" s="30" t="s">
        <v>12920</v>
      </c>
      <c r="C1943" s="32">
        <v>10.16</v>
      </c>
      <c r="D1943" s="30">
        <v>0.01</v>
      </c>
      <c r="E1943" s="31">
        <v>9.8999999999999999E-4</v>
      </c>
      <c r="F1943" s="30">
        <v>104841609</v>
      </c>
      <c r="G1943" s="30" t="s">
        <v>5427</v>
      </c>
      <c r="H1943" s="30">
        <v>2021</v>
      </c>
      <c r="I1943" s="30">
        <v>4059</v>
      </c>
      <c r="J1943" s="30" t="s">
        <v>5435</v>
      </c>
      <c r="K1943" s="30" t="s">
        <v>5482</v>
      </c>
    </row>
    <row r="1944" spans="1:11" x14ac:dyDescent="0.35">
      <c r="A1944" s="30" t="s">
        <v>12921</v>
      </c>
      <c r="B1944" s="30" t="s">
        <v>12922</v>
      </c>
      <c r="C1944" s="32">
        <v>3.41</v>
      </c>
      <c r="D1944" s="30">
        <v>0.11</v>
      </c>
      <c r="E1944" s="31">
        <v>3.3329999999999999E-2</v>
      </c>
      <c r="F1944" s="30">
        <v>174281451</v>
      </c>
      <c r="G1944" s="30" t="s">
        <v>5427</v>
      </c>
      <c r="H1944" s="30">
        <v>2021</v>
      </c>
      <c r="I1944" s="30">
        <v>44770</v>
      </c>
      <c r="J1944" s="30" t="s">
        <v>5219</v>
      </c>
      <c r="K1944" s="30" t="s">
        <v>5447</v>
      </c>
    </row>
    <row r="1945" spans="1:11" x14ac:dyDescent="0.35">
      <c r="A1945" s="30" t="s">
        <v>12923</v>
      </c>
      <c r="B1945" s="30" t="s">
        <v>12924</v>
      </c>
      <c r="C1945" s="32">
        <v>53.67</v>
      </c>
      <c r="D1945" s="30">
        <v>-2.88</v>
      </c>
      <c r="E1945" s="31">
        <v>-5.0930000000000003E-2</v>
      </c>
      <c r="F1945" s="30">
        <v>2770797797</v>
      </c>
      <c r="G1945" s="30" t="s">
        <v>5427</v>
      </c>
      <c r="H1945" s="30"/>
      <c r="I1945" s="30">
        <v>560342</v>
      </c>
      <c r="J1945" s="30" t="s">
        <v>5431</v>
      </c>
      <c r="K1945" s="30" t="s">
        <v>5430</v>
      </c>
    </row>
    <row r="1946" spans="1:11" x14ac:dyDescent="0.35">
      <c r="A1946" s="30" t="s">
        <v>12925</v>
      </c>
      <c r="B1946" s="30" t="s">
        <v>12926</v>
      </c>
      <c r="C1946" s="32">
        <v>32.99</v>
      </c>
      <c r="D1946" s="30">
        <v>1.19</v>
      </c>
      <c r="E1946" s="31">
        <v>3.7420000000000002E-2</v>
      </c>
      <c r="F1946" s="30">
        <v>919929581</v>
      </c>
      <c r="G1946" s="30" t="s">
        <v>5427</v>
      </c>
      <c r="H1946" s="30"/>
      <c r="I1946" s="30">
        <v>1595</v>
      </c>
      <c r="J1946" s="30" t="s">
        <v>5435</v>
      </c>
      <c r="K1946" s="30" t="s">
        <v>5434</v>
      </c>
    </row>
    <row r="1947" spans="1:11" x14ac:dyDescent="0.35">
      <c r="A1947" s="30" t="s">
        <v>12927</v>
      </c>
      <c r="B1947" s="30" t="s">
        <v>12928</v>
      </c>
      <c r="C1947" s="32">
        <v>5.0599999999999996</v>
      </c>
      <c r="D1947" s="30">
        <v>-0.09</v>
      </c>
      <c r="E1947" s="31">
        <v>-1.7479999999999999E-2</v>
      </c>
      <c r="F1947" s="30">
        <v>86350818</v>
      </c>
      <c r="G1947" s="30" t="s">
        <v>5515</v>
      </c>
      <c r="H1947" s="30"/>
      <c r="I1947" s="30">
        <v>20352</v>
      </c>
      <c r="J1947" s="30" t="s">
        <v>5431</v>
      </c>
      <c r="K1947" s="30" t="s">
        <v>6409</v>
      </c>
    </row>
    <row r="1948" spans="1:11" x14ac:dyDescent="0.35">
      <c r="A1948" s="30" t="s">
        <v>12929</v>
      </c>
      <c r="B1948" s="30" t="s">
        <v>12930</v>
      </c>
      <c r="C1948" s="32">
        <v>5.25</v>
      </c>
      <c r="D1948" s="30">
        <v>0.44</v>
      </c>
      <c r="E1948" s="31">
        <v>9.1480000000000006E-2</v>
      </c>
      <c r="F1948" s="30">
        <v>399012432</v>
      </c>
      <c r="G1948" s="30" t="s">
        <v>5427</v>
      </c>
      <c r="H1948" s="30">
        <v>2016</v>
      </c>
      <c r="I1948" s="30">
        <v>43981</v>
      </c>
      <c r="J1948" s="30" t="s">
        <v>5219</v>
      </c>
      <c r="K1948" s="30" t="s">
        <v>5447</v>
      </c>
    </row>
    <row r="1949" spans="1:11" x14ac:dyDescent="0.35">
      <c r="A1949" s="30" t="s">
        <v>12931</v>
      </c>
      <c r="B1949" s="30" t="s">
        <v>12932</v>
      </c>
      <c r="C1949" s="32">
        <v>2.14</v>
      </c>
      <c r="D1949" s="30">
        <v>-0.03</v>
      </c>
      <c r="E1949" s="31">
        <v>-1.3820000000000001E-2</v>
      </c>
      <c r="F1949" s="30">
        <v>118875857</v>
      </c>
      <c r="G1949" s="30" t="s">
        <v>5427</v>
      </c>
      <c r="H1949" s="30"/>
      <c r="I1949" s="30">
        <v>195409</v>
      </c>
      <c r="J1949" s="30" t="s">
        <v>5431</v>
      </c>
      <c r="K1949" s="30" t="s">
        <v>5430</v>
      </c>
    </row>
    <row r="1950" spans="1:11" x14ac:dyDescent="0.35">
      <c r="A1950" s="30" t="s">
        <v>12933</v>
      </c>
      <c r="B1950" s="30" t="s">
        <v>12934</v>
      </c>
      <c r="C1950" s="32">
        <v>7</v>
      </c>
      <c r="D1950" s="30">
        <v>0.18</v>
      </c>
      <c r="E1950" s="31">
        <v>2.639E-2</v>
      </c>
      <c r="F1950" s="30">
        <v>381916500</v>
      </c>
      <c r="G1950" s="30" t="s">
        <v>5427</v>
      </c>
      <c r="H1950" s="30">
        <v>2007</v>
      </c>
      <c r="I1950" s="30">
        <v>611929</v>
      </c>
      <c r="J1950" s="30" t="s">
        <v>5442</v>
      </c>
      <c r="K1950" s="30" t="s">
        <v>9027</v>
      </c>
    </row>
    <row r="1951" spans="1:11" x14ac:dyDescent="0.35">
      <c r="A1951" s="30" t="s">
        <v>12935</v>
      </c>
      <c r="B1951" s="30" t="s">
        <v>12936</v>
      </c>
      <c r="C1951" s="32">
        <v>27.61</v>
      </c>
      <c r="D1951" s="30">
        <v>0.56999999999999995</v>
      </c>
      <c r="E1951" s="31">
        <v>2.1080000000000002E-2</v>
      </c>
      <c r="F1951" s="30">
        <v>3155782855</v>
      </c>
      <c r="G1951" s="30" t="s">
        <v>5427</v>
      </c>
      <c r="H1951" s="30">
        <v>2021</v>
      </c>
      <c r="I1951" s="30">
        <v>848202</v>
      </c>
      <c r="J1951" s="30" t="s">
        <v>5219</v>
      </c>
      <c r="K1951" s="30" t="s">
        <v>5812</v>
      </c>
    </row>
    <row r="1952" spans="1:11" x14ac:dyDescent="0.35">
      <c r="A1952" s="30" t="s">
        <v>12937</v>
      </c>
      <c r="B1952" s="30" t="s">
        <v>12938</v>
      </c>
      <c r="C1952" s="32">
        <v>8.59</v>
      </c>
      <c r="D1952" s="30">
        <v>-7.0000000000000007E-2</v>
      </c>
      <c r="E1952" s="31">
        <v>-8.0800000000000004E-3</v>
      </c>
      <c r="F1952" s="30">
        <v>748967830</v>
      </c>
      <c r="G1952" s="30" t="s">
        <v>5427</v>
      </c>
      <c r="H1952" s="30">
        <v>2018</v>
      </c>
      <c r="I1952" s="30">
        <v>1060750</v>
      </c>
      <c r="J1952" s="30" t="s">
        <v>5431</v>
      </c>
      <c r="K1952" s="30" t="s">
        <v>5430</v>
      </c>
    </row>
    <row r="1953" spans="1:11" x14ac:dyDescent="0.35">
      <c r="A1953" s="30" t="s">
        <v>12939</v>
      </c>
      <c r="B1953" s="30" t="s">
        <v>12940</v>
      </c>
      <c r="C1953" s="32">
        <v>7.57</v>
      </c>
      <c r="D1953" s="30">
        <v>7.0000000000000007E-2</v>
      </c>
      <c r="E1953" s="31">
        <v>9.3299999999999998E-3</v>
      </c>
      <c r="F1953" s="30">
        <v>3010002128</v>
      </c>
      <c r="G1953" s="30" t="s">
        <v>5427</v>
      </c>
      <c r="H1953" s="30">
        <v>2004</v>
      </c>
      <c r="I1953" s="30">
        <v>1263508</v>
      </c>
      <c r="J1953" s="30" t="s">
        <v>5435</v>
      </c>
      <c r="K1953" s="30" t="s">
        <v>5985</v>
      </c>
    </row>
    <row r="1954" spans="1:11" x14ac:dyDescent="0.35">
      <c r="A1954" s="30" t="s">
        <v>12941</v>
      </c>
      <c r="B1954" s="30" t="s">
        <v>12942</v>
      </c>
      <c r="C1954" s="32">
        <v>74.87</v>
      </c>
      <c r="D1954" s="30">
        <v>0.56000000000000005</v>
      </c>
      <c r="E1954" s="31">
        <v>7.5399999999999998E-3</v>
      </c>
      <c r="F1954" s="30">
        <v>2324782156</v>
      </c>
      <c r="G1954" s="30" t="s">
        <v>5427</v>
      </c>
      <c r="H1954" s="30"/>
      <c r="I1954" s="30">
        <v>91478</v>
      </c>
      <c r="J1954" s="30" t="s">
        <v>5442</v>
      </c>
      <c r="K1954" s="30" t="s">
        <v>5534</v>
      </c>
    </row>
    <row r="1955" spans="1:11" x14ac:dyDescent="0.35">
      <c r="A1955" s="30" t="s">
        <v>12943</v>
      </c>
      <c r="B1955" s="30" t="s">
        <v>12944</v>
      </c>
      <c r="C1955" s="32">
        <v>2.52</v>
      </c>
      <c r="D1955" s="30">
        <v>0.17</v>
      </c>
      <c r="E1955" s="31">
        <v>7.2340000000000002E-2</v>
      </c>
      <c r="F1955" s="30">
        <v>115847815</v>
      </c>
      <c r="G1955" s="30" t="s">
        <v>5427</v>
      </c>
      <c r="H1955" s="30">
        <v>2019</v>
      </c>
      <c r="I1955" s="30">
        <v>382526</v>
      </c>
      <c r="J1955" s="30" t="s">
        <v>5431</v>
      </c>
      <c r="K1955" s="30" t="s">
        <v>9105</v>
      </c>
    </row>
    <row r="1956" spans="1:11" x14ac:dyDescent="0.35">
      <c r="A1956" s="30" t="s">
        <v>12945</v>
      </c>
      <c r="B1956" s="30" t="s">
        <v>12946</v>
      </c>
      <c r="C1956" s="32">
        <v>5.72</v>
      </c>
      <c r="D1956" s="30">
        <v>0.12</v>
      </c>
      <c r="E1956" s="31">
        <v>2.1430000000000001E-2</v>
      </c>
      <c r="F1956" s="30">
        <v>12065645289</v>
      </c>
      <c r="G1956" s="30" t="s">
        <v>8891</v>
      </c>
      <c r="H1956" s="30"/>
      <c r="I1956" s="30">
        <v>2182897</v>
      </c>
      <c r="J1956" s="30" t="s">
        <v>5442</v>
      </c>
      <c r="K1956" s="30" t="s">
        <v>5926</v>
      </c>
    </row>
    <row r="1957" spans="1:11" x14ac:dyDescent="0.35">
      <c r="A1957" s="30" t="s">
        <v>12947</v>
      </c>
      <c r="B1957" s="30" t="s">
        <v>12948</v>
      </c>
      <c r="C1957" s="32">
        <v>1.1001000000000001</v>
      </c>
      <c r="D1957" s="30">
        <v>0.04</v>
      </c>
      <c r="E1957" s="31">
        <v>3.773E-2</v>
      </c>
      <c r="F1957" s="30">
        <v>2320527340</v>
      </c>
      <c r="G1957" s="30" t="s">
        <v>8891</v>
      </c>
      <c r="H1957" s="30"/>
      <c r="I1957" s="30">
        <v>116526</v>
      </c>
      <c r="J1957" s="30" t="s">
        <v>5442</v>
      </c>
      <c r="K1957" s="30" t="s">
        <v>5926</v>
      </c>
    </row>
    <row r="1958" spans="1:11" x14ac:dyDescent="0.35">
      <c r="A1958" s="30" t="s">
        <v>12949</v>
      </c>
      <c r="B1958" s="30" t="s">
        <v>12950</v>
      </c>
      <c r="C1958" s="32">
        <v>7</v>
      </c>
      <c r="D1958" s="30">
        <v>0.04</v>
      </c>
      <c r="E1958" s="31">
        <v>5.7499999999999999E-3</v>
      </c>
      <c r="F1958" s="30">
        <v>601645695</v>
      </c>
      <c r="G1958" s="30" t="s">
        <v>5427</v>
      </c>
      <c r="H1958" s="30">
        <v>2020</v>
      </c>
      <c r="I1958" s="30">
        <v>617769</v>
      </c>
      <c r="J1958" s="30" t="s">
        <v>5431</v>
      </c>
      <c r="K1958" s="30" t="s">
        <v>5685</v>
      </c>
    </row>
    <row r="1959" spans="1:11" x14ac:dyDescent="0.35">
      <c r="A1959" s="30" t="s">
        <v>12951</v>
      </c>
      <c r="B1959" s="30" t="s">
        <v>12952</v>
      </c>
      <c r="C1959" s="32">
        <v>138.11000000000001</v>
      </c>
      <c r="D1959" s="30">
        <v>3.23</v>
      </c>
      <c r="E1959" s="31">
        <v>2.3949999999999999E-2</v>
      </c>
      <c r="F1959" s="30">
        <v>16318265789</v>
      </c>
      <c r="G1959" s="30" t="s">
        <v>5427</v>
      </c>
      <c r="H1959" s="30"/>
      <c r="I1959" s="30">
        <v>1093665</v>
      </c>
      <c r="J1959" s="30" t="s">
        <v>5219</v>
      </c>
      <c r="K1959" s="30" t="s">
        <v>5560</v>
      </c>
    </row>
    <row r="1960" spans="1:11" x14ac:dyDescent="0.35">
      <c r="A1960" s="30" t="s">
        <v>12953</v>
      </c>
      <c r="B1960" s="30" t="s">
        <v>12954</v>
      </c>
      <c r="C1960" s="32">
        <v>47.37</v>
      </c>
      <c r="D1960" s="30">
        <v>1.48</v>
      </c>
      <c r="E1960" s="31">
        <v>3.2250000000000001E-2</v>
      </c>
      <c r="F1960" s="30">
        <v>3456936312</v>
      </c>
      <c r="G1960" s="30" t="s">
        <v>5427</v>
      </c>
      <c r="H1960" s="30">
        <v>2013</v>
      </c>
      <c r="I1960" s="30">
        <v>567228</v>
      </c>
      <c r="J1960" s="30" t="s">
        <v>5431</v>
      </c>
      <c r="K1960" s="30" t="s">
        <v>5430</v>
      </c>
    </row>
    <row r="1961" spans="1:11" x14ac:dyDescent="0.35">
      <c r="A1961" s="30" t="s">
        <v>12955</v>
      </c>
      <c r="B1961" s="30" t="s">
        <v>12956</v>
      </c>
      <c r="C1961" s="32">
        <v>16.260000000000002</v>
      </c>
      <c r="D1961" s="30">
        <v>-0.54</v>
      </c>
      <c r="E1961" s="31">
        <v>-3.2140000000000002E-2</v>
      </c>
      <c r="F1961" s="30">
        <v>3525521330</v>
      </c>
      <c r="G1961" s="30" t="s">
        <v>5427</v>
      </c>
      <c r="H1961" s="30">
        <v>1993</v>
      </c>
      <c r="I1961" s="30">
        <v>3609164</v>
      </c>
      <c r="J1961" s="30" t="s">
        <v>5464</v>
      </c>
      <c r="K1961" s="30" t="s">
        <v>5463</v>
      </c>
    </row>
    <row r="1962" spans="1:11" x14ac:dyDescent="0.35">
      <c r="A1962" s="30" t="s">
        <v>12957</v>
      </c>
      <c r="B1962" s="30" t="s">
        <v>12958</v>
      </c>
      <c r="C1962" s="32">
        <v>14.06</v>
      </c>
      <c r="D1962" s="30">
        <v>0.77</v>
      </c>
      <c r="E1962" s="31">
        <v>5.7939999999999998E-2</v>
      </c>
      <c r="F1962" s="30">
        <v>691729659</v>
      </c>
      <c r="G1962" s="30" t="s">
        <v>5427</v>
      </c>
      <c r="H1962" s="30">
        <v>2016</v>
      </c>
      <c r="I1962" s="30">
        <v>1067000</v>
      </c>
      <c r="J1962" s="30" t="s">
        <v>5431</v>
      </c>
      <c r="K1962" s="30" t="s">
        <v>5430</v>
      </c>
    </row>
    <row r="1963" spans="1:11" x14ac:dyDescent="0.35">
      <c r="A1963" s="30" t="s">
        <v>12959</v>
      </c>
      <c r="B1963" s="30" t="s">
        <v>12960</v>
      </c>
      <c r="C1963" s="32">
        <v>22.6</v>
      </c>
      <c r="D1963" s="30">
        <v>0.04</v>
      </c>
      <c r="E1963" s="31">
        <v>1.7700000000000001E-3</v>
      </c>
      <c r="F1963" s="30">
        <v>1091640975</v>
      </c>
      <c r="G1963" s="30" t="s">
        <v>5427</v>
      </c>
      <c r="H1963" s="30">
        <v>2021</v>
      </c>
      <c r="I1963" s="30">
        <v>554244</v>
      </c>
      <c r="J1963" s="30" t="s">
        <v>5442</v>
      </c>
      <c r="K1963" s="30" t="s">
        <v>5441</v>
      </c>
    </row>
    <row r="1964" spans="1:11" x14ac:dyDescent="0.35">
      <c r="A1964" s="30" t="s">
        <v>12961</v>
      </c>
      <c r="B1964" s="30" t="s">
        <v>12962</v>
      </c>
      <c r="C1964" s="32">
        <v>22.42</v>
      </c>
      <c r="D1964" s="30">
        <v>-0.03</v>
      </c>
      <c r="E1964" s="31">
        <v>-1.34E-3</v>
      </c>
      <c r="F1964" s="30">
        <v>215431829</v>
      </c>
      <c r="G1964" s="30" t="s">
        <v>5427</v>
      </c>
      <c r="H1964" s="30">
        <v>2006</v>
      </c>
      <c r="I1964" s="30">
        <v>11951</v>
      </c>
      <c r="J1964" s="30" t="s">
        <v>5435</v>
      </c>
      <c r="K1964" s="30" t="s">
        <v>5985</v>
      </c>
    </row>
    <row r="1965" spans="1:11" x14ac:dyDescent="0.35">
      <c r="A1965" s="30" t="s">
        <v>12963</v>
      </c>
      <c r="B1965" s="30" t="s">
        <v>12964</v>
      </c>
      <c r="C1965" s="32">
        <v>10.1</v>
      </c>
      <c r="D1965" s="30">
        <v>-0.01</v>
      </c>
      <c r="E1965" s="31">
        <v>-9.8999999999999999E-4</v>
      </c>
      <c r="F1965" s="30">
        <v>435562500</v>
      </c>
      <c r="G1965" s="30" t="s">
        <v>5427</v>
      </c>
      <c r="H1965" s="30">
        <v>2021</v>
      </c>
      <c r="I1965" s="30">
        <v>1210102</v>
      </c>
      <c r="J1965" s="30" t="s">
        <v>5457</v>
      </c>
      <c r="K1965" s="30" t="s">
        <v>5571</v>
      </c>
    </row>
    <row r="1966" spans="1:11" x14ac:dyDescent="0.35">
      <c r="A1966" s="30" t="s">
        <v>12965</v>
      </c>
      <c r="B1966" s="30" t="s">
        <v>12966</v>
      </c>
      <c r="C1966" s="32">
        <v>16.36</v>
      </c>
      <c r="D1966" s="30">
        <v>3.43</v>
      </c>
      <c r="E1966" s="31">
        <v>0.26527000000000001</v>
      </c>
      <c r="F1966" s="30">
        <v>5563282148</v>
      </c>
      <c r="G1966" s="30" t="s">
        <v>5427</v>
      </c>
      <c r="H1966" s="30">
        <v>2019</v>
      </c>
      <c r="I1966" s="30">
        <v>79211820</v>
      </c>
      <c r="J1966" s="30" t="s">
        <v>5442</v>
      </c>
      <c r="K1966" s="30" t="s">
        <v>5914</v>
      </c>
    </row>
    <row r="1967" spans="1:11" x14ac:dyDescent="0.35">
      <c r="A1967" s="30" t="s">
        <v>12967</v>
      </c>
      <c r="B1967" s="30" t="s">
        <v>12968</v>
      </c>
      <c r="C1967" s="32">
        <v>5.07</v>
      </c>
      <c r="D1967" s="30">
        <v>-0.03</v>
      </c>
      <c r="E1967" s="31">
        <v>-5.8799999999999998E-3</v>
      </c>
      <c r="F1967" s="30">
        <v>1143532193</v>
      </c>
      <c r="G1967" s="30" t="s">
        <v>5427</v>
      </c>
      <c r="H1967" s="30">
        <v>2020</v>
      </c>
      <c r="I1967" s="30">
        <v>1179518</v>
      </c>
      <c r="J1967" s="30" t="s">
        <v>5442</v>
      </c>
      <c r="K1967" s="30" t="s">
        <v>5926</v>
      </c>
    </row>
    <row r="1968" spans="1:11" x14ac:dyDescent="0.35">
      <c r="A1968" s="30" t="s">
        <v>12969</v>
      </c>
      <c r="B1968" s="30" t="s">
        <v>12970</v>
      </c>
      <c r="C1968" s="32">
        <v>9.01</v>
      </c>
      <c r="D1968" s="30">
        <v>-0.02</v>
      </c>
      <c r="E1968" s="31">
        <v>-2.2100000000000002E-3</v>
      </c>
      <c r="F1968" s="30">
        <v>161834908</v>
      </c>
      <c r="G1968" s="30" t="s">
        <v>5427</v>
      </c>
      <c r="H1968" s="30"/>
      <c r="I1968" s="30">
        <v>7049</v>
      </c>
      <c r="J1968" s="30" t="s">
        <v>5435</v>
      </c>
      <c r="K1968" s="30" t="s">
        <v>5579</v>
      </c>
    </row>
    <row r="1969" spans="1:11" x14ac:dyDescent="0.35">
      <c r="A1969" s="30" t="s">
        <v>12971</v>
      </c>
      <c r="B1969" s="30" t="s">
        <v>12972</v>
      </c>
      <c r="C1969" s="32">
        <v>29.54</v>
      </c>
      <c r="D1969" s="30">
        <v>0.59</v>
      </c>
      <c r="E1969" s="31">
        <v>2.0379999999999999E-2</v>
      </c>
      <c r="F1969" s="30">
        <v>655405841</v>
      </c>
      <c r="G1969" s="30" t="s">
        <v>5427</v>
      </c>
      <c r="H1969" s="30">
        <v>1986</v>
      </c>
      <c r="I1969" s="30">
        <v>60943</v>
      </c>
      <c r="J1969" s="30" t="s">
        <v>5457</v>
      </c>
      <c r="K1969" s="30" t="s">
        <v>5725</v>
      </c>
    </row>
    <row r="1970" spans="1:11" x14ac:dyDescent="0.35">
      <c r="A1970" s="30" t="s">
        <v>12973</v>
      </c>
      <c r="B1970" s="30" t="s">
        <v>12974</v>
      </c>
      <c r="C1970" s="32">
        <v>11.27</v>
      </c>
      <c r="D1970" s="30">
        <v>-0.24</v>
      </c>
      <c r="E1970" s="31">
        <v>-2.085E-2</v>
      </c>
      <c r="F1970" s="30">
        <v>2003840509</v>
      </c>
      <c r="G1970" s="30" t="s">
        <v>5427</v>
      </c>
      <c r="H1970" s="30">
        <v>2020</v>
      </c>
      <c r="I1970" s="30">
        <v>179139</v>
      </c>
      <c r="J1970" s="30" t="s">
        <v>5442</v>
      </c>
      <c r="K1970" s="30" t="s">
        <v>6129</v>
      </c>
    </row>
    <row r="1971" spans="1:11" x14ac:dyDescent="0.35">
      <c r="A1971" s="30" t="s">
        <v>12975</v>
      </c>
      <c r="B1971" s="30" t="s">
        <v>12976</v>
      </c>
      <c r="C1971" s="32">
        <v>10.3</v>
      </c>
      <c r="D1971" s="30">
        <v>5.0000000000000001E-3</v>
      </c>
      <c r="E1971" s="31">
        <v>4.8999999999999998E-4</v>
      </c>
      <c r="F1971" s="30">
        <v>155188813</v>
      </c>
      <c r="G1971" s="30" t="s">
        <v>5427</v>
      </c>
      <c r="H1971" s="30">
        <v>2022</v>
      </c>
      <c r="I1971" s="30">
        <v>299757</v>
      </c>
      <c r="J1971" s="30" t="s">
        <v>5457</v>
      </c>
      <c r="K1971" s="30" t="s">
        <v>5571</v>
      </c>
    </row>
    <row r="1972" spans="1:11" x14ac:dyDescent="0.35">
      <c r="A1972" s="30" t="s">
        <v>12977</v>
      </c>
      <c r="B1972" s="30" t="s">
        <v>12978</v>
      </c>
      <c r="C1972" s="32">
        <v>15.51</v>
      </c>
      <c r="D1972" s="30">
        <v>0.18</v>
      </c>
      <c r="E1972" s="31">
        <v>1.174E-2</v>
      </c>
      <c r="F1972" s="30">
        <v>741789077</v>
      </c>
      <c r="G1972" s="30" t="s">
        <v>5427</v>
      </c>
      <c r="H1972" s="30">
        <v>2020</v>
      </c>
      <c r="I1972" s="30">
        <v>367830</v>
      </c>
      <c r="J1972" s="30" t="s">
        <v>5219</v>
      </c>
      <c r="K1972" s="30" t="s">
        <v>5560</v>
      </c>
    </row>
    <row r="1973" spans="1:11" x14ac:dyDescent="0.35">
      <c r="A1973" s="30" t="s">
        <v>12979</v>
      </c>
      <c r="B1973" s="30" t="s">
        <v>12980</v>
      </c>
      <c r="C1973" s="32">
        <v>10.15</v>
      </c>
      <c r="D1973" s="30">
        <v>5.0000000000000001E-3</v>
      </c>
      <c r="E1973" s="31">
        <v>4.8999999999999998E-4</v>
      </c>
      <c r="F1973" s="30">
        <v>336586688</v>
      </c>
      <c r="G1973" s="30" t="s">
        <v>5427</v>
      </c>
      <c r="H1973" s="30">
        <v>2021</v>
      </c>
      <c r="I1973" s="30">
        <v>207299</v>
      </c>
      <c r="J1973" s="30" t="s">
        <v>5457</v>
      </c>
      <c r="K1973" s="30" t="s">
        <v>5571</v>
      </c>
    </row>
    <row r="1974" spans="1:11" x14ac:dyDescent="0.35">
      <c r="A1974" s="30" t="s">
        <v>12981</v>
      </c>
      <c r="B1974" s="30" t="s">
        <v>12982</v>
      </c>
      <c r="C1974" s="32">
        <v>8.91</v>
      </c>
      <c r="D1974" s="30">
        <v>-0.11</v>
      </c>
      <c r="E1974" s="31">
        <v>-1.2200000000000001E-2</v>
      </c>
      <c r="F1974" s="30">
        <v>157437009</v>
      </c>
      <c r="G1974" s="30" t="s">
        <v>5427</v>
      </c>
      <c r="H1974" s="30">
        <v>2015</v>
      </c>
      <c r="I1974" s="30">
        <v>139325</v>
      </c>
      <c r="J1974" s="30" t="s">
        <v>5435</v>
      </c>
      <c r="K1974" s="30" t="s">
        <v>5579</v>
      </c>
    </row>
    <row r="1975" spans="1:11" x14ac:dyDescent="0.35">
      <c r="A1975" s="30" t="s">
        <v>12983</v>
      </c>
      <c r="B1975" s="30" t="s">
        <v>12984</v>
      </c>
      <c r="C1975" s="32">
        <v>2.76</v>
      </c>
      <c r="D1975" s="30">
        <v>-0.1</v>
      </c>
      <c r="E1975" s="31">
        <v>-3.4970000000000001E-2</v>
      </c>
      <c r="F1975" s="30">
        <v>99831786</v>
      </c>
      <c r="G1975" s="30" t="s">
        <v>5427</v>
      </c>
      <c r="H1975" s="30"/>
      <c r="I1975" s="30">
        <v>60472</v>
      </c>
      <c r="J1975" s="30" t="s">
        <v>5732</v>
      </c>
      <c r="K1975" s="30" t="s">
        <v>5520</v>
      </c>
    </row>
    <row r="1976" spans="1:11" x14ac:dyDescent="0.35">
      <c r="A1976" s="30" t="s">
        <v>12985</v>
      </c>
      <c r="B1976" s="30" t="s">
        <v>12986</v>
      </c>
      <c r="C1976" s="32">
        <v>26.86</v>
      </c>
      <c r="D1976" s="30">
        <v>7.0000000000000007E-2</v>
      </c>
      <c r="E1976" s="31">
        <v>2.6099999999999999E-3</v>
      </c>
      <c r="F1976" s="30">
        <v>189529505</v>
      </c>
      <c r="G1976" s="30" t="s">
        <v>5427</v>
      </c>
      <c r="H1976" s="30"/>
      <c r="I1976" s="30">
        <v>4549</v>
      </c>
      <c r="J1976" s="30" t="s">
        <v>5435</v>
      </c>
      <c r="K1976" s="30" t="s">
        <v>5579</v>
      </c>
    </row>
    <row r="1977" spans="1:11" x14ac:dyDescent="0.35">
      <c r="A1977" s="30" t="s">
        <v>12987</v>
      </c>
      <c r="B1977" s="30" t="s">
        <v>12988</v>
      </c>
      <c r="C1977" s="32">
        <v>10.39</v>
      </c>
      <c r="D1977" s="30">
        <v>0.14000000000000001</v>
      </c>
      <c r="E1977" s="31">
        <v>1.366E-2</v>
      </c>
      <c r="F1977" s="30">
        <v>1023421037</v>
      </c>
      <c r="G1977" s="30" t="s">
        <v>5427</v>
      </c>
      <c r="H1977" s="30">
        <v>2020</v>
      </c>
      <c r="I1977" s="30">
        <v>343105</v>
      </c>
      <c r="J1977" s="30" t="s">
        <v>5435</v>
      </c>
      <c r="K1977" s="30" t="s">
        <v>6221</v>
      </c>
    </row>
    <row r="1978" spans="1:11" x14ac:dyDescent="0.35">
      <c r="A1978" s="30" t="s">
        <v>12989</v>
      </c>
      <c r="B1978" s="30" t="s">
        <v>12990</v>
      </c>
      <c r="C1978" s="32">
        <v>10.39</v>
      </c>
      <c r="D1978" s="30">
        <v>-0.01</v>
      </c>
      <c r="E1978" s="31">
        <v>-9.6000000000000002E-4</v>
      </c>
      <c r="F1978" s="30">
        <v>373390625</v>
      </c>
      <c r="G1978" s="30" t="s">
        <v>5427</v>
      </c>
      <c r="H1978" s="30">
        <v>2022</v>
      </c>
      <c r="I1978" s="30">
        <v>3104</v>
      </c>
      <c r="J1978" s="30" t="s">
        <v>5435</v>
      </c>
      <c r="K1978" s="30" t="s">
        <v>5482</v>
      </c>
    </row>
    <row r="1979" spans="1:11" x14ac:dyDescent="0.35">
      <c r="A1979" s="30" t="s">
        <v>12991</v>
      </c>
      <c r="B1979" s="30" t="s">
        <v>12992</v>
      </c>
      <c r="C1979" s="32">
        <v>2.1</v>
      </c>
      <c r="D1979" s="30">
        <v>-0.03</v>
      </c>
      <c r="E1979" s="31">
        <v>-1.4080000000000001E-2</v>
      </c>
      <c r="F1979" s="30">
        <v>115197682</v>
      </c>
      <c r="G1979" s="30" t="s">
        <v>5427</v>
      </c>
      <c r="H1979" s="30">
        <v>2000</v>
      </c>
      <c r="I1979" s="30">
        <v>122416</v>
      </c>
      <c r="J1979" s="30" t="s">
        <v>5219</v>
      </c>
      <c r="K1979" s="30" t="s">
        <v>5526</v>
      </c>
    </row>
    <row r="1980" spans="1:11" x14ac:dyDescent="0.35">
      <c r="A1980" s="30" t="s">
        <v>12993</v>
      </c>
      <c r="B1980" s="30" t="s">
        <v>12994</v>
      </c>
      <c r="C1980" s="32">
        <v>4.8</v>
      </c>
      <c r="D1980" s="30">
        <v>0.12</v>
      </c>
      <c r="E1980" s="31">
        <v>2.564E-2</v>
      </c>
      <c r="F1980" s="30">
        <v>103487448</v>
      </c>
      <c r="G1980" s="30" t="s">
        <v>5911</v>
      </c>
      <c r="H1980" s="30"/>
      <c r="I1980" s="30">
        <v>104315</v>
      </c>
      <c r="J1980" s="30" t="s">
        <v>5442</v>
      </c>
      <c r="K1980" s="30" t="s">
        <v>5910</v>
      </c>
    </row>
    <row r="1981" spans="1:11" x14ac:dyDescent="0.35">
      <c r="A1981" s="30" t="s">
        <v>12995</v>
      </c>
      <c r="B1981" s="30" t="s">
        <v>12996</v>
      </c>
      <c r="C1981" s="32">
        <v>26.12</v>
      </c>
      <c r="D1981" s="30">
        <v>1.01</v>
      </c>
      <c r="E1981" s="31">
        <v>4.0219999999999999E-2</v>
      </c>
      <c r="F1981" s="30">
        <v>4593358563</v>
      </c>
      <c r="G1981" s="30" t="s">
        <v>5427</v>
      </c>
      <c r="H1981" s="30">
        <v>2021</v>
      </c>
      <c r="I1981" s="30">
        <v>576850</v>
      </c>
      <c r="J1981" s="30" t="s">
        <v>5219</v>
      </c>
      <c r="K1981" s="30" t="s">
        <v>5560</v>
      </c>
    </row>
    <row r="1982" spans="1:11" x14ac:dyDescent="0.35">
      <c r="A1982" s="30" t="s">
        <v>12997</v>
      </c>
      <c r="B1982" s="30" t="s">
        <v>12998</v>
      </c>
      <c r="C1982" s="32">
        <v>82.91</v>
      </c>
      <c r="D1982" s="30">
        <v>1.42</v>
      </c>
      <c r="E1982" s="31">
        <v>1.7430000000000001E-2</v>
      </c>
      <c r="F1982" s="30">
        <v>94519699260</v>
      </c>
      <c r="G1982" s="30" t="s">
        <v>5427</v>
      </c>
      <c r="H1982" s="30"/>
      <c r="I1982" s="30">
        <v>13185049</v>
      </c>
      <c r="J1982" s="30" t="s">
        <v>5442</v>
      </c>
      <c r="K1982" s="30" t="s">
        <v>5482</v>
      </c>
    </row>
    <row r="1983" spans="1:11" x14ac:dyDescent="0.35">
      <c r="A1983" s="30" t="s">
        <v>12999</v>
      </c>
      <c r="B1983" s="30" t="s">
        <v>13000</v>
      </c>
      <c r="C1983" s="32">
        <v>1.07</v>
      </c>
      <c r="D1983" s="30">
        <v>-0.01</v>
      </c>
      <c r="E1983" s="31">
        <v>-9.2599999999999991E-3</v>
      </c>
      <c r="F1983" s="30">
        <v>185688223</v>
      </c>
      <c r="G1983" s="30" t="s">
        <v>5515</v>
      </c>
      <c r="H1983" s="30"/>
      <c r="I1983" s="30">
        <v>60895</v>
      </c>
      <c r="J1983" s="30"/>
      <c r="K1983" s="30"/>
    </row>
    <row r="1984" spans="1:11" x14ac:dyDescent="0.35">
      <c r="A1984" s="30" t="s">
        <v>13001</v>
      </c>
      <c r="B1984" s="30" t="s">
        <v>13002</v>
      </c>
      <c r="C1984" s="32">
        <v>1.63</v>
      </c>
      <c r="D1984" s="30">
        <v>7.0000000000000007E-2</v>
      </c>
      <c r="E1984" s="31">
        <v>4.487E-2</v>
      </c>
      <c r="F1984" s="30">
        <v>57208527</v>
      </c>
      <c r="G1984" s="30" t="s">
        <v>5427</v>
      </c>
      <c r="H1984" s="30">
        <v>2021</v>
      </c>
      <c r="I1984" s="30">
        <v>1536225</v>
      </c>
      <c r="J1984" s="30" t="s">
        <v>5431</v>
      </c>
      <c r="K1984" s="30" t="s">
        <v>5430</v>
      </c>
    </row>
    <row r="1985" spans="1:11" x14ac:dyDescent="0.35">
      <c r="A1985" s="30" t="s">
        <v>13003</v>
      </c>
      <c r="B1985" s="30" t="s">
        <v>13004</v>
      </c>
      <c r="C1985" s="32">
        <v>93.55</v>
      </c>
      <c r="D1985" s="30">
        <v>3.86</v>
      </c>
      <c r="E1985" s="31">
        <v>4.3040000000000002E-2</v>
      </c>
      <c r="F1985" s="30">
        <v>3304948713</v>
      </c>
      <c r="G1985" s="30" t="s">
        <v>5427</v>
      </c>
      <c r="H1985" s="30">
        <v>1993</v>
      </c>
      <c r="I1985" s="30">
        <v>907974</v>
      </c>
      <c r="J1985" s="30" t="s">
        <v>5442</v>
      </c>
      <c r="K1985" s="30" t="s">
        <v>5441</v>
      </c>
    </row>
    <row r="1986" spans="1:11" x14ac:dyDescent="0.35">
      <c r="A1986" s="30" t="s">
        <v>13005</v>
      </c>
      <c r="B1986" s="30" t="s">
        <v>13006</v>
      </c>
      <c r="C1986" s="32">
        <v>138.46</v>
      </c>
      <c r="D1986" s="30">
        <v>5.25</v>
      </c>
      <c r="E1986" s="31">
        <v>3.9410000000000001E-2</v>
      </c>
      <c r="F1986" s="30">
        <v>154686427166</v>
      </c>
      <c r="G1986" s="30" t="s">
        <v>5427</v>
      </c>
      <c r="H1986" s="30">
        <v>1991</v>
      </c>
      <c r="I1986" s="30">
        <v>10477818</v>
      </c>
      <c r="J1986" s="30" t="s">
        <v>5219</v>
      </c>
      <c r="K1986" s="30" t="s">
        <v>7345</v>
      </c>
    </row>
    <row r="1987" spans="1:11" x14ac:dyDescent="0.35">
      <c r="A1987" s="30" t="s">
        <v>13007</v>
      </c>
      <c r="B1987" s="30" t="s">
        <v>13008</v>
      </c>
      <c r="C1987" s="32">
        <v>52.96</v>
      </c>
      <c r="D1987" s="30">
        <v>0.4</v>
      </c>
      <c r="E1987" s="31">
        <v>7.6099999999999996E-3</v>
      </c>
      <c r="F1987" s="30">
        <v>889513088</v>
      </c>
      <c r="G1987" s="30" t="s">
        <v>5427</v>
      </c>
      <c r="H1987" s="30"/>
      <c r="I1987" s="30">
        <v>62729</v>
      </c>
      <c r="J1987" s="30" t="s">
        <v>5435</v>
      </c>
      <c r="K1987" s="30" t="s">
        <v>5579</v>
      </c>
    </row>
    <row r="1988" spans="1:11" x14ac:dyDescent="0.35">
      <c r="A1988" s="30" t="s">
        <v>13009</v>
      </c>
      <c r="B1988" s="30" t="s">
        <v>13010</v>
      </c>
      <c r="C1988" s="32">
        <v>88.51</v>
      </c>
      <c r="D1988" s="30">
        <v>2.9</v>
      </c>
      <c r="E1988" s="31">
        <v>3.3869999999999997E-2</v>
      </c>
      <c r="F1988" s="30">
        <v>5845674637</v>
      </c>
      <c r="G1988" s="30" t="s">
        <v>5427</v>
      </c>
      <c r="H1988" s="30"/>
      <c r="I1988" s="30">
        <v>625238</v>
      </c>
      <c r="J1988" s="30" t="s">
        <v>5431</v>
      </c>
      <c r="K1988" s="30" t="s">
        <v>5500</v>
      </c>
    </row>
    <row r="1989" spans="1:11" x14ac:dyDescent="0.35">
      <c r="A1989" s="30" t="s">
        <v>13011</v>
      </c>
      <c r="B1989" s="30" t="s">
        <v>13012</v>
      </c>
      <c r="C1989" s="32">
        <v>5.81</v>
      </c>
      <c r="D1989" s="30">
        <v>0.01</v>
      </c>
      <c r="E1989" s="31">
        <v>1.72E-3</v>
      </c>
      <c r="F1989" s="30">
        <v>204741559</v>
      </c>
      <c r="G1989" s="30" t="s">
        <v>5427</v>
      </c>
      <c r="H1989" s="30"/>
      <c r="I1989" s="30">
        <v>49865</v>
      </c>
      <c r="J1989" s="30"/>
      <c r="K1989" s="30"/>
    </row>
    <row r="1990" spans="1:11" x14ac:dyDescent="0.35">
      <c r="A1990" s="30" t="s">
        <v>13013</v>
      </c>
      <c r="B1990" s="30" t="s">
        <v>13014</v>
      </c>
      <c r="C1990" s="32">
        <v>119.07</v>
      </c>
      <c r="D1990" s="30">
        <v>3.71</v>
      </c>
      <c r="E1990" s="31">
        <v>3.2160000000000001E-2</v>
      </c>
      <c r="F1990" s="30">
        <v>4523234613</v>
      </c>
      <c r="G1990" s="30" t="s">
        <v>5427</v>
      </c>
      <c r="H1990" s="30">
        <v>2012</v>
      </c>
      <c r="I1990" s="30">
        <v>649021</v>
      </c>
      <c r="J1990" s="30" t="s">
        <v>5219</v>
      </c>
      <c r="K1990" s="30" t="s">
        <v>5447</v>
      </c>
    </row>
    <row r="1991" spans="1:11" x14ac:dyDescent="0.35">
      <c r="A1991" s="30" t="s">
        <v>13015</v>
      </c>
      <c r="B1991" s="30" t="s">
        <v>13016</v>
      </c>
      <c r="C1991" s="32">
        <v>1.84</v>
      </c>
      <c r="D1991" s="30">
        <v>0.05</v>
      </c>
      <c r="E1991" s="31">
        <v>2.793E-2</v>
      </c>
      <c r="F1991" s="30">
        <v>191065604</v>
      </c>
      <c r="G1991" s="30" t="s">
        <v>5427</v>
      </c>
      <c r="H1991" s="30"/>
      <c r="I1991" s="30">
        <v>581573</v>
      </c>
      <c r="J1991" s="30" t="s">
        <v>5219</v>
      </c>
      <c r="K1991" s="30" t="s">
        <v>5965</v>
      </c>
    </row>
    <row r="1992" spans="1:11" x14ac:dyDescent="0.35">
      <c r="A1992" s="30" t="s">
        <v>13017</v>
      </c>
      <c r="B1992" s="30" t="s">
        <v>13018</v>
      </c>
      <c r="C1992" s="32">
        <v>15.49</v>
      </c>
      <c r="D1992" s="30">
        <v>0.16</v>
      </c>
      <c r="E1992" s="31">
        <v>1.044E-2</v>
      </c>
      <c r="F1992" s="30">
        <v>830888991</v>
      </c>
      <c r="G1992" s="30" t="s">
        <v>5427</v>
      </c>
      <c r="H1992" s="30">
        <v>2010</v>
      </c>
      <c r="I1992" s="30">
        <v>323905</v>
      </c>
      <c r="J1992" s="30" t="s">
        <v>5442</v>
      </c>
      <c r="K1992" s="30" t="s">
        <v>5856</v>
      </c>
    </row>
    <row r="1993" spans="1:11" x14ac:dyDescent="0.35">
      <c r="A1993" s="30" t="s">
        <v>13019</v>
      </c>
      <c r="B1993" s="30" t="s">
        <v>13020</v>
      </c>
      <c r="C1993" s="32">
        <v>10.16</v>
      </c>
      <c r="D1993" s="30">
        <v>-0.01</v>
      </c>
      <c r="E1993" s="31">
        <v>-9.7999999999999997E-4</v>
      </c>
      <c r="F1993" s="30">
        <v>66930250</v>
      </c>
      <c r="G1993" s="30" t="s">
        <v>5427</v>
      </c>
      <c r="H1993" s="30">
        <v>2022</v>
      </c>
      <c r="I1993" s="30">
        <v>90100</v>
      </c>
      <c r="J1993" s="30" t="s">
        <v>5457</v>
      </c>
      <c r="K1993" s="30" t="s">
        <v>5571</v>
      </c>
    </row>
    <row r="1994" spans="1:11" x14ac:dyDescent="0.35">
      <c r="A1994" s="30" t="s">
        <v>13021</v>
      </c>
      <c r="B1994" s="30" t="s">
        <v>13022</v>
      </c>
      <c r="C1994" s="32">
        <v>23.1</v>
      </c>
      <c r="D1994" s="30">
        <v>0.44</v>
      </c>
      <c r="E1994" s="31">
        <v>1.942E-2</v>
      </c>
      <c r="F1994" s="30">
        <v>1086146777</v>
      </c>
      <c r="G1994" s="30" t="s">
        <v>5427</v>
      </c>
      <c r="H1994" s="30"/>
      <c r="I1994" s="30">
        <v>154201</v>
      </c>
      <c r="J1994" s="30" t="s">
        <v>5435</v>
      </c>
      <c r="K1994" s="30" t="s">
        <v>5563</v>
      </c>
    </row>
    <row r="1995" spans="1:11" x14ac:dyDescent="0.35">
      <c r="A1995" s="30" t="s">
        <v>13023</v>
      </c>
      <c r="B1995" s="30" t="s">
        <v>13024</v>
      </c>
      <c r="C1995" s="32">
        <v>6.95</v>
      </c>
      <c r="D1995" s="30">
        <v>0.05</v>
      </c>
      <c r="E1995" s="31">
        <v>7.2500000000000004E-3</v>
      </c>
      <c r="F1995" s="30">
        <v>137300801</v>
      </c>
      <c r="G1995" s="30" t="s">
        <v>5427</v>
      </c>
      <c r="H1995" s="30"/>
      <c r="I1995" s="30">
        <v>64634</v>
      </c>
      <c r="J1995" s="30" t="s">
        <v>5442</v>
      </c>
      <c r="K1995" s="30" t="s">
        <v>5537</v>
      </c>
    </row>
    <row r="1996" spans="1:11" x14ac:dyDescent="0.35">
      <c r="A1996" s="30" t="s">
        <v>13025</v>
      </c>
      <c r="B1996" s="30" t="s">
        <v>13026</v>
      </c>
      <c r="C1996" s="32">
        <v>2.6</v>
      </c>
      <c r="D1996" s="30">
        <v>0.02</v>
      </c>
      <c r="E1996" s="31">
        <v>7.7499999999999999E-3</v>
      </c>
      <c r="F1996" s="30">
        <v>993750264</v>
      </c>
      <c r="G1996" s="30" t="s">
        <v>5427</v>
      </c>
      <c r="H1996" s="30"/>
      <c r="I1996" s="30">
        <v>29686531</v>
      </c>
      <c r="J1996" s="30" t="s">
        <v>5442</v>
      </c>
      <c r="K1996" s="30" t="s">
        <v>5618</v>
      </c>
    </row>
    <row r="1997" spans="1:11" x14ac:dyDescent="0.35">
      <c r="A1997" s="30" t="s">
        <v>13027</v>
      </c>
      <c r="B1997" s="30" t="s">
        <v>13028</v>
      </c>
      <c r="C1997" s="32">
        <v>5.48</v>
      </c>
      <c r="D1997" s="30">
        <v>5.74E-2</v>
      </c>
      <c r="E1997" s="31">
        <v>1.059E-2</v>
      </c>
      <c r="F1997" s="30">
        <v>2094519787</v>
      </c>
      <c r="G1997" s="30" t="s">
        <v>5427</v>
      </c>
      <c r="H1997" s="30"/>
      <c r="I1997" s="30">
        <v>16682</v>
      </c>
      <c r="J1997" s="30" t="s">
        <v>5442</v>
      </c>
      <c r="K1997" s="30" t="s">
        <v>5618</v>
      </c>
    </row>
    <row r="1998" spans="1:11" x14ac:dyDescent="0.35">
      <c r="A1998" s="30" t="s">
        <v>13029</v>
      </c>
      <c r="B1998" s="30" t="s">
        <v>13030</v>
      </c>
      <c r="C1998" s="32">
        <v>113.53</v>
      </c>
      <c r="D1998" s="30">
        <v>4.87</v>
      </c>
      <c r="E1998" s="31">
        <v>4.4819999999999999E-2</v>
      </c>
      <c r="F1998" s="30">
        <v>11510746870</v>
      </c>
      <c r="G1998" s="30" t="s">
        <v>5427</v>
      </c>
      <c r="H1998" s="30"/>
      <c r="I1998" s="30">
        <v>3158491</v>
      </c>
      <c r="J1998" s="30" t="s">
        <v>5457</v>
      </c>
      <c r="K1998" s="30" t="s">
        <v>5644</v>
      </c>
    </row>
    <row r="1999" spans="1:11" x14ac:dyDescent="0.35">
      <c r="A1999" s="30" t="s">
        <v>13031</v>
      </c>
      <c r="B1999" s="30" t="s">
        <v>13032</v>
      </c>
      <c r="C1999" s="32">
        <v>2.17</v>
      </c>
      <c r="D1999" s="30">
        <v>-0.05</v>
      </c>
      <c r="E1999" s="31">
        <v>-2.2519999999999998E-2</v>
      </c>
      <c r="F1999" s="30">
        <v>303407219</v>
      </c>
      <c r="G1999" s="30" t="s">
        <v>5427</v>
      </c>
      <c r="H1999" s="30">
        <v>2020</v>
      </c>
      <c r="I1999" s="30">
        <v>971447</v>
      </c>
      <c r="J1999" s="30" t="s">
        <v>5431</v>
      </c>
      <c r="K1999" s="30" t="s">
        <v>5430</v>
      </c>
    </row>
    <row r="2000" spans="1:11" x14ac:dyDescent="0.35">
      <c r="A2000" s="30" t="s">
        <v>13033</v>
      </c>
      <c r="B2000" s="30" t="s">
        <v>13034</v>
      </c>
      <c r="C2000" s="32">
        <v>14.35</v>
      </c>
      <c r="D2000" s="30">
        <v>0.22</v>
      </c>
      <c r="E2000" s="31">
        <v>1.5570000000000001E-2</v>
      </c>
      <c r="F2000" s="30">
        <v>531735017</v>
      </c>
      <c r="G2000" s="30" t="s">
        <v>5427</v>
      </c>
      <c r="H2000" s="30">
        <v>2017</v>
      </c>
      <c r="I2000" s="30">
        <v>277354</v>
      </c>
      <c r="J2000" s="30" t="s">
        <v>5431</v>
      </c>
      <c r="K2000" s="30" t="s">
        <v>5438</v>
      </c>
    </row>
    <row r="2001" spans="1:11" x14ac:dyDescent="0.35">
      <c r="A2001" s="30" t="s">
        <v>13035</v>
      </c>
      <c r="B2001" s="30" t="s">
        <v>13036</v>
      </c>
      <c r="C2001" s="32">
        <v>1.92</v>
      </c>
      <c r="D2001" s="30">
        <v>0.16</v>
      </c>
      <c r="E2001" s="31">
        <v>9.0910000000000005E-2</v>
      </c>
      <c r="F2001" s="30">
        <v>102339466</v>
      </c>
      <c r="G2001" s="30" t="s">
        <v>5427</v>
      </c>
      <c r="H2001" s="30"/>
      <c r="I2001" s="30">
        <v>334342</v>
      </c>
      <c r="J2001" s="30" t="s">
        <v>5219</v>
      </c>
      <c r="K2001" s="30" t="s">
        <v>7535</v>
      </c>
    </row>
    <row r="2002" spans="1:11" x14ac:dyDescent="0.35">
      <c r="A2002" s="30" t="s">
        <v>13037</v>
      </c>
      <c r="B2002" s="30" t="s">
        <v>13038</v>
      </c>
      <c r="C2002" s="32">
        <v>6.07</v>
      </c>
      <c r="D2002" s="30">
        <v>7.0000000000000007E-2</v>
      </c>
      <c r="E2002" s="31">
        <v>1.167E-2</v>
      </c>
      <c r="F2002" s="30">
        <v>79593118</v>
      </c>
      <c r="G2002" s="30" t="s">
        <v>5427</v>
      </c>
      <c r="H2002" s="30">
        <v>1999</v>
      </c>
      <c r="I2002" s="30">
        <v>16169</v>
      </c>
      <c r="J2002" s="30" t="s">
        <v>5219</v>
      </c>
      <c r="K2002" s="30" t="s">
        <v>5526</v>
      </c>
    </row>
    <row r="2003" spans="1:11" x14ac:dyDescent="0.35">
      <c r="A2003" s="30" t="s">
        <v>13039</v>
      </c>
      <c r="B2003" s="30" t="s">
        <v>13040</v>
      </c>
      <c r="C2003" s="32">
        <v>21.64</v>
      </c>
      <c r="D2003" s="30">
        <v>0.39</v>
      </c>
      <c r="E2003" s="31">
        <v>1.8350000000000002E-2</v>
      </c>
      <c r="F2003" s="30">
        <v>1013078959</v>
      </c>
      <c r="G2003" s="30" t="s">
        <v>6073</v>
      </c>
      <c r="H2003" s="30">
        <v>2014</v>
      </c>
      <c r="I2003" s="30">
        <v>617594</v>
      </c>
      <c r="J2003" s="30" t="s">
        <v>5431</v>
      </c>
      <c r="K2003" s="30" t="s">
        <v>5430</v>
      </c>
    </row>
    <row r="2004" spans="1:11" x14ac:dyDescent="0.35">
      <c r="A2004" s="30" t="s">
        <v>13041</v>
      </c>
      <c r="B2004" s="30" t="s">
        <v>13042</v>
      </c>
      <c r="C2004" s="32">
        <v>13.74</v>
      </c>
      <c r="D2004" s="30">
        <v>0.27</v>
      </c>
      <c r="E2004" s="31">
        <v>2.0039999999999999E-2</v>
      </c>
      <c r="F2004" s="30">
        <v>1309196156</v>
      </c>
      <c r="G2004" s="30" t="s">
        <v>5427</v>
      </c>
      <c r="H2004" s="30"/>
      <c r="I2004" s="30">
        <v>645267</v>
      </c>
      <c r="J2004" s="30" t="s">
        <v>5442</v>
      </c>
      <c r="K2004" s="30" t="s">
        <v>5520</v>
      </c>
    </row>
    <row r="2005" spans="1:11" x14ac:dyDescent="0.35">
      <c r="A2005" s="30" t="s">
        <v>13043</v>
      </c>
      <c r="B2005" s="30" t="s">
        <v>13044</v>
      </c>
      <c r="C2005" s="32">
        <v>3.61</v>
      </c>
      <c r="D2005" s="30">
        <v>0.08</v>
      </c>
      <c r="E2005" s="31">
        <v>2.266E-2</v>
      </c>
      <c r="F2005" s="30">
        <v>62176135</v>
      </c>
      <c r="G2005" s="30" t="s">
        <v>5427</v>
      </c>
      <c r="H2005" s="30">
        <v>2005</v>
      </c>
      <c r="I2005" s="30">
        <v>72124</v>
      </c>
      <c r="J2005" s="30" t="s">
        <v>5457</v>
      </c>
      <c r="K2005" s="30" t="s">
        <v>5615</v>
      </c>
    </row>
    <row r="2006" spans="1:11" x14ac:dyDescent="0.35">
      <c r="A2006" s="30" t="s">
        <v>13045</v>
      </c>
      <c r="B2006" s="30" t="s">
        <v>13046</v>
      </c>
      <c r="C2006" s="32">
        <v>9.26</v>
      </c>
      <c r="D2006" s="30">
        <v>0.28000000000000003</v>
      </c>
      <c r="E2006" s="31">
        <v>3.1179999999999999E-2</v>
      </c>
      <c r="F2006" s="30">
        <v>325407105</v>
      </c>
      <c r="G2006" s="30" t="s">
        <v>5427</v>
      </c>
      <c r="H2006" s="30">
        <v>2021</v>
      </c>
      <c r="I2006" s="30">
        <v>139554</v>
      </c>
      <c r="J2006" s="30" t="s">
        <v>5431</v>
      </c>
      <c r="K2006" s="30" t="s">
        <v>5430</v>
      </c>
    </row>
    <row r="2007" spans="1:11" x14ac:dyDescent="0.35">
      <c r="A2007" s="30" t="s">
        <v>13047</v>
      </c>
      <c r="B2007" s="30" t="s">
        <v>13048</v>
      </c>
      <c r="C2007" s="32">
        <v>5.57</v>
      </c>
      <c r="D2007" s="30">
        <v>0.08</v>
      </c>
      <c r="E2007" s="31">
        <v>1.457E-2</v>
      </c>
      <c r="F2007" s="30">
        <v>281525841</v>
      </c>
      <c r="G2007" s="30" t="s">
        <v>5427</v>
      </c>
      <c r="H2007" s="30">
        <v>2021</v>
      </c>
      <c r="I2007" s="30">
        <v>68056</v>
      </c>
      <c r="J2007" s="30" t="s">
        <v>5431</v>
      </c>
      <c r="K2007" s="30" t="s">
        <v>5685</v>
      </c>
    </row>
    <row r="2008" spans="1:11" x14ac:dyDescent="0.35">
      <c r="A2008" s="30" t="s">
        <v>13049</v>
      </c>
      <c r="B2008" s="30" t="s">
        <v>13050</v>
      </c>
      <c r="C2008" s="32">
        <v>29.22</v>
      </c>
      <c r="D2008" s="30">
        <v>0.17</v>
      </c>
      <c r="E2008" s="31">
        <v>5.8500000000000002E-3</v>
      </c>
      <c r="F2008" s="30">
        <v>992454583</v>
      </c>
      <c r="G2008" s="30" t="s">
        <v>5427</v>
      </c>
      <c r="H2008" s="30">
        <v>2019</v>
      </c>
      <c r="I2008" s="30">
        <v>542049</v>
      </c>
      <c r="J2008" s="30" t="s">
        <v>5431</v>
      </c>
      <c r="K2008" s="30" t="s">
        <v>5430</v>
      </c>
    </row>
    <row r="2009" spans="1:11" x14ac:dyDescent="0.35">
      <c r="A2009" s="30" t="s">
        <v>13051</v>
      </c>
      <c r="B2009" s="30" t="s">
        <v>13052</v>
      </c>
      <c r="C2009" s="32">
        <v>45.24</v>
      </c>
      <c r="D2009" s="30">
        <v>-0.09</v>
      </c>
      <c r="E2009" s="31">
        <v>-1.99E-3</v>
      </c>
      <c r="F2009" s="30">
        <v>3171579787</v>
      </c>
      <c r="G2009" s="30" t="s">
        <v>5427</v>
      </c>
      <c r="H2009" s="30">
        <v>2014</v>
      </c>
      <c r="I2009" s="30">
        <v>529092</v>
      </c>
      <c r="J2009" s="30" t="s">
        <v>5431</v>
      </c>
      <c r="K2009" s="30" t="s">
        <v>5430</v>
      </c>
    </row>
    <row r="2010" spans="1:11" x14ac:dyDescent="0.35">
      <c r="A2010" s="30" t="s">
        <v>13053</v>
      </c>
      <c r="B2010" s="30" t="s">
        <v>13054</v>
      </c>
      <c r="C2010" s="32">
        <v>20.48</v>
      </c>
      <c r="D2010" s="30">
        <v>0.34</v>
      </c>
      <c r="E2010" s="31">
        <v>1.6879999999999999E-2</v>
      </c>
      <c r="F2010" s="30">
        <v>388419092</v>
      </c>
      <c r="G2010" s="30" t="s">
        <v>5427</v>
      </c>
      <c r="H2010" s="30">
        <v>2017</v>
      </c>
      <c r="I2010" s="30">
        <v>33990</v>
      </c>
      <c r="J2010" s="30" t="s">
        <v>5435</v>
      </c>
      <c r="K2010" s="30" t="s">
        <v>5582</v>
      </c>
    </row>
    <row r="2011" spans="1:11" x14ac:dyDescent="0.35">
      <c r="A2011" s="30" t="s">
        <v>13055</v>
      </c>
      <c r="B2011" s="30" t="s">
        <v>13056</v>
      </c>
      <c r="C2011" s="32">
        <v>3.8</v>
      </c>
      <c r="D2011" s="30">
        <v>0.28999999999999998</v>
      </c>
      <c r="E2011" s="31">
        <v>8.2619999999999999E-2</v>
      </c>
      <c r="F2011" s="30">
        <v>638867677</v>
      </c>
      <c r="G2011" s="30" t="s">
        <v>5427</v>
      </c>
      <c r="H2011" s="30"/>
      <c r="I2011" s="30">
        <v>1039079</v>
      </c>
      <c r="J2011" s="30" t="s">
        <v>5219</v>
      </c>
      <c r="K2011" s="30" t="s">
        <v>5447</v>
      </c>
    </row>
    <row r="2012" spans="1:11" x14ac:dyDescent="0.35">
      <c r="A2012" s="30" t="s">
        <v>13057</v>
      </c>
      <c r="B2012" s="30" t="s">
        <v>13058</v>
      </c>
      <c r="C2012" s="32">
        <v>44.85</v>
      </c>
      <c r="D2012" s="30">
        <v>-0.13</v>
      </c>
      <c r="E2012" s="31">
        <v>-2.8900000000000002E-3</v>
      </c>
      <c r="F2012" s="30">
        <v>885645550</v>
      </c>
      <c r="G2012" s="30" t="s">
        <v>5427</v>
      </c>
      <c r="H2012" s="30">
        <v>1998</v>
      </c>
      <c r="I2012" s="30">
        <v>18203</v>
      </c>
      <c r="J2012" s="30" t="s">
        <v>5435</v>
      </c>
      <c r="K2012" s="30" t="s">
        <v>5579</v>
      </c>
    </row>
    <row r="2013" spans="1:11" x14ac:dyDescent="0.35">
      <c r="A2013" s="30" t="s">
        <v>13059</v>
      </c>
      <c r="B2013" s="30" t="s">
        <v>13060</v>
      </c>
      <c r="C2013" s="32">
        <v>9.31</v>
      </c>
      <c r="D2013" s="30">
        <v>-0.11</v>
      </c>
      <c r="E2013" s="31">
        <v>-1.1679999999999999E-2</v>
      </c>
      <c r="F2013" s="30">
        <v>105059300</v>
      </c>
      <c r="G2013" s="30" t="s">
        <v>5427</v>
      </c>
      <c r="H2013" s="30">
        <v>2019</v>
      </c>
      <c r="I2013" s="30">
        <v>6348</v>
      </c>
      <c r="J2013" s="30" t="s">
        <v>5435</v>
      </c>
      <c r="K2013" s="30" t="s">
        <v>5579</v>
      </c>
    </row>
    <row r="2014" spans="1:11" x14ac:dyDescent="0.35">
      <c r="A2014" s="30" t="s">
        <v>13061</v>
      </c>
      <c r="B2014" s="30" t="s">
        <v>13062</v>
      </c>
      <c r="C2014" s="32">
        <v>10.145</v>
      </c>
      <c r="D2014" s="30">
        <v>1.4999999999999999E-2</v>
      </c>
      <c r="E2014" s="31">
        <v>1.48E-3</v>
      </c>
      <c r="F2014" s="30">
        <v>209240625</v>
      </c>
      <c r="G2014" s="30" t="s">
        <v>5427</v>
      </c>
      <c r="H2014" s="30">
        <v>2022</v>
      </c>
      <c r="I2014" s="30">
        <v>118</v>
      </c>
      <c r="J2014" s="30" t="s">
        <v>5457</v>
      </c>
      <c r="K2014" s="30" t="s">
        <v>5571</v>
      </c>
    </row>
    <row r="2015" spans="1:11" x14ac:dyDescent="0.35">
      <c r="A2015" s="30" t="s">
        <v>13063</v>
      </c>
      <c r="B2015" s="30" t="s">
        <v>13064</v>
      </c>
      <c r="C2015" s="32">
        <v>10.119999999999999</v>
      </c>
      <c r="D2015" s="30">
        <v>0.01</v>
      </c>
      <c r="E2015" s="31">
        <v>9.8999999999999999E-4</v>
      </c>
      <c r="F2015" s="30">
        <v>208725000</v>
      </c>
      <c r="G2015" s="30" t="s">
        <v>5427</v>
      </c>
      <c r="H2015" s="30">
        <v>2021</v>
      </c>
      <c r="I2015" s="30">
        <v>100</v>
      </c>
      <c r="J2015" s="30" t="s">
        <v>5457</v>
      </c>
      <c r="K2015" s="30" t="s">
        <v>5571</v>
      </c>
    </row>
    <row r="2016" spans="1:11" x14ac:dyDescent="0.35">
      <c r="A2016" s="30" t="s">
        <v>13065</v>
      </c>
      <c r="B2016" s="30" t="s">
        <v>13066</v>
      </c>
      <c r="C2016" s="32">
        <v>1.21</v>
      </c>
      <c r="D2016" s="30">
        <v>0</v>
      </c>
      <c r="E2016" s="31">
        <v>0</v>
      </c>
      <c r="F2016" s="30">
        <v>65724439</v>
      </c>
      <c r="G2016" s="30" t="s">
        <v>5427</v>
      </c>
      <c r="H2016" s="30"/>
      <c r="I2016" s="30">
        <v>66914</v>
      </c>
      <c r="J2016" s="30" t="s">
        <v>5457</v>
      </c>
      <c r="K2016" s="30" t="s">
        <v>5505</v>
      </c>
    </row>
    <row r="2017" spans="1:11" x14ac:dyDescent="0.35">
      <c r="A2017" s="30" t="s">
        <v>13067</v>
      </c>
      <c r="B2017" s="30" t="s">
        <v>13068</v>
      </c>
      <c r="C2017" s="32">
        <v>9.15</v>
      </c>
      <c r="D2017" s="30">
        <v>-0.19</v>
      </c>
      <c r="E2017" s="31">
        <v>-2.034E-2</v>
      </c>
      <c r="F2017" s="30">
        <v>229032753</v>
      </c>
      <c r="G2017" s="30" t="s">
        <v>5427</v>
      </c>
      <c r="H2017" s="30"/>
      <c r="I2017" s="30">
        <v>118337</v>
      </c>
      <c r="J2017" s="30" t="s">
        <v>5431</v>
      </c>
      <c r="K2017" s="30" t="s">
        <v>5610</v>
      </c>
    </row>
    <row r="2018" spans="1:11" x14ac:dyDescent="0.35">
      <c r="A2018" s="30" t="s">
        <v>13069</v>
      </c>
      <c r="B2018" s="30" t="s">
        <v>13070</v>
      </c>
      <c r="C2018" s="32">
        <v>27.67</v>
      </c>
      <c r="D2018" s="30">
        <v>0.78</v>
      </c>
      <c r="E2018" s="31">
        <v>2.9010000000000001E-2</v>
      </c>
      <c r="F2018" s="30">
        <v>1540390228</v>
      </c>
      <c r="G2018" s="30" t="s">
        <v>5427</v>
      </c>
      <c r="H2018" s="30">
        <v>1995</v>
      </c>
      <c r="I2018" s="30">
        <v>686423</v>
      </c>
      <c r="J2018" s="30" t="s">
        <v>5442</v>
      </c>
      <c r="K2018" s="30" t="s">
        <v>5746</v>
      </c>
    </row>
    <row r="2019" spans="1:11" x14ac:dyDescent="0.35">
      <c r="A2019" s="30" t="s">
        <v>13071</v>
      </c>
      <c r="B2019" s="30" t="s">
        <v>13072</v>
      </c>
      <c r="C2019" s="32">
        <v>21.99</v>
      </c>
      <c r="D2019" s="30">
        <v>0.26</v>
      </c>
      <c r="E2019" s="31">
        <v>1.197E-2</v>
      </c>
      <c r="F2019" s="30">
        <v>1731251150</v>
      </c>
      <c r="G2019" s="30" t="s">
        <v>5427</v>
      </c>
      <c r="H2019" s="30">
        <v>2015</v>
      </c>
      <c r="I2019" s="30">
        <v>1039480</v>
      </c>
      <c r="J2019" s="30" t="s">
        <v>5431</v>
      </c>
      <c r="K2019" s="30" t="s">
        <v>5430</v>
      </c>
    </row>
    <row r="2020" spans="1:11" x14ac:dyDescent="0.35">
      <c r="A2020" s="30" t="s">
        <v>13073</v>
      </c>
      <c r="B2020" s="30" t="s">
        <v>13074</v>
      </c>
      <c r="C2020" s="32">
        <v>31.89</v>
      </c>
      <c r="D2020" s="30">
        <v>0.41</v>
      </c>
      <c r="E2020" s="31">
        <v>1.302E-2</v>
      </c>
      <c r="F2020" s="30">
        <v>233639247</v>
      </c>
      <c r="G2020" s="30" t="s">
        <v>5427</v>
      </c>
      <c r="H2020" s="30">
        <v>1993</v>
      </c>
      <c r="I2020" s="30">
        <v>69847</v>
      </c>
      <c r="J2020" s="30" t="s">
        <v>5442</v>
      </c>
      <c r="K2020" s="30" t="s">
        <v>5477</v>
      </c>
    </row>
    <row r="2021" spans="1:11" x14ac:dyDescent="0.35">
      <c r="A2021" s="30" t="s">
        <v>13075</v>
      </c>
      <c r="B2021" s="30" t="s">
        <v>13076</v>
      </c>
      <c r="C2021" s="32">
        <v>10.1</v>
      </c>
      <c r="D2021" s="30">
        <v>-0.05</v>
      </c>
      <c r="E2021" s="31">
        <v>-4.9300000000000004E-3</v>
      </c>
      <c r="F2021" s="30">
        <v>319412500</v>
      </c>
      <c r="G2021" s="30" t="s">
        <v>5427</v>
      </c>
      <c r="H2021" s="30">
        <v>2021</v>
      </c>
      <c r="I2021" s="30">
        <v>300</v>
      </c>
      <c r="J2021" s="30" t="s">
        <v>5457</v>
      </c>
      <c r="K2021" s="30" t="s">
        <v>5571</v>
      </c>
    </row>
    <row r="2022" spans="1:11" x14ac:dyDescent="0.35">
      <c r="A2022" s="30" t="s">
        <v>13077</v>
      </c>
      <c r="B2022" s="30" t="s">
        <v>13078</v>
      </c>
      <c r="C2022" s="32">
        <v>14.65</v>
      </c>
      <c r="D2022" s="30">
        <v>0.34</v>
      </c>
      <c r="E2022" s="31">
        <v>2.376E-2</v>
      </c>
      <c r="F2022" s="30">
        <v>6101884070</v>
      </c>
      <c r="G2022" s="30" t="s">
        <v>5427</v>
      </c>
      <c r="H2022" s="30"/>
      <c r="I2022" s="30">
        <v>2094723</v>
      </c>
      <c r="J2022" s="30" t="s">
        <v>5442</v>
      </c>
      <c r="K2022" s="30" t="s">
        <v>5914</v>
      </c>
    </row>
    <row r="2023" spans="1:11" x14ac:dyDescent="0.35">
      <c r="A2023" s="30" t="s">
        <v>13079</v>
      </c>
      <c r="B2023" s="30" t="s">
        <v>13080</v>
      </c>
      <c r="C2023" s="32">
        <v>13.52</v>
      </c>
      <c r="D2023" s="30">
        <v>0.17</v>
      </c>
      <c r="E2023" s="31">
        <v>1.273E-2</v>
      </c>
      <c r="F2023" s="30">
        <v>133060649</v>
      </c>
      <c r="G2023" s="30" t="s">
        <v>5427</v>
      </c>
      <c r="H2023" s="30"/>
      <c r="I2023" s="30">
        <v>53391</v>
      </c>
      <c r="J2023" s="30" t="s">
        <v>5457</v>
      </c>
      <c r="K2023" s="30" t="s">
        <v>5571</v>
      </c>
    </row>
    <row r="2024" spans="1:11" x14ac:dyDescent="0.35">
      <c r="A2024" s="30" t="s">
        <v>13081</v>
      </c>
      <c r="B2024" s="30" t="s">
        <v>13082</v>
      </c>
      <c r="C2024" s="32">
        <v>8.67</v>
      </c>
      <c r="D2024" s="30">
        <v>1.19</v>
      </c>
      <c r="E2024" s="31">
        <v>0.15909000000000001</v>
      </c>
      <c r="F2024" s="30">
        <v>942851385</v>
      </c>
      <c r="G2024" s="30" t="s">
        <v>5427</v>
      </c>
      <c r="H2024" s="30">
        <v>2017</v>
      </c>
      <c r="I2024" s="30">
        <v>5922304</v>
      </c>
      <c r="J2024" s="30" t="s">
        <v>5435</v>
      </c>
      <c r="K2024" s="30" t="s">
        <v>5197</v>
      </c>
    </row>
    <row r="2025" spans="1:11" x14ac:dyDescent="0.35">
      <c r="A2025" s="30" t="s">
        <v>13083</v>
      </c>
      <c r="B2025" s="30" t="s">
        <v>13084</v>
      </c>
      <c r="C2025" s="32">
        <v>3.53</v>
      </c>
      <c r="D2025" s="30">
        <v>7.0000000000000007E-2</v>
      </c>
      <c r="E2025" s="31">
        <v>2.0230000000000001E-2</v>
      </c>
      <c r="F2025" s="30">
        <v>77814699</v>
      </c>
      <c r="G2025" s="30" t="s">
        <v>5427</v>
      </c>
      <c r="H2025" s="30"/>
      <c r="I2025" s="30">
        <v>5839</v>
      </c>
      <c r="J2025" s="30" t="s">
        <v>5442</v>
      </c>
      <c r="K2025" s="30" t="s">
        <v>5450</v>
      </c>
    </row>
    <row r="2026" spans="1:11" x14ac:dyDescent="0.35">
      <c r="A2026" s="30" t="s">
        <v>13085</v>
      </c>
      <c r="B2026" s="30" t="s">
        <v>13086</v>
      </c>
      <c r="C2026" s="32">
        <v>19.895</v>
      </c>
      <c r="D2026" s="30">
        <v>0</v>
      </c>
      <c r="E2026" s="31">
        <v>0</v>
      </c>
      <c r="F2026" s="30">
        <v>438561878</v>
      </c>
      <c r="G2026" s="30" t="s">
        <v>5427</v>
      </c>
      <c r="H2026" s="30"/>
      <c r="I2026" s="30">
        <v>21</v>
      </c>
      <c r="J2026" s="30" t="s">
        <v>5442</v>
      </c>
      <c r="K2026" s="30" t="s">
        <v>5450</v>
      </c>
    </row>
    <row r="2027" spans="1:11" x14ac:dyDescent="0.35">
      <c r="A2027" s="30" t="s">
        <v>13087</v>
      </c>
      <c r="B2027" s="30" t="s">
        <v>13088</v>
      </c>
      <c r="C2027" s="32">
        <v>21.09</v>
      </c>
      <c r="D2027" s="30">
        <v>0.04</v>
      </c>
      <c r="E2027" s="31">
        <v>1.9E-3</v>
      </c>
      <c r="F2027" s="30">
        <v>1209740327</v>
      </c>
      <c r="G2027" s="30" t="s">
        <v>5427</v>
      </c>
      <c r="H2027" s="30"/>
      <c r="I2027" s="30">
        <v>217517</v>
      </c>
      <c r="J2027" s="30" t="s">
        <v>5431</v>
      </c>
      <c r="K2027" s="30" t="s">
        <v>5610</v>
      </c>
    </row>
    <row r="2028" spans="1:11" x14ac:dyDescent="0.35">
      <c r="A2028" s="30" t="s">
        <v>13089</v>
      </c>
      <c r="B2028" s="30" t="s">
        <v>13090</v>
      </c>
      <c r="C2028" s="32">
        <v>23.75</v>
      </c>
      <c r="D2028" s="30">
        <v>-2.5000000000000001E-2</v>
      </c>
      <c r="E2028" s="31">
        <v>-1.0499999999999999E-3</v>
      </c>
      <c r="F2028" s="30">
        <v>329977821</v>
      </c>
      <c r="G2028" s="30" t="s">
        <v>5427</v>
      </c>
      <c r="H2028" s="30"/>
      <c r="I2028" s="30">
        <v>17710</v>
      </c>
      <c r="J2028" s="30" t="s">
        <v>5219</v>
      </c>
      <c r="K2028" s="30" t="s">
        <v>5560</v>
      </c>
    </row>
    <row r="2029" spans="1:11" x14ac:dyDescent="0.35">
      <c r="A2029" s="30" t="s">
        <v>13091</v>
      </c>
      <c r="B2029" s="30" t="s">
        <v>13092</v>
      </c>
      <c r="C2029" s="32">
        <v>1.95</v>
      </c>
      <c r="D2029" s="30">
        <v>0.12</v>
      </c>
      <c r="E2029" s="31">
        <v>6.5570000000000003E-2</v>
      </c>
      <c r="F2029" s="30">
        <v>191228271</v>
      </c>
      <c r="G2029" s="30" t="s">
        <v>5427</v>
      </c>
      <c r="H2029" s="30">
        <v>2019</v>
      </c>
      <c r="I2029" s="30">
        <v>4789289</v>
      </c>
      <c r="J2029" s="30" t="s">
        <v>5442</v>
      </c>
      <c r="K2029" s="30" t="s">
        <v>6994</v>
      </c>
    </row>
    <row r="2030" spans="1:11" x14ac:dyDescent="0.35">
      <c r="A2030" s="30" t="s">
        <v>13093</v>
      </c>
      <c r="B2030" s="30" t="s">
        <v>13094</v>
      </c>
      <c r="C2030" s="32">
        <v>1.32</v>
      </c>
      <c r="D2030" s="30">
        <v>-0.05</v>
      </c>
      <c r="E2030" s="31">
        <v>-3.6499999999999998E-2</v>
      </c>
      <c r="F2030" s="30">
        <v>236084425</v>
      </c>
      <c r="G2030" s="30" t="s">
        <v>5515</v>
      </c>
      <c r="H2030" s="30"/>
      <c r="I2030" s="30">
        <v>136051</v>
      </c>
      <c r="J2030" s="30"/>
      <c r="K2030" s="30"/>
    </row>
    <row r="2031" spans="1:11" x14ac:dyDescent="0.35">
      <c r="A2031" s="30" t="s">
        <v>13095</v>
      </c>
      <c r="B2031" s="30" t="s">
        <v>13096</v>
      </c>
      <c r="C2031" s="32">
        <v>15.25</v>
      </c>
      <c r="D2031" s="30">
        <v>-0.2</v>
      </c>
      <c r="E2031" s="31">
        <v>-1.294E-2</v>
      </c>
      <c r="F2031" s="30">
        <v>269283173</v>
      </c>
      <c r="G2031" s="30" t="s">
        <v>5427</v>
      </c>
      <c r="H2031" s="30">
        <v>2021</v>
      </c>
      <c r="I2031" s="30">
        <v>20129</v>
      </c>
      <c r="J2031" s="30" t="s">
        <v>5197</v>
      </c>
      <c r="K2031" s="30" t="s">
        <v>5467</v>
      </c>
    </row>
    <row r="2032" spans="1:11" x14ac:dyDescent="0.35">
      <c r="A2032" s="30" t="s">
        <v>13097</v>
      </c>
      <c r="B2032" s="30" t="s">
        <v>13098</v>
      </c>
      <c r="C2032" s="32">
        <v>2.0499999999999998</v>
      </c>
      <c r="D2032" s="30">
        <v>-7.0000000000000007E-2</v>
      </c>
      <c r="E2032" s="31">
        <v>-3.3020000000000001E-2</v>
      </c>
      <c r="F2032" s="30">
        <v>67958312</v>
      </c>
      <c r="G2032" s="30" t="s">
        <v>5427</v>
      </c>
      <c r="H2032" s="30"/>
      <c r="I2032" s="30">
        <v>11390</v>
      </c>
      <c r="J2032" s="30" t="s">
        <v>5219</v>
      </c>
      <c r="K2032" s="30" t="s">
        <v>5644</v>
      </c>
    </row>
    <row r="2033" spans="1:11" x14ac:dyDescent="0.35">
      <c r="A2033" s="30" t="s">
        <v>13099</v>
      </c>
      <c r="B2033" s="30" t="s">
        <v>13100</v>
      </c>
      <c r="C2033" s="32">
        <v>67.099999999999994</v>
      </c>
      <c r="D2033" s="30">
        <v>0.47</v>
      </c>
      <c r="E2033" s="31">
        <v>7.0499999999999998E-3</v>
      </c>
      <c r="F2033" s="30">
        <v>11482334512</v>
      </c>
      <c r="G2033" s="30" t="s">
        <v>5427</v>
      </c>
      <c r="H2033" s="30">
        <v>1993</v>
      </c>
      <c r="I2033" s="30">
        <v>1037501</v>
      </c>
      <c r="J2033" s="30" t="s">
        <v>5197</v>
      </c>
      <c r="K2033" s="30" t="s">
        <v>5467</v>
      </c>
    </row>
    <row r="2034" spans="1:11" x14ac:dyDescent="0.35">
      <c r="A2034" s="30" t="s">
        <v>13101</v>
      </c>
      <c r="B2034" s="30" t="s">
        <v>13102</v>
      </c>
      <c r="C2034" s="32">
        <v>758</v>
      </c>
      <c r="D2034" s="30">
        <v>-0.47</v>
      </c>
      <c r="E2034" s="31">
        <v>-6.2E-4</v>
      </c>
      <c r="F2034" s="30">
        <v>82547666730</v>
      </c>
      <c r="G2034" s="30" t="s">
        <v>5427</v>
      </c>
      <c r="H2034" s="30">
        <v>1991</v>
      </c>
      <c r="I2034" s="30">
        <v>802107</v>
      </c>
      <c r="J2034" s="30" t="s">
        <v>5431</v>
      </c>
      <c r="K2034" s="30" t="s">
        <v>5430</v>
      </c>
    </row>
    <row r="2035" spans="1:11" x14ac:dyDescent="0.35">
      <c r="A2035" s="30" t="s">
        <v>13103</v>
      </c>
      <c r="B2035" s="30" t="s">
        <v>13104</v>
      </c>
      <c r="C2035" s="32">
        <v>1.71</v>
      </c>
      <c r="D2035" s="30">
        <v>1.4999999999999999E-2</v>
      </c>
      <c r="E2035" s="31">
        <v>8.8500000000000002E-3</v>
      </c>
      <c r="F2035" s="30">
        <v>92934312</v>
      </c>
      <c r="G2035" s="30" t="s">
        <v>5427</v>
      </c>
      <c r="H2035" s="30"/>
      <c r="I2035" s="30">
        <v>179659</v>
      </c>
      <c r="J2035" s="30" t="s">
        <v>5219</v>
      </c>
      <c r="K2035" s="30" t="s">
        <v>5447</v>
      </c>
    </row>
    <row r="2036" spans="1:11" x14ac:dyDescent="0.35">
      <c r="A2036" s="30" t="s">
        <v>13105</v>
      </c>
      <c r="B2036" s="30" t="s">
        <v>13106</v>
      </c>
      <c r="C2036" s="32">
        <v>22.97</v>
      </c>
      <c r="D2036" s="30">
        <v>0.62</v>
      </c>
      <c r="E2036" s="31">
        <v>2.7740000000000001E-2</v>
      </c>
      <c r="F2036" s="30">
        <v>323295491</v>
      </c>
      <c r="G2036" s="30" t="s">
        <v>5427</v>
      </c>
      <c r="H2036" s="30">
        <v>1983</v>
      </c>
      <c r="I2036" s="30">
        <v>136401</v>
      </c>
      <c r="J2036" s="30" t="s">
        <v>5219</v>
      </c>
      <c r="K2036" s="30" t="s">
        <v>5965</v>
      </c>
    </row>
    <row r="2037" spans="1:11" x14ac:dyDescent="0.35">
      <c r="A2037" s="30" t="s">
        <v>13107</v>
      </c>
      <c r="B2037" s="30" t="s">
        <v>13108</v>
      </c>
      <c r="C2037" s="32">
        <v>12.44</v>
      </c>
      <c r="D2037" s="30">
        <v>0.38</v>
      </c>
      <c r="E2037" s="31">
        <v>3.1510000000000003E-2</v>
      </c>
      <c r="F2037" s="30">
        <v>2123057709</v>
      </c>
      <c r="G2037" s="30" t="s">
        <v>5427</v>
      </c>
      <c r="H2037" s="30">
        <v>2021</v>
      </c>
      <c r="I2037" s="30">
        <v>554758</v>
      </c>
      <c r="J2037" s="30" t="s">
        <v>5219</v>
      </c>
      <c r="K2037" s="30" t="s">
        <v>5560</v>
      </c>
    </row>
    <row r="2038" spans="1:11" x14ac:dyDescent="0.35">
      <c r="A2038" s="30" t="s">
        <v>13109</v>
      </c>
      <c r="B2038" s="30" t="s">
        <v>13110</v>
      </c>
      <c r="C2038" s="32">
        <v>10.35</v>
      </c>
      <c r="D2038" s="30">
        <v>0</v>
      </c>
      <c r="E2038" s="31">
        <v>0</v>
      </c>
      <c r="F2038" s="30">
        <v>297562500</v>
      </c>
      <c r="G2038" s="30" t="s">
        <v>5427</v>
      </c>
      <c r="H2038" s="30">
        <v>2022</v>
      </c>
      <c r="I2038" s="30">
        <v>5800</v>
      </c>
      <c r="J2038" s="30" t="s">
        <v>5435</v>
      </c>
      <c r="K2038" s="30" t="s">
        <v>5482</v>
      </c>
    </row>
    <row r="2039" spans="1:11" x14ac:dyDescent="0.35">
      <c r="A2039" s="30" t="s">
        <v>13111</v>
      </c>
      <c r="B2039" s="30" t="s">
        <v>13112</v>
      </c>
      <c r="C2039" s="32">
        <v>4.3499999999999996</v>
      </c>
      <c r="D2039" s="30">
        <v>0.06</v>
      </c>
      <c r="E2039" s="31">
        <v>1.3990000000000001E-2</v>
      </c>
      <c r="F2039" s="30">
        <v>282849123</v>
      </c>
      <c r="G2039" s="30" t="s">
        <v>5427</v>
      </c>
      <c r="H2039" s="30">
        <v>2021</v>
      </c>
      <c r="I2039" s="30">
        <v>951191</v>
      </c>
      <c r="J2039" s="30" t="s">
        <v>5442</v>
      </c>
      <c r="K2039" s="30" t="s">
        <v>5534</v>
      </c>
    </row>
    <row r="2040" spans="1:11" x14ac:dyDescent="0.35">
      <c r="A2040" s="30" t="s">
        <v>13113</v>
      </c>
      <c r="B2040" s="30" t="s">
        <v>13114</v>
      </c>
      <c r="C2040" s="32">
        <v>28.59</v>
      </c>
      <c r="D2040" s="30">
        <v>0.74</v>
      </c>
      <c r="E2040" s="31">
        <v>2.657E-2</v>
      </c>
      <c r="F2040" s="30">
        <v>1575706201</v>
      </c>
      <c r="G2040" s="30" t="s">
        <v>5427</v>
      </c>
      <c r="H2040" s="30">
        <v>2018</v>
      </c>
      <c r="I2040" s="30">
        <v>368605</v>
      </c>
      <c r="J2040" s="30" t="s">
        <v>5431</v>
      </c>
      <c r="K2040" s="30" t="s">
        <v>5430</v>
      </c>
    </row>
    <row r="2041" spans="1:11" x14ac:dyDescent="0.35">
      <c r="A2041" s="30" t="s">
        <v>13115</v>
      </c>
      <c r="B2041" s="30" t="s">
        <v>13116</v>
      </c>
      <c r="C2041" s="32">
        <v>46.55</v>
      </c>
      <c r="D2041" s="30">
        <v>3.22</v>
      </c>
      <c r="E2041" s="31">
        <v>7.4310000000000001E-2</v>
      </c>
      <c r="F2041" s="30">
        <v>1705762140</v>
      </c>
      <c r="G2041" s="30" t="s">
        <v>5427</v>
      </c>
      <c r="H2041" s="30">
        <v>2016</v>
      </c>
      <c r="I2041" s="30">
        <v>719759</v>
      </c>
      <c r="J2041" s="30" t="s">
        <v>5431</v>
      </c>
      <c r="K2041" s="30" t="s">
        <v>5430</v>
      </c>
    </row>
    <row r="2042" spans="1:11" x14ac:dyDescent="0.35">
      <c r="A2042" s="30" t="s">
        <v>13117</v>
      </c>
      <c r="B2042" s="30" t="s">
        <v>13118</v>
      </c>
      <c r="C2042" s="32">
        <v>10.51</v>
      </c>
      <c r="D2042" s="30">
        <v>0</v>
      </c>
      <c r="E2042" s="31">
        <v>0</v>
      </c>
      <c r="F2042" s="30">
        <v>142410500</v>
      </c>
      <c r="G2042" s="30" t="s">
        <v>5427</v>
      </c>
      <c r="H2042" s="30">
        <v>2021</v>
      </c>
      <c r="I2042" s="30">
        <v>1665</v>
      </c>
      <c r="J2042" s="30" t="s">
        <v>5457</v>
      </c>
      <c r="K2042" s="30" t="s">
        <v>5571</v>
      </c>
    </row>
    <row r="2043" spans="1:11" x14ac:dyDescent="0.35">
      <c r="A2043" s="30" t="s">
        <v>13119</v>
      </c>
      <c r="B2043" s="30" t="s">
        <v>13120</v>
      </c>
      <c r="C2043" s="32">
        <v>29.8</v>
      </c>
      <c r="D2043" s="30">
        <v>0.03</v>
      </c>
      <c r="E2043" s="31">
        <v>1.01E-3</v>
      </c>
      <c r="F2043" s="30">
        <v>6253907208</v>
      </c>
      <c r="G2043" s="30" t="s">
        <v>5427</v>
      </c>
      <c r="H2043" s="30">
        <v>2020</v>
      </c>
      <c r="I2043" s="30">
        <v>270713</v>
      </c>
      <c r="J2043" s="30" t="s">
        <v>5457</v>
      </c>
      <c r="K2043" s="30" t="s">
        <v>5487</v>
      </c>
    </row>
    <row r="2044" spans="1:11" x14ac:dyDescent="0.35">
      <c r="A2044" s="30" t="s">
        <v>13121</v>
      </c>
      <c r="B2044" s="30" t="s">
        <v>13122</v>
      </c>
      <c r="C2044" s="32">
        <v>10.199999999999999</v>
      </c>
      <c r="D2044" s="30">
        <v>0.03</v>
      </c>
      <c r="E2044" s="31">
        <v>2.9499999999999999E-3</v>
      </c>
      <c r="F2044" s="30">
        <v>148665000</v>
      </c>
      <c r="G2044" s="30" t="s">
        <v>5752</v>
      </c>
      <c r="H2044" s="30">
        <v>2022</v>
      </c>
      <c r="I2044" s="30">
        <v>86669</v>
      </c>
      <c r="J2044" s="30" t="s">
        <v>5457</v>
      </c>
      <c r="K2044" s="30" t="s">
        <v>5571</v>
      </c>
    </row>
    <row r="2045" spans="1:11" x14ac:dyDescent="0.35">
      <c r="A2045" s="30" t="s">
        <v>13123</v>
      </c>
      <c r="B2045" s="30" t="s">
        <v>13124</v>
      </c>
      <c r="C2045" s="32">
        <v>5.35</v>
      </c>
      <c r="D2045" s="30">
        <v>0.03</v>
      </c>
      <c r="E2045" s="31">
        <v>5.64E-3</v>
      </c>
      <c r="F2045" s="30">
        <v>54534085</v>
      </c>
      <c r="G2045" s="30" t="s">
        <v>5427</v>
      </c>
      <c r="H2045" s="30"/>
      <c r="I2045" s="30">
        <v>6175</v>
      </c>
      <c r="J2045" s="30" t="s">
        <v>5219</v>
      </c>
      <c r="K2045" s="30" t="s">
        <v>5647</v>
      </c>
    </row>
    <row r="2046" spans="1:11" x14ac:dyDescent="0.35">
      <c r="A2046" s="30" t="s">
        <v>13125</v>
      </c>
      <c r="B2046" s="30" t="s">
        <v>13126</v>
      </c>
      <c r="C2046" s="32">
        <v>29.884</v>
      </c>
      <c r="D2046" s="30">
        <v>1.0840000000000001</v>
      </c>
      <c r="E2046" s="31">
        <v>3.764E-2</v>
      </c>
      <c r="F2046" s="30">
        <v>388876488</v>
      </c>
      <c r="G2046" s="30" t="s">
        <v>6387</v>
      </c>
      <c r="H2046" s="30">
        <v>2021</v>
      </c>
      <c r="I2046" s="30">
        <v>1920</v>
      </c>
      <c r="J2046" s="30" t="s">
        <v>5431</v>
      </c>
      <c r="K2046" s="30" t="s">
        <v>5685</v>
      </c>
    </row>
    <row r="2047" spans="1:11" x14ac:dyDescent="0.35">
      <c r="A2047" s="30" t="s">
        <v>13127</v>
      </c>
      <c r="B2047" s="30" t="s">
        <v>13128</v>
      </c>
      <c r="C2047" s="32">
        <v>23.76</v>
      </c>
      <c r="D2047" s="30">
        <v>0.26</v>
      </c>
      <c r="E2047" s="31">
        <v>1.106E-2</v>
      </c>
      <c r="F2047" s="30">
        <v>233613310</v>
      </c>
      <c r="G2047" s="30" t="s">
        <v>5427</v>
      </c>
      <c r="H2047" s="30"/>
      <c r="I2047" s="30">
        <v>16262</v>
      </c>
      <c r="J2047" s="30" t="s">
        <v>5426</v>
      </c>
      <c r="K2047" s="30" t="s">
        <v>5463</v>
      </c>
    </row>
    <row r="2048" spans="1:11" x14ac:dyDescent="0.35">
      <c r="A2048" s="30" t="s">
        <v>13129</v>
      </c>
      <c r="B2048" s="30" t="s">
        <v>13130</v>
      </c>
      <c r="C2048" s="32">
        <v>190.79</v>
      </c>
      <c r="D2048" s="30">
        <v>5.49</v>
      </c>
      <c r="E2048" s="31">
        <v>2.963E-2</v>
      </c>
      <c r="F2048" s="30">
        <v>10593507717</v>
      </c>
      <c r="G2048" s="30" t="s">
        <v>5427</v>
      </c>
      <c r="H2048" s="30">
        <v>1986</v>
      </c>
      <c r="I2048" s="30">
        <v>722144</v>
      </c>
      <c r="J2048" s="30" t="s">
        <v>5431</v>
      </c>
      <c r="K2048" s="30" t="s">
        <v>5500</v>
      </c>
    </row>
    <row r="2049" spans="1:11" x14ac:dyDescent="0.35">
      <c r="A2049" s="30" t="s">
        <v>13131</v>
      </c>
      <c r="B2049" s="30" t="s">
        <v>13132</v>
      </c>
      <c r="C2049" s="32">
        <v>5.53</v>
      </c>
      <c r="D2049" s="30">
        <v>0</v>
      </c>
      <c r="E2049" s="31">
        <v>0</v>
      </c>
      <c r="F2049" s="30">
        <v>142384040</v>
      </c>
      <c r="G2049" s="30" t="s">
        <v>5427</v>
      </c>
      <c r="H2049" s="30">
        <v>2021</v>
      </c>
      <c r="I2049" s="30">
        <v>44667</v>
      </c>
      <c r="J2049" s="30" t="s">
        <v>5442</v>
      </c>
      <c r="K2049" s="30" t="s">
        <v>5735</v>
      </c>
    </row>
    <row r="2050" spans="1:11" x14ac:dyDescent="0.35">
      <c r="A2050" s="30" t="s">
        <v>13133</v>
      </c>
      <c r="B2050" s="30" t="s">
        <v>13134</v>
      </c>
      <c r="C2050" s="32">
        <v>130.57</v>
      </c>
      <c r="D2050" s="30">
        <v>3.54</v>
      </c>
      <c r="E2050" s="31">
        <v>2.7869999999999999E-2</v>
      </c>
      <c r="F2050" s="30">
        <v>8571099215</v>
      </c>
      <c r="G2050" s="30" t="s">
        <v>5427</v>
      </c>
      <c r="H2050" s="30"/>
      <c r="I2050" s="30">
        <v>453551</v>
      </c>
      <c r="J2050" s="30" t="s">
        <v>5457</v>
      </c>
      <c r="K2050" s="30" t="s">
        <v>5571</v>
      </c>
    </row>
    <row r="2051" spans="1:11" x14ac:dyDescent="0.35">
      <c r="A2051" s="30" t="s">
        <v>13135</v>
      </c>
      <c r="B2051" s="30" t="s">
        <v>13136</v>
      </c>
      <c r="C2051" s="32">
        <v>23.47</v>
      </c>
      <c r="D2051" s="30">
        <v>0.26</v>
      </c>
      <c r="E2051" s="31">
        <v>1.12E-2</v>
      </c>
      <c r="F2051" s="30">
        <v>1016101520</v>
      </c>
      <c r="G2051" s="30" t="s">
        <v>5427</v>
      </c>
      <c r="H2051" s="30">
        <v>2015</v>
      </c>
      <c r="I2051" s="30">
        <v>492386</v>
      </c>
      <c r="J2051" s="30" t="s">
        <v>5431</v>
      </c>
      <c r="K2051" s="30" t="s">
        <v>6409</v>
      </c>
    </row>
    <row r="2052" spans="1:11" x14ac:dyDescent="0.35">
      <c r="A2052" s="30" t="s">
        <v>13137</v>
      </c>
      <c r="B2052" s="30" t="s">
        <v>13138</v>
      </c>
      <c r="C2052" s="32">
        <v>17.73</v>
      </c>
      <c r="D2052" s="30">
        <v>0.46</v>
      </c>
      <c r="E2052" s="31">
        <v>2.664E-2</v>
      </c>
      <c r="F2052" s="30">
        <v>596335731</v>
      </c>
      <c r="G2052" s="30" t="s">
        <v>5427</v>
      </c>
      <c r="H2052" s="30"/>
      <c r="I2052" s="30">
        <v>315632</v>
      </c>
      <c r="J2052" s="30" t="s">
        <v>5442</v>
      </c>
      <c r="K2052" s="30" t="s">
        <v>5482</v>
      </c>
    </row>
    <row r="2053" spans="1:11" x14ac:dyDescent="0.35">
      <c r="A2053" s="30" t="s">
        <v>13139</v>
      </c>
      <c r="B2053" s="30" t="s">
        <v>13140</v>
      </c>
      <c r="C2053" s="32">
        <v>0.8</v>
      </c>
      <c r="D2053" s="30">
        <v>1.9400000000000001E-2</v>
      </c>
      <c r="E2053" s="31">
        <v>2.4850000000000001E-2</v>
      </c>
      <c r="F2053" s="30">
        <v>98424043</v>
      </c>
      <c r="G2053" s="30" t="s">
        <v>5427</v>
      </c>
      <c r="H2053" s="30"/>
      <c r="I2053" s="30">
        <v>1441271</v>
      </c>
      <c r="J2053" s="30" t="s">
        <v>5219</v>
      </c>
      <c r="K2053" s="30" t="s">
        <v>5812</v>
      </c>
    </row>
    <row r="2054" spans="1:11" x14ac:dyDescent="0.35">
      <c r="A2054" s="30" t="s">
        <v>13141</v>
      </c>
      <c r="B2054" s="30" t="s">
        <v>13142</v>
      </c>
      <c r="C2054" s="32">
        <v>89.75</v>
      </c>
      <c r="D2054" s="30">
        <v>-1.04</v>
      </c>
      <c r="E2054" s="31">
        <v>-1.146E-2</v>
      </c>
      <c r="F2054" s="30">
        <v>828412694</v>
      </c>
      <c r="G2054" s="30" t="s">
        <v>5427</v>
      </c>
      <c r="H2054" s="30">
        <v>1995</v>
      </c>
      <c r="I2054" s="30">
        <v>95548</v>
      </c>
      <c r="J2054" s="30" t="s">
        <v>5442</v>
      </c>
      <c r="K2054" s="30" t="s">
        <v>5441</v>
      </c>
    </row>
    <row r="2055" spans="1:11" x14ac:dyDescent="0.35">
      <c r="A2055" s="30" t="s">
        <v>13143</v>
      </c>
      <c r="B2055" s="30" t="s">
        <v>13144</v>
      </c>
      <c r="C2055" s="32">
        <v>1.32</v>
      </c>
      <c r="D2055" s="30">
        <v>0.01</v>
      </c>
      <c r="E2055" s="31">
        <v>7.6299999999999996E-3</v>
      </c>
      <c r="F2055" s="30">
        <v>303459445</v>
      </c>
      <c r="G2055" s="30" t="s">
        <v>5427</v>
      </c>
      <c r="H2055" s="30">
        <v>2019</v>
      </c>
      <c r="I2055" s="30">
        <v>3321621</v>
      </c>
      <c r="J2055" s="30" t="s">
        <v>5442</v>
      </c>
      <c r="K2055" s="30" t="s">
        <v>5460</v>
      </c>
    </row>
    <row r="2056" spans="1:11" x14ac:dyDescent="0.35">
      <c r="A2056" s="30" t="s">
        <v>13145</v>
      </c>
      <c r="B2056" s="30" t="s">
        <v>13146</v>
      </c>
      <c r="C2056" s="32">
        <v>1.72</v>
      </c>
      <c r="D2056" s="30">
        <v>0.08</v>
      </c>
      <c r="E2056" s="31">
        <v>4.8779999999999997E-2</v>
      </c>
      <c r="F2056" s="30">
        <v>297278498</v>
      </c>
      <c r="G2056" s="30" t="s">
        <v>5427</v>
      </c>
      <c r="H2056" s="30">
        <v>2000</v>
      </c>
      <c r="I2056" s="30">
        <v>2439414</v>
      </c>
      <c r="J2056" s="30" t="s">
        <v>5431</v>
      </c>
      <c r="K2056" s="30" t="s">
        <v>5430</v>
      </c>
    </row>
    <row r="2057" spans="1:11" x14ac:dyDescent="0.35">
      <c r="A2057" s="30" t="s">
        <v>13147</v>
      </c>
      <c r="B2057" s="30" t="s">
        <v>13148</v>
      </c>
      <c r="C2057" s="32">
        <v>43.33</v>
      </c>
      <c r="D2057" s="30">
        <v>0.6</v>
      </c>
      <c r="E2057" s="31">
        <v>1.404E-2</v>
      </c>
      <c r="F2057" s="30">
        <v>1232616526</v>
      </c>
      <c r="G2057" s="30" t="s">
        <v>5427</v>
      </c>
      <c r="H2057" s="30"/>
      <c r="I2057" s="30">
        <v>412360</v>
      </c>
      <c r="J2057" s="30" t="s">
        <v>5435</v>
      </c>
      <c r="K2057" s="30" t="s">
        <v>5434</v>
      </c>
    </row>
    <row r="2058" spans="1:11" x14ac:dyDescent="0.35">
      <c r="A2058" s="30" t="s">
        <v>13149</v>
      </c>
      <c r="B2058" s="30" t="s">
        <v>13150</v>
      </c>
      <c r="C2058" s="32">
        <v>6.86</v>
      </c>
      <c r="D2058" s="30">
        <v>0.59</v>
      </c>
      <c r="E2058" s="31">
        <v>9.4100000000000003E-2</v>
      </c>
      <c r="F2058" s="30">
        <v>1147656809</v>
      </c>
      <c r="G2058" s="30" t="s">
        <v>5427</v>
      </c>
      <c r="H2058" s="30"/>
      <c r="I2058" s="30">
        <v>18393177</v>
      </c>
      <c r="J2058" s="30" t="s">
        <v>5219</v>
      </c>
      <c r="K2058" s="30" t="s">
        <v>5812</v>
      </c>
    </row>
    <row r="2059" spans="1:11" x14ac:dyDescent="0.35">
      <c r="A2059" s="30" t="s">
        <v>13151</v>
      </c>
      <c r="B2059" s="30" t="s">
        <v>13152</v>
      </c>
      <c r="C2059" s="32">
        <v>19.71</v>
      </c>
      <c r="D2059" s="30">
        <v>0.31</v>
      </c>
      <c r="E2059" s="31">
        <v>1.5980000000000001E-2</v>
      </c>
      <c r="F2059" s="30">
        <v>18152038917</v>
      </c>
      <c r="G2059" s="30" t="s">
        <v>5427</v>
      </c>
      <c r="H2059" s="30">
        <v>2021</v>
      </c>
      <c r="I2059" s="30">
        <v>36297519</v>
      </c>
      <c r="J2059" s="30" t="s">
        <v>5442</v>
      </c>
      <c r="K2059" s="30" t="s">
        <v>5926</v>
      </c>
    </row>
    <row r="2060" spans="1:11" x14ac:dyDescent="0.35">
      <c r="A2060" s="30" t="s">
        <v>13153</v>
      </c>
      <c r="B2060" s="30" t="s">
        <v>13154</v>
      </c>
      <c r="C2060" s="32">
        <v>4.9800000000000004</v>
      </c>
      <c r="D2060" s="30">
        <v>0.01</v>
      </c>
      <c r="E2060" s="31">
        <v>2.0100000000000001E-3</v>
      </c>
      <c r="F2060" s="30">
        <v>2356820811</v>
      </c>
      <c r="G2060" s="30" t="s">
        <v>5427</v>
      </c>
      <c r="H2060" s="30">
        <v>2020</v>
      </c>
      <c r="I2060" s="30">
        <v>6007804</v>
      </c>
      <c r="J2060" s="30" t="s">
        <v>5457</v>
      </c>
      <c r="K2060" s="30" t="s">
        <v>5523</v>
      </c>
    </row>
    <row r="2061" spans="1:11" x14ac:dyDescent="0.35">
      <c r="A2061" s="30" t="s">
        <v>13155</v>
      </c>
      <c r="B2061" s="30" t="s">
        <v>13156</v>
      </c>
      <c r="C2061" s="32">
        <v>21.68</v>
      </c>
      <c r="D2061" s="30">
        <v>0.22</v>
      </c>
      <c r="E2061" s="31">
        <v>1.025E-2</v>
      </c>
      <c r="F2061" s="30">
        <v>2621001454</v>
      </c>
      <c r="G2061" s="30" t="s">
        <v>5427</v>
      </c>
      <c r="H2061" s="30">
        <v>2020</v>
      </c>
      <c r="I2061" s="30">
        <v>816353</v>
      </c>
      <c r="J2061" s="30" t="s">
        <v>5431</v>
      </c>
      <c r="K2061" s="30" t="s">
        <v>5430</v>
      </c>
    </row>
    <row r="2062" spans="1:11" x14ac:dyDescent="0.35">
      <c r="A2062" s="30" t="s">
        <v>13157</v>
      </c>
      <c r="B2062" s="30" t="s">
        <v>13158</v>
      </c>
      <c r="C2062" s="32">
        <v>4.3</v>
      </c>
      <c r="D2062" s="30">
        <v>0.24</v>
      </c>
      <c r="E2062" s="31">
        <v>5.9110000000000003E-2</v>
      </c>
      <c r="F2062" s="30">
        <v>129426573</v>
      </c>
      <c r="G2062" s="30" t="s">
        <v>5427</v>
      </c>
      <c r="H2062" s="30"/>
      <c r="I2062" s="30">
        <v>253154</v>
      </c>
      <c r="J2062" s="30" t="s">
        <v>5431</v>
      </c>
      <c r="K2062" s="30" t="s">
        <v>5430</v>
      </c>
    </row>
    <row r="2063" spans="1:11" x14ac:dyDescent="0.35">
      <c r="A2063" s="30" t="s">
        <v>13159</v>
      </c>
      <c r="B2063" s="30" t="s">
        <v>13160</v>
      </c>
      <c r="C2063" s="32">
        <v>6.81</v>
      </c>
      <c r="D2063" s="30">
        <v>-0.13</v>
      </c>
      <c r="E2063" s="31">
        <v>-1.873E-2</v>
      </c>
      <c r="F2063" s="30">
        <v>257678734</v>
      </c>
      <c r="G2063" s="30" t="s">
        <v>5427</v>
      </c>
      <c r="H2063" s="30">
        <v>2021</v>
      </c>
      <c r="I2063" s="30">
        <v>34457</v>
      </c>
      <c r="J2063" s="30" t="s">
        <v>5431</v>
      </c>
      <c r="K2063" s="30" t="s">
        <v>5430</v>
      </c>
    </row>
    <row r="2064" spans="1:11" x14ac:dyDescent="0.35">
      <c r="A2064" s="30" t="s">
        <v>13161</v>
      </c>
      <c r="B2064" s="30" t="s">
        <v>13162</v>
      </c>
      <c r="C2064" s="32">
        <v>13.06</v>
      </c>
      <c r="D2064" s="30">
        <v>0.04</v>
      </c>
      <c r="E2064" s="31">
        <v>3.0699999999999998E-3</v>
      </c>
      <c r="F2064" s="30">
        <v>153899040</v>
      </c>
      <c r="G2064" s="30" t="s">
        <v>5427</v>
      </c>
      <c r="H2064" s="30">
        <v>2019</v>
      </c>
      <c r="I2064" s="30">
        <v>8419</v>
      </c>
      <c r="J2064" s="30"/>
      <c r="K2064" s="30"/>
    </row>
    <row r="2065" spans="1:11" x14ac:dyDescent="0.35">
      <c r="A2065" s="30" t="s">
        <v>13163</v>
      </c>
      <c r="B2065" s="30" t="s">
        <v>13164</v>
      </c>
      <c r="C2065" s="32">
        <v>8.58</v>
      </c>
      <c r="D2065" s="30">
        <v>0.17</v>
      </c>
      <c r="E2065" s="31">
        <v>2.0209999999999999E-2</v>
      </c>
      <c r="F2065" s="30">
        <v>138941817</v>
      </c>
      <c r="G2065" s="30" t="s">
        <v>5427</v>
      </c>
      <c r="H2065" s="30"/>
      <c r="I2065" s="30">
        <v>147727</v>
      </c>
      <c r="J2065" s="30" t="s">
        <v>5442</v>
      </c>
      <c r="K2065" s="30" t="s">
        <v>5625</v>
      </c>
    </row>
    <row r="2066" spans="1:11" x14ac:dyDescent="0.35">
      <c r="A2066" s="30" t="s">
        <v>13165</v>
      </c>
      <c r="B2066" s="30" t="s">
        <v>13166</v>
      </c>
      <c r="C2066" s="32">
        <v>43.41</v>
      </c>
      <c r="D2066" s="30">
        <v>2.94</v>
      </c>
      <c r="E2066" s="31">
        <v>7.2650000000000006E-2</v>
      </c>
      <c r="F2066" s="30">
        <v>4665794054</v>
      </c>
      <c r="G2066" s="30" t="s">
        <v>5427</v>
      </c>
      <c r="H2066" s="30">
        <v>1997</v>
      </c>
      <c r="I2066" s="30">
        <v>1495165</v>
      </c>
      <c r="J2066" s="30" t="s">
        <v>5219</v>
      </c>
      <c r="K2066" s="30" t="s">
        <v>5526</v>
      </c>
    </row>
    <row r="2067" spans="1:11" x14ac:dyDescent="0.35">
      <c r="A2067" s="30" t="s">
        <v>13167</v>
      </c>
      <c r="B2067" s="30" t="s">
        <v>13168</v>
      </c>
      <c r="C2067" s="32">
        <v>10</v>
      </c>
      <c r="D2067" s="30">
        <v>0</v>
      </c>
      <c r="E2067" s="31">
        <v>0</v>
      </c>
      <c r="F2067" s="30">
        <v>603750000</v>
      </c>
      <c r="G2067" s="30" t="s">
        <v>5427</v>
      </c>
      <c r="H2067" s="30">
        <v>2021</v>
      </c>
      <c r="I2067" s="30">
        <v>92</v>
      </c>
      <c r="J2067" s="30" t="s">
        <v>5435</v>
      </c>
      <c r="K2067" s="30" t="s">
        <v>5482</v>
      </c>
    </row>
    <row r="2068" spans="1:11" x14ac:dyDescent="0.35">
      <c r="A2068" s="30" t="s">
        <v>13169</v>
      </c>
      <c r="B2068" s="30" t="s">
        <v>13170</v>
      </c>
      <c r="C2068" s="32">
        <v>4.9400000000000004</v>
      </c>
      <c r="D2068" s="30">
        <v>0.44</v>
      </c>
      <c r="E2068" s="31">
        <v>9.7780000000000006E-2</v>
      </c>
      <c r="F2068" s="30">
        <v>436093320</v>
      </c>
      <c r="G2068" s="30" t="s">
        <v>5427</v>
      </c>
      <c r="H2068" s="30">
        <v>2015</v>
      </c>
      <c r="I2068" s="30">
        <v>346169</v>
      </c>
      <c r="J2068" s="30" t="s">
        <v>5219</v>
      </c>
      <c r="K2068" s="30" t="s">
        <v>5447</v>
      </c>
    </row>
    <row r="2069" spans="1:11" x14ac:dyDescent="0.35">
      <c r="A2069" s="30" t="s">
        <v>13171</v>
      </c>
      <c r="B2069" s="30" t="s">
        <v>13172</v>
      </c>
      <c r="C2069" s="32">
        <v>30.91</v>
      </c>
      <c r="D2069" s="30">
        <v>-0.11</v>
      </c>
      <c r="E2069" s="31">
        <v>-3.5500000000000002E-3</v>
      </c>
      <c r="F2069" s="30">
        <v>513236502</v>
      </c>
      <c r="G2069" s="30" t="s">
        <v>5427</v>
      </c>
      <c r="H2069" s="30"/>
      <c r="I2069" s="30">
        <v>70036</v>
      </c>
      <c r="J2069" s="30" t="s">
        <v>5435</v>
      </c>
      <c r="K2069" s="30" t="s">
        <v>5197</v>
      </c>
    </row>
    <row r="2070" spans="1:11" x14ac:dyDescent="0.35">
      <c r="A2070" s="30" t="s">
        <v>13173</v>
      </c>
      <c r="B2070" s="30" t="s">
        <v>13174</v>
      </c>
      <c r="C2070" s="32">
        <v>23.93</v>
      </c>
      <c r="D2070" s="30">
        <v>0.23</v>
      </c>
      <c r="E2070" s="31">
        <v>9.7000000000000003E-3</v>
      </c>
      <c r="F2070" s="30">
        <v>1590448056</v>
      </c>
      <c r="G2070" s="30" t="s">
        <v>5427</v>
      </c>
      <c r="H2070" s="30">
        <v>2020</v>
      </c>
      <c r="I2070" s="30">
        <v>984612</v>
      </c>
      <c r="J2070" s="30" t="s">
        <v>5431</v>
      </c>
      <c r="K2070" s="30" t="s">
        <v>5430</v>
      </c>
    </row>
    <row r="2071" spans="1:11" x14ac:dyDescent="0.35">
      <c r="A2071" s="30" t="s">
        <v>13175</v>
      </c>
      <c r="B2071" s="30" t="s">
        <v>13176</v>
      </c>
      <c r="C2071" s="32">
        <v>9.2799999999999994</v>
      </c>
      <c r="D2071" s="30">
        <v>-0.47499999999999998</v>
      </c>
      <c r="E2071" s="31">
        <v>-4.8689999999999997E-2</v>
      </c>
      <c r="F2071" s="30">
        <v>205632736</v>
      </c>
      <c r="G2071" s="30" t="s">
        <v>5427</v>
      </c>
      <c r="H2071" s="30">
        <v>2022</v>
      </c>
      <c r="I2071" s="30">
        <v>9285</v>
      </c>
      <c r="J2071" s="30" t="s">
        <v>5457</v>
      </c>
      <c r="K2071" s="30" t="s">
        <v>5571</v>
      </c>
    </row>
    <row r="2072" spans="1:11" x14ac:dyDescent="0.35">
      <c r="A2072" s="30" t="s">
        <v>13177</v>
      </c>
      <c r="B2072" s="30" t="s">
        <v>13178</v>
      </c>
      <c r="C2072" s="32">
        <v>2.81</v>
      </c>
      <c r="D2072" s="30">
        <v>-0.17</v>
      </c>
      <c r="E2072" s="31">
        <v>-5.7049999999999997E-2</v>
      </c>
      <c r="F2072" s="30">
        <v>105223041</v>
      </c>
      <c r="G2072" s="30" t="s">
        <v>5775</v>
      </c>
      <c r="H2072" s="30">
        <v>2020</v>
      </c>
      <c r="I2072" s="30">
        <v>45951</v>
      </c>
      <c r="J2072" s="30" t="s">
        <v>5431</v>
      </c>
      <c r="K2072" s="30" t="s">
        <v>5610</v>
      </c>
    </row>
    <row r="2073" spans="1:11" x14ac:dyDescent="0.35">
      <c r="A2073" s="30" t="s">
        <v>13179</v>
      </c>
      <c r="B2073" s="30" t="s">
        <v>13180</v>
      </c>
      <c r="C2073" s="32">
        <v>36.200000000000003</v>
      </c>
      <c r="D2073" s="30">
        <v>0.62</v>
      </c>
      <c r="E2073" s="31">
        <v>1.7430000000000001E-2</v>
      </c>
      <c r="F2073" s="30">
        <v>2025502365</v>
      </c>
      <c r="G2073" s="30" t="s">
        <v>5427</v>
      </c>
      <c r="H2073" s="30"/>
      <c r="I2073" s="30">
        <v>308736</v>
      </c>
      <c r="J2073" s="30" t="s">
        <v>5435</v>
      </c>
      <c r="K2073" s="30" t="s">
        <v>5579</v>
      </c>
    </row>
    <row r="2074" spans="1:11" x14ac:dyDescent="0.35">
      <c r="A2074" s="30" t="s">
        <v>13181</v>
      </c>
      <c r="B2074" s="30" t="s">
        <v>13182</v>
      </c>
      <c r="C2074" s="32">
        <v>5.93</v>
      </c>
      <c r="D2074" s="30">
        <v>-7.0000000000000007E-2</v>
      </c>
      <c r="E2074" s="31">
        <v>-1.167E-2</v>
      </c>
      <c r="F2074" s="30">
        <v>2297657167</v>
      </c>
      <c r="G2074" s="30" t="s">
        <v>5775</v>
      </c>
      <c r="H2074" s="30"/>
      <c r="I2074" s="30">
        <v>1032560</v>
      </c>
      <c r="J2074" s="30" t="s">
        <v>5426</v>
      </c>
      <c r="K2074" s="30" t="s">
        <v>6000</v>
      </c>
    </row>
    <row r="2075" spans="1:11" x14ac:dyDescent="0.35">
      <c r="A2075" s="30" t="s">
        <v>13183</v>
      </c>
      <c r="B2075" s="30" t="s">
        <v>13184</v>
      </c>
      <c r="C2075" s="32">
        <v>28.32</v>
      </c>
      <c r="D2075" s="30">
        <v>0.03</v>
      </c>
      <c r="E2075" s="31">
        <v>1.06E-3</v>
      </c>
      <c r="F2075" s="30">
        <v>1493048695</v>
      </c>
      <c r="G2075" s="30" t="s">
        <v>5427</v>
      </c>
      <c r="H2075" s="30">
        <v>2018</v>
      </c>
      <c r="I2075" s="30">
        <v>119552</v>
      </c>
      <c r="J2075" s="30" t="s">
        <v>5457</v>
      </c>
      <c r="K2075" s="30" t="s">
        <v>5903</v>
      </c>
    </row>
    <row r="2076" spans="1:11" x14ac:dyDescent="0.35">
      <c r="A2076" s="30" t="s">
        <v>13185</v>
      </c>
      <c r="B2076" s="30" t="s">
        <v>13186</v>
      </c>
      <c r="C2076" s="32">
        <v>10.31</v>
      </c>
      <c r="D2076" s="30">
        <v>0</v>
      </c>
      <c r="E2076" s="31">
        <v>0</v>
      </c>
      <c r="F2076" s="30">
        <v>276833810</v>
      </c>
      <c r="G2076" s="30" t="s">
        <v>5427</v>
      </c>
      <c r="H2076" s="30">
        <v>2021</v>
      </c>
      <c r="I2076" s="30">
        <v>7033</v>
      </c>
      <c r="J2076" s="30" t="s">
        <v>5457</v>
      </c>
      <c r="K2076" s="30" t="s">
        <v>5571</v>
      </c>
    </row>
    <row r="2077" spans="1:11" x14ac:dyDescent="0.35">
      <c r="A2077" s="30" t="s">
        <v>13187</v>
      </c>
      <c r="B2077" s="30" t="s">
        <v>13188</v>
      </c>
      <c r="C2077" s="32">
        <v>41.8</v>
      </c>
      <c r="D2077" s="30">
        <v>-0.2</v>
      </c>
      <c r="E2077" s="31">
        <v>-4.7600000000000003E-3</v>
      </c>
      <c r="F2077" s="30">
        <v>797971990</v>
      </c>
      <c r="G2077" s="30" t="s">
        <v>5427</v>
      </c>
      <c r="H2077" s="30"/>
      <c r="I2077" s="30">
        <v>284919</v>
      </c>
      <c r="J2077" s="30" t="s">
        <v>5464</v>
      </c>
      <c r="K2077" s="30" t="s">
        <v>5463</v>
      </c>
    </row>
    <row r="2078" spans="1:11" x14ac:dyDescent="0.35">
      <c r="A2078" s="30" t="s">
        <v>13189</v>
      </c>
      <c r="B2078" s="30" t="s">
        <v>13190</v>
      </c>
      <c r="C2078" s="32">
        <v>10.270200000000001</v>
      </c>
      <c r="D2078" s="30">
        <v>2.0000000000000001E-4</v>
      </c>
      <c r="E2078" s="31">
        <v>2.0000000000000002E-5</v>
      </c>
      <c r="F2078" s="30">
        <v>58691615</v>
      </c>
      <c r="G2078" s="30" t="s">
        <v>5427</v>
      </c>
      <c r="H2078" s="30">
        <v>2021</v>
      </c>
      <c r="I2078" s="30">
        <v>51211</v>
      </c>
      <c r="J2078" s="30" t="s">
        <v>5457</v>
      </c>
      <c r="K2078" s="30" t="s">
        <v>5571</v>
      </c>
    </row>
    <row r="2079" spans="1:11" x14ac:dyDescent="0.35">
      <c r="A2079" s="30" t="s">
        <v>13191</v>
      </c>
      <c r="B2079" s="30" t="s">
        <v>13192</v>
      </c>
      <c r="C2079" s="32">
        <v>54.48</v>
      </c>
      <c r="D2079" s="30">
        <v>0.91</v>
      </c>
      <c r="E2079" s="31">
        <v>1.6990000000000002E-2</v>
      </c>
      <c r="F2079" s="30">
        <v>1687298555</v>
      </c>
      <c r="G2079" s="30" t="s">
        <v>5427</v>
      </c>
      <c r="H2079" s="30">
        <v>1993</v>
      </c>
      <c r="I2079" s="30">
        <v>155055</v>
      </c>
      <c r="J2079" s="30"/>
      <c r="K2079" s="30"/>
    </row>
    <row r="2080" spans="1:11" x14ac:dyDescent="0.35">
      <c r="A2080" s="30" t="s">
        <v>13193</v>
      </c>
      <c r="B2080" s="30" t="s">
        <v>13194</v>
      </c>
      <c r="C2080" s="32">
        <v>10.210000000000001</v>
      </c>
      <c r="D2080" s="30">
        <v>-0.01</v>
      </c>
      <c r="E2080" s="31">
        <v>-9.7999999999999997E-4</v>
      </c>
      <c r="F2080" s="30">
        <v>151480665</v>
      </c>
      <c r="G2080" s="30" t="s">
        <v>5427</v>
      </c>
      <c r="H2080" s="30">
        <v>2022</v>
      </c>
      <c r="I2080" s="30">
        <v>6832</v>
      </c>
      <c r="J2080" s="30" t="s">
        <v>5457</v>
      </c>
      <c r="K2080" s="30" t="s">
        <v>5571</v>
      </c>
    </row>
    <row r="2081" spans="1:11" x14ac:dyDescent="0.35">
      <c r="A2081" s="30" t="s">
        <v>13195</v>
      </c>
      <c r="B2081" s="30" t="s">
        <v>13196</v>
      </c>
      <c r="C2081" s="32">
        <v>15.93</v>
      </c>
      <c r="D2081" s="30">
        <v>0.1</v>
      </c>
      <c r="E2081" s="31">
        <v>6.3200000000000001E-3</v>
      </c>
      <c r="F2081" s="30">
        <v>1983903259</v>
      </c>
      <c r="G2081" s="30" t="s">
        <v>5427</v>
      </c>
      <c r="H2081" s="30"/>
      <c r="I2081" s="30">
        <v>662379</v>
      </c>
      <c r="J2081" s="30" t="s">
        <v>5197</v>
      </c>
      <c r="K2081" s="30" t="s">
        <v>5467</v>
      </c>
    </row>
    <row r="2082" spans="1:11" x14ac:dyDescent="0.35">
      <c r="A2082" s="30" t="s">
        <v>13197</v>
      </c>
      <c r="B2082" s="30" t="s">
        <v>13198</v>
      </c>
      <c r="C2082" s="32">
        <v>8.5399999999999991</v>
      </c>
      <c r="D2082" s="30">
        <v>0.24</v>
      </c>
      <c r="E2082" s="31">
        <v>2.8920000000000001E-2</v>
      </c>
      <c r="F2082" s="30">
        <v>6195076441</v>
      </c>
      <c r="G2082" s="30" t="s">
        <v>5775</v>
      </c>
      <c r="H2082" s="30"/>
      <c r="I2082" s="30">
        <v>1468176</v>
      </c>
      <c r="J2082" s="30" t="s">
        <v>5431</v>
      </c>
      <c r="K2082" s="30" t="s">
        <v>5430</v>
      </c>
    </row>
    <row r="2083" spans="1:11" x14ac:dyDescent="0.35">
      <c r="A2083" s="30" t="s">
        <v>13199</v>
      </c>
      <c r="B2083" s="30" t="s">
        <v>13200</v>
      </c>
      <c r="C2083" s="32">
        <v>60.05</v>
      </c>
      <c r="D2083" s="30">
        <v>2.5499999999999998</v>
      </c>
      <c r="E2083" s="31">
        <v>4.4350000000000001E-2</v>
      </c>
      <c r="F2083" s="30">
        <v>8363134436</v>
      </c>
      <c r="G2083" s="30" t="s">
        <v>5427</v>
      </c>
      <c r="H2083" s="30">
        <v>2017</v>
      </c>
      <c r="I2083" s="30">
        <v>9843990</v>
      </c>
      <c r="J2083" s="30" t="s">
        <v>5732</v>
      </c>
      <c r="K2083" s="30" t="s">
        <v>11797</v>
      </c>
    </row>
    <row r="2084" spans="1:11" x14ac:dyDescent="0.35">
      <c r="A2084" s="30" t="s">
        <v>13201</v>
      </c>
      <c r="B2084" s="30" t="s">
        <v>13202</v>
      </c>
      <c r="C2084" s="32">
        <v>6.12</v>
      </c>
      <c r="D2084" s="30">
        <v>0.24</v>
      </c>
      <c r="E2084" s="31">
        <v>4.0820000000000002E-2</v>
      </c>
      <c r="F2084" s="30">
        <v>86292000</v>
      </c>
      <c r="G2084" s="30" t="s">
        <v>5427</v>
      </c>
      <c r="H2084" s="30">
        <v>2020</v>
      </c>
      <c r="I2084" s="30">
        <v>223288</v>
      </c>
      <c r="J2084" s="30" t="s">
        <v>5435</v>
      </c>
      <c r="K2084" s="30" t="s">
        <v>5493</v>
      </c>
    </row>
    <row r="2085" spans="1:11" x14ac:dyDescent="0.35">
      <c r="A2085" s="30" t="s">
        <v>13203</v>
      </c>
      <c r="B2085" s="30" t="s">
        <v>13204</v>
      </c>
      <c r="C2085" s="32">
        <v>10.53</v>
      </c>
      <c r="D2085" s="30">
        <v>0</v>
      </c>
      <c r="E2085" s="31">
        <v>0</v>
      </c>
      <c r="F2085" s="30">
        <v>204347813</v>
      </c>
      <c r="G2085" s="30" t="s">
        <v>5427</v>
      </c>
      <c r="H2085" s="30">
        <v>2021</v>
      </c>
      <c r="I2085" s="30">
        <v>16</v>
      </c>
      <c r="J2085" s="30" t="s">
        <v>5435</v>
      </c>
      <c r="K2085" s="30" t="s">
        <v>5482</v>
      </c>
    </row>
    <row r="2086" spans="1:11" x14ac:dyDescent="0.35">
      <c r="A2086" s="30" t="s">
        <v>13205</v>
      </c>
      <c r="B2086" s="30" t="s">
        <v>13206</v>
      </c>
      <c r="C2086" s="32">
        <v>118.52</v>
      </c>
      <c r="D2086" s="30">
        <v>0.33</v>
      </c>
      <c r="E2086" s="31">
        <v>2.7899999999999999E-3</v>
      </c>
      <c r="F2086" s="30">
        <v>40814851987</v>
      </c>
      <c r="G2086" s="30" t="s">
        <v>5427</v>
      </c>
      <c r="H2086" s="30">
        <v>1985</v>
      </c>
      <c r="I2086" s="30">
        <v>2213382</v>
      </c>
      <c r="J2086" s="30" t="s">
        <v>5442</v>
      </c>
      <c r="K2086" s="30" t="s">
        <v>7318</v>
      </c>
    </row>
    <row r="2087" spans="1:11" x14ac:dyDescent="0.35">
      <c r="A2087" s="30" t="s">
        <v>13207</v>
      </c>
      <c r="B2087" s="30" t="s">
        <v>13208</v>
      </c>
      <c r="C2087" s="32">
        <v>4.2300000000000004</v>
      </c>
      <c r="D2087" s="30">
        <v>0.14000000000000001</v>
      </c>
      <c r="E2087" s="31">
        <v>3.4229999999999997E-2</v>
      </c>
      <c r="F2087" s="30">
        <v>777275896</v>
      </c>
      <c r="G2087" s="30" t="s">
        <v>5427</v>
      </c>
      <c r="H2087" s="30">
        <v>2021</v>
      </c>
      <c r="I2087" s="30">
        <v>672925</v>
      </c>
      <c r="J2087" s="30" t="s">
        <v>5442</v>
      </c>
      <c r="K2087" s="30" t="s">
        <v>5914</v>
      </c>
    </row>
    <row r="2088" spans="1:11" x14ac:dyDescent="0.35">
      <c r="A2088" s="30" t="s">
        <v>13209</v>
      </c>
      <c r="B2088" s="30" t="s">
        <v>13210</v>
      </c>
      <c r="C2088" s="32">
        <v>9.98</v>
      </c>
      <c r="D2088" s="30">
        <v>0.24</v>
      </c>
      <c r="E2088" s="31">
        <v>2.4639999999999999E-2</v>
      </c>
      <c r="F2088" s="30">
        <v>905076969</v>
      </c>
      <c r="G2088" s="30" t="s">
        <v>5427</v>
      </c>
      <c r="H2088" s="30">
        <v>2018</v>
      </c>
      <c r="I2088" s="30">
        <v>562008</v>
      </c>
      <c r="J2088" s="30" t="s">
        <v>5219</v>
      </c>
      <c r="K2088" s="30" t="s">
        <v>5447</v>
      </c>
    </row>
    <row r="2089" spans="1:11" x14ac:dyDescent="0.35">
      <c r="A2089" s="30" t="s">
        <v>13211</v>
      </c>
      <c r="B2089" s="30" t="s">
        <v>13212</v>
      </c>
      <c r="C2089" s="32">
        <v>52.32</v>
      </c>
      <c r="D2089" s="30">
        <v>12.45</v>
      </c>
      <c r="E2089" s="31">
        <v>0.31225999999999998</v>
      </c>
      <c r="F2089" s="30">
        <v>3099223334</v>
      </c>
      <c r="G2089" s="30" t="s">
        <v>5427</v>
      </c>
      <c r="H2089" s="30">
        <v>2015</v>
      </c>
      <c r="I2089" s="30">
        <v>11421032</v>
      </c>
      <c r="J2089" s="30" t="s">
        <v>5219</v>
      </c>
      <c r="K2089" s="30" t="s">
        <v>5560</v>
      </c>
    </row>
    <row r="2090" spans="1:11" x14ac:dyDescent="0.35">
      <c r="A2090" s="30" t="s">
        <v>13213</v>
      </c>
      <c r="B2090" s="30" t="s">
        <v>13214</v>
      </c>
      <c r="C2090" s="32">
        <v>2.65</v>
      </c>
      <c r="D2090" s="30">
        <v>-0.06</v>
      </c>
      <c r="E2090" s="31">
        <v>-2.214E-2</v>
      </c>
      <c r="F2090" s="30">
        <v>65003562</v>
      </c>
      <c r="G2090" s="30" t="s">
        <v>5427</v>
      </c>
      <c r="H2090" s="30">
        <v>2021</v>
      </c>
      <c r="I2090" s="30">
        <v>5028</v>
      </c>
      <c r="J2090" s="30" t="s">
        <v>5431</v>
      </c>
      <c r="K2090" s="30" t="s">
        <v>5430</v>
      </c>
    </row>
    <row r="2091" spans="1:11" x14ac:dyDescent="0.35">
      <c r="A2091" s="30" t="s">
        <v>13215</v>
      </c>
      <c r="B2091" s="30" t="s">
        <v>13216</v>
      </c>
      <c r="C2091" s="32">
        <v>1.45</v>
      </c>
      <c r="D2091" s="30">
        <v>-0.05</v>
      </c>
      <c r="E2091" s="31">
        <v>-3.3329999999999999E-2</v>
      </c>
      <c r="F2091" s="30">
        <v>60891713</v>
      </c>
      <c r="G2091" s="30" t="s">
        <v>5427</v>
      </c>
      <c r="H2091" s="30">
        <v>2021</v>
      </c>
      <c r="I2091" s="30">
        <v>25556</v>
      </c>
      <c r="J2091" s="30" t="s">
        <v>5431</v>
      </c>
      <c r="K2091" s="30" t="s">
        <v>5610</v>
      </c>
    </row>
    <row r="2092" spans="1:11" x14ac:dyDescent="0.35">
      <c r="A2092" s="30" t="s">
        <v>13217</v>
      </c>
      <c r="B2092" s="30" t="s">
        <v>13218</v>
      </c>
      <c r="C2092" s="32">
        <v>38.9</v>
      </c>
      <c r="D2092" s="30">
        <v>-0.28999999999999998</v>
      </c>
      <c r="E2092" s="31">
        <v>-7.4000000000000003E-3</v>
      </c>
      <c r="F2092" s="30">
        <v>17158953536</v>
      </c>
      <c r="G2092" s="30" t="s">
        <v>5427</v>
      </c>
      <c r="H2092" s="30">
        <v>2020</v>
      </c>
      <c r="I2092" s="30">
        <v>1315970</v>
      </c>
      <c r="J2092" s="30" t="s">
        <v>5431</v>
      </c>
      <c r="K2092" s="30" t="s">
        <v>5430</v>
      </c>
    </row>
    <row r="2093" spans="1:11" x14ac:dyDescent="0.35">
      <c r="A2093" s="30" t="s">
        <v>13219</v>
      </c>
      <c r="B2093" s="30" t="s">
        <v>13220</v>
      </c>
      <c r="C2093" s="32">
        <v>12.6</v>
      </c>
      <c r="D2093" s="30">
        <v>0.24</v>
      </c>
      <c r="E2093" s="31">
        <v>1.942E-2</v>
      </c>
      <c r="F2093" s="30">
        <v>528715026</v>
      </c>
      <c r="G2093" s="30" t="s">
        <v>5515</v>
      </c>
      <c r="H2093" s="30">
        <v>2020</v>
      </c>
      <c r="I2093" s="30">
        <v>99741</v>
      </c>
      <c r="J2093" s="30" t="s">
        <v>5431</v>
      </c>
      <c r="K2093" s="30" t="s">
        <v>8643</v>
      </c>
    </row>
    <row r="2094" spans="1:11" x14ac:dyDescent="0.35">
      <c r="A2094" s="30" t="s">
        <v>13221</v>
      </c>
      <c r="B2094" s="30" t="s">
        <v>13222</v>
      </c>
      <c r="C2094" s="32">
        <v>50.76</v>
      </c>
      <c r="D2094" s="30">
        <v>-0.14000000000000001</v>
      </c>
      <c r="E2094" s="31">
        <v>-2.7499999999999998E-3</v>
      </c>
      <c r="F2094" s="30">
        <v>364655525</v>
      </c>
      <c r="G2094" s="30" t="s">
        <v>5427</v>
      </c>
      <c r="H2094" s="30">
        <v>2019</v>
      </c>
      <c r="I2094" s="30">
        <v>5490</v>
      </c>
      <c r="J2094" s="30" t="s">
        <v>5435</v>
      </c>
      <c r="K2094" s="30" t="s">
        <v>5582</v>
      </c>
    </row>
    <row r="2095" spans="1:11" x14ac:dyDescent="0.35">
      <c r="A2095" s="30" t="s">
        <v>13223</v>
      </c>
      <c r="B2095" s="30" t="s">
        <v>13224</v>
      </c>
      <c r="C2095" s="32">
        <v>8.92</v>
      </c>
      <c r="D2095" s="30">
        <v>-0.02</v>
      </c>
      <c r="E2095" s="31">
        <v>-2.2399999999999998E-3</v>
      </c>
      <c r="F2095" s="30">
        <v>142078161</v>
      </c>
      <c r="G2095" s="30" t="s">
        <v>5427</v>
      </c>
      <c r="H2095" s="30">
        <v>2002</v>
      </c>
      <c r="I2095" s="30">
        <v>311250</v>
      </c>
      <c r="J2095" s="30" t="s">
        <v>5442</v>
      </c>
      <c r="K2095" s="30" t="s">
        <v>5441</v>
      </c>
    </row>
    <row r="2096" spans="1:11" x14ac:dyDescent="0.35">
      <c r="A2096" s="30" t="s">
        <v>13225</v>
      </c>
      <c r="B2096" s="30" t="s">
        <v>13226</v>
      </c>
      <c r="C2096" s="32">
        <v>45.9</v>
      </c>
      <c r="D2096" s="30">
        <v>0.89</v>
      </c>
      <c r="E2096" s="31">
        <v>1.9769999999999999E-2</v>
      </c>
      <c r="F2096" s="30">
        <v>2662219232</v>
      </c>
      <c r="G2096" s="30" t="s">
        <v>5427</v>
      </c>
      <c r="H2096" s="30">
        <v>2016</v>
      </c>
      <c r="I2096" s="30">
        <v>312525</v>
      </c>
      <c r="J2096" s="30" t="s">
        <v>5442</v>
      </c>
      <c r="K2096" s="30" t="s">
        <v>5641</v>
      </c>
    </row>
    <row r="2097" spans="1:11" x14ac:dyDescent="0.35">
      <c r="A2097" s="30" t="s">
        <v>13227</v>
      </c>
      <c r="B2097" s="30" t="s">
        <v>13228</v>
      </c>
      <c r="C2097" s="32">
        <v>2.25</v>
      </c>
      <c r="D2097" s="30">
        <v>0.04</v>
      </c>
      <c r="E2097" s="31">
        <v>1.8100000000000002E-2</v>
      </c>
      <c r="F2097" s="30">
        <v>65918435</v>
      </c>
      <c r="G2097" s="30" t="s">
        <v>5427</v>
      </c>
      <c r="H2097" s="30"/>
      <c r="I2097" s="30">
        <v>22339</v>
      </c>
      <c r="J2097" s="30" t="s">
        <v>5219</v>
      </c>
      <c r="K2097" s="30" t="s">
        <v>5560</v>
      </c>
    </row>
    <row r="2098" spans="1:11" x14ac:dyDescent="0.35">
      <c r="A2098" s="30" t="s">
        <v>13229</v>
      </c>
      <c r="B2098" s="30" t="s">
        <v>13230</v>
      </c>
      <c r="C2098" s="32">
        <v>7.12</v>
      </c>
      <c r="D2098" s="30">
        <v>0.08</v>
      </c>
      <c r="E2098" s="31">
        <v>1.136E-2</v>
      </c>
      <c r="F2098" s="30">
        <v>458342196</v>
      </c>
      <c r="G2098" s="30" t="s">
        <v>5427</v>
      </c>
      <c r="H2098" s="30">
        <v>2021</v>
      </c>
      <c r="I2098" s="30">
        <v>116195</v>
      </c>
      <c r="J2098" s="30" t="s">
        <v>5442</v>
      </c>
      <c r="K2098" s="30" t="s">
        <v>5450</v>
      </c>
    </row>
    <row r="2099" spans="1:11" x14ac:dyDescent="0.35">
      <c r="A2099" s="30" t="s">
        <v>13231</v>
      </c>
      <c r="B2099" s="30" t="s">
        <v>13232</v>
      </c>
      <c r="C2099" s="32">
        <v>6.87</v>
      </c>
      <c r="D2099" s="30">
        <v>0.04</v>
      </c>
      <c r="E2099" s="31">
        <v>5.8599999999999998E-3</v>
      </c>
      <c r="F2099" s="30">
        <v>922121030</v>
      </c>
      <c r="G2099" s="30" t="s">
        <v>5427</v>
      </c>
      <c r="H2099" s="30"/>
      <c r="I2099" s="30">
        <v>703864</v>
      </c>
      <c r="J2099" s="30" t="s">
        <v>5197</v>
      </c>
      <c r="K2099" s="30" t="s">
        <v>5467</v>
      </c>
    </row>
    <row r="2100" spans="1:11" x14ac:dyDescent="0.35">
      <c r="A2100" s="30" t="s">
        <v>13233</v>
      </c>
      <c r="B2100" s="30" t="s">
        <v>13234</v>
      </c>
      <c r="C2100" s="32">
        <v>10.32</v>
      </c>
      <c r="D2100" s="30">
        <v>0.27</v>
      </c>
      <c r="E2100" s="31">
        <v>2.6870000000000002E-2</v>
      </c>
      <c r="F2100" s="30">
        <v>2880621363</v>
      </c>
      <c r="G2100" s="30" t="s">
        <v>5427</v>
      </c>
      <c r="H2100" s="30">
        <v>2021</v>
      </c>
      <c r="I2100" s="30">
        <v>1231224</v>
      </c>
      <c r="J2100" s="30" t="s">
        <v>5219</v>
      </c>
      <c r="K2100" s="30" t="s">
        <v>5560</v>
      </c>
    </row>
    <row r="2101" spans="1:11" x14ac:dyDescent="0.35">
      <c r="A2101" s="30" t="s">
        <v>13235</v>
      </c>
      <c r="B2101" s="30" t="s">
        <v>13236</v>
      </c>
      <c r="C2101" s="32">
        <v>27.35</v>
      </c>
      <c r="D2101" s="30">
        <v>1.07</v>
      </c>
      <c r="E2101" s="31">
        <v>4.0719999999999999E-2</v>
      </c>
      <c r="F2101" s="30">
        <v>5828386715</v>
      </c>
      <c r="G2101" s="30" t="s">
        <v>5427</v>
      </c>
      <c r="H2101" s="30">
        <v>2015</v>
      </c>
      <c r="I2101" s="30">
        <v>6968045</v>
      </c>
      <c r="J2101" s="30" t="s">
        <v>5457</v>
      </c>
      <c r="K2101" s="30" t="s">
        <v>5537</v>
      </c>
    </row>
    <row r="2102" spans="1:11" x14ac:dyDescent="0.35">
      <c r="A2102" s="30" t="s">
        <v>13237</v>
      </c>
      <c r="B2102" s="30" t="s">
        <v>13238</v>
      </c>
      <c r="C2102" s="32">
        <v>55.74</v>
      </c>
      <c r="D2102" s="30">
        <v>1.93</v>
      </c>
      <c r="E2102" s="31">
        <v>3.5869999999999999E-2</v>
      </c>
      <c r="F2102" s="30">
        <v>3034310465</v>
      </c>
      <c r="G2102" s="30" t="s">
        <v>5427</v>
      </c>
      <c r="H2102" s="30"/>
      <c r="I2102" s="30">
        <v>362827</v>
      </c>
      <c r="J2102" s="30" t="s">
        <v>5442</v>
      </c>
      <c r="K2102" s="30" t="s">
        <v>5508</v>
      </c>
    </row>
    <row r="2103" spans="1:11" x14ac:dyDescent="0.35">
      <c r="A2103" s="30" t="s">
        <v>13239</v>
      </c>
      <c r="B2103" s="30" t="s">
        <v>13240</v>
      </c>
      <c r="C2103" s="32">
        <v>59.93</v>
      </c>
      <c r="D2103" s="30">
        <v>1.76</v>
      </c>
      <c r="E2103" s="31">
        <v>3.0259999999999999E-2</v>
      </c>
      <c r="F2103" s="30">
        <v>3262400900</v>
      </c>
      <c r="G2103" s="30" t="s">
        <v>5427</v>
      </c>
      <c r="H2103" s="30"/>
      <c r="I2103" s="30">
        <v>10970</v>
      </c>
      <c r="J2103" s="30" t="s">
        <v>5442</v>
      </c>
      <c r="K2103" s="30" t="s">
        <v>5508</v>
      </c>
    </row>
    <row r="2104" spans="1:11" x14ac:dyDescent="0.35">
      <c r="A2104" s="30" t="s">
        <v>13241</v>
      </c>
      <c r="B2104" s="30" t="s">
        <v>13242</v>
      </c>
      <c r="C2104" s="32">
        <v>17.28</v>
      </c>
      <c r="D2104" s="30">
        <v>-0.03</v>
      </c>
      <c r="E2104" s="31">
        <v>-1.73E-3</v>
      </c>
      <c r="F2104" s="30">
        <v>573732910</v>
      </c>
      <c r="G2104" s="30" t="s">
        <v>5427</v>
      </c>
      <c r="H2104" s="30">
        <v>2005</v>
      </c>
      <c r="I2104" s="30">
        <v>541521</v>
      </c>
      <c r="J2104" s="30" t="s">
        <v>5442</v>
      </c>
      <c r="K2104" s="30" t="s">
        <v>5441</v>
      </c>
    </row>
    <row r="2105" spans="1:11" x14ac:dyDescent="0.35">
      <c r="A2105" s="30" t="s">
        <v>13243</v>
      </c>
      <c r="B2105" s="30" t="s">
        <v>13244</v>
      </c>
      <c r="C2105" s="32">
        <v>1.31</v>
      </c>
      <c r="D2105" s="30">
        <v>0.01</v>
      </c>
      <c r="E2105" s="31">
        <v>7.6899999999999998E-3</v>
      </c>
      <c r="F2105" s="30">
        <v>130027963</v>
      </c>
      <c r="G2105" s="30" t="s">
        <v>5427</v>
      </c>
      <c r="H2105" s="30">
        <v>2018</v>
      </c>
      <c r="I2105" s="30">
        <v>68078</v>
      </c>
      <c r="J2105" s="30" t="s">
        <v>5431</v>
      </c>
      <c r="K2105" s="30" t="s">
        <v>5430</v>
      </c>
    </row>
    <row r="2106" spans="1:11" x14ac:dyDescent="0.35">
      <c r="A2106" s="30" t="s">
        <v>13245</v>
      </c>
      <c r="B2106" s="30" t="s">
        <v>13246</v>
      </c>
      <c r="C2106" s="32">
        <v>27.08</v>
      </c>
      <c r="D2106" s="30">
        <v>0.34</v>
      </c>
      <c r="E2106" s="31">
        <v>1.272E-2</v>
      </c>
      <c r="F2106" s="30">
        <v>2404454837</v>
      </c>
      <c r="G2106" s="30" t="s">
        <v>5427</v>
      </c>
      <c r="H2106" s="30">
        <v>2020</v>
      </c>
      <c r="I2106" s="30">
        <v>790810</v>
      </c>
      <c r="J2106" s="30" t="s">
        <v>5431</v>
      </c>
      <c r="K2106" s="30" t="s">
        <v>5685</v>
      </c>
    </row>
    <row r="2107" spans="1:11" x14ac:dyDescent="0.35">
      <c r="A2107" s="30" t="s">
        <v>13247</v>
      </c>
      <c r="B2107" s="30" t="s">
        <v>13248</v>
      </c>
      <c r="C2107" s="32">
        <v>34.380000000000003</v>
      </c>
      <c r="D2107" s="30">
        <v>-0.3</v>
      </c>
      <c r="E2107" s="31">
        <v>-8.6499999999999997E-3</v>
      </c>
      <c r="F2107" s="30">
        <v>2828565749</v>
      </c>
      <c r="G2107" s="30" t="s">
        <v>5427</v>
      </c>
      <c r="H2107" s="30">
        <v>2014</v>
      </c>
      <c r="I2107" s="30">
        <v>1445518</v>
      </c>
      <c r="J2107" s="30" t="s">
        <v>5431</v>
      </c>
      <c r="K2107" s="30" t="s">
        <v>5430</v>
      </c>
    </row>
    <row r="2108" spans="1:11" x14ac:dyDescent="0.35">
      <c r="A2108" s="30" t="s">
        <v>13249</v>
      </c>
      <c r="B2108" s="30" t="s">
        <v>13250</v>
      </c>
      <c r="C2108" s="32">
        <v>7.42</v>
      </c>
      <c r="D2108" s="30">
        <v>0.08</v>
      </c>
      <c r="E2108" s="31">
        <v>1.09E-2</v>
      </c>
      <c r="F2108" s="30">
        <v>159582919</v>
      </c>
      <c r="G2108" s="30" t="s">
        <v>5427</v>
      </c>
      <c r="H2108" s="30"/>
      <c r="I2108" s="30">
        <v>17385</v>
      </c>
      <c r="J2108" s="30" t="s">
        <v>5435</v>
      </c>
      <c r="K2108" s="30" t="s">
        <v>5579</v>
      </c>
    </row>
    <row r="2109" spans="1:11" x14ac:dyDescent="0.35">
      <c r="A2109" s="30" t="s">
        <v>13251</v>
      </c>
      <c r="B2109" s="30" t="s">
        <v>13252</v>
      </c>
      <c r="C2109" s="32">
        <v>12.96</v>
      </c>
      <c r="D2109" s="30">
        <v>-0.03</v>
      </c>
      <c r="E2109" s="31">
        <v>-2.31E-3</v>
      </c>
      <c r="F2109" s="30">
        <v>525192634</v>
      </c>
      <c r="G2109" s="30" t="s">
        <v>5427</v>
      </c>
      <c r="H2109" s="30">
        <v>2021</v>
      </c>
      <c r="I2109" s="30">
        <v>81960</v>
      </c>
      <c r="J2109" s="30"/>
      <c r="K2109" s="30"/>
    </row>
    <row r="2110" spans="1:11" x14ac:dyDescent="0.35">
      <c r="A2110" s="30" t="s">
        <v>13253</v>
      </c>
      <c r="B2110" s="30" t="s">
        <v>13254</v>
      </c>
      <c r="C2110" s="32">
        <v>10.29</v>
      </c>
      <c r="D2110" s="30">
        <v>0</v>
      </c>
      <c r="E2110" s="31">
        <v>0</v>
      </c>
      <c r="F2110" s="30">
        <v>153372450</v>
      </c>
      <c r="G2110" s="30" t="s">
        <v>5427</v>
      </c>
      <c r="H2110" s="30">
        <v>2022</v>
      </c>
      <c r="I2110" s="30">
        <v>145</v>
      </c>
      <c r="J2110" s="30" t="s">
        <v>5457</v>
      </c>
      <c r="K2110" s="30" t="s">
        <v>5571</v>
      </c>
    </row>
    <row r="2111" spans="1:11" x14ac:dyDescent="0.35">
      <c r="A2111" s="30" t="s">
        <v>13255</v>
      </c>
      <c r="B2111" s="30" t="s">
        <v>13256</v>
      </c>
      <c r="C2111" s="32">
        <v>109.67</v>
      </c>
      <c r="D2111" s="30">
        <v>-3.99</v>
      </c>
      <c r="E2111" s="31">
        <v>-3.5099999999999999E-2</v>
      </c>
      <c r="F2111" s="30">
        <v>5098306169</v>
      </c>
      <c r="G2111" s="30" t="s">
        <v>5427</v>
      </c>
      <c r="H2111" s="30">
        <v>2021</v>
      </c>
      <c r="I2111" s="30">
        <v>479289</v>
      </c>
      <c r="J2111" s="30" t="s">
        <v>5431</v>
      </c>
      <c r="K2111" s="30" t="s">
        <v>5430</v>
      </c>
    </row>
    <row r="2112" spans="1:11" x14ac:dyDescent="0.35">
      <c r="A2112" s="30" t="s">
        <v>13257</v>
      </c>
      <c r="B2112" s="30" t="s">
        <v>13258</v>
      </c>
      <c r="C2112" s="32">
        <v>8.5500000000000007</v>
      </c>
      <c r="D2112" s="30">
        <v>0.22</v>
      </c>
      <c r="E2112" s="31">
        <v>2.6409999999999999E-2</v>
      </c>
      <c r="F2112" s="30">
        <v>1620701620</v>
      </c>
      <c r="G2112" s="30" t="s">
        <v>5427</v>
      </c>
      <c r="H2112" s="30">
        <v>2021</v>
      </c>
      <c r="I2112" s="30">
        <v>918233</v>
      </c>
      <c r="J2112" s="30" t="s">
        <v>5431</v>
      </c>
      <c r="K2112" s="30" t="s">
        <v>5430</v>
      </c>
    </row>
    <row r="2113" spans="1:11" x14ac:dyDescent="0.35">
      <c r="A2113" s="30" t="s">
        <v>13259</v>
      </c>
      <c r="B2113" s="30" t="s">
        <v>13260</v>
      </c>
      <c r="C2113" s="32">
        <v>13.91</v>
      </c>
      <c r="D2113" s="30">
        <v>-0.09</v>
      </c>
      <c r="E2113" s="31">
        <v>-6.43E-3</v>
      </c>
      <c r="F2113" s="30">
        <v>385607901</v>
      </c>
      <c r="G2113" s="30" t="s">
        <v>5427</v>
      </c>
      <c r="H2113" s="30">
        <v>2021</v>
      </c>
      <c r="I2113" s="30">
        <v>63462</v>
      </c>
      <c r="J2113" s="30" t="s">
        <v>5431</v>
      </c>
      <c r="K2113" s="30" t="s">
        <v>6537</v>
      </c>
    </row>
    <row r="2114" spans="1:11" x14ac:dyDescent="0.35">
      <c r="A2114" s="30" t="s">
        <v>13261</v>
      </c>
      <c r="B2114" s="30" t="s">
        <v>13262</v>
      </c>
      <c r="C2114" s="32">
        <v>3.29</v>
      </c>
      <c r="D2114" s="30">
        <v>0.28999999999999998</v>
      </c>
      <c r="E2114" s="31">
        <v>9.6670000000000006E-2</v>
      </c>
      <c r="F2114" s="30">
        <v>694551492</v>
      </c>
      <c r="G2114" s="30" t="s">
        <v>5427</v>
      </c>
      <c r="H2114" s="30">
        <v>2020</v>
      </c>
      <c r="I2114" s="30">
        <v>1624681</v>
      </c>
      <c r="J2114" s="30" t="s">
        <v>5219</v>
      </c>
      <c r="K2114" s="30" t="s">
        <v>5447</v>
      </c>
    </row>
    <row r="2115" spans="1:11" x14ac:dyDescent="0.35">
      <c r="A2115" s="30" t="s">
        <v>13263</v>
      </c>
      <c r="B2115" s="30" t="s">
        <v>13264</v>
      </c>
      <c r="C2115" s="32">
        <v>92.86</v>
      </c>
      <c r="D2115" s="30">
        <v>2.33</v>
      </c>
      <c r="E2115" s="31">
        <v>2.5739999999999999E-2</v>
      </c>
      <c r="F2115" s="30">
        <v>21147277558</v>
      </c>
      <c r="G2115" s="30" t="s">
        <v>5512</v>
      </c>
      <c r="H2115" s="30">
        <v>1997</v>
      </c>
      <c r="I2115" s="30">
        <v>410539</v>
      </c>
      <c r="J2115" s="30" t="s">
        <v>5442</v>
      </c>
      <c r="K2115" s="30" t="s">
        <v>5749</v>
      </c>
    </row>
    <row r="2116" spans="1:11" x14ac:dyDescent="0.35">
      <c r="A2116" s="30" t="s">
        <v>13265</v>
      </c>
      <c r="B2116" s="30" t="s">
        <v>13266</v>
      </c>
      <c r="C2116" s="32">
        <v>27.35</v>
      </c>
      <c r="D2116" s="30">
        <v>0</v>
      </c>
      <c r="E2116" s="31">
        <v>0</v>
      </c>
      <c r="F2116" s="30">
        <v>1541126853</v>
      </c>
      <c r="G2116" s="30" t="s">
        <v>5427</v>
      </c>
      <c r="H2116" s="30">
        <v>2017</v>
      </c>
      <c r="I2116" s="30">
        <v>536374</v>
      </c>
      <c r="J2116" s="30" t="s">
        <v>5431</v>
      </c>
      <c r="K2116" s="30" t="s">
        <v>5430</v>
      </c>
    </row>
    <row r="2117" spans="1:11" x14ac:dyDescent="0.35">
      <c r="A2117" s="30" t="s">
        <v>13267</v>
      </c>
      <c r="B2117" s="30" t="s">
        <v>13268</v>
      </c>
      <c r="C2117" s="32">
        <v>2.77</v>
      </c>
      <c r="D2117" s="30">
        <v>0.2</v>
      </c>
      <c r="E2117" s="31">
        <v>7.782E-2</v>
      </c>
      <c r="F2117" s="30">
        <v>102012361</v>
      </c>
      <c r="G2117" s="30" t="s">
        <v>5427</v>
      </c>
      <c r="H2117" s="30"/>
      <c r="I2117" s="30">
        <v>45807</v>
      </c>
      <c r="J2117" s="30" t="s">
        <v>5431</v>
      </c>
      <c r="K2117" s="30" t="s">
        <v>5430</v>
      </c>
    </row>
    <row r="2118" spans="1:11" x14ac:dyDescent="0.35">
      <c r="A2118" s="30" t="s">
        <v>13269</v>
      </c>
      <c r="B2118" s="30" t="s">
        <v>13270</v>
      </c>
      <c r="C2118" s="32">
        <v>7.06</v>
      </c>
      <c r="D2118" s="30">
        <v>0.25</v>
      </c>
      <c r="E2118" s="31">
        <v>3.671E-2</v>
      </c>
      <c r="F2118" s="30">
        <v>2318230150</v>
      </c>
      <c r="G2118" s="30" t="s">
        <v>5427</v>
      </c>
      <c r="H2118" s="30">
        <v>2014</v>
      </c>
      <c r="I2118" s="30">
        <v>5017531</v>
      </c>
      <c r="J2118" s="30" t="s">
        <v>5442</v>
      </c>
      <c r="K2118" s="30" t="s">
        <v>5914</v>
      </c>
    </row>
    <row r="2119" spans="1:11" x14ac:dyDescent="0.35">
      <c r="A2119" s="30" t="s">
        <v>13271</v>
      </c>
      <c r="B2119" s="30" t="s">
        <v>13272</v>
      </c>
      <c r="C2119" s="32">
        <v>85.51</v>
      </c>
      <c r="D2119" s="30">
        <v>1.1200000000000001</v>
      </c>
      <c r="E2119" s="31">
        <v>1.3270000000000001E-2</v>
      </c>
      <c r="F2119" s="30">
        <v>1260213715</v>
      </c>
      <c r="G2119" s="30" t="s">
        <v>5427</v>
      </c>
      <c r="H2119" s="30">
        <v>2002</v>
      </c>
      <c r="I2119" s="30">
        <v>93016</v>
      </c>
      <c r="J2119" s="30" t="s">
        <v>5435</v>
      </c>
      <c r="K2119" s="30" t="s">
        <v>5493</v>
      </c>
    </row>
    <row r="2120" spans="1:11" x14ac:dyDescent="0.35">
      <c r="A2120" s="30" t="s">
        <v>13273</v>
      </c>
      <c r="B2120" s="30" t="s">
        <v>13274</v>
      </c>
      <c r="C2120" s="32">
        <v>10.49</v>
      </c>
      <c r="D2120" s="30">
        <v>0</v>
      </c>
      <c r="E2120" s="31">
        <v>0</v>
      </c>
      <c r="F2120" s="30">
        <v>156196100</v>
      </c>
      <c r="G2120" s="30" t="s">
        <v>5427</v>
      </c>
      <c r="H2120" s="30">
        <v>2022</v>
      </c>
      <c r="I2120" s="30">
        <v>7</v>
      </c>
      <c r="J2120" s="30" t="s">
        <v>5457</v>
      </c>
      <c r="K2120" s="30" t="s">
        <v>5571</v>
      </c>
    </row>
    <row r="2121" spans="1:11" x14ac:dyDescent="0.35">
      <c r="A2121" s="30" t="s">
        <v>13275</v>
      </c>
      <c r="B2121" s="30" t="s">
        <v>13276</v>
      </c>
      <c r="C2121" s="32">
        <v>44.66</v>
      </c>
      <c r="D2121" s="30">
        <v>0.32</v>
      </c>
      <c r="E2121" s="31">
        <v>7.2199999999999999E-3</v>
      </c>
      <c r="F2121" s="30">
        <v>2656988821</v>
      </c>
      <c r="G2121" s="30" t="s">
        <v>5427</v>
      </c>
      <c r="H2121" s="30">
        <v>2014</v>
      </c>
      <c r="I2121" s="30">
        <v>463520</v>
      </c>
      <c r="J2121" s="30" t="s">
        <v>5431</v>
      </c>
      <c r="K2121" s="30" t="s">
        <v>5430</v>
      </c>
    </row>
    <row r="2122" spans="1:11" x14ac:dyDescent="0.35">
      <c r="A2122" s="30" t="s">
        <v>13277</v>
      </c>
      <c r="B2122" s="30" t="s">
        <v>13278</v>
      </c>
      <c r="C2122" s="32">
        <v>295.64</v>
      </c>
      <c r="D2122" s="30">
        <v>22.86</v>
      </c>
      <c r="E2122" s="31">
        <v>8.3799999999999999E-2</v>
      </c>
      <c r="F2122" s="30">
        <v>7823362561</v>
      </c>
      <c r="G2122" s="30" t="s">
        <v>5427</v>
      </c>
      <c r="H2122" s="30"/>
      <c r="I2122" s="30">
        <v>1016970</v>
      </c>
      <c r="J2122" s="30" t="s">
        <v>5457</v>
      </c>
      <c r="K2122" s="30" t="s">
        <v>5725</v>
      </c>
    </row>
    <row r="2123" spans="1:11" x14ac:dyDescent="0.35">
      <c r="A2123" s="30" t="s">
        <v>13279</v>
      </c>
      <c r="B2123" s="30" t="s">
        <v>13280</v>
      </c>
      <c r="C2123" s="32">
        <v>29.61</v>
      </c>
      <c r="D2123" s="30">
        <v>1.58</v>
      </c>
      <c r="E2123" s="31">
        <v>5.6370000000000003E-2</v>
      </c>
      <c r="F2123" s="30">
        <v>171702942</v>
      </c>
      <c r="G2123" s="30" t="s">
        <v>5427</v>
      </c>
      <c r="H2123" s="30"/>
      <c r="I2123" s="30">
        <v>6468</v>
      </c>
      <c r="J2123" s="30" t="s">
        <v>5435</v>
      </c>
      <c r="K2123" s="30" t="s">
        <v>6556</v>
      </c>
    </row>
    <row r="2124" spans="1:11" x14ac:dyDescent="0.35">
      <c r="A2124" s="30" t="s">
        <v>13281</v>
      </c>
      <c r="B2124" s="30" t="s">
        <v>13282</v>
      </c>
      <c r="C2124" s="32">
        <v>10.17</v>
      </c>
      <c r="D2124" s="30">
        <v>0</v>
      </c>
      <c r="E2124" s="31">
        <v>0</v>
      </c>
      <c r="F2124" s="30">
        <v>209756250</v>
      </c>
      <c r="G2124" s="30" t="s">
        <v>5427</v>
      </c>
      <c r="H2124" s="30">
        <v>2021</v>
      </c>
      <c r="I2124" s="30">
        <v>14</v>
      </c>
      <c r="J2124" s="30" t="s">
        <v>5457</v>
      </c>
      <c r="K2124" s="30" t="s">
        <v>5571</v>
      </c>
    </row>
    <row r="2125" spans="1:11" x14ac:dyDescent="0.35">
      <c r="A2125" s="30" t="s">
        <v>13283</v>
      </c>
      <c r="B2125" s="30" t="s">
        <v>13284</v>
      </c>
      <c r="C2125" s="32">
        <v>19.55</v>
      </c>
      <c r="D2125" s="30">
        <v>0.65</v>
      </c>
      <c r="E2125" s="31">
        <v>3.4389999999999997E-2</v>
      </c>
      <c r="F2125" s="30">
        <v>282862577</v>
      </c>
      <c r="G2125" s="30" t="s">
        <v>5427</v>
      </c>
      <c r="H2125" s="30">
        <v>2013</v>
      </c>
      <c r="I2125" s="30">
        <v>17138</v>
      </c>
      <c r="J2125" s="30" t="s">
        <v>5435</v>
      </c>
      <c r="K2125" s="30" t="s">
        <v>5434</v>
      </c>
    </row>
    <row r="2126" spans="1:11" x14ac:dyDescent="0.35">
      <c r="A2126" s="30" t="s">
        <v>13285</v>
      </c>
      <c r="B2126" s="30" t="s">
        <v>13286</v>
      </c>
      <c r="C2126" s="32">
        <v>4.71</v>
      </c>
      <c r="D2126" s="30">
        <v>0.15</v>
      </c>
      <c r="E2126" s="31">
        <v>3.2890000000000003E-2</v>
      </c>
      <c r="F2126" s="30">
        <v>898321556</v>
      </c>
      <c r="G2126" s="30" t="s">
        <v>5427</v>
      </c>
      <c r="H2126" s="30">
        <v>2021</v>
      </c>
      <c r="I2126" s="30">
        <v>1019194</v>
      </c>
      <c r="J2126" s="30" t="s">
        <v>5431</v>
      </c>
      <c r="K2126" s="30" t="s">
        <v>5685</v>
      </c>
    </row>
    <row r="2127" spans="1:11" x14ac:dyDescent="0.35">
      <c r="A2127" s="30" t="s">
        <v>13287</v>
      </c>
      <c r="B2127" s="30" t="s">
        <v>13288</v>
      </c>
      <c r="C2127" s="32">
        <v>4.53</v>
      </c>
      <c r="D2127" s="30">
        <v>-3.5000000000000003E-2</v>
      </c>
      <c r="E2127" s="31">
        <v>-7.6699999999999997E-3</v>
      </c>
      <c r="F2127" s="30">
        <v>100128434</v>
      </c>
      <c r="G2127" s="30" t="s">
        <v>5515</v>
      </c>
      <c r="H2127" s="30"/>
      <c r="I2127" s="30">
        <v>3495</v>
      </c>
      <c r="J2127" s="30"/>
      <c r="K2127" s="30"/>
    </row>
    <row r="2128" spans="1:11" x14ac:dyDescent="0.35">
      <c r="A2128" s="30" t="s">
        <v>13289</v>
      </c>
      <c r="B2128" s="30" t="s">
        <v>13290</v>
      </c>
      <c r="C2128" s="32">
        <v>62.7</v>
      </c>
      <c r="D2128" s="30">
        <v>1.77</v>
      </c>
      <c r="E2128" s="31">
        <v>2.9049999999999999E-2</v>
      </c>
      <c r="F2128" s="30">
        <v>3658742819</v>
      </c>
      <c r="G2128" s="30" t="s">
        <v>5427</v>
      </c>
      <c r="H2128" s="30">
        <v>1993</v>
      </c>
      <c r="I2128" s="30">
        <v>953877</v>
      </c>
      <c r="J2128" s="30" t="s">
        <v>5219</v>
      </c>
      <c r="K2128" s="30" t="s">
        <v>5647</v>
      </c>
    </row>
    <row r="2129" spans="1:11" x14ac:dyDescent="0.35">
      <c r="A2129" s="30" t="s">
        <v>13291</v>
      </c>
      <c r="B2129" s="30" t="s">
        <v>13292</v>
      </c>
      <c r="C2129" s="32">
        <v>1.49</v>
      </c>
      <c r="D2129" s="30">
        <v>2.5000000000000001E-2</v>
      </c>
      <c r="E2129" s="31">
        <v>1.7059999999999999E-2</v>
      </c>
      <c r="F2129" s="30">
        <v>63508933</v>
      </c>
      <c r="G2129" s="30" t="s">
        <v>5427</v>
      </c>
      <c r="H2129" s="30"/>
      <c r="I2129" s="30">
        <v>38756</v>
      </c>
      <c r="J2129" s="30" t="s">
        <v>5541</v>
      </c>
      <c r="K2129" s="30" t="s">
        <v>5774</v>
      </c>
    </row>
    <row r="2130" spans="1:11" x14ac:dyDescent="0.35">
      <c r="A2130" s="30" t="s">
        <v>13293</v>
      </c>
      <c r="B2130" s="30" t="s">
        <v>13294</v>
      </c>
      <c r="C2130" s="32">
        <v>34</v>
      </c>
      <c r="D2130" s="30">
        <v>0.2</v>
      </c>
      <c r="E2130" s="31">
        <v>5.9199999999999999E-3</v>
      </c>
      <c r="F2130" s="30">
        <v>1518339836</v>
      </c>
      <c r="G2130" s="30" t="s">
        <v>5427</v>
      </c>
      <c r="H2130" s="30"/>
      <c r="I2130" s="30">
        <v>316905</v>
      </c>
      <c r="J2130" s="30" t="s">
        <v>5435</v>
      </c>
      <c r="K2130" s="30" t="s">
        <v>5579</v>
      </c>
    </row>
    <row r="2131" spans="1:11" x14ac:dyDescent="0.35">
      <c r="A2131" s="30" t="s">
        <v>13295</v>
      </c>
      <c r="B2131" s="30" t="s">
        <v>13296</v>
      </c>
      <c r="C2131" s="32">
        <v>18.63</v>
      </c>
      <c r="D2131" s="30">
        <v>-0.08</v>
      </c>
      <c r="E2131" s="31">
        <v>-4.28E-3</v>
      </c>
      <c r="F2131" s="30">
        <v>1548728425</v>
      </c>
      <c r="G2131" s="30" t="s">
        <v>5427</v>
      </c>
      <c r="H2131" s="30"/>
      <c r="I2131" s="30">
        <v>149884</v>
      </c>
      <c r="J2131" s="30" t="s">
        <v>5219</v>
      </c>
      <c r="K2131" s="30" t="s">
        <v>5780</v>
      </c>
    </row>
    <row r="2132" spans="1:11" x14ac:dyDescent="0.35">
      <c r="A2132" s="30" t="s">
        <v>13297</v>
      </c>
      <c r="B2132" s="30" t="s">
        <v>13298</v>
      </c>
      <c r="C2132" s="32">
        <v>28.8</v>
      </c>
      <c r="D2132" s="30">
        <v>0.8</v>
      </c>
      <c r="E2132" s="31">
        <v>2.8570000000000002E-2</v>
      </c>
      <c r="F2132" s="30">
        <v>1201984042</v>
      </c>
      <c r="G2132" s="30" t="s">
        <v>5427</v>
      </c>
      <c r="H2132" s="30"/>
      <c r="I2132" s="30">
        <v>1096627</v>
      </c>
      <c r="J2132" s="30" t="s">
        <v>5431</v>
      </c>
      <c r="K2132" s="30" t="s">
        <v>5430</v>
      </c>
    </row>
    <row r="2133" spans="1:11" x14ac:dyDescent="0.35">
      <c r="A2133" s="30" t="s">
        <v>13299</v>
      </c>
      <c r="B2133" s="30" t="s">
        <v>13300</v>
      </c>
      <c r="C2133" s="32">
        <v>301.17</v>
      </c>
      <c r="D2133" s="30">
        <v>3.64</v>
      </c>
      <c r="E2133" s="31">
        <v>1.223E-2</v>
      </c>
      <c r="F2133" s="30">
        <v>32515981079</v>
      </c>
      <c r="G2133" s="30" t="s">
        <v>5427</v>
      </c>
      <c r="H2133" s="30">
        <v>1999</v>
      </c>
      <c r="I2133" s="30">
        <v>527748</v>
      </c>
      <c r="J2133" s="30" t="s">
        <v>5197</v>
      </c>
      <c r="K2133" s="30" t="s">
        <v>5467</v>
      </c>
    </row>
    <row r="2134" spans="1:11" x14ac:dyDescent="0.35">
      <c r="A2134" s="30" t="s">
        <v>13301</v>
      </c>
      <c r="B2134" s="30" t="s">
        <v>13302</v>
      </c>
      <c r="C2134" s="32">
        <v>32.42</v>
      </c>
      <c r="D2134" s="30">
        <v>0.31</v>
      </c>
      <c r="E2134" s="31">
        <v>9.6500000000000006E-3</v>
      </c>
      <c r="F2134" s="30">
        <v>2321855560</v>
      </c>
      <c r="G2134" s="30" t="s">
        <v>5427</v>
      </c>
      <c r="H2134" s="30"/>
      <c r="I2134" s="30">
        <v>1017168</v>
      </c>
      <c r="J2134" s="30" t="s">
        <v>5435</v>
      </c>
      <c r="K2134" s="30" t="s">
        <v>5579</v>
      </c>
    </row>
    <row r="2135" spans="1:11" x14ac:dyDescent="0.35">
      <c r="A2135" s="30" t="s">
        <v>13303</v>
      </c>
      <c r="B2135" s="30" t="s">
        <v>13304</v>
      </c>
      <c r="C2135" s="32">
        <v>16.61</v>
      </c>
      <c r="D2135" s="30">
        <v>0.27</v>
      </c>
      <c r="E2135" s="31">
        <v>1.652E-2</v>
      </c>
      <c r="F2135" s="30">
        <v>116292241</v>
      </c>
      <c r="G2135" s="30" t="s">
        <v>5427</v>
      </c>
      <c r="H2135" s="30"/>
      <c r="I2135" s="30">
        <v>4464</v>
      </c>
      <c r="J2135" s="30" t="s">
        <v>5435</v>
      </c>
      <c r="K2135" s="30" t="s">
        <v>5579</v>
      </c>
    </row>
    <row r="2136" spans="1:11" x14ac:dyDescent="0.35">
      <c r="A2136" s="30" t="s">
        <v>13305</v>
      </c>
      <c r="B2136" s="30" t="s">
        <v>13306</v>
      </c>
      <c r="C2136" s="32">
        <v>21.39</v>
      </c>
      <c r="D2136" s="30">
        <v>0.76</v>
      </c>
      <c r="E2136" s="31">
        <v>3.6839999999999998E-2</v>
      </c>
      <c r="F2136" s="30">
        <v>1489296504</v>
      </c>
      <c r="G2136" s="30" t="s">
        <v>5427</v>
      </c>
      <c r="H2136" s="30">
        <v>1995</v>
      </c>
      <c r="I2136" s="30">
        <v>385976</v>
      </c>
      <c r="J2136" s="30" t="s">
        <v>5442</v>
      </c>
      <c r="K2136" s="30" t="s">
        <v>5450</v>
      </c>
    </row>
    <row r="2137" spans="1:11" x14ac:dyDescent="0.35">
      <c r="A2137" s="30" t="s">
        <v>13307</v>
      </c>
      <c r="B2137" s="30" t="s">
        <v>13308</v>
      </c>
      <c r="C2137" s="32">
        <v>22.56</v>
      </c>
      <c r="D2137" s="30">
        <v>-0.16</v>
      </c>
      <c r="E2137" s="31">
        <v>-7.0400000000000003E-3</v>
      </c>
      <c r="F2137" s="30">
        <v>2316649808</v>
      </c>
      <c r="G2137" s="30" t="s">
        <v>5911</v>
      </c>
      <c r="H2137" s="30"/>
      <c r="I2137" s="30">
        <v>1563891</v>
      </c>
      <c r="J2137" s="30" t="s">
        <v>5442</v>
      </c>
      <c r="K2137" s="30" t="s">
        <v>5910</v>
      </c>
    </row>
    <row r="2138" spans="1:11" x14ac:dyDescent="0.35">
      <c r="A2138" s="30" t="s">
        <v>13309</v>
      </c>
      <c r="B2138" s="30" t="s">
        <v>13310</v>
      </c>
      <c r="C2138" s="32">
        <v>135.5</v>
      </c>
      <c r="D2138" s="30">
        <v>6.55</v>
      </c>
      <c r="E2138" s="31">
        <v>5.0790000000000002E-2</v>
      </c>
      <c r="F2138" s="30">
        <v>8526870422</v>
      </c>
      <c r="G2138" s="30" t="s">
        <v>5427</v>
      </c>
      <c r="H2138" s="30">
        <v>2004</v>
      </c>
      <c r="I2138" s="30">
        <v>1904370</v>
      </c>
      <c r="J2138" s="30" t="s">
        <v>5435</v>
      </c>
      <c r="K2138" s="30" t="s">
        <v>5579</v>
      </c>
    </row>
    <row r="2139" spans="1:11" x14ac:dyDescent="0.35">
      <c r="A2139" s="30" t="s">
        <v>13311</v>
      </c>
      <c r="B2139" s="30" t="s">
        <v>13312</v>
      </c>
      <c r="C2139" s="32">
        <v>13.52</v>
      </c>
      <c r="D2139" s="30">
        <v>0.02</v>
      </c>
      <c r="E2139" s="31">
        <v>1.48E-3</v>
      </c>
      <c r="F2139" s="30">
        <v>3122803713</v>
      </c>
      <c r="G2139" s="30" t="s">
        <v>5427</v>
      </c>
      <c r="H2139" s="30"/>
      <c r="I2139" s="30">
        <v>1264931</v>
      </c>
      <c r="J2139" s="30" t="s">
        <v>5197</v>
      </c>
      <c r="K2139" s="30" t="s">
        <v>5467</v>
      </c>
    </row>
    <row r="2140" spans="1:11" x14ac:dyDescent="0.35">
      <c r="A2140" s="30" t="s">
        <v>13313</v>
      </c>
      <c r="B2140" s="30" t="s">
        <v>13314</v>
      </c>
      <c r="C2140" s="32">
        <v>37.85</v>
      </c>
      <c r="D2140" s="30">
        <v>-0.03</v>
      </c>
      <c r="E2140" s="31">
        <v>-7.9000000000000001E-4</v>
      </c>
      <c r="F2140" s="30">
        <v>1188715094</v>
      </c>
      <c r="G2140" s="30" t="s">
        <v>5427</v>
      </c>
      <c r="H2140" s="30"/>
      <c r="I2140" s="30">
        <v>124202</v>
      </c>
      <c r="J2140" s="30" t="s">
        <v>5435</v>
      </c>
      <c r="K2140" s="30" t="s">
        <v>5579</v>
      </c>
    </row>
    <row r="2141" spans="1:11" x14ac:dyDescent="0.35">
      <c r="A2141" s="30" t="s">
        <v>13315</v>
      </c>
      <c r="B2141" s="30" t="s">
        <v>13316</v>
      </c>
      <c r="C2141" s="32">
        <v>6.15</v>
      </c>
      <c r="D2141" s="30">
        <v>0.06</v>
      </c>
      <c r="E2141" s="31">
        <v>9.8499999999999994E-3</v>
      </c>
      <c r="F2141" s="30">
        <v>312394607</v>
      </c>
      <c r="G2141" s="30" t="s">
        <v>5427</v>
      </c>
      <c r="H2141" s="30">
        <v>2017</v>
      </c>
      <c r="I2141" s="30">
        <v>25610</v>
      </c>
      <c r="J2141" s="30" t="s">
        <v>5435</v>
      </c>
      <c r="K2141" s="30" t="s">
        <v>6556</v>
      </c>
    </row>
    <row r="2142" spans="1:11" x14ac:dyDescent="0.35">
      <c r="A2142" s="30" t="s">
        <v>13317</v>
      </c>
      <c r="B2142" s="30" t="s">
        <v>13318</v>
      </c>
      <c r="C2142" s="32">
        <v>109.99</v>
      </c>
      <c r="D2142" s="30">
        <v>0.85</v>
      </c>
      <c r="E2142" s="31">
        <v>7.79E-3</v>
      </c>
      <c r="F2142" s="30">
        <v>126329973173</v>
      </c>
      <c r="G2142" s="30" t="s">
        <v>5427</v>
      </c>
      <c r="H2142" s="30">
        <v>1992</v>
      </c>
      <c r="I2142" s="30">
        <v>5832473</v>
      </c>
      <c r="J2142" s="30" t="s">
        <v>5442</v>
      </c>
      <c r="K2142" s="30" t="s">
        <v>13319</v>
      </c>
    </row>
    <row r="2143" spans="1:11" x14ac:dyDescent="0.35">
      <c r="A2143" s="30" t="s">
        <v>13320</v>
      </c>
      <c r="B2143" s="30" t="s">
        <v>13321</v>
      </c>
      <c r="C2143" s="32">
        <v>10.1</v>
      </c>
      <c r="D2143" s="30">
        <v>0</v>
      </c>
      <c r="E2143" s="31">
        <v>0</v>
      </c>
      <c r="F2143" s="30">
        <v>315625000</v>
      </c>
      <c r="G2143" s="30" t="s">
        <v>5427</v>
      </c>
      <c r="H2143" s="30">
        <v>2021</v>
      </c>
      <c r="I2143" s="30">
        <v>5400</v>
      </c>
      <c r="J2143" s="30" t="s">
        <v>5457</v>
      </c>
      <c r="K2143" s="30" t="s">
        <v>5571</v>
      </c>
    </row>
    <row r="2144" spans="1:11" x14ac:dyDescent="0.35">
      <c r="A2144" s="30" t="s">
        <v>13322</v>
      </c>
      <c r="B2144" s="30" t="s">
        <v>13323</v>
      </c>
      <c r="C2144" s="32">
        <v>45.03</v>
      </c>
      <c r="D2144" s="30">
        <v>0.79</v>
      </c>
      <c r="E2144" s="31">
        <v>1.7860000000000001E-2</v>
      </c>
      <c r="F2144" s="30">
        <v>1531514880</v>
      </c>
      <c r="G2144" s="30" t="s">
        <v>5427</v>
      </c>
      <c r="H2144" s="30">
        <v>1992</v>
      </c>
      <c r="I2144" s="30">
        <v>206057</v>
      </c>
      <c r="J2144" s="30" t="s">
        <v>5442</v>
      </c>
      <c r="K2144" s="30" t="s">
        <v>5551</v>
      </c>
    </row>
    <row r="2145" spans="1:11" x14ac:dyDescent="0.35">
      <c r="A2145" s="30" t="s">
        <v>13324</v>
      </c>
      <c r="B2145" s="30" t="s">
        <v>13325</v>
      </c>
      <c r="C2145" s="32">
        <v>34.07</v>
      </c>
      <c r="D2145" s="30">
        <v>0.23</v>
      </c>
      <c r="E2145" s="31">
        <v>6.7999999999999996E-3</v>
      </c>
      <c r="F2145" s="30">
        <v>932331683</v>
      </c>
      <c r="G2145" s="30" t="s">
        <v>5427</v>
      </c>
      <c r="H2145" s="30">
        <v>1993</v>
      </c>
      <c r="I2145" s="30">
        <v>305196</v>
      </c>
      <c r="J2145" s="30" t="s">
        <v>5457</v>
      </c>
      <c r="K2145" s="30" t="s">
        <v>5472</v>
      </c>
    </row>
    <row r="2146" spans="1:11" x14ac:dyDescent="0.35">
      <c r="A2146" s="30" t="s">
        <v>13326</v>
      </c>
      <c r="B2146" s="30" t="s">
        <v>13327</v>
      </c>
      <c r="C2146" s="32">
        <v>7</v>
      </c>
      <c r="D2146" s="30">
        <v>-0.89</v>
      </c>
      <c r="E2146" s="31">
        <v>-0.1128</v>
      </c>
      <c r="F2146" s="30">
        <v>987691992</v>
      </c>
      <c r="G2146" s="30" t="s">
        <v>5427</v>
      </c>
      <c r="H2146" s="30">
        <v>2021</v>
      </c>
      <c r="I2146" s="30">
        <v>587489</v>
      </c>
      <c r="J2146" s="30" t="s">
        <v>5431</v>
      </c>
      <c r="K2146" s="30" t="s">
        <v>5430</v>
      </c>
    </row>
    <row r="2147" spans="1:11" x14ac:dyDescent="0.35">
      <c r="A2147" s="30" t="s">
        <v>13328</v>
      </c>
      <c r="B2147" s="30" t="s">
        <v>13329</v>
      </c>
      <c r="C2147" s="32">
        <v>10.39</v>
      </c>
      <c r="D2147" s="30">
        <v>-0.59</v>
      </c>
      <c r="E2147" s="31">
        <v>-5.373E-2</v>
      </c>
      <c r="F2147" s="30">
        <v>202605000</v>
      </c>
      <c r="G2147" s="30" t="s">
        <v>5427</v>
      </c>
      <c r="H2147" s="30">
        <v>2021</v>
      </c>
      <c r="I2147" s="30">
        <v>15293</v>
      </c>
      <c r="J2147" s="30" t="s">
        <v>5682</v>
      </c>
      <c r="K2147" s="30" t="s">
        <v>6734</v>
      </c>
    </row>
    <row r="2148" spans="1:11" x14ac:dyDescent="0.35">
      <c r="A2148" s="30" t="s">
        <v>13330</v>
      </c>
      <c r="B2148" s="30" t="s">
        <v>13331</v>
      </c>
      <c r="C2148" s="32">
        <v>10.175000000000001</v>
      </c>
      <c r="D2148" s="30">
        <v>0</v>
      </c>
      <c r="E2148" s="31">
        <v>0</v>
      </c>
      <c r="F2148" s="30">
        <v>438796875</v>
      </c>
      <c r="G2148" s="30" t="s">
        <v>5775</v>
      </c>
      <c r="H2148" s="30">
        <v>2021</v>
      </c>
      <c r="I2148" s="30">
        <v>652106</v>
      </c>
      <c r="J2148" s="30" t="s">
        <v>5435</v>
      </c>
      <c r="K2148" s="30" t="s">
        <v>5482</v>
      </c>
    </row>
    <row r="2149" spans="1:11" x14ac:dyDescent="0.35">
      <c r="A2149" s="30" t="s">
        <v>13332</v>
      </c>
      <c r="B2149" s="30" t="s">
        <v>13333</v>
      </c>
      <c r="C2149" s="32">
        <v>1.27</v>
      </c>
      <c r="D2149" s="30">
        <v>0.05</v>
      </c>
      <c r="E2149" s="31">
        <v>4.0980000000000003E-2</v>
      </c>
      <c r="F2149" s="30">
        <v>116852203</v>
      </c>
      <c r="G2149" s="30" t="s">
        <v>5427</v>
      </c>
      <c r="H2149" s="30">
        <v>2018</v>
      </c>
      <c r="I2149" s="30">
        <v>630275</v>
      </c>
      <c r="J2149" s="30" t="s">
        <v>5442</v>
      </c>
      <c r="K2149" s="30" t="s">
        <v>5482</v>
      </c>
    </row>
    <row r="2150" spans="1:11" x14ac:dyDescent="0.35">
      <c r="A2150" s="30" t="s">
        <v>13334</v>
      </c>
      <c r="B2150" s="30" t="s">
        <v>13335</v>
      </c>
      <c r="C2150" s="32">
        <v>6.84</v>
      </c>
      <c r="D2150" s="30">
        <v>0.66</v>
      </c>
      <c r="E2150" s="31">
        <v>0.10680000000000001</v>
      </c>
      <c r="F2150" s="30">
        <v>232929928</v>
      </c>
      <c r="G2150" s="30" t="s">
        <v>5427</v>
      </c>
      <c r="H2150" s="30">
        <v>2017</v>
      </c>
      <c r="I2150" s="30">
        <v>732954</v>
      </c>
      <c r="J2150" s="30" t="s">
        <v>5431</v>
      </c>
      <c r="K2150" s="30" t="s">
        <v>5430</v>
      </c>
    </row>
    <row r="2151" spans="1:11" x14ac:dyDescent="0.35">
      <c r="A2151" s="30" t="s">
        <v>5072</v>
      </c>
      <c r="B2151" s="30" t="s">
        <v>13336</v>
      </c>
      <c r="C2151" s="32">
        <v>16.77</v>
      </c>
      <c r="D2151" s="30">
        <v>-0.22</v>
      </c>
      <c r="E2151" s="31">
        <v>-1.295E-2</v>
      </c>
      <c r="F2151" s="30">
        <v>380619903</v>
      </c>
      <c r="G2151" s="30" t="s">
        <v>5427</v>
      </c>
      <c r="H2151" s="30">
        <v>2019</v>
      </c>
      <c r="I2151" s="30">
        <v>396896</v>
      </c>
      <c r="J2151" s="30" t="s">
        <v>5219</v>
      </c>
      <c r="K2151" s="30" t="s">
        <v>5560</v>
      </c>
    </row>
    <row r="2152" spans="1:11" x14ac:dyDescent="0.35">
      <c r="A2152" s="30" t="s">
        <v>13337</v>
      </c>
      <c r="B2152" s="30" t="s">
        <v>13338</v>
      </c>
      <c r="C2152" s="32">
        <v>10.039999999999999</v>
      </c>
      <c r="D2152" s="30">
        <v>5.0000000000000001E-3</v>
      </c>
      <c r="E2152" s="31">
        <v>5.0000000000000001E-4</v>
      </c>
      <c r="F2152" s="30">
        <v>941250000</v>
      </c>
      <c r="G2152" s="30" t="s">
        <v>5427</v>
      </c>
      <c r="H2152" s="30">
        <v>2022</v>
      </c>
      <c r="I2152" s="30">
        <v>38694</v>
      </c>
      <c r="J2152" s="30" t="s">
        <v>5435</v>
      </c>
      <c r="K2152" s="30" t="s">
        <v>5482</v>
      </c>
    </row>
    <row r="2153" spans="1:11" x14ac:dyDescent="0.35">
      <c r="A2153" s="30" t="s">
        <v>13339</v>
      </c>
      <c r="B2153" s="30" t="s">
        <v>13340</v>
      </c>
      <c r="C2153" s="32">
        <v>34</v>
      </c>
      <c r="D2153" s="30">
        <v>1.07</v>
      </c>
      <c r="E2153" s="31">
        <v>3.2489999999999998E-2</v>
      </c>
      <c r="F2153" s="30">
        <v>861844784</v>
      </c>
      <c r="G2153" s="30" t="s">
        <v>5427</v>
      </c>
      <c r="H2153" s="30"/>
      <c r="I2153" s="30">
        <v>142078</v>
      </c>
      <c r="J2153" s="30" t="s">
        <v>5219</v>
      </c>
      <c r="K2153" s="30" t="s">
        <v>5812</v>
      </c>
    </row>
    <row r="2154" spans="1:11" x14ac:dyDescent="0.35">
      <c r="A2154" s="30" t="s">
        <v>13341</v>
      </c>
      <c r="B2154" s="30" t="s">
        <v>13342</v>
      </c>
      <c r="C2154" s="32">
        <v>1.36</v>
      </c>
      <c r="D2154" s="30">
        <v>0.06</v>
      </c>
      <c r="E2154" s="31">
        <v>4.6149999999999997E-2</v>
      </c>
      <c r="F2154" s="30">
        <v>114977531</v>
      </c>
      <c r="G2154" s="30" t="s">
        <v>5427</v>
      </c>
      <c r="H2154" s="30">
        <v>2014</v>
      </c>
      <c r="I2154" s="30">
        <v>73941</v>
      </c>
      <c r="J2154" s="30" t="s">
        <v>5431</v>
      </c>
      <c r="K2154" s="30" t="s">
        <v>5430</v>
      </c>
    </row>
    <row r="2155" spans="1:11" x14ac:dyDescent="0.35">
      <c r="A2155" s="30" t="s">
        <v>13343</v>
      </c>
      <c r="B2155" s="30" t="s">
        <v>13344</v>
      </c>
      <c r="C2155" s="32">
        <v>27.69</v>
      </c>
      <c r="D2155" s="30">
        <v>0.38</v>
      </c>
      <c r="E2155" s="31">
        <v>1.391E-2</v>
      </c>
      <c r="F2155" s="30">
        <v>752231386</v>
      </c>
      <c r="G2155" s="30" t="s">
        <v>5427</v>
      </c>
      <c r="H2155" s="30">
        <v>1993</v>
      </c>
      <c r="I2155" s="30">
        <v>449164</v>
      </c>
      <c r="J2155" s="30" t="s">
        <v>5442</v>
      </c>
      <c r="K2155" s="30" t="s">
        <v>7318</v>
      </c>
    </row>
    <row r="2156" spans="1:11" x14ac:dyDescent="0.35">
      <c r="A2156" s="30" t="s">
        <v>13345</v>
      </c>
      <c r="B2156" s="30" t="s">
        <v>13346</v>
      </c>
      <c r="C2156" s="32">
        <v>3.3</v>
      </c>
      <c r="D2156" s="30">
        <v>0.11</v>
      </c>
      <c r="E2156" s="31">
        <v>3.4479999999999997E-2</v>
      </c>
      <c r="F2156" s="30">
        <v>418046954</v>
      </c>
      <c r="G2156" s="30" t="s">
        <v>5427</v>
      </c>
      <c r="H2156" s="30"/>
      <c r="I2156" s="30">
        <v>61608</v>
      </c>
      <c r="J2156" s="30" t="s">
        <v>5426</v>
      </c>
      <c r="K2156" s="30" t="s">
        <v>5425</v>
      </c>
    </row>
    <row r="2157" spans="1:11" x14ac:dyDescent="0.35">
      <c r="A2157" s="30" t="s">
        <v>13347</v>
      </c>
      <c r="B2157" s="30" t="s">
        <v>13348</v>
      </c>
      <c r="C2157" s="32">
        <v>8.2899999999999991</v>
      </c>
      <c r="D2157" s="30">
        <v>0.27</v>
      </c>
      <c r="E2157" s="31">
        <v>3.3669999999999999E-2</v>
      </c>
      <c r="F2157" s="30">
        <v>701752396</v>
      </c>
      <c r="G2157" s="30" t="s">
        <v>5427</v>
      </c>
      <c r="H2157" s="30">
        <v>2016</v>
      </c>
      <c r="I2157" s="30">
        <v>97325</v>
      </c>
      <c r="J2157" s="30" t="s">
        <v>5219</v>
      </c>
      <c r="K2157" s="30" t="s">
        <v>5447</v>
      </c>
    </row>
    <row r="2158" spans="1:11" x14ac:dyDescent="0.35">
      <c r="A2158" s="30" t="s">
        <v>13349</v>
      </c>
      <c r="B2158" s="30" t="s">
        <v>13350</v>
      </c>
      <c r="C2158" s="32">
        <v>1.71</v>
      </c>
      <c r="D2158" s="30">
        <v>-0.125</v>
      </c>
      <c r="E2158" s="31">
        <v>-6.812E-2</v>
      </c>
      <c r="F2158" s="30">
        <v>55843456</v>
      </c>
      <c r="G2158" s="30" t="s">
        <v>5427</v>
      </c>
      <c r="H2158" s="30">
        <v>2014</v>
      </c>
      <c r="I2158" s="30">
        <v>128401</v>
      </c>
      <c r="J2158" s="30" t="s">
        <v>5431</v>
      </c>
      <c r="K2158" s="30" t="s">
        <v>5430</v>
      </c>
    </row>
    <row r="2159" spans="1:11" x14ac:dyDescent="0.35">
      <c r="A2159" s="30" t="s">
        <v>13351</v>
      </c>
      <c r="B2159" s="30" t="s">
        <v>13352</v>
      </c>
      <c r="C2159" s="32">
        <v>10.02</v>
      </c>
      <c r="D2159" s="30">
        <v>0</v>
      </c>
      <c r="E2159" s="31">
        <v>0</v>
      </c>
      <c r="F2159" s="30">
        <v>396103125</v>
      </c>
      <c r="G2159" s="30" t="s">
        <v>5427</v>
      </c>
      <c r="H2159" s="30">
        <v>2021</v>
      </c>
      <c r="I2159" s="30">
        <v>66490</v>
      </c>
      <c r="J2159" s="30" t="s">
        <v>5457</v>
      </c>
      <c r="K2159" s="30" t="s">
        <v>5571</v>
      </c>
    </row>
    <row r="2160" spans="1:11" x14ac:dyDescent="0.35">
      <c r="A2160" s="30" t="s">
        <v>13353</v>
      </c>
      <c r="B2160" s="30" t="s">
        <v>13354</v>
      </c>
      <c r="C2160" s="32">
        <v>0.63649999999999995</v>
      </c>
      <c r="D2160" s="30">
        <v>6.6400000000000001E-2</v>
      </c>
      <c r="E2160" s="31">
        <v>0.11647</v>
      </c>
      <c r="F2160" s="30">
        <v>77516144</v>
      </c>
      <c r="G2160" s="30" t="s">
        <v>5427</v>
      </c>
      <c r="H2160" s="30">
        <v>2019</v>
      </c>
      <c r="I2160" s="30">
        <v>5835010</v>
      </c>
      <c r="J2160" s="30" t="s">
        <v>5431</v>
      </c>
      <c r="K2160" s="30" t="s">
        <v>5500</v>
      </c>
    </row>
    <row r="2161" spans="1:11" x14ac:dyDescent="0.35">
      <c r="A2161" s="30" t="s">
        <v>13355</v>
      </c>
      <c r="B2161" s="30" t="s">
        <v>13356</v>
      </c>
      <c r="C2161" s="32">
        <v>25.14</v>
      </c>
      <c r="D2161" s="30">
        <v>0.96</v>
      </c>
      <c r="E2161" s="31">
        <v>3.9699999999999999E-2</v>
      </c>
      <c r="F2161" s="30">
        <v>1790909820</v>
      </c>
      <c r="G2161" s="30" t="s">
        <v>5427</v>
      </c>
      <c r="H2161" s="30">
        <v>2020</v>
      </c>
      <c r="I2161" s="30">
        <v>764848</v>
      </c>
      <c r="J2161" s="30" t="s">
        <v>5219</v>
      </c>
      <c r="K2161" s="30" t="s">
        <v>5560</v>
      </c>
    </row>
    <row r="2162" spans="1:11" x14ac:dyDescent="0.35">
      <c r="A2162" s="30" t="s">
        <v>13357</v>
      </c>
      <c r="B2162" s="30" t="s">
        <v>13358</v>
      </c>
      <c r="C2162" s="32">
        <v>8.2100000000000009</v>
      </c>
      <c r="D2162" s="30">
        <v>-0.3</v>
      </c>
      <c r="E2162" s="31">
        <v>-3.5249999999999997E-2</v>
      </c>
      <c r="F2162" s="30">
        <v>1620654000</v>
      </c>
      <c r="G2162" s="30" t="s">
        <v>5427</v>
      </c>
      <c r="H2162" s="30"/>
      <c r="I2162" s="30">
        <v>389621</v>
      </c>
      <c r="J2162" s="30" t="s">
        <v>5457</v>
      </c>
      <c r="K2162" s="30" t="s">
        <v>5644</v>
      </c>
    </row>
    <row r="2163" spans="1:11" x14ac:dyDescent="0.35">
      <c r="A2163" s="30" t="s">
        <v>13359</v>
      </c>
      <c r="B2163" s="30" t="s">
        <v>13360</v>
      </c>
      <c r="C2163" s="32">
        <v>0.81100000000000005</v>
      </c>
      <c r="D2163" s="30">
        <v>-1.1000000000000001E-3</v>
      </c>
      <c r="E2163" s="31">
        <v>-1.3500000000000001E-3</v>
      </c>
      <c r="F2163" s="30">
        <v>86913456</v>
      </c>
      <c r="G2163" s="30" t="s">
        <v>5427</v>
      </c>
      <c r="H2163" s="30"/>
      <c r="I2163" s="30">
        <v>177420</v>
      </c>
      <c r="J2163" s="30" t="s">
        <v>5431</v>
      </c>
      <c r="K2163" s="30" t="s">
        <v>5430</v>
      </c>
    </row>
    <row r="2164" spans="1:11" x14ac:dyDescent="0.35">
      <c r="A2164" s="30" t="s">
        <v>13361</v>
      </c>
      <c r="B2164" s="30" t="s">
        <v>13362</v>
      </c>
      <c r="C2164" s="32">
        <v>4.82</v>
      </c>
      <c r="D2164" s="30">
        <v>0.27</v>
      </c>
      <c r="E2164" s="31">
        <v>5.9339999999999997E-2</v>
      </c>
      <c r="F2164" s="30">
        <v>301932353</v>
      </c>
      <c r="G2164" s="30" t="s">
        <v>5427</v>
      </c>
      <c r="H2164" s="30">
        <v>2020</v>
      </c>
      <c r="I2164" s="30">
        <v>366502</v>
      </c>
      <c r="J2164" s="30" t="s">
        <v>5431</v>
      </c>
      <c r="K2164" s="30" t="s">
        <v>5685</v>
      </c>
    </row>
    <row r="2165" spans="1:11" x14ac:dyDescent="0.35">
      <c r="A2165" s="30" t="s">
        <v>13363</v>
      </c>
      <c r="B2165" s="30" t="s">
        <v>13364</v>
      </c>
      <c r="C2165" s="32">
        <v>63.67</v>
      </c>
      <c r="D2165" s="30">
        <v>1.24</v>
      </c>
      <c r="E2165" s="31">
        <v>1.9859999999999999E-2</v>
      </c>
      <c r="F2165" s="30">
        <v>8542094540</v>
      </c>
      <c r="G2165" s="30" t="s">
        <v>5427</v>
      </c>
      <c r="H2165" s="30">
        <v>1981</v>
      </c>
      <c r="I2165" s="30">
        <v>509770</v>
      </c>
      <c r="J2165" s="30" t="s">
        <v>5435</v>
      </c>
      <c r="K2165" s="30" t="s">
        <v>6221</v>
      </c>
    </row>
    <row r="2166" spans="1:11" x14ac:dyDescent="0.35">
      <c r="A2166" s="30" t="s">
        <v>13365</v>
      </c>
      <c r="B2166" s="30" t="s">
        <v>13366</v>
      </c>
      <c r="C2166" s="32">
        <v>1.83</v>
      </c>
      <c r="D2166" s="30">
        <v>0.06</v>
      </c>
      <c r="E2166" s="31">
        <v>3.39E-2</v>
      </c>
      <c r="F2166" s="30">
        <v>280046908</v>
      </c>
      <c r="G2166" s="30" t="s">
        <v>5427</v>
      </c>
      <c r="H2166" s="30">
        <v>2016</v>
      </c>
      <c r="I2166" s="30">
        <v>640927</v>
      </c>
      <c r="J2166" s="30" t="s">
        <v>5431</v>
      </c>
      <c r="K2166" s="30" t="s">
        <v>5430</v>
      </c>
    </row>
    <row r="2167" spans="1:11" x14ac:dyDescent="0.35">
      <c r="A2167" s="30" t="s">
        <v>13367</v>
      </c>
      <c r="B2167" s="30" t="s">
        <v>13368</v>
      </c>
      <c r="C2167" s="32">
        <v>5.0999999999999996</v>
      </c>
      <c r="D2167" s="30">
        <v>-0.01</v>
      </c>
      <c r="E2167" s="31">
        <v>-1.9599999999999999E-3</v>
      </c>
      <c r="F2167" s="30">
        <v>56638218</v>
      </c>
      <c r="G2167" s="30" t="s">
        <v>5427</v>
      </c>
      <c r="H2167" s="30"/>
      <c r="I2167" s="30">
        <v>9794</v>
      </c>
      <c r="J2167" s="30" t="s">
        <v>5197</v>
      </c>
      <c r="K2167" s="30" t="s">
        <v>5467</v>
      </c>
    </row>
    <row r="2168" spans="1:11" x14ac:dyDescent="0.35">
      <c r="A2168" s="30" t="s">
        <v>13369</v>
      </c>
      <c r="B2168" s="30" t="s">
        <v>13370</v>
      </c>
      <c r="C2168" s="32">
        <v>60.85</v>
      </c>
      <c r="D2168" s="30">
        <v>-1.65</v>
      </c>
      <c r="E2168" s="31">
        <v>-2.64E-2</v>
      </c>
      <c r="F2168" s="30">
        <v>461617106</v>
      </c>
      <c r="G2168" s="30" t="s">
        <v>5427</v>
      </c>
      <c r="H2168" s="30"/>
      <c r="I2168" s="30">
        <v>82977</v>
      </c>
      <c r="J2168" s="30" t="s">
        <v>5541</v>
      </c>
      <c r="K2168" s="30" t="s">
        <v>5938</v>
      </c>
    </row>
    <row r="2169" spans="1:11" x14ac:dyDescent="0.35">
      <c r="A2169" s="30" t="s">
        <v>13371</v>
      </c>
      <c r="B2169" s="30" t="s">
        <v>13372</v>
      </c>
      <c r="C2169" s="32">
        <v>64.87</v>
      </c>
      <c r="D2169" s="30">
        <v>0</v>
      </c>
      <c r="E2169" s="31">
        <v>0</v>
      </c>
      <c r="F2169" s="30">
        <v>492113421</v>
      </c>
      <c r="G2169" s="30" t="s">
        <v>5427</v>
      </c>
      <c r="H2169" s="30"/>
      <c r="I2169" s="30">
        <v>47</v>
      </c>
      <c r="J2169" s="30" t="s">
        <v>5541</v>
      </c>
      <c r="K2169" s="30" t="s">
        <v>5938</v>
      </c>
    </row>
    <row r="2170" spans="1:11" x14ac:dyDescent="0.35">
      <c r="A2170" s="30" t="s">
        <v>13373</v>
      </c>
      <c r="B2170" s="30" t="s">
        <v>13374</v>
      </c>
      <c r="C2170" s="32">
        <v>9.8699999999999992</v>
      </c>
      <c r="D2170" s="30">
        <v>0</v>
      </c>
      <c r="E2170" s="31">
        <v>0</v>
      </c>
      <c r="F2170" s="30">
        <v>222587006</v>
      </c>
      <c r="G2170" s="30" t="s">
        <v>5427</v>
      </c>
      <c r="H2170" s="30">
        <v>2021</v>
      </c>
      <c r="I2170" s="30">
        <v>14</v>
      </c>
      <c r="J2170" s="30" t="s">
        <v>5457</v>
      </c>
      <c r="K2170" s="30" t="s">
        <v>5571</v>
      </c>
    </row>
    <row r="2171" spans="1:11" x14ac:dyDescent="0.35">
      <c r="A2171" s="30" t="s">
        <v>13375</v>
      </c>
      <c r="B2171" s="30" t="s">
        <v>13376</v>
      </c>
      <c r="C2171" s="32">
        <v>0.59019999999999995</v>
      </c>
      <c r="D2171" s="30">
        <v>-2.81E-2</v>
      </c>
      <c r="E2171" s="31">
        <v>-4.5449999999999997E-2</v>
      </c>
      <c r="F2171" s="30">
        <v>119668387</v>
      </c>
      <c r="G2171" s="30" t="s">
        <v>5427</v>
      </c>
      <c r="H2171" s="30">
        <v>2014</v>
      </c>
      <c r="I2171" s="30">
        <v>1241290</v>
      </c>
      <c r="J2171" s="30" t="s">
        <v>5431</v>
      </c>
      <c r="K2171" s="30" t="s">
        <v>5430</v>
      </c>
    </row>
    <row r="2172" spans="1:11" x14ac:dyDescent="0.35">
      <c r="A2172" s="30" t="s">
        <v>13377</v>
      </c>
      <c r="B2172" s="30" t="s">
        <v>13378</v>
      </c>
      <c r="C2172" s="32">
        <v>1.03</v>
      </c>
      <c r="D2172" s="30">
        <v>0.03</v>
      </c>
      <c r="E2172" s="31">
        <v>0.03</v>
      </c>
      <c r="F2172" s="30">
        <v>96360738</v>
      </c>
      <c r="G2172" s="30" t="s">
        <v>6263</v>
      </c>
      <c r="H2172" s="30">
        <v>2021</v>
      </c>
      <c r="I2172" s="30">
        <v>951125</v>
      </c>
      <c r="J2172" s="30" t="s">
        <v>5442</v>
      </c>
      <c r="K2172" s="30" t="s">
        <v>5926</v>
      </c>
    </row>
    <row r="2173" spans="1:11" x14ac:dyDescent="0.35">
      <c r="A2173" s="30" t="s">
        <v>13379</v>
      </c>
      <c r="B2173" s="30" t="s">
        <v>13380</v>
      </c>
      <c r="C2173" s="32">
        <v>10.77</v>
      </c>
      <c r="D2173" s="30">
        <v>0.02</v>
      </c>
      <c r="E2173" s="31">
        <v>1.8600000000000001E-3</v>
      </c>
      <c r="F2173" s="30">
        <v>158420518</v>
      </c>
      <c r="G2173" s="30" t="s">
        <v>5427</v>
      </c>
      <c r="H2173" s="30"/>
      <c r="I2173" s="30">
        <v>33627</v>
      </c>
      <c r="J2173" s="30" t="s">
        <v>5197</v>
      </c>
      <c r="K2173" s="30" t="s">
        <v>5467</v>
      </c>
    </row>
    <row r="2174" spans="1:11" x14ac:dyDescent="0.35">
      <c r="A2174" s="30" t="s">
        <v>13381</v>
      </c>
      <c r="B2174" s="30" t="s">
        <v>13382</v>
      </c>
      <c r="C2174" s="32">
        <v>39.799999999999997</v>
      </c>
      <c r="D2174" s="30">
        <v>-0.05</v>
      </c>
      <c r="E2174" s="31">
        <v>-1.25E-3</v>
      </c>
      <c r="F2174" s="30">
        <v>102828036</v>
      </c>
      <c r="G2174" s="30" t="s">
        <v>5427</v>
      </c>
      <c r="H2174" s="30"/>
      <c r="I2174" s="30">
        <v>198</v>
      </c>
      <c r="J2174" s="30" t="s">
        <v>5435</v>
      </c>
      <c r="K2174" s="30" t="s">
        <v>6556</v>
      </c>
    </row>
    <row r="2175" spans="1:11" x14ac:dyDescent="0.35">
      <c r="A2175" s="30" t="s">
        <v>13383</v>
      </c>
      <c r="B2175" s="30" t="s">
        <v>13384</v>
      </c>
      <c r="C2175" s="32">
        <v>3.1</v>
      </c>
      <c r="D2175" s="30">
        <v>-0.1</v>
      </c>
      <c r="E2175" s="31">
        <v>-3.125E-2</v>
      </c>
      <c r="F2175" s="30">
        <v>50800091</v>
      </c>
      <c r="G2175" s="30" t="s">
        <v>5427</v>
      </c>
      <c r="H2175" s="30"/>
      <c r="I2175" s="30">
        <v>11238</v>
      </c>
      <c r="J2175" s="30" t="s">
        <v>5435</v>
      </c>
      <c r="K2175" s="30" t="s">
        <v>5985</v>
      </c>
    </row>
    <row r="2176" spans="1:11" x14ac:dyDescent="0.35">
      <c r="A2176" s="30" t="s">
        <v>13385</v>
      </c>
      <c r="B2176" s="30" t="s">
        <v>13386</v>
      </c>
      <c r="C2176" s="32">
        <v>5.29</v>
      </c>
      <c r="D2176" s="30">
        <v>0.08</v>
      </c>
      <c r="E2176" s="31">
        <v>1.536E-2</v>
      </c>
      <c r="F2176" s="30">
        <v>586174616</v>
      </c>
      <c r="G2176" s="30" t="s">
        <v>5427</v>
      </c>
      <c r="H2176" s="30">
        <v>2017</v>
      </c>
      <c r="I2176" s="30">
        <v>3007018</v>
      </c>
      <c r="J2176" s="30" t="s">
        <v>5442</v>
      </c>
      <c r="K2176" s="30" t="s">
        <v>5692</v>
      </c>
    </row>
    <row r="2177" spans="1:11" x14ac:dyDescent="0.35">
      <c r="A2177" s="30" t="s">
        <v>13387</v>
      </c>
      <c r="B2177" s="30" t="s">
        <v>13388</v>
      </c>
      <c r="C2177" s="32">
        <v>32.06</v>
      </c>
      <c r="D2177" s="30">
        <v>0.11</v>
      </c>
      <c r="E2177" s="31">
        <v>3.4399999999999999E-3</v>
      </c>
      <c r="F2177" s="30">
        <v>3393630188</v>
      </c>
      <c r="G2177" s="30" t="s">
        <v>5427</v>
      </c>
      <c r="H2177" s="30">
        <v>2013</v>
      </c>
      <c r="I2177" s="30">
        <v>2002025</v>
      </c>
      <c r="J2177" s="30" t="s">
        <v>5442</v>
      </c>
      <c r="K2177" s="30" t="s">
        <v>5716</v>
      </c>
    </row>
    <row r="2178" spans="1:11" x14ac:dyDescent="0.35">
      <c r="A2178" s="30" t="s">
        <v>13389</v>
      </c>
      <c r="B2178" s="30" t="s">
        <v>13390</v>
      </c>
      <c r="C2178" s="32">
        <v>22.56</v>
      </c>
      <c r="D2178" s="30">
        <v>0.25</v>
      </c>
      <c r="E2178" s="31">
        <v>1.1209999999999999E-2</v>
      </c>
      <c r="F2178" s="30">
        <v>2866172514</v>
      </c>
      <c r="G2178" s="30" t="s">
        <v>5427</v>
      </c>
      <c r="H2178" s="30"/>
      <c r="I2178" s="30">
        <v>681340</v>
      </c>
      <c r="J2178" s="30" t="s">
        <v>5435</v>
      </c>
      <c r="K2178" s="30" t="s">
        <v>5579</v>
      </c>
    </row>
    <row r="2179" spans="1:11" x14ac:dyDescent="0.35">
      <c r="A2179" s="30" t="s">
        <v>13391</v>
      </c>
      <c r="B2179" s="30" t="s">
        <v>13392</v>
      </c>
      <c r="C2179" s="32">
        <v>1.69</v>
      </c>
      <c r="D2179" s="30">
        <v>-0.02</v>
      </c>
      <c r="E2179" s="31">
        <v>-1.17E-2</v>
      </c>
      <c r="F2179" s="30">
        <v>80367264</v>
      </c>
      <c r="G2179" s="30" t="s">
        <v>5427</v>
      </c>
      <c r="H2179" s="30">
        <v>2021</v>
      </c>
      <c r="I2179" s="30">
        <v>23103</v>
      </c>
      <c r="J2179" s="30"/>
      <c r="K2179" s="30"/>
    </row>
    <row r="2180" spans="1:11" x14ac:dyDescent="0.35">
      <c r="A2180" s="30" t="s">
        <v>13393</v>
      </c>
      <c r="B2180" s="30" t="s">
        <v>13394</v>
      </c>
      <c r="C2180" s="32">
        <v>41.46</v>
      </c>
      <c r="D2180" s="30">
        <v>-0.63</v>
      </c>
      <c r="E2180" s="31">
        <v>-1.4970000000000001E-2</v>
      </c>
      <c r="F2180" s="30">
        <v>332136060</v>
      </c>
      <c r="G2180" s="30" t="s">
        <v>5427</v>
      </c>
      <c r="H2180" s="30"/>
      <c r="I2180" s="30">
        <v>27645</v>
      </c>
      <c r="J2180" s="30" t="s">
        <v>5435</v>
      </c>
      <c r="K2180" s="30" t="s">
        <v>5579</v>
      </c>
    </row>
    <row r="2181" spans="1:11" x14ac:dyDescent="0.35">
      <c r="A2181" s="30" t="s">
        <v>13395</v>
      </c>
      <c r="B2181" s="30" t="s">
        <v>13396</v>
      </c>
      <c r="C2181" s="32">
        <v>25.01</v>
      </c>
      <c r="D2181" s="30">
        <v>-0.24</v>
      </c>
      <c r="E2181" s="31">
        <v>-9.4999999999999998E-3</v>
      </c>
      <c r="F2181" s="30">
        <v>151374751</v>
      </c>
      <c r="G2181" s="30" t="s">
        <v>5427</v>
      </c>
      <c r="H2181" s="30"/>
      <c r="I2181" s="30">
        <v>7545</v>
      </c>
      <c r="J2181" s="30" t="s">
        <v>5442</v>
      </c>
      <c r="K2181" s="30" t="s">
        <v>5834</v>
      </c>
    </row>
    <row r="2182" spans="1:11" x14ac:dyDescent="0.35">
      <c r="A2182" s="30" t="s">
        <v>13397</v>
      </c>
      <c r="B2182" s="30" t="s">
        <v>13398</v>
      </c>
      <c r="C2182" s="32">
        <v>12.15</v>
      </c>
      <c r="D2182" s="30">
        <v>0.22</v>
      </c>
      <c r="E2182" s="31">
        <v>1.8440000000000002E-2</v>
      </c>
      <c r="F2182" s="30">
        <v>198481671</v>
      </c>
      <c r="G2182" s="30" t="s">
        <v>5427</v>
      </c>
      <c r="H2182" s="30"/>
      <c r="I2182" s="30">
        <v>19391</v>
      </c>
      <c r="J2182" s="30"/>
      <c r="K2182" s="30"/>
    </row>
    <row r="2183" spans="1:11" x14ac:dyDescent="0.35">
      <c r="A2183" s="30" t="s">
        <v>13399</v>
      </c>
      <c r="B2183" s="30" t="s">
        <v>13400</v>
      </c>
      <c r="C2183" s="32">
        <v>139.03</v>
      </c>
      <c r="D2183" s="30">
        <v>-0.45</v>
      </c>
      <c r="E2183" s="31">
        <v>-3.2299999999999998E-3</v>
      </c>
      <c r="F2183" s="30">
        <v>25812991186</v>
      </c>
      <c r="G2183" s="30" t="s">
        <v>5427</v>
      </c>
      <c r="H2183" s="30">
        <v>2001</v>
      </c>
      <c r="I2183" s="30">
        <v>1070427</v>
      </c>
      <c r="J2183" s="30" t="s">
        <v>5431</v>
      </c>
      <c r="K2183" s="30" t="s">
        <v>6409</v>
      </c>
    </row>
    <row r="2184" spans="1:11" x14ac:dyDescent="0.35">
      <c r="A2184" s="30" t="s">
        <v>13401</v>
      </c>
      <c r="B2184" s="30" t="s">
        <v>13402</v>
      </c>
      <c r="C2184" s="32">
        <v>18.02</v>
      </c>
      <c r="D2184" s="30">
        <v>0.83</v>
      </c>
      <c r="E2184" s="31">
        <v>4.8280000000000003E-2</v>
      </c>
      <c r="F2184" s="30">
        <v>886663594</v>
      </c>
      <c r="G2184" s="30" t="s">
        <v>5427</v>
      </c>
      <c r="H2184" s="30">
        <v>2017</v>
      </c>
      <c r="I2184" s="30">
        <v>470939</v>
      </c>
      <c r="J2184" s="30" t="s">
        <v>5219</v>
      </c>
      <c r="K2184" s="30" t="s">
        <v>5526</v>
      </c>
    </row>
    <row r="2185" spans="1:11" x14ac:dyDescent="0.35">
      <c r="A2185" s="30" t="s">
        <v>13403</v>
      </c>
      <c r="B2185" s="30" t="s">
        <v>13404</v>
      </c>
      <c r="C2185" s="32">
        <v>11.47</v>
      </c>
      <c r="D2185" s="30">
        <v>-0.04</v>
      </c>
      <c r="E2185" s="31">
        <v>-3.48E-3</v>
      </c>
      <c r="F2185" s="30">
        <v>552295434</v>
      </c>
      <c r="G2185" s="30" t="s">
        <v>5427</v>
      </c>
      <c r="H2185" s="30">
        <v>2021</v>
      </c>
      <c r="I2185" s="30">
        <v>62303</v>
      </c>
      <c r="J2185" s="30" t="s">
        <v>5431</v>
      </c>
      <c r="K2185" s="30" t="s">
        <v>5610</v>
      </c>
    </row>
    <row r="2186" spans="1:11" x14ac:dyDescent="0.35">
      <c r="A2186" s="30" t="s">
        <v>13405</v>
      </c>
      <c r="B2186" s="30" t="s">
        <v>13406</v>
      </c>
      <c r="C2186" s="32">
        <v>10.27</v>
      </c>
      <c r="D2186" s="30">
        <v>0</v>
      </c>
      <c r="E2186" s="31">
        <v>0</v>
      </c>
      <c r="F2186" s="30">
        <v>184539063</v>
      </c>
      <c r="G2186" s="30" t="s">
        <v>5427</v>
      </c>
      <c r="H2186" s="30">
        <v>2021</v>
      </c>
      <c r="I2186" s="30">
        <v>25000</v>
      </c>
      <c r="J2186" s="30" t="s">
        <v>5457</v>
      </c>
      <c r="K2186" s="30" t="s">
        <v>5571</v>
      </c>
    </row>
    <row r="2187" spans="1:11" x14ac:dyDescent="0.35">
      <c r="A2187" s="30" t="s">
        <v>13407</v>
      </c>
      <c r="B2187" s="30" t="s">
        <v>13408</v>
      </c>
      <c r="C2187" s="32">
        <v>31.51</v>
      </c>
      <c r="D2187" s="30">
        <v>1.01</v>
      </c>
      <c r="E2187" s="31">
        <v>3.3110000000000001E-2</v>
      </c>
      <c r="F2187" s="30">
        <v>3261285000</v>
      </c>
      <c r="G2187" s="30" t="s">
        <v>5515</v>
      </c>
      <c r="H2187" s="30"/>
      <c r="I2187" s="30">
        <v>365704</v>
      </c>
      <c r="J2187" s="30" t="s">
        <v>5457</v>
      </c>
      <c r="K2187" s="30" t="s">
        <v>5644</v>
      </c>
    </row>
    <row r="2188" spans="1:11" x14ac:dyDescent="0.35">
      <c r="A2188" s="30" t="s">
        <v>13409</v>
      </c>
      <c r="B2188" s="30" t="s">
        <v>13410</v>
      </c>
      <c r="C2188" s="32">
        <v>3.56</v>
      </c>
      <c r="D2188" s="30">
        <v>7.0000000000000007E-2</v>
      </c>
      <c r="E2188" s="31">
        <v>2.0060000000000001E-2</v>
      </c>
      <c r="F2188" s="30">
        <v>583412825</v>
      </c>
      <c r="G2188" s="30" t="s">
        <v>5427</v>
      </c>
      <c r="H2188" s="30">
        <v>2000</v>
      </c>
      <c r="I2188" s="30">
        <v>1364108</v>
      </c>
      <c r="J2188" s="30" t="s">
        <v>5431</v>
      </c>
      <c r="K2188" s="30" t="s">
        <v>6409</v>
      </c>
    </row>
    <row r="2189" spans="1:11" x14ac:dyDescent="0.35">
      <c r="A2189" s="30" t="s">
        <v>13411</v>
      </c>
      <c r="B2189" s="30" t="s">
        <v>13412</v>
      </c>
      <c r="C2189" s="32">
        <v>34.659999999999997</v>
      </c>
      <c r="D2189" s="30">
        <v>1.46</v>
      </c>
      <c r="E2189" s="31">
        <v>4.3979999999999998E-2</v>
      </c>
      <c r="F2189" s="30">
        <v>4249444069</v>
      </c>
      <c r="G2189" s="30" t="s">
        <v>5427</v>
      </c>
      <c r="H2189" s="30">
        <v>2015</v>
      </c>
      <c r="I2189" s="30">
        <v>441095</v>
      </c>
      <c r="J2189" s="30" t="s">
        <v>5431</v>
      </c>
      <c r="K2189" s="30" t="s">
        <v>6530</v>
      </c>
    </row>
    <row r="2190" spans="1:11" x14ac:dyDescent="0.35">
      <c r="A2190" s="30" t="s">
        <v>13413</v>
      </c>
      <c r="B2190" s="30" t="s">
        <v>13414</v>
      </c>
      <c r="C2190" s="32">
        <v>17.489999999999998</v>
      </c>
      <c r="D2190" s="30">
        <v>0.01</v>
      </c>
      <c r="E2190" s="31">
        <v>5.6999999999999998E-4</v>
      </c>
      <c r="F2190" s="30">
        <v>347438080</v>
      </c>
      <c r="G2190" s="30" t="s">
        <v>5427</v>
      </c>
      <c r="H2190" s="30"/>
      <c r="I2190" s="30">
        <v>52911</v>
      </c>
      <c r="J2190" s="30" t="s">
        <v>5435</v>
      </c>
      <c r="K2190" s="30" t="s">
        <v>5579</v>
      </c>
    </row>
    <row r="2191" spans="1:11" x14ac:dyDescent="0.35">
      <c r="A2191" s="30" t="s">
        <v>13415</v>
      </c>
      <c r="B2191" s="30" t="s">
        <v>13416</v>
      </c>
      <c r="C2191" s="32">
        <v>18.260000000000002</v>
      </c>
      <c r="D2191" s="30">
        <v>1.02</v>
      </c>
      <c r="E2191" s="31">
        <v>5.9159999999999997E-2</v>
      </c>
      <c r="F2191" s="30">
        <v>5151392492</v>
      </c>
      <c r="G2191" s="30" t="s">
        <v>5427</v>
      </c>
      <c r="H2191" s="30">
        <v>2020</v>
      </c>
      <c r="I2191" s="30">
        <v>1782909</v>
      </c>
      <c r="J2191" s="30" t="s">
        <v>5431</v>
      </c>
      <c r="K2191" s="30" t="s">
        <v>5610</v>
      </c>
    </row>
    <row r="2192" spans="1:11" x14ac:dyDescent="0.35">
      <c r="A2192" s="30" t="s">
        <v>13417</v>
      </c>
      <c r="B2192" s="30" t="s">
        <v>13418</v>
      </c>
      <c r="C2192" s="32">
        <v>2.5299999999999998</v>
      </c>
      <c r="D2192" s="30">
        <v>-0.01</v>
      </c>
      <c r="E2192" s="31">
        <v>-3.9399999999999999E-3</v>
      </c>
      <c r="F2192" s="30">
        <v>894405603</v>
      </c>
      <c r="G2192" s="30" t="s">
        <v>5427</v>
      </c>
      <c r="H2192" s="30">
        <v>2021</v>
      </c>
      <c r="I2192" s="30">
        <v>1014418</v>
      </c>
      <c r="J2192" s="30" t="s">
        <v>5219</v>
      </c>
      <c r="K2192" s="30" t="s">
        <v>5560</v>
      </c>
    </row>
    <row r="2193" spans="1:11" x14ac:dyDescent="0.35">
      <c r="A2193" s="30" t="s">
        <v>13419</v>
      </c>
      <c r="B2193" s="30" t="s">
        <v>13420</v>
      </c>
      <c r="C2193" s="32">
        <v>20.07</v>
      </c>
      <c r="D2193" s="30">
        <v>0.52</v>
      </c>
      <c r="E2193" s="31">
        <v>2.6599999999999999E-2</v>
      </c>
      <c r="F2193" s="30">
        <v>1005472961</v>
      </c>
      <c r="G2193" s="30" t="s">
        <v>5427</v>
      </c>
      <c r="H2193" s="30"/>
      <c r="I2193" s="30">
        <v>151260</v>
      </c>
      <c r="J2193" s="30" t="s">
        <v>5732</v>
      </c>
      <c r="K2193" s="30" t="s">
        <v>5520</v>
      </c>
    </row>
    <row r="2194" spans="1:11" x14ac:dyDescent="0.35">
      <c r="A2194" s="30" t="s">
        <v>13421</v>
      </c>
      <c r="B2194" s="30" t="s">
        <v>13422</v>
      </c>
      <c r="C2194" s="32">
        <v>0.61699999999999999</v>
      </c>
      <c r="D2194" s="30">
        <v>3.5299999999999998E-2</v>
      </c>
      <c r="E2194" s="31">
        <v>6.0679999999999998E-2</v>
      </c>
      <c r="F2194" s="30">
        <v>94488169</v>
      </c>
      <c r="G2194" s="30" t="s">
        <v>5911</v>
      </c>
      <c r="H2194" s="30"/>
      <c r="I2194" s="30">
        <v>2798329</v>
      </c>
      <c r="J2194" s="30"/>
      <c r="K2194" s="30"/>
    </row>
    <row r="2195" spans="1:11" x14ac:dyDescent="0.35">
      <c r="A2195" s="30" t="s">
        <v>13423</v>
      </c>
      <c r="B2195" s="30" t="s">
        <v>13424</v>
      </c>
      <c r="C2195" s="32">
        <v>28.07</v>
      </c>
      <c r="D2195" s="30">
        <v>0.18</v>
      </c>
      <c r="E2195" s="31">
        <v>6.45E-3</v>
      </c>
      <c r="F2195" s="30">
        <v>3242319721</v>
      </c>
      <c r="G2195" s="30" t="s">
        <v>5427</v>
      </c>
      <c r="H2195" s="30">
        <v>2021</v>
      </c>
      <c r="I2195" s="30">
        <v>1591192</v>
      </c>
      <c r="J2195" s="30" t="s">
        <v>5219</v>
      </c>
      <c r="K2195" s="30" t="s">
        <v>5526</v>
      </c>
    </row>
    <row r="2196" spans="1:11" x14ac:dyDescent="0.35">
      <c r="A2196" s="30" t="s">
        <v>13425</v>
      </c>
      <c r="B2196" s="30" t="s">
        <v>13426</v>
      </c>
      <c r="C2196" s="32">
        <v>36.4</v>
      </c>
      <c r="D2196" s="30">
        <v>0.55000000000000004</v>
      </c>
      <c r="E2196" s="31">
        <v>1.5339999999999999E-2</v>
      </c>
      <c r="F2196" s="30">
        <v>2834958708</v>
      </c>
      <c r="G2196" s="30" t="s">
        <v>5427</v>
      </c>
      <c r="H2196" s="30">
        <v>1993</v>
      </c>
      <c r="I2196" s="30">
        <v>618476</v>
      </c>
      <c r="J2196" s="30" t="s">
        <v>5442</v>
      </c>
      <c r="K2196" s="30" t="s">
        <v>5477</v>
      </c>
    </row>
    <row r="2197" spans="1:11" x14ac:dyDescent="0.35">
      <c r="A2197" s="30" t="s">
        <v>13427</v>
      </c>
      <c r="B2197" s="30" t="s">
        <v>13428</v>
      </c>
      <c r="C2197" s="32">
        <v>33.229999999999997</v>
      </c>
      <c r="D2197" s="30">
        <v>-0.06</v>
      </c>
      <c r="E2197" s="31">
        <v>-1.8E-3</v>
      </c>
      <c r="F2197" s="30">
        <v>1165406705</v>
      </c>
      <c r="G2197" s="30" t="s">
        <v>5427</v>
      </c>
      <c r="H2197" s="30"/>
      <c r="I2197" s="30">
        <v>182281</v>
      </c>
      <c r="J2197" s="30" t="s">
        <v>5442</v>
      </c>
      <c r="K2197" s="30" t="s">
        <v>5926</v>
      </c>
    </row>
    <row r="2198" spans="1:11" x14ac:dyDescent="0.35">
      <c r="A2198" s="30" t="s">
        <v>13429</v>
      </c>
      <c r="B2198" s="30" t="s">
        <v>13430</v>
      </c>
      <c r="C2198" s="32">
        <v>17.05</v>
      </c>
      <c r="D2198" s="30">
        <v>0.02</v>
      </c>
      <c r="E2198" s="31">
        <v>1.17E-3</v>
      </c>
      <c r="F2198" s="30">
        <v>588162682</v>
      </c>
      <c r="G2198" s="30" t="s">
        <v>5427</v>
      </c>
      <c r="H2198" s="30">
        <v>2018</v>
      </c>
      <c r="I2198" s="30">
        <v>116598</v>
      </c>
      <c r="J2198" s="30" t="s">
        <v>5431</v>
      </c>
      <c r="K2198" s="30" t="s">
        <v>6537</v>
      </c>
    </row>
    <row r="2199" spans="1:11" x14ac:dyDescent="0.35">
      <c r="A2199" s="30" t="s">
        <v>13431</v>
      </c>
      <c r="B2199" s="30" t="s">
        <v>13432</v>
      </c>
      <c r="C2199" s="32">
        <v>1.97</v>
      </c>
      <c r="D2199" s="30">
        <v>0.09</v>
      </c>
      <c r="E2199" s="31">
        <v>4.7870000000000003E-2</v>
      </c>
      <c r="F2199" s="30">
        <v>63818798</v>
      </c>
      <c r="G2199" s="30" t="s">
        <v>5427</v>
      </c>
      <c r="H2199" s="30"/>
      <c r="I2199" s="30">
        <v>23039</v>
      </c>
      <c r="J2199" s="30" t="s">
        <v>5435</v>
      </c>
      <c r="K2199" s="30" t="s">
        <v>6221</v>
      </c>
    </row>
    <row r="2200" spans="1:11" x14ac:dyDescent="0.35">
      <c r="A2200" s="30" t="s">
        <v>13433</v>
      </c>
      <c r="B2200" s="30" t="s">
        <v>13434</v>
      </c>
      <c r="C2200" s="32">
        <v>1.73</v>
      </c>
      <c r="D2200" s="30">
        <v>0.01</v>
      </c>
      <c r="E2200" s="31">
        <v>5.8100000000000001E-3</v>
      </c>
      <c r="F2200" s="30">
        <v>316144298</v>
      </c>
      <c r="G2200" s="30" t="s">
        <v>5529</v>
      </c>
      <c r="H2200" s="30"/>
      <c r="I2200" s="30">
        <v>81427</v>
      </c>
      <c r="J2200" s="30" t="s">
        <v>5442</v>
      </c>
      <c r="K2200" s="30" t="s">
        <v>5520</v>
      </c>
    </row>
    <row r="2201" spans="1:11" x14ac:dyDescent="0.35">
      <c r="A2201" s="30" t="s">
        <v>5073</v>
      </c>
      <c r="B2201" s="30" t="s">
        <v>13435</v>
      </c>
      <c r="C2201" s="32">
        <v>7.41</v>
      </c>
      <c r="D2201" s="30">
        <v>0.08</v>
      </c>
      <c r="E2201" s="31">
        <v>1.091E-2</v>
      </c>
      <c r="F2201" s="30">
        <v>541108929</v>
      </c>
      <c r="G2201" s="30" t="s">
        <v>5427</v>
      </c>
      <c r="H2201" s="30"/>
      <c r="I2201" s="30">
        <v>766933</v>
      </c>
      <c r="J2201" s="30" t="s">
        <v>5431</v>
      </c>
      <c r="K2201" s="30" t="s">
        <v>5430</v>
      </c>
    </row>
    <row r="2202" spans="1:11" x14ac:dyDescent="0.35">
      <c r="A2202" s="30" t="s">
        <v>13436</v>
      </c>
      <c r="B2202" s="30" t="s">
        <v>13437</v>
      </c>
      <c r="C2202" s="32">
        <v>93.69</v>
      </c>
      <c r="D2202" s="30">
        <v>-1.31</v>
      </c>
      <c r="E2202" s="31">
        <v>-1.379E-2</v>
      </c>
      <c r="F2202" s="30">
        <v>5647180677</v>
      </c>
      <c r="G2202" s="30" t="s">
        <v>5427</v>
      </c>
      <c r="H2202" s="30"/>
      <c r="I2202" s="30">
        <v>201801</v>
      </c>
      <c r="J2202" s="30" t="s">
        <v>5435</v>
      </c>
      <c r="K2202" s="30" t="s">
        <v>5493</v>
      </c>
    </row>
    <row r="2203" spans="1:11" x14ac:dyDescent="0.35">
      <c r="A2203" s="30" t="s">
        <v>13438</v>
      </c>
      <c r="B2203" s="30" t="s">
        <v>13439</v>
      </c>
      <c r="C2203" s="32">
        <v>55.57</v>
      </c>
      <c r="D2203" s="30">
        <v>1.21</v>
      </c>
      <c r="E2203" s="31">
        <v>2.2259999999999999E-2</v>
      </c>
      <c r="F2203" s="30">
        <v>2118470048</v>
      </c>
      <c r="G2203" s="30" t="s">
        <v>5427</v>
      </c>
      <c r="H2203" s="30">
        <v>2019</v>
      </c>
      <c r="I2203" s="30">
        <v>264483</v>
      </c>
      <c r="J2203" s="30" t="s">
        <v>5431</v>
      </c>
      <c r="K2203" s="30" t="s">
        <v>5500</v>
      </c>
    </row>
    <row r="2204" spans="1:11" x14ac:dyDescent="0.35">
      <c r="A2204" s="30" t="s">
        <v>13440</v>
      </c>
      <c r="B2204" s="30" t="s">
        <v>13441</v>
      </c>
      <c r="C2204" s="32">
        <v>65.39</v>
      </c>
      <c r="D2204" s="30">
        <v>1.29</v>
      </c>
      <c r="E2204" s="31">
        <v>2.0119999999999999E-2</v>
      </c>
      <c r="F2204" s="30">
        <v>2160852438</v>
      </c>
      <c r="G2204" s="30" t="s">
        <v>5771</v>
      </c>
      <c r="H2204" s="30">
        <v>2005</v>
      </c>
      <c r="I2204" s="30">
        <v>439162</v>
      </c>
      <c r="J2204" s="30" t="s">
        <v>5219</v>
      </c>
      <c r="K2204" s="30" t="s">
        <v>5526</v>
      </c>
    </row>
    <row r="2205" spans="1:11" x14ac:dyDescent="0.35">
      <c r="A2205" s="30" t="s">
        <v>13442</v>
      </c>
      <c r="B2205" s="30" t="s">
        <v>13443</v>
      </c>
      <c r="C2205" s="32">
        <v>5.86</v>
      </c>
      <c r="D2205" s="30">
        <v>7.0000000000000007E-2</v>
      </c>
      <c r="E2205" s="31">
        <v>1.209E-2</v>
      </c>
      <c r="F2205" s="30">
        <v>22792687822</v>
      </c>
      <c r="G2205" s="30" t="s">
        <v>5427</v>
      </c>
      <c r="H2205" s="30"/>
      <c r="I2205" s="30">
        <v>17836572</v>
      </c>
      <c r="J2205" s="30" t="s">
        <v>5442</v>
      </c>
      <c r="K2205" s="30" t="s">
        <v>5450</v>
      </c>
    </row>
    <row r="2206" spans="1:11" x14ac:dyDescent="0.35">
      <c r="A2206" s="30" t="s">
        <v>13444</v>
      </c>
      <c r="B2206" s="30" t="s">
        <v>13445</v>
      </c>
      <c r="C2206" s="32">
        <v>122.6</v>
      </c>
      <c r="D2206" s="30">
        <v>7.37</v>
      </c>
      <c r="E2206" s="31">
        <v>6.3960000000000003E-2</v>
      </c>
      <c r="F2206" s="30">
        <v>2628481597</v>
      </c>
      <c r="G2206" s="30" t="s">
        <v>5427</v>
      </c>
      <c r="H2206" s="30">
        <v>2019</v>
      </c>
      <c r="I2206" s="30">
        <v>727267</v>
      </c>
      <c r="J2206" s="30" t="s">
        <v>5219</v>
      </c>
      <c r="K2206" s="30" t="s">
        <v>5526</v>
      </c>
    </row>
    <row r="2207" spans="1:11" x14ac:dyDescent="0.35">
      <c r="A2207" s="30" t="s">
        <v>13446</v>
      </c>
      <c r="B2207" s="30" t="s">
        <v>13447</v>
      </c>
      <c r="C2207" s="32">
        <v>313.38</v>
      </c>
      <c r="D2207" s="30">
        <v>10.94</v>
      </c>
      <c r="E2207" s="31">
        <v>3.6170000000000001E-2</v>
      </c>
      <c r="F2207" s="30">
        <v>18543284695</v>
      </c>
      <c r="G2207" s="30" t="s">
        <v>5427</v>
      </c>
      <c r="H2207" s="30"/>
      <c r="I2207" s="30">
        <v>1176932</v>
      </c>
      <c r="J2207" s="30" t="s">
        <v>5435</v>
      </c>
      <c r="K2207" s="30" t="s">
        <v>5579</v>
      </c>
    </row>
    <row r="2208" spans="1:11" x14ac:dyDescent="0.35">
      <c r="A2208" s="30" t="s">
        <v>13448</v>
      </c>
      <c r="B2208" s="30" t="s">
        <v>13449</v>
      </c>
      <c r="C2208" s="32">
        <v>10.27</v>
      </c>
      <c r="D2208" s="30">
        <v>5.0000000000000001E-3</v>
      </c>
      <c r="E2208" s="31">
        <v>4.8999999999999998E-4</v>
      </c>
      <c r="F2208" s="30">
        <v>269074000</v>
      </c>
      <c r="G2208" s="30" t="s">
        <v>5427</v>
      </c>
      <c r="H2208" s="30">
        <v>2022</v>
      </c>
      <c r="I2208" s="30">
        <v>35000</v>
      </c>
      <c r="J2208" s="30" t="s">
        <v>5435</v>
      </c>
      <c r="K2208" s="30" t="s">
        <v>5482</v>
      </c>
    </row>
    <row r="2209" spans="1:11" x14ac:dyDescent="0.35">
      <c r="A2209" s="30" t="s">
        <v>13450</v>
      </c>
      <c r="B2209" s="30" t="s">
        <v>13451</v>
      </c>
      <c r="C2209" s="32">
        <v>12.16</v>
      </c>
      <c r="D2209" s="30">
        <v>0.76</v>
      </c>
      <c r="E2209" s="31">
        <v>6.6669999999999993E-2</v>
      </c>
      <c r="F2209" s="30">
        <v>1607648867</v>
      </c>
      <c r="G2209" s="30" t="s">
        <v>5427</v>
      </c>
      <c r="H2209" s="30">
        <v>2020</v>
      </c>
      <c r="I2209" s="30">
        <v>2781027</v>
      </c>
      <c r="J2209" s="30" t="s">
        <v>5442</v>
      </c>
      <c r="K2209" s="30" t="s">
        <v>6240</v>
      </c>
    </row>
    <row r="2210" spans="1:11" x14ac:dyDescent="0.35">
      <c r="A2210" s="30" t="s">
        <v>13452</v>
      </c>
      <c r="B2210" s="30" t="s">
        <v>13453</v>
      </c>
      <c r="C2210" s="32">
        <v>18.7</v>
      </c>
      <c r="D2210" s="30">
        <v>0.19</v>
      </c>
      <c r="E2210" s="31">
        <v>1.026E-2</v>
      </c>
      <c r="F2210" s="30">
        <v>728233053</v>
      </c>
      <c r="G2210" s="30" t="s">
        <v>5427</v>
      </c>
      <c r="H2210" s="30">
        <v>2023</v>
      </c>
      <c r="I2210" s="30">
        <v>168649</v>
      </c>
      <c r="J2210" s="30" t="s">
        <v>5435</v>
      </c>
      <c r="K2210" s="30" t="s">
        <v>5493</v>
      </c>
    </row>
    <row r="2211" spans="1:11" x14ac:dyDescent="0.35">
      <c r="A2211" s="30" t="s">
        <v>13454</v>
      </c>
      <c r="B2211" s="30" t="s">
        <v>13455</v>
      </c>
      <c r="C2211" s="32">
        <v>10.115</v>
      </c>
      <c r="D2211" s="30">
        <v>0</v>
      </c>
      <c r="E2211" s="31">
        <v>0</v>
      </c>
      <c r="F2211" s="30">
        <v>280260887</v>
      </c>
      <c r="G2211" s="30" t="s">
        <v>5427</v>
      </c>
      <c r="H2211" s="30">
        <v>2021</v>
      </c>
      <c r="I2211" s="30">
        <v>71</v>
      </c>
      <c r="J2211" s="30" t="s">
        <v>5435</v>
      </c>
      <c r="K2211" s="30" t="s">
        <v>5482</v>
      </c>
    </row>
    <row r="2212" spans="1:11" x14ac:dyDescent="0.35">
      <c r="A2212" s="30" t="s">
        <v>13456</v>
      </c>
      <c r="B2212" s="30" t="s">
        <v>13457</v>
      </c>
      <c r="C2212" s="32">
        <v>10.75</v>
      </c>
      <c r="D2212" s="30">
        <v>-7.0000000000000007E-2</v>
      </c>
      <c r="E2212" s="31">
        <v>-6.4700000000000001E-3</v>
      </c>
      <c r="F2212" s="30">
        <v>465320533</v>
      </c>
      <c r="G2212" s="30" t="s">
        <v>5427</v>
      </c>
      <c r="H2212" s="30">
        <v>2021</v>
      </c>
      <c r="I2212" s="30">
        <v>180988</v>
      </c>
      <c r="J2212" s="30" t="s">
        <v>5219</v>
      </c>
      <c r="K2212" s="30" t="s">
        <v>5526</v>
      </c>
    </row>
    <row r="2213" spans="1:11" x14ac:dyDescent="0.35">
      <c r="A2213" s="30" t="s">
        <v>13458</v>
      </c>
      <c r="B2213" s="30" t="s">
        <v>13459</v>
      </c>
      <c r="C2213" s="32">
        <v>20.41</v>
      </c>
      <c r="D2213" s="30">
        <v>-0.35</v>
      </c>
      <c r="E2213" s="31">
        <v>-1.686E-2</v>
      </c>
      <c r="F2213" s="30">
        <v>1032713609</v>
      </c>
      <c r="G2213" s="30" t="s">
        <v>5427</v>
      </c>
      <c r="H2213" s="30">
        <v>1986</v>
      </c>
      <c r="I2213" s="30">
        <v>650363</v>
      </c>
      <c r="J2213" s="30" t="s">
        <v>5442</v>
      </c>
      <c r="K2213" s="30" t="s">
        <v>5749</v>
      </c>
    </row>
    <row r="2214" spans="1:11" x14ac:dyDescent="0.35">
      <c r="A2214" s="30" t="s">
        <v>13460</v>
      </c>
      <c r="B2214" s="30" t="s">
        <v>13461</v>
      </c>
      <c r="C2214" s="32">
        <v>3.32</v>
      </c>
      <c r="D2214" s="30">
        <v>0.12</v>
      </c>
      <c r="E2214" s="31">
        <v>3.7499999999999999E-2</v>
      </c>
      <c r="F2214" s="30">
        <v>274720126</v>
      </c>
      <c r="G2214" s="30" t="s">
        <v>5427</v>
      </c>
      <c r="H2214" s="30">
        <v>2022</v>
      </c>
      <c r="I2214" s="30">
        <v>109749</v>
      </c>
      <c r="J2214" s="30" t="s">
        <v>5219</v>
      </c>
      <c r="K2214" s="30" t="s">
        <v>5647</v>
      </c>
    </row>
    <row r="2215" spans="1:11" x14ac:dyDescent="0.35">
      <c r="A2215" s="30" t="s">
        <v>13462</v>
      </c>
      <c r="B2215" s="30" t="s">
        <v>13463</v>
      </c>
      <c r="C2215" s="32">
        <v>179</v>
      </c>
      <c r="D2215" s="30">
        <v>22.09</v>
      </c>
      <c r="E2215" s="31">
        <v>0.14077999999999999</v>
      </c>
      <c r="F2215" s="30">
        <v>5957638742</v>
      </c>
      <c r="G2215" s="30" t="s">
        <v>5427</v>
      </c>
      <c r="H2215" s="30">
        <v>2000</v>
      </c>
      <c r="I2215" s="30">
        <v>2627572</v>
      </c>
      <c r="J2215" s="30" t="s">
        <v>5219</v>
      </c>
      <c r="K2215" s="30" t="s">
        <v>5526</v>
      </c>
    </row>
    <row r="2216" spans="1:11" x14ac:dyDescent="0.35">
      <c r="A2216" s="30" t="s">
        <v>13464</v>
      </c>
      <c r="B2216" s="30" t="s">
        <v>13465</v>
      </c>
      <c r="C2216" s="32">
        <v>9.98</v>
      </c>
      <c r="D2216" s="30">
        <v>0.03</v>
      </c>
      <c r="E2216" s="31">
        <v>3.0200000000000001E-3</v>
      </c>
      <c r="F2216" s="30">
        <v>430387500</v>
      </c>
      <c r="G2216" s="30" t="s">
        <v>5427</v>
      </c>
      <c r="H2216" s="30"/>
      <c r="I2216" s="30">
        <v>1122</v>
      </c>
      <c r="J2216" s="30" t="s">
        <v>5457</v>
      </c>
      <c r="K2216" s="30" t="s">
        <v>5571</v>
      </c>
    </row>
    <row r="2217" spans="1:11" x14ac:dyDescent="0.35">
      <c r="A2217" s="30" t="s">
        <v>13466</v>
      </c>
      <c r="B2217" s="30" t="s">
        <v>13467</v>
      </c>
      <c r="C2217" s="32">
        <v>10.175000000000001</v>
      </c>
      <c r="D2217" s="30">
        <v>2.5000000000000001E-2</v>
      </c>
      <c r="E2217" s="31">
        <v>2.4599999999999999E-3</v>
      </c>
      <c r="F2217" s="30">
        <v>731328125</v>
      </c>
      <c r="G2217" s="30" t="s">
        <v>5427</v>
      </c>
      <c r="H2217" s="30">
        <v>2021</v>
      </c>
      <c r="I2217" s="30">
        <v>2439031</v>
      </c>
      <c r="J2217" s="30" t="s">
        <v>5435</v>
      </c>
      <c r="K2217" s="30" t="s">
        <v>5482</v>
      </c>
    </row>
    <row r="2218" spans="1:11" x14ac:dyDescent="0.35">
      <c r="A2218" s="30" t="s">
        <v>13468</v>
      </c>
      <c r="B2218" s="30" t="s">
        <v>13469</v>
      </c>
      <c r="C2218" s="32">
        <v>7.54</v>
      </c>
      <c r="D2218" s="30">
        <v>-0.04</v>
      </c>
      <c r="E2218" s="31">
        <v>-5.28E-3</v>
      </c>
      <c r="F2218" s="30">
        <v>147457759</v>
      </c>
      <c r="G2218" s="30" t="s">
        <v>5427</v>
      </c>
      <c r="H2218" s="30">
        <v>2018</v>
      </c>
      <c r="I2218" s="30">
        <v>4569</v>
      </c>
      <c r="J2218" s="30" t="s">
        <v>5431</v>
      </c>
      <c r="K2218" s="30" t="s">
        <v>6409</v>
      </c>
    </row>
    <row r="2219" spans="1:11" x14ac:dyDescent="0.35">
      <c r="A2219" s="30" t="s">
        <v>13470</v>
      </c>
      <c r="B2219" s="30" t="s">
        <v>13471</v>
      </c>
      <c r="C2219" s="32">
        <v>3.42</v>
      </c>
      <c r="D2219" s="30">
        <v>7.0000000000000007E-2</v>
      </c>
      <c r="E2219" s="31">
        <v>2.0899999999999998E-2</v>
      </c>
      <c r="F2219" s="30">
        <v>601285125</v>
      </c>
      <c r="G2219" s="30" t="s">
        <v>5427</v>
      </c>
      <c r="H2219" s="30">
        <v>2021</v>
      </c>
      <c r="I2219" s="30">
        <v>2124978</v>
      </c>
      <c r="J2219" s="30" t="s">
        <v>5464</v>
      </c>
      <c r="K2219" s="30" t="s">
        <v>5647</v>
      </c>
    </row>
    <row r="2220" spans="1:11" x14ac:dyDescent="0.35">
      <c r="A2220" s="30" t="s">
        <v>13472</v>
      </c>
      <c r="B2220" s="30" t="s">
        <v>13473</v>
      </c>
      <c r="C2220" s="32">
        <v>3.47</v>
      </c>
      <c r="D2220" s="30">
        <v>-0.01</v>
      </c>
      <c r="E2220" s="31">
        <v>-2.8700000000000002E-3</v>
      </c>
      <c r="F2220" s="30">
        <v>650715168</v>
      </c>
      <c r="G2220" s="30" t="s">
        <v>5427</v>
      </c>
      <c r="H2220" s="30">
        <v>2021</v>
      </c>
      <c r="I2220" s="30">
        <v>972860</v>
      </c>
      <c r="J2220" s="30" t="s">
        <v>5431</v>
      </c>
      <c r="K2220" s="30" t="s">
        <v>9124</v>
      </c>
    </row>
    <row r="2221" spans="1:11" x14ac:dyDescent="0.35">
      <c r="A2221" s="30" t="s">
        <v>13474</v>
      </c>
      <c r="B2221" s="30" t="s">
        <v>13475</v>
      </c>
      <c r="C2221" s="32">
        <v>17.79</v>
      </c>
      <c r="D2221" s="30">
        <v>0.22</v>
      </c>
      <c r="E2221" s="31">
        <v>1.252E-2</v>
      </c>
      <c r="F2221" s="30">
        <v>4451001606</v>
      </c>
      <c r="G2221" s="30" t="s">
        <v>5427</v>
      </c>
      <c r="H2221" s="30"/>
      <c r="I2221" s="30">
        <v>1491658</v>
      </c>
      <c r="J2221" s="30" t="s">
        <v>5435</v>
      </c>
      <c r="K2221" s="30" t="s">
        <v>5598</v>
      </c>
    </row>
    <row r="2222" spans="1:11" x14ac:dyDescent="0.35">
      <c r="A2222" s="30" t="s">
        <v>13476</v>
      </c>
      <c r="B2222" s="30" t="s">
        <v>13477</v>
      </c>
      <c r="C2222" s="32">
        <v>13.49</v>
      </c>
      <c r="D2222" s="30">
        <v>0.49</v>
      </c>
      <c r="E2222" s="31">
        <v>3.7690000000000001E-2</v>
      </c>
      <c r="F2222" s="30">
        <v>1452403723</v>
      </c>
      <c r="G2222" s="30" t="s">
        <v>5775</v>
      </c>
      <c r="H2222" s="30"/>
      <c r="I2222" s="30">
        <v>42125</v>
      </c>
      <c r="J2222" s="30" t="s">
        <v>5431</v>
      </c>
      <c r="K2222" s="30" t="s">
        <v>5430</v>
      </c>
    </row>
    <row r="2223" spans="1:11" x14ac:dyDescent="0.35">
      <c r="A2223" s="30" t="s">
        <v>13478</v>
      </c>
      <c r="B2223" s="30" t="s">
        <v>13479</v>
      </c>
      <c r="C2223" s="32">
        <v>3.9</v>
      </c>
      <c r="D2223" s="30">
        <v>0.16</v>
      </c>
      <c r="E2223" s="31">
        <v>4.2779999999999999E-2</v>
      </c>
      <c r="F2223" s="30">
        <v>376216140</v>
      </c>
      <c r="G2223" s="30" t="s">
        <v>5775</v>
      </c>
      <c r="H2223" s="30"/>
      <c r="I2223" s="30">
        <v>43863</v>
      </c>
      <c r="J2223" s="30"/>
      <c r="K2223" s="30"/>
    </row>
    <row r="2224" spans="1:11" x14ac:dyDescent="0.35">
      <c r="A2224" s="30" t="s">
        <v>13480</v>
      </c>
      <c r="B2224" s="30" t="s">
        <v>13481</v>
      </c>
      <c r="C2224" s="32">
        <v>4.6100000000000003</v>
      </c>
      <c r="D2224" s="30">
        <v>2.5000000000000001E-2</v>
      </c>
      <c r="E2224" s="31">
        <v>5.45E-3</v>
      </c>
      <c r="F2224" s="30">
        <v>84762839</v>
      </c>
      <c r="G2224" s="30" t="s">
        <v>5427</v>
      </c>
      <c r="H2224" s="30"/>
      <c r="I2224" s="30">
        <v>4869</v>
      </c>
      <c r="J2224" s="30" t="s">
        <v>5426</v>
      </c>
      <c r="K2224" s="30" t="s">
        <v>6094</v>
      </c>
    </row>
    <row r="2225" spans="1:11" x14ac:dyDescent="0.35">
      <c r="A2225" s="30" t="s">
        <v>13482</v>
      </c>
      <c r="B2225" s="30" t="s">
        <v>13483</v>
      </c>
      <c r="C2225" s="32">
        <v>41.04</v>
      </c>
      <c r="D2225" s="30">
        <v>-0.1</v>
      </c>
      <c r="E2225" s="31">
        <v>-2.4299999999999999E-3</v>
      </c>
      <c r="F2225" s="30">
        <v>834323870</v>
      </c>
      <c r="G2225" s="30" t="s">
        <v>5427</v>
      </c>
      <c r="H2225" s="30"/>
      <c r="I2225" s="30">
        <v>133423</v>
      </c>
      <c r="J2225" s="30" t="s">
        <v>5219</v>
      </c>
      <c r="K2225" s="30" t="s">
        <v>5560</v>
      </c>
    </row>
    <row r="2226" spans="1:11" x14ac:dyDescent="0.35">
      <c r="A2226" s="30" t="s">
        <v>13484</v>
      </c>
      <c r="B2226" s="30" t="s">
        <v>13485</v>
      </c>
      <c r="C2226" s="32">
        <v>15.63</v>
      </c>
      <c r="D2226" s="30">
        <v>0.12</v>
      </c>
      <c r="E2226" s="31">
        <v>7.7400000000000004E-3</v>
      </c>
      <c r="F2226" s="30">
        <v>856096535</v>
      </c>
      <c r="G2226" s="30" t="s">
        <v>5427</v>
      </c>
      <c r="H2226" s="30">
        <v>2010</v>
      </c>
      <c r="I2226" s="30">
        <v>158917</v>
      </c>
      <c r="J2226" s="30" t="s">
        <v>5435</v>
      </c>
      <c r="K2226" s="30" t="s">
        <v>5985</v>
      </c>
    </row>
    <row r="2227" spans="1:11" x14ac:dyDescent="0.35">
      <c r="A2227" s="30" t="s">
        <v>13486</v>
      </c>
      <c r="B2227" s="30" t="s">
        <v>13487</v>
      </c>
      <c r="C2227" s="32">
        <v>3.3</v>
      </c>
      <c r="D2227" s="30">
        <v>-0.02</v>
      </c>
      <c r="E2227" s="31">
        <v>-6.0200000000000002E-3</v>
      </c>
      <c r="F2227" s="30">
        <v>67941215</v>
      </c>
      <c r="G2227" s="30" t="s">
        <v>5427</v>
      </c>
      <c r="H2227" s="30"/>
      <c r="I2227" s="30">
        <v>118704</v>
      </c>
      <c r="J2227" s="30" t="s">
        <v>5431</v>
      </c>
      <c r="K2227" s="30" t="s">
        <v>5430</v>
      </c>
    </row>
    <row r="2228" spans="1:11" x14ac:dyDescent="0.35">
      <c r="A2228" s="30" t="s">
        <v>13488</v>
      </c>
      <c r="B2228" s="30" t="s">
        <v>13489</v>
      </c>
      <c r="C2228" s="32">
        <v>10.11</v>
      </c>
      <c r="D2228" s="30">
        <v>0.01</v>
      </c>
      <c r="E2228" s="31">
        <v>9.8999999999999999E-4</v>
      </c>
      <c r="F2228" s="30">
        <v>315937500</v>
      </c>
      <c r="G2228" s="30" t="s">
        <v>5427</v>
      </c>
      <c r="H2228" s="30">
        <v>2021</v>
      </c>
      <c r="I2228" s="30">
        <v>2266</v>
      </c>
      <c r="J2228" s="30" t="s">
        <v>5435</v>
      </c>
      <c r="K2228" s="30" t="s">
        <v>5482</v>
      </c>
    </row>
    <row r="2229" spans="1:11" x14ac:dyDescent="0.35">
      <c r="A2229" s="30" t="s">
        <v>13490</v>
      </c>
      <c r="B2229" s="30" t="s">
        <v>13491</v>
      </c>
      <c r="C2229" s="32">
        <v>10.29</v>
      </c>
      <c r="D2229" s="30">
        <v>-0.01</v>
      </c>
      <c r="E2229" s="31">
        <v>-9.7000000000000005E-4</v>
      </c>
      <c r="F2229" s="30">
        <v>154864500</v>
      </c>
      <c r="G2229" s="30" t="s">
        <v>5427</v>
      </c>
      <c r="H2229" s="30">
        <v>2021</v>
      </c>
      <c r="I2229" s="30">
        <v>274693</v>
      </c>
      <c r="J2229" s="30" t="s">
        <v>5457</v>
      </c>
      <c r="K2229" s="30" t="s">
        <v>5571</v>
      </c>
    </row>
    <row r="2230" spans="1:11" x14ac:dyDescent="0.35">
      <c r="A2230" s="30" t="s">
        <v>13492</v>
      </c>
      <c r="B2230" s="30" t="s">
        <v>13493</v>
      </c>
      <c r="C2230" s="32">
        <v>48.66</v>
      </c>
      <c r="D2230" s="30">
        <v>0.24</v>
      </c>
      <c r="E2230" s="31">
        <v>4.96E-3</v>
      </c>
      <c r="F2230" s="30">
        <v>548430364</v>
      </c>
      <c r="G2230" s="30" t="s">
        <v>5427</v>
      </c>
      <c r="H2230" s="30"/>
      <c r="I2230" s="30">
        <v>24357</v>
      </c>
      <c r="J2230" s="30" t="s">
        <v>5435</v>
      </c>
      <c r="K2230" s="30" t="s">
        <v>6698</v>
      </c>
    </row>
    <row r="2231" spans="1:11" x14ac:dyDescent="0.35">
      <c r="A2231" s="30" t="s">
        <v>13494</v>
      </c>
      <c r="B2231" s="30" t="s">
        <v>13495</v>
      </c>
      <c r="C2231" s="32">
        <v>27.2</v>
      </c>
      <c r="D2231" s="30">
        <v>0.23</v>
      </c>
      <c r="E2231" s="31">
        <v>8.5299999999999994E-3</v>
      </c>
      <c r="F2231" s="30">
        <v>459701896</v>
      </c>
      <c r="G2231" s="30" t="s">
        <v>5427</v>
      </c>
      <c r="H2231" s="30"/>
      <c r="I2231" s="30">
        <v>32844</v>
      </c>
      <c r="J2231" s="30" t="s">
        <v>5435</v>
      </c>
      <c r="K2231" s="30" t="s">
        <v>5579</v>
      </c>
    </row>
    <row r="2232" spans="1:11" x14ac:dyDescent="0.35">
      <c r="A2232" s="30" t="s">
        <v>13496</v>
      </c>
      <c r="B2232" s="30" t="s">
        <v>13497</v>
      </c>
      <c r="C2232" s="32">
        <v>79.739999999999995</v>
      </c>
      <c r="D2232" s="30">
        <v>7.41</v>
      </c>
      <c r="E2232" s="31">
        <v>0.10245</v>
      </c>
      <c r="F2232" s="30">
        <v>4220070930</v>
      </c>
      <c r="G2232" s="30" t="s">
        <v>5427</v>
      </c>
      <c r="H2232" s="30">
        <v>2020</v>
      </c>
      <c r="I2232" s="30">
        <v>3201399</v>
      </c>
      <c r="J2232" s="30" t="s">
        <v>5219</v>
      </c>
      <c r="K2232" s="30" t="s">
        <v>7535</v>
      </c>
    </row>
    <row r="2233" spans="1:11" x14ac:dyDescent="0.35">
      <c r="A2233" s="30" t="s">
        <v>13498</v>
      </c>
      <c r="B2233" s="30" t="s">
        <v>13499</v>
      </c>
      <c r="C2233" s="32">
        <v>21.55</v>
      </c>
      <c r="D2233" s="30">
        <v>-0.44</v>
      </c>
      <c r="E2233" s="31">
        <v>-2.001E-2</v>
      </c>
      <c r="F2233" s="30">
        <v>112720680</v>
      </c>
      <c r="G2233" s="30" t="s">
        <v>5427</v>
      </c>
      <c r="H2233" s="30"/>
      <c r="I2233" s="30">
        <v>5826</v>
      </c>
      <c r="J2233" s="30" t="s">
        <v>5457</v>
      </c>
      <c r="K2233" s="30" t="s">
        <v>6035</v>
      </c>
    </row>
    <row r="2234" spans="1:11" x14ac:dyDescent="0.35">
      <c r="A2234" s="30" t="s">
        <v>13500</v>
      </c>
      <c r="B2234" s="30" t="s">
        <v>13501</v>
      </c>
      <c r="C2234" s="32">
        <v>41.05</v>
      </c>
      <c r="D2234" s="30">
        <v>1.84</v>
      </c>
      <c r="E2234" s="31">
        <v>4.6929999999999999E-2</v>
      </c>
      <c r="F2234" s="30">
        <v>280780892</v>
      </c>
      <c r="G2234" s="30" t="s">
        <v>5427</v>
      </c>
      <c r="H2234" s="30"/>
      <c r="I2234" s="30">
        <v>33274</v>
      </c>
      <c r="J2234" s="30" t="s">
        <v>5431</v>
      </c>
      <c r="K2234" s="30" t="s">
        <v>5500</v>
      </c>
    </row>
    <row r="2235" spans="1:11" x14ac:dyDescent="0.35">
      <c r="A2235" s="30" t="s">
        <v>13502</v>
      </c>
      <c r="B2235" s="30" t="s">
        <v>13503</v>
      </c>
      <c r="C2235" s="32">
        <v>25.91</v>
      </c>
      <c r="D2235" s="30">
        <v>-0.04</v>
      </c>
      <c r="E2235" s="31">
        <v>-1.5399999999999999E-3</v>
      </c>
      <c r="F2235" s="30">
        <v>331224268</v>
      </c>
      <c r="G2235" s="30" t="s">
        <v>5427</v>
      </c>
      <c r="H2235" s="30"/>
      <c r="I2235" s="30">
        <v>40511</v>
      </c>
      <c r="J2235" s="30" t="s">
        <v>5435</v>
      </c>
      <c r="K2235" s="30" t="s">
        <v>5579</v>
      </c>
    </row>
    <row r="2236" spans="1:11" x14ac:dyDescent="0.35">
      <c r="A2236" s="30" t="s">
        <v>13504</v>
      </c>
      <c r="B2236" s="30" t="s">
        <v>13505</v>
      </c>
      <c r="C2236" s="32">
        <v>3.8</v>
      </c>
      <c r="D2236" s="30">
        <v>0.25</v>
      </c>
      <c r="E2236" s="31">
        <v>7.0419999999999996E-2</v>
      </c>
      <c r="F2236" s="30">
        <v>312367448</v>
      </c>
      <c r="G2236" s="30" t="s">
        <v>5427</v>
      </c>
      <c r="H2236" s="30">
        <v>2015</v>
      </c>
      <c r="I2236" s="30">
        <v>5039015</v>
      </c>
      <c r="J2236" s="30" t="s">
        <v>5431</v>
      </c>
      <c r="K2236" s="30" t="s">
        <v>5685</v>
      </c>
    </row>
    <row r="2237" spans="1:11" x14ac:dyDescent="0.35">
      <c r="A2237" s="30" t="s">
        <v>13506</v>
      </c>
      <c r="B2237" s="30" t="s">
        <v>13507</v>
      </c>
      <c r="C2237" s="32">
        <v>36.46</v>
      </c>
      <c r="D2237" s="30">
        <v>0.16</v>
      </c>
      <c r="E2237" s="31">
        <v>4.4099999999999999E-3</v>
      </c>
      <c r="F2237" s="30">
        <v>3627454876</v>
      </c>
      <c r="G2237" s="30" t="s">
        <v>5427</v>
      </c>
      <c r="H2237" s="30"/>
      <c r="I2237" s="30">
        <v>835610</v>
      </c>
      <c r="J2237" s="30" t="s">
        <v>5541</v>
      </c>
      <c r="K2237" s="30" t="s">
        <v>5938</v>
      </c>
    </row>
    <row r="2238" spans="1:11" x14ac:dyDescent="0.35">
      <c r="A2238" s="30" t="s">
        <v>13508</v>
      </c>
      <c r="B2238" s="30" t="s">
        <v>13509</v>
      </c>
      <c r="C2238" s="32">
        <v>3.31</v>
      </c>
      <c r="D2238" s="30">
        <v>0.06</v>
      </c>
      <c r="E2238" s="31">
        <v>1.8460000000000001E-2</v>
      </c>
      <c r="F2238" s="30">
        <v>186144738</v>
      </c>
      <c r="G2238" s="30" t="s">
        <v>5427</v>
      </c>
      <c r="H2238" s="30">
        <v>1995</v>
      </c>
      <c r="I2238" s="30">
        <v>208788</v>
      </c>
      <c r="J2238" s="30" t="s">
        <v>5219</v>
      </c>
      <c r="K2238" s="30" t="s">
        <v>5560</v>
      </c>
    </row>
    <row r="2239" spans="1:11" x14ac:dyDescent="0.35">
      <c r="A2239" s="30" t="s">
        <v>13510</v>
      </c>
      <c r="B2239" s="30" t="s">
        <v>13511</v>
      </c>
      <c r="C2239" s="32">
        <v>34.42</v>
      </c>
      <c r="D2239" s="30">
        <v>1.39</v>
      </c>
      <c r="E2239" s="31">
        <v>4.2079999999999999E-2</v>
      </c>
      <c r="F2239" s="30">
        <v>2197294632</v>
      </c>
      <c r="G2239" s="30" t="s">
        <v>5427</v>
      </c>
      <c r="H2239" s="30"/>
      <c r="I2239" s="30">
        <v>833020</v>
      </c>
      <c r="J2239" s="30" t="s">
        <v>5219</v>
      </c>
      <c r="K2239" s="30" t="s">
        <v>5526</v>
      </c>
    </row>
    <row r="2240" spans="1:11" x14ac:dyDescent="0.35">
      <c r="A2240" s="30" t="s">
        <v>13512</v>
      </c>
      <c r="B2240" s="30" t="s">
        <v>13513</v>
      </c>
      <c r="C2240" s="32">
        <v>43.3</v>
      </c>
      <c r="D2240" s="30">
        <v>-0.25</v>
      </c>
      <c r="E2240" s="31">
        <v>-5.7400000000000003E-3</v>
      </c>
      <c r="F2240" s="30">
        <v>359551466</v>
      </c>
      <c r="G2240" s="30" t="s">
        <v>5427</v>
      </c>
      <c r="H2240" s="30"/>
      <c r="I2240" s="30">
        <v>12870</v>
      </c>
      <c r="J2240" s="30" t="s">
        <v>5431</v>
      </c>
      <c r="K2240" s="30" t="s">
        <v>5500</v>
      </c>
    </row>
    <row r="2241" spans="1:11" x14ac:dyDescent="0.35">
      <c r="A2241" s="30" t="s">
        <v>13514</v>
      </c>
      <c r="B2241" s="30" t="s">
        <v>13515</v>
      </c>
      <c r="C2241" s="32">
        <v>1.72</v>
      </c>
      <c r="D2241" s="30">
        <v>0.12</v>
      </c>
      <c r="E2241" s="31">
        <v>7.4999999999999997E-2</v>
      </c>
      <c r="F2241" s="30">
        <v>63478360</v>
      </c>
      <c r="G2241" s="30" t="s">
        <v>5427</v>
      </c>
      <c r="H2241" s="30">
        <v>2022</v>
      </c>
      <c r="I2241" s="30">
        <v>214285</v>
      </c>
      <c r="J2241" s="30"/>
      <c r="K2241" s="30"/>
    </row>
    <row r="2242" spans="1:11" x14ac:dyDescent="0.35">
      <c r="A2242" s="30" t="s">
        <v>13516</v>
      </c>
      <c r="B2242" s="30" t="s">
        <v>13517</v>
      </c>
      <c r="C2242" s="32">
        <v>36.96</v>
      </c>
      <c r="D2242" s="30">
        <v>2.58</v>
      </c>
      <c r="E2242" s="31">
        <v>7.5039999999999996E-2</v>
      </c>
      <c r="F2242" s="30">
        <v>813156960</v>
      </c>
      <c r="G2242" s="30" t="s">
        <v>5427</v>
      </c>
      <c r="H2242" s="30"/>
      <c r="I2242" s="30">
        <v>676785</v>
      </c>
      <c r="J2242" s="30" t="s">
        <v>5442</v>
      </c>
      <c r="K2242" s="30" t="s">
        <v>5894</v>
      </c>
    </row>
    <row r="2243" spans="1:11" x14ac:dyDescent="0.35">
      <c r="A2243" s="30" t="s">
        <v>13518</v>
      </c>
      <c r="B2243" s="30" t="s">
        <v>13519</v>
      </c>
      <c r="C2243" s="32">
        <v>0.53639999999999999</v>
      </c>
      <c r="D2243" s="30">
        <v>-3.5000000000000001E-3</v>
      </c>
      <c r="E2243" s="31">
        <v>-6.4799999999999996E-3</v>
      </c>
      <c r="F2243" s="30">
        <v>62578376</v>
      </c>
      <c r="G2243" s="30" t="s">
        <v>5427</v>
      </c>
      <c r="H2243" s="30">
        <v>2020</v>
      </c>
      <c r="I2243" s="30">
        <v>403823</v>
      </c>
      <c r="J2243" s="30" t="s">
        <v>5219</v>
      </c>
      <c r="K2243" s="30" t="s">
        <v>5560</v>
      </c>
    </row>
    <row r="2244" spans="1:11" x14ac:dyDescent="0.35">
      <c r="A2244" s="30" t="s">
        <v>13520</v>
      </c>
      <c r="B2244" s="30" t="s">
        <v>13521</v>
      </c>
      <c r="C2244" s="32">
        <v>0.81479999999999997</v>
      </c>
      <c r="D2244" s="30">
        <v>3.1800000000000002E-2</v>
      </c>
      <c r="E2244" s="31">
        <v>4.061E-2</v>
      </c>
      <c r="F2244" s="30">
        <v>74037785</v>
      </c>
      <c r="G2244" s="30" t="s">
        <v>5427</v>
      </c>
      <c r="H2244" s="30">
        <v>2018</v>
      </c>
      <c r="I2244" s="30">
        <v>279473</v>
      </c>
      <c r="J2244" s="30" t="s">
        <v>5219</v>
      </c>
      <c r="K2244" s="30" t="s">
        <v>5447</v>
      </c>
    </row>
    <row r="2245" spans="1:11" x14ac:dyDescent="0.35">
      <c r="A2245" s="30" t="s">
        <v>13522</v>
      </c>
      <c r="B2245" s="30" t="s">
        <v>13523</v>
      </c>
      <c r="C2245" s="32">
        <v>19</v>
      </c>
      <c r="D2245" s="30">
        <v>0.33</v>
      </c>
      <c r="E2245" s="31">
        <v>1.7680000000000001E-2</v>
      </c>
      <c r="F2245" s="30">
        <v>1105166806</v>
      </c>
      <c r="G2245" s="30" t="s">
        <v>5427</v>
      </c>
      <c r="H2245" s="30">
        <v>2021</v>
      </c>
      <c r="I2245" s="30">
        <v>264538</v>
      </c>
      <c r="J2245" s="30" t="s">
        <v>5442</v>
      </c>
      <c r="K2245" s="30" t="s">
        <v>5749</v>
      </c>
    </row>
    <row r="2246" spans="1:11" x14ac:dyDescent="0.35">
      <c r="A2246" s="30" t="s">
        <v>13524</v>
      </c>
      <c r="B2246" s="30" t="s">
        <v>13525</v>
      </c>
      <c r="C2246" s="32">
        <v>1.79</v>
      </c>
      <c r="D2246" s="30">
        <v>-0.02</v>
      </c>
      <c r="E2246" s="31">
        <v>-1.1050000000000001E-2</v>
      </c>
      <c r="F2246" s="30">
        <v>81045127</v>
      </c>
      <c r="G2246" s="30" t="s">
        <v>5427</v>
      </c>
      <c r="H2246" s="30">
        <v>2016</v>
      </c>
      <c r="I2246" s="30">
        <v>127238</v>
      </c>
      <c r="J2246" s="30" t="s">
        <v>5457</v>
      </c>
      <c r="K2246" s="30" t="s">
        <v>5634</v>
      </c>
    </row>
    <row r="2247" spans="1:11" x14ac:dyDescent="0.35">
      <c r="A2247" s="30" t="s">
        <v>13526</v>
      </c>
      <c r="B2247" s="30" t="s">
        <v>13527</v>
      </c>
      <c r="C2247" s="32">
        <v>2.33</v>
      </c>
      <c r="D2247" s="30">
        <v>0.03</v>
      </c>
      <c r="E2247" s="31">
        <v>1.304E-2</v>
      </c>
      <c r="F2247" s="30">
        <v>607431000</v>
      </c>
      <c r="G2247" s="30" t="s">
        <v>5515</v>
      </c>
      <c r="H2247" s="30">
        <v>2019</v>
      </c>
      <c r="I2247" s="30">
        <v>5425809</v>
      </c>
      <c r="J2247" s="30" t="s">
        <v>5431</v>
      </c>
      <c r="K2247" s="30" t="s">
        <v>8643</v>
      </c>
    </row>
    <row r="2248" spans="1:11" x14ac:dyDescent="0.35">
      <c r="A2248" s="30" t="s">
        <v>13528</v>
      </c>
      <c r="B2248" s="30" t="s">
        <v>13529</v>
      </c>
      <c r="C2248" s="32">
        <v>28.98</v>
      </c>
      <c r="D2248" s="30">
        <v>0.28000000000000003</v>
      </c>
      <c r="E2248" s="31">
        <v>9.7599999999999996E-3</v>
      </c>
      <c r="F2248" s="30">
        <v>1973564604</v>
      </c>
      <c r="G2248" s="30" t="s">
        <v>5427</v>
      </c>
      <c r="H2248" s="30">
        <v>2016</v>
      </c>
      <c r="I2248" s="30">
        <v>703500</v>
      </c>
      <c r="J2248" s="30" t="s">
        <v>5431</v>
      </c>
      <c r="K2248" s="30" t="s">
        <v>5430</v>
      </c>
    </row>
    <row r="2249" spans="1:11" x14ac:dyDescent="0.35">
      <c r="A2249" s="30" t="s">
        <v>13530</v>
      </c>
      <c r="B2249" s="30" t="s">
        <v>13531</v>
      </c>
      <c r="C2249" s="32">
        <v>88.19</v>
      </c>
      <c r="D2249" s="30">
        <v>0.31</v>
      </c>
      <c r="E2249" s="31">
        <v>3.5300000000000002E-3</v>
      </c>
      <c r="F2249" s="30">
        <v>1815400498</v>
      </c>
      <c r="G2249" s="30" t="s">
        <v>5427</v>
      </c>
      <c r="H2249" s="30"/>
      <c r="I2249" s="30">
        <v>99750</v>
      </c>
      <c r="J2249" s="30" t="s">
        <v>5435</v>
      </c>
      <c r="K2249" s="30" t="s">
        <v>6221</v>
      </c>
    </row>
    <row r="2250" spans="1:11" x14ac:dyDescent="0.35">
      <c r="A2250" s="30" t="s">
        <v>13532</v>
      </c>
      <c r="B2250" s="30" t="s">
        <v>13533</v>
      </c>
      <c r="C2250" s="32">
        <v>7.18</v>
      </c>
      <c r="D2250" s="30">
        <v>-0.03</v>
      </c>
      <c r="E2250" s="31">
        <v>-4.1599999999999996E-3</v>
      </c>
      <c r="F2250" s="30">
        <v>155179315</v>
      </c>
      <c r="G2250" s="30" t="s">
        <v>5427</v>
      </c>
      <c r="H2250" s="30"/>
      <c r="I2250" s="30">
        <v>18971</v>
      </c>
      <c r="J2250" s="30" t="s">
        <v>5435</v>
      </c>
      <c r="K2250" s="30" t="s">
        <v>6009</v>
      </c>
    </row>
    <row r="2251" spans="1:11" x14ac:dyDescent="0.35">
      <c r="A2251" s="30" t="s">
        <v>13534</v>
      </c>
      <c r="B2251" s="30" t="s">
        <v>13535</v>
      </c>
      <c r="C2251" s="32">
        <v>9.8699999999999992</v>
      </c>
      <c r="D2251" s="30">
        <v>0.28000000000000003</v>
      </c>
      <c r="E2251" s="31">
        <v>2.92E-2</v>
      </c>
      <c r="F2251" s="30">
        <v>749535439</v>
      </c>
      <c r="G2251" s="30" t="s">
        <v>5427</v>
      </c>
      <c r="H2251" s="30">
        <v>2021</v>
      </c>
      <c r="I2251" s="30">
        <v>52164</v>
      </c>
      <c r="J2251" s="30" t="s">
        <v>5442</v>
      </c>
      <c r="K2251" s="30" t="s">
        <v>6136</v>
      </c>
    </row>
    <row r="2252" spans="1:11" x14ac:dyDescent="0.35">
      <c r="A2252" s="30" t="s">
        <v>13536</v>
      </c>
      <c r="B2252" s="30" t="s">
        <v>13537</v>
      </c>
      <c r="C2252" s="32">
        <v>367.05</v>
      </c>
      <c r="D2252" s="30">
        <v>13.3</v>
      </c>
      <c r="E2252" s="31">
        <v>3.7600000000000001E-2</v>
      </c>
      <c r="F2252" s="30">
        <v>55944731058</v>
      </c>
      <c r="G2252" s="30" t="s">
        <v>5427</v>
      </c>
      <c r="H2252" s="30">
        <v>1992</v>
      </c>
      <c r="I2252" s="30">
        <v>843612</v>
      </c>
      <c r="J2252" s="30" t="s">
        <v>5219</v>
      </c>
      <c r="K2252" s="30" t="s">
        <v>5447</v>
      </c>
    </row>
    <row r="2253" spans="1:11" x14ac:dyDescent="0.35">
      <c r="A2253" s="30" t="s">
        <v>13538</v>
      </c>
      <c r="B2253" s="30" t="s">
        <v>13539</v>
      </c>
      <c r="C2253" s="32">
        <v>9.9499999999999993</v>
      </c>
      <c r="D2253" s="30">
        <v>0</v>
      </c>
      <c r="E2253" s="31">
        <v>0</v>
      </c>
      <c r="F2253" s="30">
        <v>514912500</v>
      </c>
      <c r="G2253" s="30" t="s">
        <v>5427</v>
      </c>
      <c r="H2253" s="30">
        <v>2021</v>
      </c>
      <c r="I2253" s="30">
        <v>6</v>
      </c>
      <c r="J2253" s="30" t="s">
        <v>5457</v>
      </c>
      <c r="K2253" s="30" t="s">
        <v>5571</v>
      </c>
    </row>
    <row r="2254" spans="1:11" x14ac:dyDescent="0.35">
      <c r="A2254" s="30" t="s">
        <v>13540</v>
      </c>
      <c r="B2254" s="30" t="s">
        <v>13541</v>
      </c>
      <c r="C2254" s="32">
        <v>1.81</v>
      </c>
      <c r="D2254" s="30">
        <v>-2.2700000000000001E-2</v>
      </c>
      <c r="E2254" s="31">
        <v>-1.239E-2</v>
      </c>
      <c r="F2254" s="30">
        <v>79381309</v>
      </c>
      <c r="G2254" s="30" t="s">
        <v>5427</v>
      </c>
      <c r="H2254" s="30">
        <v>2021</v>
      </c>
      <c r="I2254" s="30">
        <v>111949</v>
      </c>
      <c r="J2254" s="30" t="s">
        <v>5431</v>
      </c>
      <c r="K2254" s="30" t="s">
        <v>5430</v>
      </c>
    </row>
    <row r="2255" spans="1:11" x14ac:dyDescent="0.35">
      <c r="A2255" s="30" t="s">
        <v>13542</v>
      </c>
      <c r="B2255" s="30" t="s">
        <v>13543</v>
      </c>
      <c r="C2255" s="32">
        <v>48.75</v>
      </c>
      <c r="D2255" s="30">
        <v>-0.39</v>
      </c>
      <c r="E2255" s="31">
        <v>-7.9399999999999991E-3</v>
      </c>
      <c r="F2255" s="30">
        <v>122132445435</v>
      </c>
      <c r="G2255" s="30" t="s">
        <v>5847</v>
      </c>
      <c r="H2255" s="30"/>
      <c r="I2255" s="30">
        <v>1434404</v>
      </c>
      <c r="J2255" s="30" t="s">
        <v>5431</v>
      </c>
      <c r="K2255" s="30" t="s">
        <v>5430</v>
      </c>
    </row>
    <row r="2256" spans="1:11" x14ac:dyDescent="0.35">
      <c r="A2256" s="30" t="s">
        <v>13544</v>
      </c>
      <c r="B2256" s="30" t="s">
        <v>13545</v>
      </c>
      <c r="C2256" s="32">
        <v>7.38</v>
      </c>
      <c r="D2256" s="30">
        <v>0.45</v>
      </c>
      <c r="E2256" s="31">
        <v>6.4939999999999998E-2</v>
      </c>
      <c r="F2256" s="30">
        <v>5986240676</v>
      </c>
      <c r="G2256" s="30" t="s">
        <v>5427</v>
      </c>
      <c r="H2256" s="30"/>
      <c r="I2256" s="30">
        <v>75166283</v>
      </c>
      <c r="J2256" s="30" t="s">
        <v>5435</v>
      </c>
      <c r="K2256" s="30" t="s">
        <v>6009</v>
      </c>
    </row>
    <row r="2257" spans="1:11" x14ac:dyDescent="0.35">
      <c r="A2257" s="30" t="s">
        <v>13546</v>
      </c>
      <c r="B2257" s="30" t="s">
        <v>13547</v>
      </c>
      <c r="C2257" s="32">
        <v>1.07</v>
      </c>
      <c r="D2257" s="30">
        <v>-7.0000000000000007E-2</v>
      </c>
      <c r="E2257" s="31">
        <v>-6.1400000000000003E-2</v>
      </c>
      <c r="F2257" s="30">
        <v>68609993</v>
      </c>
      <c r="G2257" s="30" t="s">
        <v>5515</v>
      </c>
      <c r="H2257" s="30"/>
      <c r="I2257" s="30">
        <v>1360997</v>
      </c>
      <c r="J2257" s="30" t="s">
        <v>5442</v>
      </c>
      <c r="K2257" s="30" t="s">
        <v>5853</v>
      </c>
    </row>
    <row r="2258" spans="1:11" x14ac:dyDescent="0.35">
      <c r="A2258" s="30" t="s">
        <v>13548</v>
      </c>
      <c r="B2258" s="30" t="s">
        <v>13549</v>
      </c>
      <c r="C2258" s="32">
        <v>1.4</v>
      </c>
      <c r="D2258" s="30">
        <v>0.06</v>
      </c>
      <c r="E2258" s="31">
        <v>4.478E-2</v>
      </c>
      <c r="F2258" s="30">
        <v>305281934</v>
      </c>
      <c r="G2258" s="30" t="s">
        <v>5427</v>
      </c>
      <c r="H2258" s="30">
        <v>2021</v>
      </c>
      <c r="I2258" s="30">
        <v>896464</v>
      </c>
      <c r="J2258" s="30"/>
      <c r="K2258" s="30"/>
    </row>
    <row r="2259" spans="1:11" x14ac:dyDescent="0.35">
      <c r="A2259" s="30" t="s">
        <v>13550</v>
      </c>
      <c r="B2259" s="30" t="s">
        <v>13551</v>
      </c>
      <c r="C2259" s="32">
        <v>18.649999999999999</v>
      </c>
      <c r="D2259" s="30">
        <v>0.21</v>
      </c>
      <c r="E2259" s="31">
        <v>1.1390000000000001E-2</v>
      </c>
      <c r="F2259" s="30">
        <v>2374984772</v>
      </c>
      <c r="G2259" s="30" t="s">
        <v>5427</v>
      </c>
      <c r="H2259" s="30">
        <v>2018</v>
      </c>
      <c r="I2259" s="30">
        <v>1563235</v>
      </c>
      <c r="J2259" s="30" t="s">
        <v>5442</v>
      </c>
      <c r="K2259" s="30" t="s">
        <v>8702</v>
      </c>
    </row>
    <row r="2260" spans="1:11" x14ac:dyDescent="0.35">
      <c r="A2260" s="30" t="s">
        <v>13552</v>
      </c>
      <c r="B2260" s="30" t="s">
        <v>13553</v>
      </c>
      <c r="C2260" s="32">
        <v>3</v>
      </c>
      <c r="D2260" s="30">
        <v>0</v>
      </c>
      <c r="E2260" s="31">
        <v>0</v>
      </c>
      <c r="F2260" s="30">
        <v>192632736</v>
      </c>
      <c r="G2260" s="30" t="s">
        <v>5799</v>
      </c>
      <c r="H2260" s="30">
        <v>2021</v>
      </c>
      <c r="I2260" s="30">
        <v>71754</v>
      </c>
      <c r="J2260" s="30" t="s">
        <v>5431</v>
      </c>
      <c r="K2260" s="30" t="s">
        <v>6409</v>
      </c>
    </row>
    <row r="2261" spans="1:11" x14ac:dyDescent="0.35">
      <c r="A2261" s="30" t="s">
        <v>13554</v>
      </c>
      <c r="B2261" s="30" t="s">
        <v>13555</v>
      </c>
      <c r="C2261" s="32">
        <v>5.9</v>
      </c>
      <c r="D2261" s="30">
        <v>-0.05</v>
      </c>
      <c r="E2261" s="31">
        <v>-8.3999999999999995E-3</v>
      </c>
      <c r="F2261" s="30">
        <v>92878237</v>
      </c>
      <c r="G2261" s="30" t="s">
        <v>5427</v>
      </c>
      <c r="H2261" s="30"/>
      <c r="I2261" s="30">
        <v>1434</v>
      </c>
      <c r="J2261" s="30" t="s">
        <v>5457</v>
      </c>
      <c r="K2261" s="30" t="s">
        <v>5644</v>
      </c>
    </row>
    <row r="2262" spans="1:11" x14ac:dyDescent="0.35">
      <c r="A2262" s="30" t="s">
        <v>13556</v>
      </c>
      <c r="B2262" s="30" t="s">
        <v>13557</v>
      </c>
      <c r="C2262" s="32">
        <v>2.06</v>
      </c>
      <c r="D2262" s="30">
        <v>7.0000000000000007E-2</v>
      </c>
      <c r="E2262" s="31">
        <v>3.5180000000000003E-2</v>
      </c>
      <c r="F2262" s="30">
        <v>407703924</v>
      </c>
      <c r="G2262" s="30" t="s">
        <v>5427</v>
      </c>
      <c r="H2262" s="30"/>
      <c r="I2262" s="30">
        <v>5044779</v>
      </c>
      <c r="J2262" s="30" t="s">
        <v>5219</v>
      </c>
      <c r="K2262" s="30" t="s">
        <v>5447</v>
      </c>
    </row>
    <row r="2263" spans="1:11" x14ac:dyDescent="0.35">
      <c r="A2263" s="30" t="s">
        <v>13558</v>
      </c>
      <c r="B2263" s="30" t="s">
        <v>13559</v>
      </c>
      <c r="C2263" s="32">
        <v>13.32</v>
      </c>
      <c r="D2263" s="30">
        <v>-0.24</v>
      </c>
      <c r="E2263" s="31">
        <v>-1.77E-2</v>
      </c>
      <c r="F2263" s="30">
        <v>1344813654</v>
      </c>
      <c r="G2263" s="30" t="s">
        <v>5427</v>
      </c>
      <c r="H2263" s="30">
        <v>2021</v>
      </c>
      <c r="I2263" s="30">
        <v>180303</v>
      </c>
      <c r="J2263" s="30" t="s">
        <v>5442</v>
      </c>
      <c r="K2263" s="30" t="s">
        <v>5716</v>
      </c>
    </row>
    <row r="2264" spans="1:11" x14ac:dyDescent="0.35">
      <c r="A2264" s="30" t="s">
        <v>13560</v>
      </c>
      <c r="B2264" s="30" t="s">
        <v>13561</v>
      </c>
      <c r="C2264" s="32">
        <v>37.15</v>
      </c>
      <c r="D2264" s="30">
        <v>-0.56000000000000005</v>
      </c>
      <c r="E2264" s="31">
        <v>-1.485E-2</v>
      </c>
      <c r="F2264" s="30">
        <v>749210997</v>
      </c>
      <c r="G2264" s="30" t="s">
        <v>5427</v>
      </c>
      <c r="H2264" s="30">
        <v>2004</v>
      </c>
      <c r="I2264" s="30">
        <v>124734</v>
      </c>
      <c r="J2264" s="30" t="s">
        <v>5442</v>
      </c>
      <c r="K2264" s="30" t="s">
        <v>5914</v>
      </c>
    </row>
    <row r="2265" spans="1:11" x14ac:dyDescent="0.35">
      <c r="A2265" s="30" t="s">
        <v>13562</v>
      </c>
      <c r="B2265" s="30" t="s">
        <v>13563</v>
      </c>
      <c r="C2265" s="32">
        <v>10.43</v>
      </c>
      <c r="D2265" s="30">
        <v>0</v>
      </c>
      <c r="E2265" s="31">
        <v>0</v>
      </c>
      <c r="F2265" s="30">
        <v>337345313</v>
      </c>
      <c r="G2265" s="30" t="s">
        <v>5427</v>
      </c>
      <c r="H2265" s="30">
        <v>2022</v>
      </c>
      <c r="I2265" s="30">
        <v>522206</v>
      </c>
      <c r="J2265" s="30" t="s">
        <v>5435</v>
      </c>
      <c r="K2265" s="30" t="s">
        <v>5482</v>
      </c>
    </row>
    <row r="2266" spans="1:11" x14ac:dyDescent="0.35">
      <c r="A2266" s="30" t="s">
        <v>13564</v>
      </c>
      <c r="B2266" s="30" t="s">
        <v>13565</v>
      </c>
      <c r="C2266" s="32">
        <v>28.03</v>
      </c>
      <c r="D2266" s="30">
        <v>-7.0000000000000007E-2</v>
      </c>
      <c r="E2266" s="31">
        <v>-2.49E-3</v>
      </c>
      <c r="F2266" s="30">
        <v>477272332</v>
      </c>
      <c r="G2266" s="30" t="s">
        <v>5427</v>
      </c>
      <c r="H2266" s="30">
        <v>2019</v>
      </c>
      <c r="I2266" s="30">
        <v>41944</v>
      </c>
      <c r="J2266" s="30" t="s">
        <v>5435</v>
      </c>
      <c r="K2266" s="30" t="s">
        <v>5579</v>
      </c>
    </row>
    <row r="2267" spans="1:11" x14ac:dyDescent="0.35">
      <c r="A2267" s="30" t="s">
        <v>13566</v>
      </c>
      <c r="B2267" s="30" t="s">
        <v>13567</v>
      </c>
      <c r="C2267" s="32">
        <v>10.16</v>
      </c>
      <c r="D2267" s="30">
        <v>-5.0000000000000001E-3</v>
      </c>
      <c r="E2267" s="31">
        <v>-4.8999999999999998E-4</v>
      </c>
      <c r="F2267" s="30">
        <v>365125000</v>
      </c>
      <c r="G2267" s="30" t="s">
        <v>5427</v>
      </c>
      <c r="H2267" s="30">
        <v>2021</v>
      </c>
      <c r="I2267" s="30">
        <v>92833</v>
      </c>
      <c r="J2267" s="30" t="s">
        <v>5435</v>
      </c>
      <c r="K2267" s="30" t="s">
        <v>5482</v>
      </c>
    </row>
    <row r="2268" spans="1:11" x14ac:dyDescent="0.35">
      <c r="A2268" s="30" t="s">
        <v>13568</v>
      </c>
      <c r="B2268" s="30" t="s">
        <v>13569</v>
      </c>
      <c r="C2268" s="32">
        <v>99.8</v>
      </c>
      <c r="D2268" s="30">
        <v>4.03</v>
      </c>
      <c r="E2268" s="31">
        <v>4.2079999999999999E-2</v>
      </c>
      <c r="F2268" s="30">
        <v>16337260000</v>
      </c>
      <c r="G2268" s="30" t="s">
        <v>5427</v>
      </c>
      <c r="H2268" s="30">
        <v>2012</v>
      </c>
      <c r="I2268" s="30">
        <v>2573702</v>
      </c>
      <c r="J2268" s="30" t="s">
        <v>5219</v>
      </c>
      <c r="K2268" s="30" t="s">
        <v>5560</v>
      </c>
    </row>
    <row r="2269" spans="1:11" x14ac:dyDescent="0.35">
      <c r="A2269" s="30" t="s">
        <v>13570</v>
      </c>
      <c r="B2269" s="30" t="s">
        <v>13571</v>
      </c>
      <c r="C2269" s="32">
        <v>8.32</v>
      </c>
      <c r="D2269" s="30">
        <v>-0.03</v>
      </c>
      <c r="E2269" s="31">
        <v>-3.5899999999999999E-3</v>
      </c>
      <c r="F2269" s="30">
        <v>163935616</v>
      </c>
      <c r="G2269" s="30" t="s">
        <v>5427</v>
      </c>
      <c r="H2269" s="30"/>
      <c r="I2269" s="30">
        <v>258062</v>
      </c>
      <c r="J2269" s="30" t="s">
        <v>5219</v>
      </c>
      <c r="K2269" s="30" t="s">
        <v>5812</v>
      </c>
    </row>
    <row r="2270" spans="1:11" x14ac:dyDescent="0.35">
      <c r="A2270" s="30" t="s">
        <v>13572</v>
      </c>
      <c r="B2270" s="30" t="s">
        <v>13573</v>
      </c>
      <c r="C2270" s="32">
        <v>0.85</v>
      </c>
      <c r="D2270" s="30">
        <v>0.15</v>
      </c>
      <c r="E2270" s="31">
        <v>0.21429000000000001</v>
      </c>
      <c r="F2270" s="30">
        <v>172724684</v>
      </c>
      <c r="G2270" s="30" t="s">
        <v>5427</v>
      </c>
      <c r="H2270" s="30"/>
      <c r="I2270" s="30">
        <v>4940270</v>
      </c>
      <c r="J2270" s="30" t="s">
        <v>5431</v>
      </c>
      <c r="K2270" s="30" t="s">
        <v>5430</v>
      </c>
    </row>
    <row r="2271" spans="1:11" x14ac:dyDescent="0.35">
      <c r="A2271" s="30" t="s">
        <v>13574</v>
      </c>
      <c r="B2271" s="30" t="s">
        <v>13575</v>
      </c>
      <c r="C2271" s="32">
        <v>3.01</v>
      </c>
      <c r="D2271" s="30">
        <v>0.06</v>
      </c>
      <c r="E2271" s="31">
        <v>2.034E-2</v>
      </c>
      <c r="F2271" s="30">
        <v>70916353</v>
      </c>
      <c r="G2271" s="30" t="s">
        <v>5427</v>
      </c>
      <c r="H2271" s="30">
        <v>2020</v>
      </c>
      <c r="I2271" s="30">
        <v>228233</v>
      </c>
      <c r="J2271" s="30" t="s">
        <v>5431</v>
      </c>
      <c r="K2271" s="30" t="s">
        <v>5685</v>
      </c>
    </row>
    <row r="2272" spans="1:11" x14ac:dyDescent="0.35">
      <c r="A2272" s="30" t="s">
        <v>13576</v>
      </c>
      <c r="B2272" s="30" t="s">
        <v>13577</v>
      </c>
      <c r="C2272" s="32">
        <v>1.88</v>
      </c>
      <c r="D2272" s="30">
        <v>0.03</v>
      </c>
      <c r="E2272" s="31">
        <v>1.6219999999999998E-2</v>
      </c>
      <c r="F2272" s="30">
        <v>97338980</v>
      </c>
      <c r="G2272" s="30" t="s">
        <v>5427</v>
      </c>
      <c r="H2272" s="30">
        <v>2017</v>
      </c>
      <c r="I2272" s="30">
        <v>182010</v>
      </c>
      <c r="J2272" s="30" t="s">
        <v>5431</v>
      </c>
      <c r="K2272" s="30" t="s">
        <v>5430</v>
      </c>
    </row>
    <row r="2273" spans="1:11" x14ac:dyDescent="0.35">
      <c r="A2273" s="30" t="s">
        <v>13578</v>
      </c>
      <c r="B2273" s="30" t="s">
        <v>13579</v>
      </c>
      <c r="C2273" s="32">
        <v>6.95</v>
      </c>
      <c r="D2273" s="30">
        <v>0.09</v>
      </c>
      <c r="E2273" s="31">
        <v>1.312E-2</v>
      </c>
      <c r="F2273" s="30">
        <v>651702647</v>
      </c>
      <c r="G2273" s="30" t="s">
        <v>5427</v>
      </c>
      <c r="H2273" s="30">
        <v>2020</v>
      </c>
      <c r="I2273" s="30">
        <v>164878</v>
      </c>
      <c r="J2273" s="30" t="s">
        <v>5431</v>
      </c>
      <c r="K2273" s="30" t="s">
        <v>5430</v>
      </c>
    </row>
    <row r="2274" spans="1:11" x14ac:dyDescent="0.35">
      <c r="A2274" s="30" t="s">
        <v>13580</v>
      </c>
      <c r="B2274" s="30" t="s">
        <v>13581</v>
      </c>
      <c r="C2274" s="32">
        <v>137.9</v>
      </c>
      <c r="D2274" s="30">
        <v>1.82</v>
      </c>
      <c r="E2274" s="31">
        <v>1.337E-2</v>
      </c>
      <c r="F2274" s="30">
        <v>4970152361</v>
      </c>
      <c r="G2274" s="30" t="s">
        <v>5427</v>
      </c>
      <c r="H2274" s="30">
        <v>2010</v>
      </c>
      <c r="I2274" s="30">
        <v>192851</v>
      </c>
      <c r="J2274" s="30" t="s">
        <v>5219</v>
      </c>
      <c r="K2274" s="30" t="s">
        <v>5447</v>
      </c>
    </row>
    <row r="2275" spans="1:11" x14ac:dyDescent="0.35">
      <c r="A2275" s="30" t="s">
        <v>13582</v>
      </c>
      <c r="B2275" s="30" t="s">
        <v>13583</v>
      </c>
      <c r="C2275" s="32">
        <v>64.349999999999994</v>
      </c>
      <c r="D2275" s="30">
        <v>0.38</v>
      </c>
      <c r="E2275" s="31">
        <v>5.94E-3</v>
      </c>
      <c r="F2275" s="30">
        <v>3528845313</v>
      </c>
      <c r="G2275" s="30" t="s">
        <v>5427</v>
      </c>
      <c r="H2275" s="30">
        <v>2019</v>
      </c>
      <c r="I2275" s="30">
        <v>1287804</v>
      </c>
      <c r="J2275" s="30" t="s">
        <v>5219</v>
      </c>
      <c r="K2275" s="30" t="s">
        <v>5447</v>
      </c>
    </row>
    <row r="2276" spans="1:11" x14ac:dyDescent="0.35">
      <c r="A2276" s="30" t="s">
        <v>13584</v>
      </c>
      <c r="B2276" s="30" t="s">
        <v>13585</v>
      </c>
      <c r="C2276" s="32">
        <v>31.78</v>
      </c>
      <c r="D2276" s="30">
        <v>0.1</v>
      </c>
      <c r="E2276" s="31">
        <v>3.16E-3</v>
      </c>
      <c r="F2276" s="30">
        <v>1120630396</v>
      </c>
      <c r="G2276" s="30" t="s">
        <v>5427</v>
      </c>
      <c r="H2276" s="30"/>
      <c r="I2276" s="30">
        <v>204791</v>
      </c>
      <c r="J2276" s="30" t="s">
        <v>5442</v>
      </c>
      <c r="K2276" s="30" t="s">
        <v>5735</v>
      </c>
    </row>
    <row r="2277" spans="1:11" x14ac:dyDescent="0.35">
      <c r="A2277" s="30" t="s">
        <v>13586</v>
      </c>
      <c r="B2277" s="30" t="s">
        <v>13587</v>
      </c>
      <c r="C2277" s="32">
        <v>9.7100000000000009</v>
      </c>
      <c r="D2277" s="30">
        <v>0.28000000000000003</v>
      </c>
      <c r="E2277" s="31">
        <v>2.9690000000000001E-2</v>
      </c>
      <c r="F2277" s="30">
        <v>366042104</v>
      </c>
      <c r="G2277" s="30" t="s">
        <v>5427</v>
      </c>
      <c r="H2277" s="30">
        <v>2014</v>
      </c>
      <c r="I2277" s="30">
        <v>477665</v>
      </c>
      <c r="J2277" s="30" t="s">
        <v>5442</v>
      </c>
      <c r="K2277" s="30" t="s">
        <v>5508</v>
      </c>
    </row>
    <row r="2278" spans="1:11" x14ac:dyDescent="0.35">
      <c r="A2278" s="30" t="s">
        <v>13588</v>
      </c>
      <c r="B2278" s="30" t="s">
        <v>13589</v>
      </c>
      <c r="C2278" s="32">
        <v>17.899999999999999</v>
      </c>
      <c r="D2278" s="30">
        <v>0.47</v>
      </c>
      <c r="E2278" s="31">
        <v>2.6970000000000001E-2</v>
      </c>
      <c r="F2278" s="30">
        <v>3117866929</v>
      </c>
      <c r="G2278" s="30" t="s">
        <v>5427</v>
      </c>
      <c r="H2278" s="30">
        <v>2005</v>
      </c>
      <c r="I2278" s="30">
        <v>3621655</v>
      </c>
      <c r="J2278" s="30" t="s">
        <v>5219</v>
      </c>
      <c r="K2278" s="30" t="s">
        <v>5526</v>
      </c>
    </row>
    <row r="2279" spans="1:11" x14ac:dyDescent="0.35">
      <c r="A2279" s="30" t="s">
        <v>13590</v>
      </c>
      <c r="B2279" s="30" t="s">
        <v>13591</v>
      </c>
      <c r="C2279" s="32">
        <v>12.8</v>
      </c>
      <c r="D2279" s="30">
        <v>0.25</v>
      </c>
      <c r="E2279" s="31">
        <v>1.992E-2</v>
      </c>
      <c r="F2279" s="30">
        <v>3784188122</v>
      </c>
      <c r="G2279" s="30" t="s">
        <v>5799</v>
      </c>
      <c r="H2279" s="30">
        <v>2021</v>
      </c>
      <c r="I2279" s="30">
        <v>198264</v>
      </c>
      <c r="J2279" s="30" t="s">
        <v>5219</v>
      </c>
      <c r="K2279" s="30" t="s">
        <v>10991</v>
      </c>
    </row>
    <row r="2280" spans="1:11" x14ac:dyDescent="0.35">
      <c r="A2280" s="30" t="s">
        <v>13592</v>
      </c>
      <c r="B2280" s="30" t="s">
        <v>13593</v>
      </c>
      <c r="C2280" s="32">
        <v>2.35</v>
      </c>
      <c r="D2280" s="30">
        <v>0.25</v>
      </c>
      <c r="E2280" s="31">
        <v>0.11905</v>
      </c>
      <c r="F2280" s="30">
        <v>61840668</v>
      </c>
      <c r="G2280" s="30" t="s">
        <v>5427</v>
      </c>
      <c r="H2280" s="30"/>
      <c r="I2280" s="30">
        <v>236710</v>
      </c>
      <c r="J2280" s="30" t="s">
        <v>5442</v>
      </c>
      <c r="K2280" s="30" t="s">
        <v>5856</v>
      </c>
    </row>
    <row r="2281" spans="1:11" x14ac:dyDescent="0.35">
      <c r="A2281" s="30" t="s">
        <v>13594</v>
      </c>
      <c r="B2281" s="30" t="s">
        <v>13595</v>
      </c>
      <c r="C2281" s="32">
        <v>49.48</v>
      </c>
      <c r="D2281" s="30">
        <v>0.28999999999999998</v>
      </c>
      <c r="E2281" s="31">
        <v>5.8999999999999999E-3</v>
      </c>
      <c r="F2281" s="30">
        <v>1220289911</v>
      </c>
      <c r="G2281" s="30" t="s">
        <v>5427</v>
      </c>
      <c r="H2281" s="30"/>
      <c r="I2281" s="30">
        <v>93289</v>
      </c>
      <c r="J2281" s="30" t="s">
        <v>5435</v>
      </c>
      <c r="K2281" s="30" t="s">
        <v>5579</v>
      </c>
    </row>
    <row r="2282" spans="1:11" x14ac:dyDescent="0.35">
      <c r="A2282" s="30" t="s">
        <v>13596</v>
      </c>
      <c r="B2282" s="30" t="s">
        <v>13597</v>
      </c>
      <c r="C2282" s="32">
        <v>54.31</v>
      </c>
      <c r="D2282" s="30">
        <v>0.5</v>
      </c>
      <c r="E2282" s="31">
        <v>9.2899999999999996E-3</v>
      </c>
      <c r="F2282" s="30">
        <v>5006524934</v>
      </c>
      <c r="G2282" s="30" t="s">
        <v>5427</v>
      </c>
      <c r="H2282" s="30">
        <v>1996</v>
      </c>
      <c r="I2282" s="30">
        <v>371606</v>
      </c>
      <c r="J2282" s="30" t="s">
        <v>5426</v>
      </c>
      <c r="K2282" s="30" t="s">
        <v>5425</v>
      </c>
    </row>
    <row r="2283" spans="1:11" x14ac:dyDescent="0.35">
      <c r="A2283" s="30" t="s">
        <v>13598</v>
      </c>
      <c r="B2283" s="30" t="s">
        <v>13599</v>
      </c>
      <c r="C2283" s="32">
        <v>28.47</v>
      </c>
      <c r="D2283" s="30">
        <v>0.36</v>
      </c>
      <c r="E2283" s="31">
        <v>1.281E-2</v>
      </c>
      <c r="F2283" s="30">
        <v>402165626</v>
      </c>
      <c r="G2283" s="30" t="s">
        <v>5427</v>
      </c>
      <c r="H2283" s="30">
        <v>1998</v>
      </c>
      <c r="I2283" s="30">
        <v>42622</v>
      </c>
      <c r="J2283" s="30" t="s">
        <v>5431</v>
      </c>
      <c r="K2283" s="30" t="s">
        <v>6537</v>
      </c>
    </row>
    <row r="2284" spans="1:11" x14ac:dyDescent="0.35">
      <c r="A2284" s="30" t="s">
        <v>13600</v>
      </c>
      <c r="B2284" s="30" t="s">
        <v>13601</v>
      </c>
      <c r="C2284" s="32">
        <v>0.96</v>
      </c>
      <c r="D2284" s="30">
        <v>1.5E-3</v>
      </c>
      <c r="E2284" s="31">
        <v>1.56E-3</v>
      </c>
      <c r="F2284" s="30">
        <v>525965056</v>
      </c>
      <c r="G2284" s="30" t="s">
        <v>5427</v>
      </c>
      <c r="H2284" s="30"/>
      <c r="I2284" s="30">
        <v>16266418</v>
      </c>
      <c r="J2284" s="30" t="s">
        <v>5431</v>
      </c>
      <c r="K2284" s="30" t="s">
        <v>9124</v>
      </c>
    </row>
    <row r="2285" spans="1:11" x14ac:dyDescent="0.35">
      <c r="A2285" s="30" t="s">
        <v>13602</v>
      </c>
      <c r="B2285" s="30" t="s">
        <v>13603</v>
      </c>
      <c r="C2285" s="32">
        <v>122.36</v>
      </c>
      <c r="D2285" s="30">
        <v>-2.61</v>
      </c>
      <c r="E2285" s="31">
        <v>-2.0889999999999999E-2</v>
      </c>
      <c r="F2285" s="30">
        <v>10741075999</v>
      </c>
      <c r="G2285" s="30" t="s">
        <v>5427</v>
      </c>
      <c r="H2285" s="30"/>
      <c r="I2285" s="30">
        <v>720551</v>
      </c>
      <c r="J2285" s="30" t="s">
        <v>5431</v>
      </c>
      <c r="K2285" s="30" t="s">
        <v>5430</v>
      </c>
    </row>
    <row r="2286" spans="1:11" x14ac:dyDescent="0.35">
      <c r="A2286" s="30" t="s">
        <v>13604</v>
      </c>
      <c r="B2286" s="30" t="s">
        <v>13605</v>
      </c>
      <c r="C2286" s="32">
        <v>12.23</v>
      </c>
      <c r="D2286" s="30">
        <v>0.13</v>
      </c>
      <c r="E2286" s="31">
        <v>1.074E-2</v>
      </c>
      <c r="F2286" s="30">
        <v>631843272</v>
      </c>
      <c r="G2286" s="30" t="s">
        <v>5427</v>
      </c>
      <c r="H2286" s="30">
        <v>2018</v>
      </c>
      <c r="I2286" s="30">
        <v>265897</v>
      </c>
      <c r="J2286" s="30" t="s">
        <v>5431</v>
      </c>
      <c r="K2286" s="30" t="s">
        <v>5430</v>
      </c>
    </row>
    <row r="2287" spans="1:11" x14ac:dyDescent="0.35">
      <c r="A2287" s="30" t="s">
        <v>13606</v>
      </c>
      <c r="B2287" s="30" t="s">
        <v>13607</v>
      </c>
      <c r="C2287" s="32">
        <v>8.84</v>
      </c>
      <c r="D2287" s="30">
        <v>-0.3</v>
      </c>
      <c r="E2287" s="31">
        <v>-3.2820000000000002E-2</v>
      </c>
      <c r="F2287" s="30">
        <v>146851008</v>
      </c>
      <c r="G2287" s="30" t="s">
        <v>5427</v>
      </c>
      <c r="H2287" s="30">
        <v>2016</v>
      </c>
      <c r="I2287" s="30">
        <v>207230</v>
      </c>
      <c r="J2287" s="30" t="s">
        <v>5431</v>
      </c>
      <c r="K2287" s="30" t="s">
        <v>5500</v>
      </c>
    </row>
    <row r="2288" spans="1:11" x14ac:dyDescent="0.35">
      <c r="A2288" s="30" t="s">
        <v>13608</v>
      </c>
      <c r="B2288" s="30" t="s">
        <v>13609</v>
      </c>
      <c r="C2288" s="32">
        <v>80.05</v>
      </c>
      <c r="D2288" s="30">
        <v>0.45</v>
      </c>
      <c r="E2288" s="31">
        <v>5.6499999999999996E-3</v>
      </c>
      <c r="F2288" s="30">
        <v>6060150268</v>
      </c>
      <c r="G2288" s="30" t="s">
        <v>5427</v>
      </c>
      <c r="H2288" s="30"/>
      <c r="I2288" s="30">
        <v>550705</v>
      </c>
      <c r="J2288" s="30" t="s">
        <v>5435</v>
      </c>
      <c r="K2288" s="30" t="s">
        <v>5579</v>
      </c>
    </row>
    <row r="2289" spans="1:11" x14ac:dyDescent="0.35">
      <c r="A2289" s="30" t="s">
        <v>13610</v>
      </c>
      <c r="B2289" s="30" t="s">
        <v>13611</v>
      </c>
      <c r="C2289" s="32">
        <v>15.9</v>
      </c>
      <c r="D2289" s="30">
        <v>0.01</v>
      </c>
      <c r="E2289" s="31">
        <v>6.3000000000000003E-4</v>
      </c>
      <c r="F2289" s="30">
        <v>107085212</v>
      </c>
      <c r="G2289" s="30" t="s">
        <v>5427</v>
      </c>
      <c r="H2289" s="30">
        <v>2006</v>
      </c>
      <c r="I2289" s="30">
        <v>502</v>
      </c>
      <c r="J2289" s="30" t="s">
        <v>5435</v>
      </c>
      <c r="K2289" s="30" t="s">
        <v>5579</v>
      </c>
    </row>
    <row r="2290" spans="1:11" x14ac:dyDescent="0.35">
      <c r="A2290" s="30" t="s">
        <v>13612</v>
      </c>
      <c r="B2290" s="30" t="s">
        <v>13613</v>
      </c>
      <c r="C2290" s="32">
        <v>28.66</v>
      </c>
      <c r="D2290" s="30">
        <v>-0.02</v>
      </c>
      <c r="E2290" s="31">
        <v>-6.9999999999999999E-4</v>
      </c>
      <c r="F2290" s="30">
        <v>249540327</v>
      </c>
      <c r="G2290" s="30" t="s">
        <v>5427</v>
      </c>
      <c r="H2290" s="30">
        <v>2021</v>
      </c>
      <c r="I2290" s="30">
        <v>11206</v>
      </c>
      <c r="J2290" s="30" t="s">
        <v>5435</v>
      </c>
      <c r="K2290" s="30" t="s">
        <v>5582</v>
      </c>
    </row>
    <row r="2291" spans="1:11" x14ac:dyDescent="0.35">
      <c r="A2291" s="30" t="s">
        <v>13614</v>
      </c>
      <c r="B2291" s="30" t="s">
        <v>13615</v>
      </c>
      <c r="C2291" s="32">
        <v>9.9499999999999993</v>
      </c>
      <c r="D2291" s="30">
        <v>-2.9899999999999999E-2</v>
      </c>
      <c r="E2291" s="31">
        <v>-3.0000000000000001E-3</v>
      </c>
      <c r="F2291" s="30">
        <v>61835986</v>
      </c>
      <c r="G2291" s="30" t="s">
        <v>5427</v>
      </c>
      <c r="H2291" s="30">
        <v>2022</v>
      </c>
      <c r="I2291" s="30">
        <v>3505</v>
      </c>
      <c r="J2291" s="30" t="s">
        <v>5431</v>
      </c>
      <c r="K2291" s="30" t="s">
        <v>5685</v>
      </c>
    </row>
    <row r="2292" spans="1:11" x14ac:dyDescent="0.35">
      <c r="A2292" s="30" t="s">
        <v>13616</v>
      </c>
      <c r="B2292" s="30" t="s">
        <v>13617</v>
      </c>
      <c r="C2292" s="32">
        <v>61.6</v>
      </c>
      <c r="D2292" s="30">
        <v>1.25</v>
      </c>
      <c r="E2292" s="31">
        <v>2.0709999999999999E-2</v>
      </c>
      <c r="F2292" s="30">
        <v>15517706266</v>
      </c>
      <c r="G2292" s="30" t="s">
        <v>5427</v>
      </c>
      <c r="H2292" s="30">
        <v>2010</v>
      </c>
      <c r="I2292" s="30">
        <v>1283417</v>
      </c>
      <c r="J2292" s="30" t="s">
        <v>5219</v>
      </c>
      <c r="K2292" s="30" t="s">
        <v>5447</v>
      </c>
    </row>
    <row r="2293" spans="1:11" x14ac:dyDescent="0.35">
      <c r="A2293" s="30" t="s">
        <v>13618</v>
      </c>
      <c r="B2293" s="30" t="s">
        <v>13619</v>
      </c>
      <c r="C2293" s="32">
        <v>15.14</v>
      </c>
      <c r="D2293" s="30">
        <v>0.19</v>
      </c>
      <c r="E2293" s="31">
        <v>1.2710000000000001E-2</v>
      </c>
      <c r="F2293" s="30">
        <v>1264060386</v>
      </c>
      <c r="G2293" s="30" t="s">
        <v>5427</v>
      </c>
      <c r="H2293" s="30"/>
      <c r="I2293" s="30">
        <v>283704</v>
      </c>
      <c r="J2293" s="30" t="s">
        <v>5457</v>
      </c>
      <c r="K2293" s="30" t="s">
        <v>5834</v>
      </c>
    </row>
    <row r="2294" spans="1:11" x14ac:dyDescent="0.35">
      <c r="A2294" s="30" t="s">
        <v>13620</v>
      </c>
      <c r="B2294" s="30" t="s">
        <v>13621</v>
      </c>
      <c r="C2294" s="32">
        <v>17.48</v>
      </c>
      <c r="D2294" s="30">
        <v>0.54</v>
      </c>
      <c r="E2294" s="31">
        <v>3.1879999999999999E-2</v>
      </c>
      <c r="F2294" s="30">
        <v>3611507176</v>
      </c>
      <c r="G2294" s="30" t="s">
        <v>5515</v>
      </c>
      <c r="H2294" s="30"/>
      <c r="I2294" s="30">
        <v>1139331</v>
      </c>
      <c r="J2294" s="30"/>
      <c r="K2294" s="30"/>
    </row>
    <row r="2295" spans="1:11" x14ac:dyDescent="0.35">
      <c r="A2295" s="30" t="s">
        <v>13622</v>
      </c>
      <c r="B2295" s="30" t="s">
        <v>13623</v>
      </c>
      <c r="C2295" s="32">
        <v>4.01</v>
      </c>
      <c r="D2295" s="30">
        <v>0.01</v>
      </c>
      <c r="E2295" s="31">
        <v>2.5000000000000001E-3</v>
      </c>
      <c r="F2295" s="30">
        <v>114002291</v>
      </c>
      <c r="G2295" s="30" t="s">
        <v>5427</v>
      </c>
      <c r="H2295" s="30">
        <v>2011</v>
      </c>
      <c r="I2295" s="30">
        <v>261420</v>
      </c>
      <c r="J2295" s="30" t="s">
        <v>5435</v>
      </c>
      <c r="K2295" s="30" t="s">
        <v>5985</v>
      </c>
    </row>
    <row r="2296" spans="1:11" x14ac:dyDescent="0.35">
      <c r="A2296" s="30" t="s">
        <v>13624</v>
      </c>
      <c r="B2296" s="30" t="s">
        <v>13625</v>
      </c>
      <c r="C2296" s="32">
        <v>38.270000000000003</v>
      </c>
      <c r="D2296" s="30">
        <v>-0.28000000000000003</v>
      </c>
      <c r="E2296" s="31">
        <v>-7.26E-3</v>
      </c>
      <c r="F2296" s="30">
        <v>466739007</v>
      </c>
      <c r="G2296" s="30" t="s">
        <v>5427</v>
      </c>
      <c r="H2296" s="30">
        <v>2017</v>
      </c>
      <c r="I2296" s="30">
        <v>30793</v>
      </c>
      <c r="J2296" s="30" t="s">
        <v>5219</v>
      </c>
      <c r="K2296" s="30" t="s">
        <v>5560</v>
      </c>
    </row>
    <row r="2297" spans="1:11" x14ac:dyDescent="0.35">
      <c r="A2297" s="30" t="s">
        <v>13626</v>
      </c>
      <c r="B2297" s="30" t="s">
        <v>13627</v>
      </c>
      <c r="C2297" s="32">
        <v>14.76</v>
      </c>
      <c r="D2297" s="30">
        <v>0.43</v>
      </c>
      <c r="E2297" s="31">
        <v>3.0009999999999998E-2</v>
      </c>
      <c r="F2297" s="30">
        <v>985731840</v>
      </c>
      <c r="G2297" s="30" t="s">
        <v>5427</v>
      </c>
      <c r="H2297" s="30">
        <v>1994</v>
      </c>
      <c r="I2297" s="30">
        <v>478368</v>
      </c>
      <c r="J2297" s="30" t="s">
        <v>5219</v>
      </c>
      <c r="K2297" s="30" t="s">
        <v>7345</v>
      </c>
    </row>
    <row r="2298" spans="1:11" x14ac:dyDescent="0.35">
      <c r="A2298" s="30" t="s">
        <v>13628</v>
      </c>
      <c r="B2298" s="30" t="s">
        <v>13629</v>
      </c>
      <c r="C2298" s="32">
        <v>72.959999999999994</v>
      </c>
      <c r="D2298" s="30">
        <v>2.41</v>
      </c>
      <c r="E2298" s="31">
        <v>3.4160000000000003E-2</v>
      </c>
      <c r="F2298" s="30">
        <v>3517131575</v>
      </c>
      <c r="G2298" s="30" t="s">
        <v>5427</v>
      </c>
      <c r="H2298" s="30"/>
      <c r="I2298" s="30">
        <v>559972</v>
      </c>
      <c r="J2298" s="30" t="s">
        <v>5431</v>
      </c>
      <c r="K2298" s="30" t="s">
        <v>8316</v>
      </c>
    </row>
    <row r="2299" spans="1:11" x14ac:dyDescent="0.35">
      <c r="A2299" s="30" t="s">
        <v>13630</v>
      </c>
      <c r="B2299" s="30" t="s">
        <v>13631</v>
      </c>
      <c r="C2299" s="32">
        <v>35.96</v>
      </c>
      <c r="D2299" s="30">
        <v>-0.42</v>
      </c>
      <c r="E2299" s="31">
        <v>-1.154E-2</v>
      </c>
      <c r="F2299" s="30">
        <v>1402567478</v>
      </c>
      <c r="G2299" s="30" t="s">
        <v>5427</v>
      </c>
      <c r="H2299" s="30"/>
      <c r="I2299" s="30">
        <v>227853</v>
      </c>
      <c r="J2299" s="30" t="s">
        <v>5435</v>
      </c>
      <c r="K2299" s="30" t="s">
        <v>5579</v>
      </c>
    </row>
    <row r="2300" spans="1:11" x14ac:dyDescent="0.35">
      <c r="A2300" s="30" t="s">
        <v>13632</v>
      </c>
      <c r="B2300" s="30" t="s">
        <v>13633</v>
      </c>
      <c r="C2300" s="32">
        <v>1.29</v>
      </c>
      <c r="D2300" s="30">
        <v>-0.03</v>
      </c>
      <c r="E2300" s="31">
        <v>-2.273E-2</v>
      </c>
      <c r="F2300" s="30">
        <v>78248225</v>
      </c>
      <c r="G2300" s="30" t="s">
        <v>5427</v>
      </c>
      <c r="H2300" s="30"/>
      <c r="I2300" s="30">
        <v>24024</v>
      </c>
      <c r="J2300" s="30" t="s">
        <v>5442</v>
      </c>
      <c r="K2300" s="30" t="s">
        <v>5856</v>
      </c>
    </row>
    <row r="2301" spans="1:11" x14ac:dyDescent="0.35">
      <c r="A2301" s="30" t="s">
        <v>13634</v>
      </c>
      <c r="B2301" s="30" t="s">
        <v>13635</v>
      </c>
      <c r="C2301" s="32">
        <v>28.1</v>
      </c>
      <c r="D2301" s="30">
        <v>-0.01</v>
      </c>
      <c r="E2301" s="31">
        <v>-3.6000000000000002E-4</v>
      </c>
      <c r="F2301" s="30">
        <v>1488035500</v>
      </c>
      <c r="G2301" s="30" t="s">
        <v>5427</v>
      </c>
      <c r="H2301" s="30">
        <v>2017</v>
      </c>
      <c r="I2301" s="30">
        <v>228993</v>
      </c>
      <c r="J2301" s="30" t="s">
        <v>5435</v>
      </c>
      <c r="K2301" s="30" t="s">
        <v>5579</v>
      </c>
    </row>
    <row r="2302" spans="1:11" x14ac:dyDescent="0.35">
      <c r="A2302" s="30" t="s">
        <v>13636</v>
      </c>
      <c r="B2302" s="30" t="s">
        <v>13637</v>
      </c>
      <c r="C2302" s="32">
        <v>29.64</v>
      </c>
      <c r="D2302" s="30">
        <v>0.45</v>
      </c>
      <c r="E2302" s="31">
        <v>1.542E-2</v>
      </c>
      <c r="F2302" s="30">
        <v>1839500696</v>
      </c>
      <c r="G2302" s="30" t="s">
        <v>5427</v>
      </c>
      <c r="H2302" s="30">
        <v>2020</v>
      </c>
      <c r="I2302" s="30">
        <v>339360</v>
      </c>
      <c r="J2302" s="30" t="s">
        <v>5435</v>
      </c>
      <c r="K2302" s="30" t="s">
        <v>5985</v>
      </c>
    </row>
    <row r="2303" spans="1:11" x14ac:dyDescent="0.35">
      <c r="A2303" s="30" t="s">
        <v>13638</v>
      </c>
      <c r="B2303" s="30" t="s">
        <v>13639</v>
      </c>
      <c r="C2303" s="32">
        <v>13.92</v>
      </c>
      <c r="D2303" s="30">
        <v>-0.03</v>
      </c>
      <c r="E2303" s="31">
        <v>-2.15E-3</v>
      </c>
      <c r="F2303" s="30">
        <v>1346312945</v>
      </c>
      <c r="G2303" s="30" t="s">
        <v>5427</v>
      </c>
      <c r="H2303" s="30">
        <v>2021</v>
      </c>
      <c r="I2303" s="30">
        <v>125959</v>
      </c>
      <c r="J2303" s="30" t="s">
        <v>5219</v>
      </c>
      <c r="K2303" s="30" t="s">
        <v>5560</v>
      </c>
    </row>
    <row r="2304" spans="1:11" x14ac:dyDescent="0.35">
      <c r="A2304" s="30" t="s">
        <v>13640</v>
      </c>
      <c r="B2304" s="30" t="s">
        <v>13641</v>
      </c>
      <c r="C2304" s="32">
        <v>6.96</v>
      </c>
      <c r="D2304" s="30">
        <v>-0.06</v>
      </c>
      <c r="E2304" s="31">
        <v>-8.5500000000000003E-3</v>
      </c>
      <c r="F2304" s="30">
        <v>910295400</v>
      </c>
      <c r="G2304" s="30" t="s">
        <v>5515</v>
      </c>
      <c r="H2304" s="30"/>
      <c r="I2304" s="30">
        <v>403692</v>
      </c>
      <c r="J2304" s="30" t="s">
        <v>5442</v>
      </c>
      <c r="K2304" s="30" t="s">
        <v>5856</v>
      </c>
    </row>
    <row r="2305" spans="1:11" x14ac:dyDescent="0.35">
      <c r="A2305" s="30" t="s">
        <v>13642</v>
      </c>
      <c r="B2305" s="30" t="s">
        <v>13643</v>
      </c>
      <c r="C2305" s="32">
        <v>6.18</v>
      </c>
      <c r="D2305" s="30">
        <v>0.3</v>
      </c>
      <c r="E2305" s="31">
        <v>5.1020000000000003E-2</v>
      </c>
      <c r="F2305" s="30">
        <v>168228808</v>
      </c>
      <c r="G2305" s="30" t="s">
        <v>5427</v>
      </c>
      <c r="H2305" s="30">
        <v>2018</v>
      </c>
      <c r="I2305" s="30">
        <v>164993</v>
      </c>
      <c r="J2305" s="30" t="s">
        <v>5431</v>
      </c>
      <c r="K2305" s="30" t="s">
        <v>6530</v>
      </c>
    </row>
    <row r="2306" spans="1:11" x14ac:dyDescent="0.35">
      <c r="A2306" s="30" t="s">
        <v>13644</v>
      </c>
      <c r="B2306" s="30" t="s">
        <v>13645</v>
      </c>
      <c r="C2306" s="32">
        <v>1.46</v>
      </c>
      <c r="D2306" s="30">
        <v>0.12</v>
      </c>
      <c r="E2306" s="31">
        <v>8.9550000000000005E-2</v>
      </c>
      <c r="F2306" s="30">
        <v>117518409</v>
      </c>
      <c r="G2306" s="30" t="s">
        <v>5427</v>
      </c>
      <c r="H2306" s="30"/>
      <c r="I2306" s="30">
        <v>25306</v>
      </c>
      <c r="J2306" s="30" t="s">
        <v>5219</v>
      </c>
      <c r="K2306" s="30" t="s">
        <v>5447</v>
      </c>
    </row>
    <row r="2307" spans="1:11" x14ac:dyDescent="0.35">
      <c r="A2307" s="30" t="s">
        <v>13646</v>
      </c>
      <c r="B2307" s="30" t="s">
        <v>13647</v>
      </c>
      <c r="C2307" s="32">
        <v>8.2899999999999991</v>
      </c>
      <c r="D2307" s="30">
        <v>0.12</v>
      </c>
      <c r="E2307" s="31">
        <v>1.469E-2</v>
      </c>
      <c r="F2307" s="30">
        <v>894213832</v>
      </c>
      <c r="G2307" s="30" t="s">
        <v>5515</v>
      </c>
      <c r="H2307" s="30"/>
      <c r="I2307" s="30">
        <v>903548</v>
      </c>
      <c r="J2307" s="30" t="s">
        <v>6250</v>
      </c>
      <c r="K2307" s="30" t="s">
        <v>6859</v>
      </c>
    </row>
    <row r="2308" spans="1:11" x14ac:dyDescent="0.35">
      <c r="A2308" s="30" t="s">
        <v>13648</v>
      </c>
      <c r="B2308" s="30" t="s">
        <v>13649</v>
      </c>
      <c r="C2308" s="32">
        <v>7.55</v>
      </c>
      <c r="D2308" s="30">
        <v>0.02</v>
      </c>
      <c r="E2308" s="31">
        <v>2.66E-3</v>
      </c>
      <c r="F2308" s="30">
        <v>243604555</v>
      </c>
      <c r="G2308" s="30" t="s">
        <v>5427</v>
      </c>
      <c r="H2308" s="30"/>
      <c r="I2308" s="30">
        <v>59096</v>
      </c>
      <c r="J2308" s="30" t="s">
        <v>5442</v>
      </c>
      <c r="K2308" s="30" t="s">
        <v>5441</v>
      </c>
    </row>
    <row r="2309" spans="1:11" x14ac:dyDescent="0.35">
      <c r="A2309" s="30" t="s">
        <v>13650</v>
      </c>
      <c r="B2309" s="30" t="s">
        <v>13651</v>
      </c>
      <c r="C2309" s="32">
        <v>125.32</v>
      </c>
      <c r="D2309" s="30">
        <v>4.68</v>
      </c>
      <c r="E2309" s="31">
        <v>3.8789999999999998E-2</v>
      </c>
      <c r="F2309" s="30">
        <v>22002608976</v>
      </c>
      <c r="G2309" s="30" t="s">
        <v>5427</v>
      </c>
      <c r="H2309" s="30">
        <v>1996</v>
      </c>
      <c r="I2309" s="30">
        <v>1733307</v>
      </c>
      <c r="J2309" s="30" t="s">
        <v>5457</v>
      </c>
      <c r="K2309" s="30" t="s">
        <v>5472</v>
      </c>
    </row>
    <row r="2310" spans="1:11" x14ac:dyDescent="0.35">
      <c r="A2310" s="30" t="s">
        <v>13652</v>
      </c>
      <c r="B2310" s="30" t="s">
        <v>13653</v>
      </c>
      <c r="C2310" s="32">
        <v>9.26</v>
      </c>
      <c r="D2310" s="30">
        <v>-0.7</v>
      </c>
      <c r="E2310" s="31">
        <v>-7.0279999999999995E-2</v>
      </c>
      <c r="F2310" s="30">
        <v>365128717</v>
      </c>
      <c r="G2310" s="30" t="s">
        <v>5427</v>
      </c>
      <c r="H2310" s="30">
        <v>2019</v>
      </c>
      <c r="I2310" s="30">
        <v>4860410</v>
      </c>
      <c r="J2310" s="30" t="s">
        <v>5431</v>
      </c>
      <c r="K2310" s="30" t="s">
        <v>5430</v>
      </c>
    </row>
    <row r="2311" spans="1:11" x14ac:dyDescent="0.35">
      <c r="A2311" s="30" t="s">
        <v>13654</v>
      </c>
      <c r="B2311" s="30" t="s">
        <v>13655</v>
      </c>
      <c r="C2311" s="32">
        <v>94.16</v>
      </c>
      <c r="D2311" s="30">
        <v>0.81</v>
      </c>
      <c r="E2311" s="31">
        <v>8.6800000000000002E-3</v>
      </c>
      <c r="F2311" s="30">
        <v>2302556437</v>
      </c>
      <c r="G2311" s="30" t="s">
        <v>5427</v>
      </c>
      <c r="H2311" s="30">
        <v>1996</v>
      </c>
      <c r="I2311" s="30">
        <v>134912</v>
      </c>
      <c r="J2311" s="30" t="s">
        <v>5442</v>
      </c>
      <c r="K2311" s="30" t="s">
        <v>7723</v>
      </c>
    </row>
    <row r="2312" spans="1:11" x14ac:dyDescent="0.35">
      <c r="A2312" s="30" t="s">
        <v>13656</v>
      </c>
      <c r="B2312" s="30" t="s">
        <v>13657</v>
      </c>
      <c r="C2312" s="32">
        <v>0.65159999999999996</v>
      </c>
      <c r="D2312" s="30">
        <v>5.16E-2</v>
      </c>
      <c r="E2312" s="31">
        <v>8.5999999999999993E-2</v>
      </c>
      <c r="F2312" s="30">
        <v>100763923</v>
      </c>
      <c r="G2312" s="30" t="s">
        <v>5427</v>
      </c>
      <c r="H2312" s="30"/>
      <c r="I2312" s="30">
        <v>459914</v>
      </c>
      <c r="J2312" s="30" t="s">
        <v>5457</v>
      </c>
      <c r="K2312" s="30" t="s">
        <v>5505</v>
      </c>
    </row>
    <row r="2313" spans="1:11" x14ac:dyDescent="0.35">
      <c r="A2313" s="30" t="s">
        <v>13658</v>
      </c>
      <c r="B2313" s="30" t="s">
        <v>13659</v>
      </c>
      <c r="C2313" s="32">
        <v>36.64</v>
      </c>
      <c r="D2313" s="30">
        <v>0.25</v>
      </c>
      <c r="E2313" s="31">
        <v>6.8700000000000002E-3</v>
      </c>
      <c r="F2313" s="30">
        <v>1111278706</v>
      </c>
      <c r="G2313" s="30" t="s">
        <v>5427</v>
      </c>
      <c r="H2313" s="30"/>
      <c r="I2313" s="30">
        <v>367407</v>
      </c>
      <c r="J2313" s="30" t="s">
        <v>5457</v>
      </c>
      <c r="K2313" s="30" t="s">
        <v>5588</v>
      </c>
    </row>
    <row r="2314" spans="1:11" x14ac:dyDescent="0.35">
      <c r="A2314" s="30" t="s">
        <v>13660</v>
      </c>
      <c r="B2314" s="30" t="s">
        <v>13661</v>
      </c>
      <c r="C2314" s="32">
        <v>2.15</v>
      </c>
      <c r="D2314" s="30">
        <v>-0.01</v>
      </c>
      <c r="E2314" s="31">
        <v>-4.6299999999999996E-3</v>
      </c>
      <c r="F2314" s="30">
        <v>123445200</v>
      </c>
      <c r="G2314" s="30" t="s">
        <v>5427</v>
      </c>
      <c r="H2314" s="30"/>
      <c r="I2314" s="30">
        <v>49069</v>
      </c>
      <c r="J2314" s="30" t="s">
        <v>5219</v>
      </c>
      <c r="K2314" s="30" t="s">
        <v>5447</v>
      </c>
    </row>
    <row r="2315" spans="1:11" x14ac:dyDescent="0.35">
      <c r="A2315" s="30" t="s">
        <v>13662</v>
      </c>
      <c r="B2315" s="30" t="s">
        <v>13663</v>
      </c>
      <c r="C2315" s="32">
        <v>7.33</v>
      </c>
      <c r="D2315" s="30">
        <v>0.09</v>
      </c>
      <c r="E2315" s="31">
        <v>1.243E-2</v>
      </c>
      <c r="F2315" s="30">
        <v>421295166</v>
      </c>
      <c r="G2315" s="30" t="s">
        <v>5427</v>
      </c>
      <c r="H2315" s="30">
        <v>2018</v>
      </c>
      <c r="I2315" s="30">
        <v>404443</v>
      </c>
      <c r="J2315" s="30" t="s">
        <v>5431</v>
      </c>
      <c r="K2315" s="30" t="s">
        <v>5430</v>
      </c>
    </row>
    <row r="2316" spans="1:11" x14ac:dyDescent="0.35">
      <c r="A2316" s="30" t="s">
        <v>13664</v>
      </c>
      <c r="B2316" s="30" t="s">
        <v>13665</v>
      </c>
      <c r="C2316" s="32">
        <v>21.34</v>
      </c>
      <c r="D2316" s="30">
        <v>-0.68</v>
      </c>
      <c r="E2316" s="31">
        <v>-3.0880000000000001E-2</v>
      </c>
      <c r="F2316" s="30">
        <v>174567431</v>
      </c>
      <c r="G2316" s="30" t="s">
        <v>5427</v>
      </c>
      <c r="H2316" s="30"/>
      <c r="I2316" s="30">
        <v>25573</v>
      </c>
      <c r="J2316" s="30" t="s">
        <v>5197</v>
      </c>
      <c r="K2316" s="30" t="s">
        <v>5576</v>
      </c>
    </row>
    <row r="2317" spans="1:11" x14ac:dyDescent="0.35">
      <c r="A2317" s="30" t="s">
        <v>13666</v>
      </c>
      <c r="B2317" s="30" t="s">
        <v>13667</v>
      </c>
      <c r="C2317" s="32">
        <v>26.13</v>
      </c>
      <c r="D2317" s="30">
        <v>1.22</v>
      </c>
      <c r="E2317" s="31">
        <v>4.8980000000000003E-2</v>
      </c>
      <c r="F2317" s="30">
        <v>104907926</v>
      </c>
      <c r="G2317" s="30" t="s">
        <v>5427</v>
      </c>
      <c r="H2317" s="30"/>
      <c r="I2317" s="30">
        <v>11549</v>
      </c>
      <c r="J2317" s="30" t="s">
        <v>5442</v>
      </c>
      <c r="K2317" s="30" t="s">
        <v>5853</v>
      </c>
    </row>
    <row r="2318" spans="1:11" x14ac:dyDescent="0.35">
      <c r="A2318" s="30" t="s">
        <v>13668</v>
      </c>
      <c r="B2318" s="30" t="s">
        <v>13669</v>
      </c>
      <c r="C2318" s="32">
        <v>4.05</v>
      </c>
      <c r="D2318" s="30">
        <v>-0.12</v>
      </c>
      <c r="E2318" s="31">
        <v>-2.878E-2</v>
      </c>
      <c r="F2318" s="30">
        <v>171681873</v>
      </c>
      <c r="G2318" s="30" t="s">
        <v>5427</v>
      </c>
      <c r="H2318" s="30">
        <v>2020</v>
      </c>
      <c r="I2318" s="30">
        <v>80653</v>
      </c>
      <c r="J2318" s="30" t="s">
        <v>5431</v>
      </c>
      <c r="K2318" s="30" t="s">
        <v>5430</v>
      </c>
    </row>
    <row r="2319" spans="1:11" x14ac:dyDescent="0.35">
      <c r="A2319" s="30" t="s">
        <v>13670</v>
      </c>
      <c r="B2319" s="30" t="s">
        <v>13671</v>
      </c>
      <c r="C2319" s="32">
        <v>70.489999999999995</v>
      </c>
      <c r="D2319" s="30">
        <v>2.71</v>
      </c>
      <c r="E2319" s="31">
        <v>3.9980000000000002E-2</v>
      </c>
      <c r="F2319" s="30">
        <v>14555047573</v>
      </c>
      <c r="G2319" s="30" t="s">
        <v>5512</v>
      </c>
      <c r="H2319" s="30">
        <v>2002</v>
      </c>
      <c r="I2319" s="30">
        <v>3877431</v>
      </c>
      <c r="J2319" s="30" t="s">
        <v>5219</v>
      </c>
      <c r="K2319" s="30" t="s">
        <v>5965</v>
      </c>
    </row>
    <row r="2320" spans="1:11" x14ac:dyDescent="0.35">
      <c r="A2320" s="30" t="s">
        <v>13672</v>
      </c>
      <c r="B2320" s="30" t="s">
        <v>13673</v>
      </c>
      <c r="C2320" s="32">
        <v>12.06</v>
      </c>
      <c r="D2320" s="30">
        <v>0.23</v>
      </c>
      <c r="E2320" s="31">
        <v>1.9439999999999999E-2</v>
      </c>
      <c r="F2320" s="30">
        <v>1447351220</v>
      </c>
      <c r="G2320" s="30" t="s">
        <v>5427</v>
      </c>
      <c r="H2320" s="30">
        <v>2020</v>
      </c>
      <c r="I2320" s="30">
        <v>1495963</v>
      </c>
      <c r="J2320" s="30" t="s">
        <v>5219</v>
      </c>
      <c r="K2320" s="30" t="s">
        <v>5812</v>
      </c>
    </row>
    <row r="2321" spans="1:11" x14ac:dyDescent="0.35">
      <c r="A2321" s="30" t="s">
        <v>13674</v>
      </c>
      <c r="B2321" s="30" t="s">
        <v>13675</v>
      </c>
      <c r="C2321" s="32">
        <v>41.58</v>
      </c>
      <c r="D2321" s="30">
        <v>0.56999999999999995</v>
      </c>
      <c r="E2321" s="31">
        <v>1.3899999999999999E-2</v>
      </c>
      <c r="F2321" s="30">
        <v>2247737378</v>
      </c>
      <c r="G2321" s="30" t="s">
        <v>5427</v>
      </c>
      <c r="H2321" s="30">
        <v>2012</v>
      </c>
      <c r="I2321" s="30">
        <v>345088</v>
      </c>
      <c r="J2321" s="30" t="s">
        <v>5431</v>
      </c>
      <c r="K2321" s="30" t="s">
        <v>5430</v>
      </c>
    </row>
    <row r="2322" spans="1:11" x14ac:dyDescent="0.35">
      <c r="A2322" s="30" t="s">
        <v>13676</v>
      </c>
      <c r="B2322" s="30" t="s">
        <v>13677</v>
      </c>
      <c r="C2322" s="32">
        <v>6</v>
      </c>
      <c r="D2322" s="30">
        <v>-0.06</v>
      </c>
      <c r="E2322" s="31">
        <v>-9.9000000000000008E-3</v>
      </c>
      <c r="F2322" s="30">
        <v>82986168</v>
      </c>
      <c r="G2322" s="30" t="s">
        <v>5427</v>
      </c>
      <c r="H2322" s="30"/>
      <c r="I2322" s="30">
        <v>66528</v>
      </c>
      <c r="J2322" s="30" t="s">
        <v>5219</v>
      </c>
      <c r="K2322" s="30" t="s">
        <v>5560</v>
      </c>
    </row>
    <row r="2323" spans="1:11" x14ac:dyDescent="0.35">
      <c r="A2323" s="30" t="s">
        <v>13678</v>
      </c>
      <c r="B2323" s="30" t="s">
        <v>13679</v>
      </c>
      <c r="C2323" s="32">
        <v>8.8000000000000007</v>
      </c>
      <c r="D2323" s="30">
        <v>-0.11</v>
      </c>
      <c r="E2323" s="31">
        <v>-1.235E-2</v>
      </c>
      <c r="F2323" s="30">
        <v>1455989278</v>
      </c>
      <c r="G2323" s="30" t="s">
        <v>5427</v>
      </c>
      <c r="H2323" s="30"/>
      <c r="I2323" s="30">
        <v>1327640</v>
      </c>
      <c r="J2323" s="30" t="s">
        <v>5197</v>
      </c>
      <c r="K2323" s="30" t="s">
        <v>5467</v>
      </c>
    </row>
    <row r="2324" spans="1:11" x14ac:dyDescent="0.35">
      <c r="A2324" s="30" t="s">
        <v>13680</v>
      </c>
      <c r="B2324" s="30" t="s">
        <v>13681</v>
      </c>
      <c r="C2324" s="32">
        <v>10.15</v>
      </c>
      <c r="D2324" s="30">
        <v>-0.02</v>
      </c>
      <c r="E2324" s="31">
        <v>-1.97E-3</v>
      </c>
      <c r="F2324" s="30">
        <v>299526500</v>
      </c>
      <c r="G2324" s="30" t="s">
        <v>5427</v>
      </c>
      <c r="H2324" s="30">
        <v>2021</v>
      </c>
      <c r="I2324" s="30">
        <v>23301</v>
      </c>
      <c r="J2324" s="30" t="s">
        <v>5435</v>
      </c>
      <c r="K2324" s="30" t="s">
        <v>5482</v>
      </c>
    </row>
    <row r="2325" spans="1:11" x14ac:dyDescent="0.35">
      <c r="A2325" s="30" t="s">
        <v>13682</v>
      </c>
      <c r="B2325" s="30" t="s">
        <v>13683</v>
      </c>
      <c r="C2325" s="32">
        <v>10.23</v>
      </c>
      <c r="D2325" s="30">
        <v>0.01</v>
      </c>
      <c r="E2325" s="31">
        <v>9.7999999999999997E-4</v>
      </c>
      <c r="F2325" s="30">
        <v>313720003</v>
      </c>
      <c r="G2325" s="30" t="s">
        <v>5427</v>
      </c>
      <c r="H2325" s="30">
        <v>2022</v>
      </c>
      <c r="I2325" s="30">
        <v>11908</v>
      </c>
      <c r="J2325" s="30" t="s">
        <v>5435</v>
      </c>
      <c r="K2325" s="30" t="s">
        <v>5482</v>
      </c>
    </row>
    <row r="2326" spans="1:11" x14ac:dyDescent="0.35">
      <c r="A2326" s="30" t="s">
        <v>13684</v>
      </c>
      <c r="B2326" s="30" t="s">
        <v>13685</v>
      </c>
      <c r="C2326" s="32">
        <v>10.35</v>
      </c>
      <c r="D2326" s="30">
        <v>0.02</v>
      </c>
      <c r="E2326" s="31">
        <v>1.9400000000000001E-3</v>
      </c>
      <c r="F2326" s="30">
        <v>297562500</v>
      </c>
      <c r="G2326" s="30" t="s">
        <v>5427</v>
      </c>
      <c r="H2326" s="30">
        <v>2021</v>
      </c>
      <c r="I2326" s="30">
        <v>1072</v>
      </c>
      <c r="J2326" s="30" t="s">
        <v>5435</v>
      </c>
      <c r="K2326" s="30" t="s">
        <v>5482</v>
      </c>
    </row>
    <row r="2327" spans="1:11" x14ac:dyDescent="0.35">
      <c r="A2327" s="30" t="s">
        <v>13686</v>
      </c>
      <c r="B2327" s="30" t="s">
        <v>13687</v>
      </c>
      <c r="C2327" s="32">
        <v>2.5</v>
      </c>
      <c r="D2327" s="30">
        <v>-0.1</v>
      </c>
      <c r="E2327" s="31">
        <v>-3.8460000000000001E-2</v>
      </c>
      <c r="F2327" s="30">
        <v>285110003</v>
      </c>
      <c r="G2327" s="30" t="s">
        <v>5427</v>
      </c>
      <c r="H2327" s="30"/>
      <c r="I2327" s="30">
        <v>464456</v>
      </c>
      <c r="J2327" s="30" t="s">
        <v>5431</v>
      </c>
      <c r="K2327" s="30" t="s">
        <v>5430</v>
      </c>
    </row>
    <row r="2328" spans="1:11" x14ac:dyDescent="0.35">
      <c r="A2328" s="30" t="s">
        <v>13688</v>
      </c>
      <c r="B2328" s="30" t="s">
        <v>13689</v>
      </c>
      <c r="C2328" s="32">
        <v>191.36</v>
      </c>
      <c r="D2328" s="30">
        <v>3.43</v>
      </c>
      <c r="E2328" s="31">
        <v>1.8249999999999999E-2</v>
      </c>
      <c r="F2328" s="30">
        <v>6916188997</v>
      </c>
      <c r="G2328" s="30" t="s">
        <v>5427</v>
      </c>
      <c r="H2328" s="30">
        <v>2019</v>
      </c>
      <c r="I2328" s="30">
        <v>397569</v>
      </c>
      <c r="J2328" s="30" t="s">
        <v>5431</v>
      </c>
      <c r="K2328" s="30" t="s">
        <v>5500</v>
      </c>
    </row>
    <row r="2329" spans="1:11" x14ac:dyDescent="0.35">
      <c r="A2329" s="30" t="s">
        <v>13690</v>
      </c>
      <c r="B2329" s="30" t="s">
        <v>13691</v>
      </c>
      <c r="C2329" s="32">
        <v>11.25</v>
      </c>
      <c r="D2329" s="30">
        <v>0.17</v>
      </c>
      <c r="E2329" s="31">
        <v>1.5339999999999999E-2</v>
      </c>
      <c r="F2329" s="30">
        <v>516344794</v>
      </c>
      <c r="G2329" s="30" t="s">
        <v>5427</v>
      </c>
      <c r="H2329" s="30"/>
      <c r="I2329" s="30">
        <v>515768</v>
      </c>
      <c r="J2329" s="30" t="s">
        <v>5442</v>
      </c>
      <c r="K2329" s="30" t="s">
        <v>11744</v>
      </c>
    </row>
    <row r="2330" spans="1:11" x14ac:dyDescent="0.35">
      <c r="A2330" s="30" t="s">
        <v>13692</v>
      </c>
      <c r="B2330" s="30" t="s">
        <v>13693</v>
      </c>
      <c r="C2330" s="32">
        <v>4.34</v>
      </c>
      <c r="D2330" s="30">
        <v>-0.06</v>
      </c>
      <c r="E2330" s="31">
        <v>-1.3639999999999999E-2</v>
      </c>
      <c r="F2330" s="30">
        <v>522650563</v>
      </c>
      <c r="G2330" s="30" t="s">
        <v>5427</v>
      </c>
      <c r="H2330" s="30">
        <v>2021</v>
      </c>
      <c r="I2330" s="30">
        <v>470477</v>
      </c>
      <c r="J2330" s="30" t="s">
        <v>5457</v>
      </c>
      <c r="K2330" s="30" t="s">
        <v>5903</v>
      </c>
    </row>
    <row r="2331" spans="1:11" x14ac:dyDescent="0.35">
      <c r="A2331" s="30" t="s">
        <v>13694</v>
      </c>
      <c r="B2331" s="30" t="s">
        <v>13695</v>
      </c>
      <c r="C2331" s="32">
        <v>19.16</v>
      </c>
      <c r="D2331" s="30">
        <v>0.3</v>
      </c>
      <c r="E2331" s="31">
        <v>1.5910000000000001E-2</v>
      </c>
      <c r="F2331" s="30">
        <v>245637887</v>
      </c>
      <c r="G2331" s="30" t="s">
        <v>5427</v>
      </c>
      <c r="H2331" s="30"/>
      <c r="I2331" s="30">
        <v>4393</v>
      </c>
      <c r="J2331" s="30" t="s">
        <v>5435</v>
      </c>
      <c r="K2331" s="30" t="s">
        <v>5985</v>
      </c>
    </row>
    <row r="2332" spans="1:11" x14ac:dyDescent="0.35">
      <c r="A2332" s="30" t="s">
        <v>13696</v>
      </c>
      <c r="B2332" s="30" t="s">
        <v>13697</v>
      </c>
      <c r="C2332" s="32">
        <v>113.12</v>
      </c>
      <c r="D2332" s="30">
        <v>3.45</v>
      </c>
      <c r="E2332" s="31">
        <v>3.1460000000000002E-2</v>
      </c>
      <c r="F2332" s="30">
        <v>17983150758</v>
      </c>
      <c r="G2332" s="30" t="s">
        <v>5427</v>
      </c>
      <c r="H2332" s="30"/>
      <c r="I2332" s="30">
        <v>2759744</v>
      </c>
      <c r="J2332" s="30" t="s">
        <v>5219</v>
      </c>
      <c r="K2332" s="30" t="s">
        <v>5526</v>
      </c>
    </row>
    <row r="2333" spans="1:11" x14ac:dyDescent="0.35">
      <c r="A2333" s="30" t="s">
        <v>13698</v>
      </c>
      <c r="B2333" s="30" t="s">
        <v>13699</v>
      </c>
      <c r="C2333" s="32">
        <v>10.210000000000001</v>
      </c>
      <c r="D2333" s="30">
        <v>0</v>
      </c>
      <c r="E2333" s="31">
        <v>0</v>
      </c>
      <c r="F2333" s="30">
        <v>229539576</v>
      </c>
      <c r="G2333" s="30" t="s">
        <v>5427</v>
      </c>
      <c r="H2333" s="30">
        <v>2021</v>
      </c>
      <c r="I2333" s="30">
        <v>351</v>
      </c>
      <c r="J2333" s="30" t="s">
        <v>5457</v>
      </c>
      <c r="K2333" s="30" t="s">
        <v>5571</v>
      </c>
    </row>
    <row r="2334" spans="1:11" x14ac:dyDescent="0.35">
      <c r="A2334" s="30" t="s">
        <v>13700</v>
      </c>
      <c r="B2334" s="30" t="s">
        <v>13701</v>
      </c>
      <c r="C2334" s="32">
        <v>31.88</v>
      </c>
      <c r="D2334" s="30">
        <v>0.48</v>
      </c>
      <c r="E2334" s="31">
        <v>1.529E-2</v>
      </c>
      <c r="F2334" s="30">
        <v>1988746640</v>
      </c>
      <c r="G2334" s="30" t="s">
        <v>5427</v>
      </c>
      <c r="H2334" s="30">
        <v>2019</v>
      </c>
      <c r="I2334" s="30">
        <v>620370</v>
      </c>
      <c r="J2334" s="30" t="s">
        <v>5431</v>
      </c>
      <c r="K2334" s="30" t="s">
        <v>5430</v>
      </c>
    </row>
    <row r="2335" spans="1:11" x14ac:dyDescent="0.35">
      <c r="A2335" s="30" t="s">
        <v>13702</v>
      </c>
      <c r="B2335" s="30" t="s">
        <v>13703</v>
      </c>
      <c r="C2335" s="32">
        <v>59.89</v>
      </c>
      <c r="D2335" s="30">
        <v>-7.0000000000000007E-2</v>
      </c>
      <c r="E2335" s="31">
        <v>-1.17E-3</v>
      </c>
      <c r="F2335" s="30">
        <v>1752321510</v>
      </c>
      <c r="G2335" s="30" t="s">
        <v>5427</v>
      </c>
      <c r="H2335" s="30"/>
      <c r="I2335" s="30">
        <v>77727</v>
      </c>
      <c r="J2335" s="30" t="s">
        <v>5435</v>
      </c>
      <c r="K2335" s="30" t="s">
        <v>5579</v>
      </c>
    </row>
    <row r="2336" spans="1:11" x14ac:dyDescent="0.35">
      <c r="A2336" s="30" t="s">
        <v>13704</v>
      </c>
      <c r="B2336" s="30" t="s">
        <v>13705</v>
      </c>
      <c r="C2336" s="32">
        <v>0.88029999999999997</v>
      </c>
      <c r="D2336" s="30">
        <v>3.0300000000000001E-2</v>
      </c>
      <c r="E2336" s="31">
        <v>3.5650000000000001E-2</v>
      </c>
      <c r="F2336" s="30">
        <v>62078703</v>
      </c>
      <c r="G2336" s="30" t="s">
        <v>5427</v>
      </c>
      <c r="H2336" s="30">
        <v>2015</v>
      </c>
      <c r="I2336" s="30">
        <v>77938</v>
      </c>
      <c r="J2336" s="30" t="s">
        <v>5431</v>
      </c>
      <c r="K2336" s="30" t="s">
        <v>5430</v>
      </c>
    </row>
    <row r="2337" spans="1:11" x14ac:dyDescent="0.35">
      <c r="A2337" s="30" t="s">
        <v>13706</v>
      </c>
      <c r="B2337" s="30" t="s">
        <v>13707</v>
      </c>
      <c r="C2337" s="32">
        <v>15.27</v>
      </c>
      <c r="D2337" s="30">
        <v>-0.38</v>
      </c>
      <c r="E2337" s="31">
        <v>-2.4279999999999999E-2</v>
      </c>
      <c r="F2337" s="30">
        <v>906412694</v>
      </c>
      <c r="G2337" s="30" t="s">
        <v>5427</v>
      </c>
      <c r="H2337" s="30">
        <v>2021</v>
      </c>
      <c r="I2337" s="30">
        <v>313290</v>
      </c>
      <c r="J2337" s="30" t="s">
        <v>5457</v>
      </c>
      <c r="K2337" s="30" t="s">
        <v>5571</v>
      </c>
    </row>
    <row r="2338" spans="1:11" x14ac:dyDescent="0.35">
      <c r="A2338" s="30" t="s">
        <v>13708</v>
      </c>
      <c r="B2338" s="30" t="s">
        <v>13709</v>
      </c>
      <c r="C2338" s="32">
        <v>132.82</v>
      </c>
      <c r="D2338" s="30">
        <v>7.79</v>
      </c>
      <c r="E2338" s="31">
        <v>6.2309999999999997E-2</v>
      </c>
      <c r="F2338" s="30">
        <v>5295662368</v>
      </c>
      <c r="G2338" s="30" t="s">
        <v>5427</v>
      </c>
      <c r="H2338" s="30">
        <v>2002</v>
      </c>
      <c r="I2338" s="30">
        <v>763594</v>
      </c>
      <c r="J2338" s="30" t="s">
        <v>5219</v>
      </c>
      <c r="K2338" s="30" t="s">
        <v>7345</v>
      </c>
    </row>
    <row r="2339" spans="1:11" x14ac:dyDescent="0.35">
      <c r="A2339" s="30" t="s">
        <v>13710</v>
      </c>
      <c r="B2339" s="30" t="s">
        <v>13711</v>
      </c>
      <c r="C2339" s="32">
        <v>37.76</v>
      </c>
      <c r="D2339" s="30">
        <v>1.84</v>
      </c>
      <c r="E2339" s="31">
        <v>5.1220000000000002E-2</v>
      </c>
      <c r="F2339" s="30">
        <v>3885655946</v>
      </c>
      <c r="G2339" s="30" t="s">
        <v>5427</v>
      </c>
      <c r="H2339" s="30">
        <v>2014</v>
      </c>
      <c r="I2339" s="30">
        <v>1320075</v>
      </c>
      <c r="J2339" s="30" t="s">
        <v>5431</v>
      </c>
      <c r="K2339" s="30" t="s">
        <v>9124</v>
      </c>
    </row>
    <row r="2340" spans="1:11" x14ac:dyDescent="0.35">
      <c r="A2340" s="30" t="s">
        <v>13712</v>
      </c>
      <c r="B2340" s="30" t="s">
        <v>13713</v>
      </c>
      <c r="C2340" s="32">
        <v>5.32</v>
      </c>
      <c r="D2340" s="30">
        <v>0.21</v>
      </c>
      <c r="E2340" s="31">
        <v>4.1099999999999998E-2</v>
      </c>
      <c r="F2340" s="30">
        <v>107601900</v>
      </c>
      <c r="G2340" s="30" t="s">
        <v>5427</v>
      </c>
      <c r="H2340" s="30">
        <v>2016</v>
      </c>
      <c r="I2340" s="30">
        <v>222785</v>
      </c>
      <c r="J2340" s="30" t="s">
        <v>5431</v>
      </c>
      <c r="K2340" s="30" t="s">
        <v>5430</v>
      </c>
    </row>
    <row r="2341" spans="1:11" x14ac:dyDescent="0.35">
      <c r="A2341" s="30" t="s">
        <v>13714</v>
      </c>
      <c r="B2341" s="30" t="s">
        <v>13715</v>
      </c>
      <c r="C2341" s="32">
        <v>10.34</v>
      </c>
      <c r="D2341" s="30">
        <v>-0.04</v>
      </c>
      <c r="E2341" s="31">
        <v>-3.8500000000000001E-3</v>
      </c>
      <c r="F2341" s="30">
        <v>225108004</v>
      </c>
      <c r="G2341" s="30" t="s">
        <v>5427</v>
      </c>
      <c r="H2341" s="30">
        <v>2022</v>
      </c>
      <c r="I2341" s="30">
        <v>45684</v>
      </c>
      <c r="J2341" s="30" t="s">
        <v>5457</v>
      </c>
      <c r="K2341" s="30" t="s">
        <v>5571</v>
      </c>
    </row>
    <row r="2342" spans="1:11" x14ac:dyDescent="0.35">
      <c r="A2342" s="30" t="s">
        <v>13716</v>
      </c>
      <c r="B2342" s="30" t="s">
        <v>13717</v>
      </c>
      <c r="C2342" s="32">
        <v>46.11</v>
      </c>
      <c r="D2342" s="30">
        <v>0.59</v>
      </c>
      <c r="E2342" s="31">
        <v>1.2959999999999999E-2</v>
      </c>
      <c r="F2342" s="30">
        <v>684899173</v>
      </c>
      <c r="G2342" s="30" t="s">
        <v>5427</v>
      </c>
      <c r="H2342" s="30"/>
      <c r="I2342" s="30">
        <v>94209</v>
      </c>
      <c r="J2342" s="30" t="s">
        <v>5464</v>
      </c>
      <c r="K2342" s="30" t="s">
        <v>5540</v>
      </c>
    </row>
    <row r="2343" spans="1:11" x14ac:dyDescent="0.35">
      <c r="A2343" s="30" t="s">
        <v>13718</v>
      </c>
      <c r="B2343" s="30" t="s">
        <v>13719</v>
      </c>
      <c r="C2343" s="32">
        <v>7.46</v>
      </c>
      <c r="D2343" s="30">
        <v>-0.08</v>
      </c>
      <c r="E2343" s="31">
        <v>-1.061E-2</v>
      </c>
      <c r="F2343" s="30">
        <v>73940036</v>
      </c>
      <c r="G2343" s="30" t="s">
        <v>5427</v>
      </c>
      <c r="H2343" s="30">
        <v>1996</v>
      </c>
      <c r="I2343" s="30">
        <v>7665</v>
      </c>
      <c r="J2343" s="30" t="s">
        <v>5219</v>
      </c>
      <c r="K2343" s="30" t="s">
        <v>7345</v>
      </c>
    </row>
    <row r="2344" spans="1:11" x14ac:dyDescent="0.35">
      <c r="A2344" s="30" t="s">
        <v>13720</v>
      </c>
      <c r="B2344" s="30" t="s">
        <v>13721</v>
      </c>
      <c r="C2344" s="32">
        <v>0.81950000000000001</v>
      </c>
      <c r="D2344" s="30">
        <v>2.2000000000000001E-3</v>
      </c>
      <c r="E2344" s="31">
        <v>2.6900000000000001E-3</v>
      </c>
      <c r="F2344" s="30">
        <v>124773576</v>
      </c>
      <c r="G2344" s="30" t="s">
        <v>5427</v>
      </c>
      <c r="H2344" s="30">
        <v>2020</v>
      </c>
      <c r="I2344" s="30">
        <v>297767</v>
      </c>
      <c r="J2344" s="30" t="s">
        <v>5431</v>
      </c>
      <c r="K2344" s="30" t="s">
        <v>6530</v>
      </c>
    </row>
    <row r="2345" spans="1:11" x14ac:dyDescent="0.35">
      <c r="A2345" s="30" t="s">
        <v>13722</v>
      </c>
      <c r="B2345" s="30" t="s">
        <v>13723</v>
      </c>
      <c r="C2345" s="32">
        <v>1.73</v>
      </c>
      <c r="D2345" s="30">
        <v>0.27</v>
      </c>
      <c r="E2345" s="31">
        <v>0.18493000000000001</v>
      </c>
      <c r="F2345" s="30">
        <v>72180072</v>
      </c>
      <c r="G2345" s="30" t="s">
        <v>5427</v>
      </c>
      <c r="H2345" s="30">
        <v>2021</v>
      </c>
      <c r="I2345" s="30">
        <v>619945</v>
      </c>
      <c r="J2345" s="30" t="s">
        <v>5431</v>
      </c>
      <c r="K2345" s="30" t="s">
        <v>5430</v>
      </c>
    </row>
    <row r="2346" spans="1:11" x14ac:dyDescent="0.35">
      <c r="A2346" s="30" t="s">
        <v>13724</v>
      </c>
      <c r="B2346" s="30" t="s">
        <v>13725</v>
      </c>
      <c r="C2346" s="32">
        <v>15.65</v>
      </c>
      <c r="D2346" s="30">
        <v>-0.11</v>
      </c>
      <c r="E2346" s="31">
        <v>-6.9800000000000001E-3</v>
      </c>
      <c r="F2346" s="30">
        <v>417419742</v>
      </c>
      <c r="G2346" s="30" t="s">
        <v>5427</v>
      </c>
      <c r="H2346" s="30">
        <v>2020</v>
      </c>
      <c r="I2346" s="30">
        <v>45621</v>
      </c>
      <c r="J2346" s="30" t="s">
        <v>5431</v>
      </c>
      <c r="K2346" s="30" t="s">
        <v>5685</v>
      </c>
    </row>
    <row r="2347" spans="1:11" x14ac:dyDescent="0.35">
      <c r="A2347" s="30" t="s">
        <v>13726</v>
      </c>
      <c r="B2347" s="30" t="s">
        <v>13727</v>
      </c>
      <c r="C2347" s="32">
        <v>19.48</v>
      </c>
      <c r="D2347" s="30">
        <v>0.83</v>
      </c>
      <c r="E2347" s="31">
        <v>4.4499999999999998E-2</v>
      </c>
      <c r="F2347" s="30">
        <v>1900755662</v>
      </c>
      <c r="G2347" s="30" t="s">
        <v>5427</v>
      </c>
      <c r="H2347" s="30">
        <v>2021</v>
      </c>
      <c r="I2347" s="30">
        <v>286200</v>
      </c>
      <c r="J2347" s="30" t="s">
        <v>5219</v>
      </c>
      <c r="K2347" s="30" t="s">
        <v>5812</v>
      </c>
    </row>
    <row r="2348" spans="1:11" x14ac:dyDescent="0.35">
      <c r="A2348" s="30" t="s">
        <v>13728</v>
      </c>
      <c r="B2348" s="30" t="s">
        <v>13729</v>
      </c>
      <c r="C2348" s="32">
        <v>2.17</v>
      </c>
      <c r="D2348" s="30">
        <v>0.02</v>
      </c>
      <c r="E2348" s="31">
        <v>9.2999999999999992E-3</v>
      </c>
      <c r="F2348" s="30">
        <v>115603000</v>
      </c>
      <c r="G2348" s="30" t="s">
        <v>5427</v>
      </c>
      <c r="H2348" s="30">
        <v>2006</v>
      </c>
      <c r="I2348" s="30">
        <v>111252</v>
      </c>
      <c r="J2348" s="30" t="s">
        <v>5442</v>
      </c>
      <c r="K2348" s="30" t="s">
        <v>5441</v>
      </c>
    </row>
    <row r="2349" spans="1:11" x14ac:dyDescent="0.35">
      <c r="A2349" s="30" t="s">
        <v>13730</v>
      </c>
      <c r="B2349" s="30" t="s">
        <v>13731</v>
      </c>
      <c r="C2349" s="32">
        <v>16.079999999999998</v>
      </c>
      <c r="D2349" s="30">
        <v>-0.2</v>
      </c>
      <c r="E2349" s="31">
        <v>-1.2290000000000001E-2</v>
      </c>
      <c r="F2349" s="30">
        <v>56320940</v>
      </c>
      <c r="G2349" s="30" t="s">
        <v>5427</v>
      </c>
      <c r="H2349" s="30"/>
      <c r="I2349" s="30">
        <v>4906</v>
      </c>
      <c r="J2349" s="30" t="s">
        <v>5457</v>
      </c>
      <c r="K2349" s="30" t="s">
        <v>5644</v>
      </c>
    </row>
    <row r="2350" spans="1:11" x14ac:dyDescent="0.35">
      <c r="A2350" s="30" t="s">
        <v>13732</v>
      </c>
      <c r="B2350" s="30" t="s">
        <v>13733</v>
      </c>
      <c r="C2350" s="32">
        <v>34.11</v>
      </c>
      <c r="D2350" s="30">
        <v>0.18</v>
      </c>
      <c r="E2350" s="31">
        <v>5.3099999999999996E-3</v>
      </c>
      <c r="F2350" s="30">
        <v>1899573177</v>
      </c>
      <c r="G2350" s="30" t="s">
        <v>5427</v>
      </c>
      <c r="H2350" s="30">
        <v>2004</v>
      </c>
      <c r="I2350" s="30">
        <v>487823</v>
      </c>
      <c r="J2350" s="30" t="s">
        <v>5435</v>
      </c>
      <c r="K2350" s="30" t="s">
        <v>5579</v>
      </c>
    </row>
    <row r="2351" spans="1:11" x14ac:dyDescent="0.35">
      <c r="A2351" s="30" t="s">
        <v>13734</v>
      </c>
      <c r="B2351" s="30" t="s">
        <v>13735</v>
      </c>
      <c r="C2351" s="32">
        <v>10</v>
      </c>
      <c r="D2351" s="30">
        <v>0</v>
      </c>
      <c r="E2351" s="31">
        <v>0</v>
      </c>
      <c r="F2351" s="30">
        <v>527530000</v>
      </c>
      <c r="G2351" s="30" t="s">
        <v>5427</v>
      </c>
      <c r="H2351" s="30">
        <v>2021</v>
      </c>
      <c r="I2351" s="30">
        <v>1</v>
      </c>
      <c r="J2351" s="30" t="s">
        <v>5457</v>
      </c>
      <c r="K2351" s="30" t="s">
        <v>5571</v>
      </c>
    </row>
    <row r="2352" spans="1:11" x14ac:dyDescent="0.35">
      <c r="A2352" s="30" t="s">
        <v>13736</v>
      </c>
      <c r="B2352" s="30" t="s">
        <v>13737</v>
      </c>
      <c r="C2352" s="32">
        <v>1.72</v>
      </c>
      <c r="D2352" s="30">
        <v>-0.12</v>
      </c>
      <c r="E2352" s="31">
        <v>-6.522E-2</v>
      </c>
      <c r="F2352" s="30">
        <v>50777422</v>
      </c>
      <c r="G2352" s="30" t="s">
        <v>5427</v>
      </c>
      <c r="H2352" s="30">
        <v>2021</v>
      </c>
      <c r="I2352" s="30">
        <v>96908</v>
      </c>
      <c r="J2352" s="30" t="s">
        <v>5431</v>
      </c>
      <c r="K2352" s="30" t="s">
        <v>5610</v>
      </c>
    </row>
    <row r="2353" spans="1:11" x14ac:dyDescent="0.35">
      <c r="A2353" s="30" t="s">
        <v>13738</v>
      </c>
      <c r="B2353" s="30" t="s">
        <v>13739</v>
      </c>
      <c r="C2353" s="32">
        <v>15.51</v>
      </c>
      <c r="D2353" s="30">
        <v>0.05</v>
      </c>
      <c r="E2353" s="31">
        <v>3.2299999999999998E-3</v>
      </c>
      <c r="F2353" s="30">
        <v>497590005</v>
      </c>
      <c r="G2353" s="30" t="s">
        <v>5427</v>
      </c>
      <c r="H2353" s="30">
        <v>2021</v>
      </c>
      <c r="I2353" s="30">
        <v>70562</v>
      </c>
      <c r="J2353" s="30" t="s">
        <v>5435</v>
      </c>
      <c r="K2353" s="30" t="s">
        <v>5434</v>
      </c>
    </row>
    <row r="2354" spans="1:11" x14ac:dyDescent="0.35">
      <c r="A2354" s="30" t="s">
        <v>13740</v>
      </c>
      <c r="B2354" s="30" t="s">
        <v>13741</v>
      </c>
      <c r="C2354" s="32">
        <v>24.86</v>
      </c>
      <c r="D2354" s="30">
        <v>0.84</v>
      </c>
      <c r="E2354" s="31">
        <v>3.4970000000000001E-2</v>
      </c>
      <c r="F2354" s="30">
        <v>225506949</v>
      </c>
      <c r="G2354" s="30" t="s">
        <v>5427</v>
      </c>
      <c r="H2354" s="30">
        <v>2009</v>
      </c>
      <c r="I2354" s="30">
        <v>42647</v>
      </c>
      <c r="J2354" s="30" t="s">
        <v>5435</v>
      </c>
      <c r="K2354" s="30" t="s">
        <v>6556</v>
      </c>
    </row>
    <row r="2355" spans="1:11" x14ac:dyDescent="0.35">
      <c r="A2355" s="30" t="s">
        <v>13742</v>
      </c>
      <c r="B2355" s="30" t="s">
        <v>13743</v>
      </c>
      <c r="C2355" s="32">
        <v>16.100000000000001</v>
      </c>
      <c r="D2355" s="30">
        <v>0.17</v>
      </c>
      <c r="E2355" s="31">
        <v>1.0670000000000001E-2</v>
      </c>
      <c r="F2355" s="30">
        <v>72040319</v>
      </c>
      <c r="G2355" s="30" t="s">
        <v>5427</v>
      </c>
      <c r="H2355" s="30">
        <v>2021</v>
      </c>
      <c r="I2355" s="30">
        <v>3942</v>
      </c>
      <c r="J2355" s="30" t="s">
        <v>5435</v>
      </c>
      <c r="K2355" s="30" t="s">
        <v>5579</v>
      </c>
    </row>
    <row r="2356" spans="1:11" x14ac:dyDescent="0.35">
      <c r="A2356" s="30" t="s">
        <v>13744</v>
      </c>
      <c r="B2356" s="30" t="s">
        <v>13745</v>
      </c>
      <c r="C2356" s="32">
        <v>67.41</v>
      </c>
      <c r="D2356" s="30">
        <v>1.34</v>
      </c>
      <c r="E2356" s="31">
        <v>2.0279999999999999E-2</v>
      </c>
      <c r="F2356" s="30">
        <v>3288513464</v>
      </c>
      <c r="G2356" s="30" t="s">
        <v>5427</v>
      </c>
      <c r="H2356" s="30">
        <v>2003</v>
      </c>
      <c r="I2356" s="30">
        <v>630768</v>
      </c>
      <c r="J2356" s="30" t="s">
        <v>5435</v>
      </c>
      <c r="K2356" s="30" t="s">
        <v>5579</v>
      </c>
    </row>
    <row r="2357" spans="1:11" x14ac:dyDescent="0.35">
      <c r="A2357" s="30" t="s">
        <v>13746</v>
      </c>
      <c r="B2357" s="30" t="s">
        <v>13747</v>
      </c>
      <c r="C2357" s="32">
        <v>50.53</v>
      </c>
      <c r="D2357" s="30">
        <v>-0.02</v>
      </c>
      <c r="E2357" s="31">
        <v>-4.0000000000000002E-4</v>
      </c>
      <c r="F2357" s="30">
        <v>1684241352</v>
      </c>
      <c r="G2357" s="30" t="s">
        <v>5427</v>
      </c>
      <c r="H2357" s="30"/>
      <c r="I2357" s="30">
        <v>85853</v>
      </c>
      <c r="J2357" s="30" t="s">
        <v>5435</v>
      </c>
      <c r="K2357" s="30" t="s">
        <v>5579</v>
      </c>
    </row>
    <row r="2358" spans="1:11" x14ac:dyDescent="0.35">
      <c r="A2358" s="30" t="s">
        <v>13748</v>
      </c>
      <c r="B2358" s="30" t="s">
        <v>13749</v>
      </c>
      <c r="C2358" s="32">
        <v>15.52</v>
      </c>
      <c r="D2358" s="30">
        <v>0</v>
      </c>
      <c r="E2358" s="31">
        <v>0</v>
      </c>
      <c r="F2358" s="30">
        <v>51167003</v>
      </c>
      <c r="G2358" s="30" t="s">
        <v>5427</v>
      </c>
      <c r="H2358" s="30">
        <v>2021</v>
      </c>
      <c r="I2358" s="30">
        <v>625</v>
      </c>
      <c r="J2358" s="30" t="s">
        <v>5435</v>
      </c>
      <c r="K2358" s="30" t="s">
        <v>6698</v>
      </c>
    </row>
    <row r="2359" spans="1:11" x14ac:dyDescent="0.35">
      <c r="A2359" s="30" t="s">
        <v>13750</v>
      </c>
      <c r="B2359" s="30" t="s">
        <v>13751</v>
      </c>
      <c r="C2359" s="32">
        <v>18.989999999999998</v>
      </c>
      <c r="D2359" s="30">
        <v>0.45</v>
      </c>
      <c r="E2359" s="31">
        <v>2.427E-2</v>
      </c>
      <c r="F2359" s="30">
        <v>256967667</v>
      </c>
      <c r="G2359" s="30" t="s">
        <v>5427</v>
      </c>
      <c r="H2359" s="30">
        <v>2021</v>
      </c>
      <c r="I2359" s="30">
        <v>22824</v>
      </c>
      <c r="J2359" s="30" t="s">
        <v>5435</v>
      </c>
      <c r="K2359" s="30" t="s">
        <v>5579</v>
      </c>
    </row>
    <row r="2360" spans="1:11" x14ac:dyDescent="0.35">
      <c r="A2360" s="30" t="s">
        <v>13752</v>
      </c>
      <c r="B2360" s="30" t="s">
        <v>13753</v>
      </c>
      <c r="C2360" s="32">
        <v>40.659999999999997</v>
      </c>
      <c r="D2360" s="30">
        <v>0.3</v>
      </c>
      <c r="E2360" s="31">
        <v>7.43E-3</v>
      </c>
      <c r="F2360" s="30">
        <v>229580591</v>
      </c>
      <c r="G2360" s="30" t="s">
        <v>5427</v>
      </c>
      <c r="H2360" s="30"/>
      <c r="I2360" s="30">
        <v>14710</v>
      </c>
      <c r="J2360" s="30" t="s">
        <v>5435</v>
      </c>
      <c r="K2360" s="30" t="s">
        <v>5579</v>
      </c>
    </row>
    <row r="2361" spans="1:11" x14ac:dyDescent="0.35">
      <c r="A2361" s="30" t="s">
        <v>13754</v>
      </c>
      <c r="B2361" s="30" t="s">
        <v>13755</v>
      </c>
      <c r="C2361" s="32">
        <v>13.17</v>
      </c>
      <c r="D2361" s="30">
        <v>0.2</v>
      </c>
      <c r="E2361" s="31">
        <v>1.542E-2</v>
      </c>
      <c r="F2361" s="30">
        <v>265437439</v>
      </c>
      <c r="G2361" s="30" t="s">
        <v>5427</v>
      </c>
      <c r="H2361" s="30">
        <v>2016</v>
      </c>
      <c r="I2361" s="30">
        <v>146371</v>
      </c>
      <c r="J2361" s="30" t="s">
        <v>5431</v>
      </c>
      <c r="K2361" s="30" t="s">
        <v>5500</v>
      </c>
    </row>
    <row r="2362" spans="1:11" x14ac:dyDescent="0.35">
      <c r="A2362" s="30" t="s">
        <v>13756</v>
      </c>
      <c r="B2362" s="30" t="s">
        <v>13757</v>
      </c>
      <c r="C2362" s="32">
        <v>13.29</v>
      </c>
      <c r="D2362" s="30">
        <v>0.06</v>
      </c>
      <c r="E2362" s="31">
        <v>4.5399999999999998E-3</v>
      </c>
      <c r="F2362" s="30">
        <v>767726939</v>
      </c>
      <c r="G2362" s="30" t="s">
        <v>5427</v>
      </c>
      <c r="H2362" s="30">
        <v>2012</v>
      </c>
      <c r="I2362" s="30">
        <v>130376</v>
      </c>
      <c r="J2362" s="30" t="s">
        <v>5435</v>
      </c>
      <c r="K2362" s="30" t="s">
        <v>5985</v>
      </c>
    </row>
    <row r="2363" spans="1:11" x14ac:dyDescent="0.35">
      <c r="A2363" s="30" t="s">
        <v>13758</v>
      </c>
      <c r="B2363" s="30" t="s">
        <v>13759</v>
      </c>
      <c r="C2363" s="32">
        <v>1.4</v>
      </c>
      <c r="D2363" s="30">
        <v>-0.05</v>
      </c>
      <c r="E2363" s="31">
        <v>-3.4479999999999997E-2</v>
      </c>
      <c r="F2363" s="30">
        <v>54119885</v>
      </c>
      <c r="G2363" s="30" t="s">
        <v>5427</v>
      </c>
      <c r="H2363" s="30">
        <v>2019</v>
      </c>
      <c r="I2363" s="30">
        <v>135625</v>
      </c>
      <c r="J2363" s="30" t="s">
        <v>5431</v>
      </c>
      <c r="K2363" s="30" t="s">
        <v>5430</v>
      </c>
    </row>
    <row r="2364" spans="1:11" x14ac:dyDescent="0.35">
      <c r="A2364" s="30" t="s">
        <v>13760</v>
      </c>
      <c r="B2364" s="30" t="s">
        <v>13761</v>
      </c>
      <c r="C2364" s="32">
        <v>0.71220000000000006</v>
      </c>
      <c r="D2364" s="30">
        <v>-2.64E-2</v>
      </c>
      <c r="E2364" s="31">
        <v>-3.5740000000000001E-2</v>
      </c>
      <c r="F2364" s="30">
        <v>171220544</v>
      </c>
      <c r="G2364" s="30" t="s">
        <v>5427</v>
      </c>
      <c r="H2364" s="30"/>
      <c r="I2364" s="30">
        <v>571039</v>
      </c>
      <c r="J2364" s="30" t="s">
        <v>5431</v>
      </c>
      <c r="K2364" s="30" t="s">
        <v>5430</v>
      </c>
    </row>
    <row r="2365" spans="1:11" x14ac:dyDescent="0.35">
      <c r="A2365" s="30" t="s">
        <v>13762</v>
      </c>
      <c r="B2365" s="30" t="s">
        <v>13763</v>
      </c>
      <c r="C2365" s="32">
        <v>10.1</v>
      </c>
      <c r="D2365" s="30">
        <v>0.01</v>
      </c>
      <c r="E2365" s="31">
        <v>9.8999999999999999E-4</v>
      </c>
      <c r="F2365" s="30">
        <v>516110000</v>
      </c>
      <c r="G2365" s="30" t="s">
        <v>5427</v>
      </c>
      <c r="H2365" s="30">
        <v>2021</v>
      </c>
      <c r="I2365" s="30">
        <v>22578</v>
      </c>
      <c r="J2365" s="30" t="s">
        <v>5435</v>
      </c>
      <c r="K2365" s="30" t="s">
        <v>5482</v>
      </c>
    </row>
    <row r="2366" spans="1:11" x14ac:dyDescent="0.35">
      <c r="A2366" s="30" t="s">
        <v>13764</v>
      </c>
      <c r="B2366" s="30" t="s">
        <v>13765</v>
      </c>
      <c r="C2366" s="32">
        <v>33.5</v>
      </c>
      <c r="D2366" s="30">
        <v>0.33</v>
      </c>
      <c r="E2366" s="31">
        <v>9.9500000000000005E-3</v>
      </c>
      <c r="F2366" s="30">
        <v>361578565</v>
      </c>
      <c r="G2366" s="30" t="s">
        <v>5515</v>
      </c>
      <c r="H2366" s="30"/>
      <c r="I2366" s="30">
        <v>127597</v>
      </c>
      <c r="J2366" s="30" t="s">
        <v>5219</v>
      </c>
      <c r="K2366" s="30" t="s">
        <v>5447</v>
      </c>
    </row>
    <row r="2367" spans="1:11" x14ac:dyDescent="0.35">
      <c r="A2367" s="30" t="s">
        <v>13766</v>
      </c>
      <c r="B2367" s="30" t="s">
        <v>13767</v>
      </c>
      <c r="C2367" s="32">
        <v>1.84</v>
      </c>
      <c r="D2367" s="30">
        <v>0.11</v>
      </c>
      <c r="E2367" s="31">
        <v>6.3579999999999998E-2</v>
      </c>
      <c r="F2367" s="30">
        <v>185481947</v>
      </c>
      <c r="G2367" s="30" t="s">
        <v>5427</v>
      </c>
      <c r="H2367" s="30">
        <v>2021</v>
      </c>
      <c r="I2367" s="30">
        <v>693605</v>
      </c>
      <c r="J2367" s="30" t="s">
        <v>5442</v>
      </c>
      <c r="K2367" s="30" t="s">
        <v>5534</v>
      </c>
    </row>
    <row r="2368" spans="1:11" x14ac:dyDescent="0.35">
      <c r="A2368" s="30" t="s">
        <v>13768</v>
      </c>
      <c r="B2368" s="30" t="s">
        <v>13769</v>
      </c>
      <c r="C2368" s="32">
        <v>170.31</v>
      </c>
      <c r="D2368" s="30">
        <v>8.69</v>
      </c>
      <c r="E2368" s="31">
        <v>5.3769999999999998E-2</v>
      </c>
      <c r="F2368" s="30">
        <v>43517609156</v>
      </c>
      <c r="G2368" s="30" t="s">
        <v>6338</v>
      </c>
      <c r="H2368" s="30">
        <v>2015</v>
      </c>
      <c r="I2368" s="30">
        <v>2033667</v>
      </c>
      <c r="J2368" s="30" t="s">
        <v>5219</v>
      </c>
      <c r="K2368" s="30" t="s">
        <v>5447</v>
      </c>
    </row>
    <row r="2369" spans="1:11" x14ac:dyDescent="0.35">
      <c r="A2369" s="30" t="s">
        <v>13770</v>
      </c>
      <c r="B2369" s="30" t="s">
        <v>13771</v>
      </c>
      <c r="C2369" s="32">
        <v>81.28</v>
      </c>
      <c r="D2369" s="30">
        <v>1.62</v>
      </c>
      <c r="E2369" s="31">
        <v>2.034E-2</v>
      </c>
      <c r="F2369" s="30">
        <v>12758483886</v>
      </c>
      <c r="G2369" s="30" t="s">
        <v>5427</v>
      </c>
      <c r="H2369" s="30"/>
      <c r="I2369" s="30">
        <v>1526305</v>
      </c>
      <c r="J2369" s="30" t="s">
        <v>5431</v>
      </c>
      <c r="K2369" s="30" t="s">
        <v>6409</v>
      </c>
    </row>
    <row r="2370" spans="1:11" x14ac:dyDescent="0.35">
      <c r="A2370" s="30" t="s">
        <v>13772</v>
      </c>
      <c r="B2370" s="30" t="s">
        <v>13773</v>
      </c>
      <c r="C2370" s="32">
        <v>11.48</v>
      </c>
      <c r="D2370" s="30">
        <v>-0.1</v>
      </c>
      <c r="E2370" s="31">
        <v>-8.6400000000000001E-3</v>
      </c>
      <c r="F2370" s="30">
        <v>219946985</v>
      </c>
      <c r="G2370" s="30" t="s">
        <v>5427</v>
      </c>
      <c r="H2370" s="30">
        <v>2019</v>
      </c>
      <c r="I2370" s="30">
        <v>27479</v>
      </c>
      <c r="J2370" s="30" t="s">
        <v>5431</v>
      </c>
      <c r="K2370" s="30" t="s">
        <v>6537</v>
      </c>
    </row>
    <row r="2371" spans="1:11" x14ac:dyDescent="0.35">
      <c r="A2371" s="30" t="s">
        <v>13774</v>
      </c>
      <c r="B2371" s="30" t="s">
        <v>13775</v>
      </c>
      <c r="C2371" s="32">
        <v>44.27</v>
      </c>
      <c r="D2371" s="30">
        <v>4.04</v>
      </c>
      <c r="E2371" s="31">
        <v>0.10042</v>
      </c>
      <c r="F2371" s="30">
        <v>4980999251</v>
      </c>
      <c r="G2371" s="30" t="s">
        <v>5427</v>
      </c>
      <c r="H2371" s="30">
        <v>2018</v>
      </c>
      <c r="I2371" s="30">
        <v>2472671</v>
      </c>
      <c r="J2371" s="30" t="s">
        <v>5219</v>
      </c>
      <c r="K2371" s="30" t="s">
        <v>5447</v>
      </c>
    </row>
    <row r="2372" spans="1:11" x14ac:dyDescent="0.35">
      <c r="A2372" s="30" t="s">
        <v>13776</v>
      </c>
      <c r="B2372" s="30" t="s">
        <v>13777</v>
      </c>
      <c r="C2372" s="32">
        <v>107.99</v>
      </c>
      <c r="D2372" s="30">
        <v>6.29</v>
      </c>
      <c r="E2372" s="31">
        <v>6.1850000000000002E-2</v>
      </c>
      <c r="F2372" s="30">
        <v>16820106207</v>
      </c>
      <c r="G2372" s="30" t="s">
        <v>5427</v>
      </c>
      <c r="H2372" s="30"/>
      <c r="I2372" s="30">
        <v>2783759</v>
      </c>
      <c r="J2372" s="30" t="s">
        <v>5457</v>
      </c>
      <c r="K2372" s="30" t="s">
        <v>5647</v>
      </c>
    </row>
    <row r="2373" spans="1:11" x14ac:dyDescent="0.35">
      <c r="A2373" s="30" t="s">
        <v>13778</v>
      </c>
      <c r="B2373" s="30" t="s">
        <v>13779</v>
      </c>
      <c r="C2373" s="32">
        <v>8.94</v>
      </c>
      <c r="D2373" s="30">
        <v>-0.13</v>
      </c>
      <c r="E2373" s="31">
        <v>-1.4330000000000001E-2</v>
      </c>
      <c r="F2373" s="30">
        <v>442675981</v>
      </c>
      <c r="G2373" s="30" t="s">
        <v>5427</v>
      </c>
      <c r="H2373" s="30">
        <v>2021</v>
      </c>
      <c r="I2373" s="30">
        <v>310789</v>
      </c>
      <c r="J2373" s="30" t="s">
        <v>5431</v>
      </c>
      <c r="K2373" s="30" t="s">
        <v>5430</v>
      </c>
    </row>
    <row r="2374" spans="1:11" x14ac:dyDescent="0.35">
      <c r="A2374" s="30" t="s">
        <v>13780</v>
      </c>
      <c r="B2374" s="30" t="s">
        <v>13781</v>
      </c>
      <c r="C2374" s="32">
        <v>10.1</v>
      </c>
      <c r="D2374" s="30">
        <v>0</v>
      </c>
      <c r="E2374" s="31">
        <v>0</v>
      </c>
      <c r="F2374" s="30">
        <v>486062500</v>
      </c>
      <c r="G2374" s="30" t="s">
        <v>5427</v>
      </c>
      <c r="H2374" s="30">
        <v>2021</v>
      </c>
      <c r="I2374" s="30">
        <v>3785</v>
      </c>
      <c r="J2374" s="30" t="s">
        <v>5457</v>
      </c>
      <c r="K2374" s="30" t="s">
        <v>5571</v>
      </c>
    </row>
    <row r="2375" spans="1:11" x14ac:dyDescent="0.35">
      <c r="A2375" s="30" t="s">
        <v>13782</v>
      </c>
      <c r="B2375" s="30" t="s">
        <v>13783</v>
      </c>
      <c r="C2375" s="32">
        <v>58.25</v>
      </c>
      <c r="D2375" s="30">
        <v>2.52</v>
      </c>
      <c r="E2375" s="31">
        <v>4.5220000000000003E-2</v>
      </c>
      <c r="F2375" s="30">
        <v>1401121326</v>
      </c>
      <c r="G2375" s="30" t="s">
        <v>5427</v>
      </c>
      <c r="H2375" s="30">
        <v>2014</v>
      </c>
      <c r="I2375" s="30">
        <v>305557</v>
      </c>
      <c r="J2375" s="30" t="s">
        <v>5435</v>
      </c>
      <c r="K2375" s="30" t="s">
        <v>5579</v>
      </c>
    </row>
    <row r="2376" spans="1:11" x14ac:dyDescent="0.35">
      <c r="A2376" s="30" t="s">
        <v>13784</v>
      </c>
      <c r="B2376" s="30" t="s">
        <v>13785</v>
      </c>
      <c r="C2376" s="32">
        <v>14.22</v>
      </c>
      <c r="D2376" s="30">
        <v>-0.03</v>
      </c>
      <c r="E2376" s="31">
        <v>-2.1099999999999999E-3</v>
      </c>
      <c r="F2376" s="30">
        <v>3985407277</v>
      </c>
      <c r="G2376" s="30" t="s">
        <v>5427</v>
      </c>
      <c r="H2376" s="30">
        <v>2007</v>
      </c>
      <c r="I2376" s="30">
        <v>239923</v>
      </c>
      <c r="J2376" s="30" t="s">
        <v>5435</v>
      </c>
      <c r="K2376" s="30" t="s">
        <v>6556</v>
      </c>
    </row>
    <row r="2377" spans="1:11" x14ac:dyDescent="0.35">
      <c r="A2377" s="30" t="s">
        <v>13786</v>
      </c>
      <c r="B2377" s="30" t="s">
        <v>13787</v>
      </c>
      <c r="C2377" s="32">
        <v>4.45</v>
      </c>
      <c r="D2377" s="30">
        <v>-0.21</v>
      </c>
      <c r="E2377" s="31">
        <v>-4.5060000000000003E-2</v>
      </c>
      <c r="F2377" s="30">
        <v>252060082</v>
      </c>
      <c r="G2377" s="30" t="s">
        <v>5427</v>
      </c>
      <c r="H2377" s="30"/>
      <c r="I2377" s="30">
        <v>73983</v>
      </c>
      <c r="J2377" s="30" t="s">
        <v>5219</v>
      </c>
      <c r="K2377" s="30" t="s">
        <v>5526</v>
      </c>
    </row>
    <row r="2378" spans="1:11" x14ac:dyDescent="0.35">
      <c r="A2378" s="30" t="s">
        <v>13788</v>
      </c>
      <c r="B2378" s="30" t="s">
        <v>13789</v>
      </c>
      <c r="C2378" s="32">
        <v>16.77</v>
      </c>
      <c r="D2378" s="30">
        <v>1.54</v>
      </c>
      <c r="E2378" s="31">
        <v>0.10112</v>
      </c>
      <c r="F2378" s="30">
        <v>2437384787</v>
      </c>
      <c r="G2378" s="30" t="s">
        <v>5427</v>
      </c>
      <c r="H2378" s="30"/>
      <c r="I2378" s="30">
        <v>9064517</v>
      </c>
      <c r="J2378" s="30" t="s">
        <v>5431</v>
      </c>
      <c r="K2378" s="30" t="s">
        <v>5430</v>
      </c>
    </row>
    <row r="2379" spans="1:11" x14ac:dyDescent="0.35">
      <c r="A2379" s="30" t="s">
        <v>13790</v>
      </c>
      <c r="B2379" s="30" t="s">
        <v>13791</v>
      </c>
      <c r="C2379" s="32">
        <v>10.26</v>
      </c>
      <c r="D2379" s="30">
        <v>0</v>
      </c>
      <c r="E2379" s="31">
        <v>0</v>
      </c>
      <c r="F2379" s="30">
        <v>148222619</v>
      </c>
      <c r="G2379" s="30" t="s">
        <v>5427</v>
      </c>
      <c r="H2379" s="30">
        <v>2021</v>
      </c>
      <c r="I2379" s="30">
        <v>6102</v>
      </c>
      <c r="J2379" s="30" t="s">
        <v>5457</v>
      </c>
      <c r="K2379" s="30" t="s">
        <v>5571</v>
      </c>
    </row>
    <row r="2380" spans="1:11" x14ac:dyDescent="0.35">
      <c r="A2380" s="30" t="s">
        <v>13792</v>
      </c>
      <c r="B2380" s="30" t="s">
        <v>13793</v>
      </c>
      <c r="C2380" s="32">
        <v>15.61</v>
      </c>
      <c r="D2380" s="30">
        <v>0.255</v>
      </c>
      <c r="E2380" s="31">
        <v>1.661E-2</v>
      </c>
      <c r="F2380" s="30">
        <v>1518187889</v>
      </c>
      <c r="G2380" s="30" t="s">
        <v>5427</v>
      </c>
      <c r="H2380" s="30">
        <v>2018</v>
      </c>
      <c r="I2380" s="30">
        <v>623281</v>
      </c>
      <c r="J2380" s="30" t="s">
        <v>5442</v>
      </c>
      <c r="K2380" s="30" t="s">
        <v>5746</v>
      </c>
    </row>
    <row r="2381" spans="1:11" x14ac:dyDescent="0.35">
      <c r="A2381" s="30" t="s">
        <v>13794</v>
      </c>
      <c r="B2381" s="30" t="s">
        <v>13795</v>
      </c>
      <c r="C2381" s="32">
        <v>10.02</v>
      </c>
      <c r="D2381" s="30">
        <v>-0.01</v>
      </c>
      <c r="E2381" s="31">
        <v>-1E-3</v>
      </c>
      <c r="F2381" s="30">
        <v>302744641</v>
      </c>
      <c r="G2381" s="30" t="s">
        <v>5427</v>
      </c>
      <c r="H2381" s="30">
        <v>2021</v>
      </c>
      <c r="I2381" s="30">
        <v>41599</v>
      </c>
      <c r="J2381" s="30" t="s">
        <v>5457</v>
      </c>
      <c r="K2381" s="30" t="s">
        <v>5571</v>
      </c>
    </row>
    <row r="2382" spans="1:11" x14ac:dyDescent="0.35">
      <c r="A2382" s="30" t="s">
        <v>13796</v>
      </c>
      <c r="B2382" s="30" t="s">
        <v>13797</v>
      </c>
      <c r="C2382" s="32">
        <v>44.42</v>
      </c>
      <c r="D2382" s="30">
        <v>-0.5</v>
      </c>
      <c r="E2382" s="31">
        <v>-1.1129999999999999E-2</v>
      </c>
      <c r="F2382" s="30">
        <v>534017151</v>
      </c>
      <c r="G2382" s="30" t="s">
        <v>5427</v>
      </c>
      <c r="H2382" s="30"/>
      <c r="I2382" s="30">
        <v>53672</v>
      </c>
      <c r="J2382" s="30" t="s">
        <v>5435</v>
      </c>
      <c r="K2382" s="30" t="s">
        <v>5579</v>
      </c>
    </row>
    <row r="2383" spans="1:11" x14ac:dyDescent="0.35">
      <c r="A2383" s="30" t="s">
        <v>13798</v>
      </c>
      <c r="B2383" s="30" t="s">
        <v>13799</v>
      </c>
      <c r="C2383" s="32">
        <v>4.3600000000000003</v>
      </c>
      <c r="D2383" s="30">
        <v>-0.01</v>
      </c>
      <c r="E2383" s="31">
        <v>-2.2899999999999999E-3</v>
      </c>
      <c r="F2383" s="30">
        <v>176775136</v>
      </c>
      <c r="G2383" s="30" t="s">
        <v>5427</v>
      </c>
      <c r="H2383" s="30">
        <v>2022</v>
      </c>
      <c r="I2383" s="30">
        <v>139103</v>
      </c>
      <c r="J2383" s="30" t="s">
        <v>5431</v>
      </c>
      <c r="K2383" s="30" t="s">
        <v>5430</v>
      </c>
    </row>
    <row r="2384" spans="1:11" x14ac:dyDescent="0.35">
      <c r="A2384" s="30" t="s">
        <v>13800</v>
      </c>
      <c r="B2384" s="30" t="s">
        <v>13801</v>
      </c>
      <c r="C2384" s="32">
        <v>75.28</v>
      </c>
      <c r="D2384" s="30">
        <v>0.85</v>
      </c>
      <c r="E2384" s="31">
        <v>1.142E-2</v>
      </c>
      <c r="F2384" s="30">
        <v>2499150484</v>
      </c>
      <c r="G2384" s="30" t="s">
        <v>5427</v>
      </c>
      <c r="H2384" s="30"/>
      <c r="I2384" s="30">
        <v>174882</v>
      </c>
      <c r="J2384" s="30" t="s">
        <v>5442</v>
      </c>
      <c r="K2384" s="30" t="s">
        <v>5853</v>
      </c>
    </row>
    <row r="2385" spans="1:11" x14ac:dyDescent="0.35">
      <c r="A2385" s="30" t="s">
        <v>13802</v>
      </c>
      <c r="B2385" s="30" t="s">
        <v>13803</v>
      </c>
      <c r="C2385" s="32">
        <v>4.67</v>
      </c>
      <c r="D2385" s="30">
        <v>0.06</v>
      </c>
      <c r="E2385" s="31">
        <v>1.302E-2</v>
      </c>
      <c r="F2385" s="30">
        <v>249786704</v>
      </c>
      <c r="G2385" s="30" t="s">
        <v>5427</v>
      </c>
      <c r="H2385" s="30">
        <v>2021</v>
      </c>
      <c r="I2385" s="30">
        <v>44796</v>
      </c>
      <c r="J2385" s="30" t="s">
        <v>5541</v>
      </c>
      <c r="K2385" s="30" t="s">
        <v>5774</v>
      </c>
    </row>
    <row r="2386" spans="1:11" x14ac:dyDescent="0.35">
      <c r="A2386" s="30" t="s">
        <v>13804</v>
      </c>
      <c r="B2386" s="30" t="s">
        <v>13805</v>
      </c>
      <c r="C2386" s="32">
        <v>14.05</v>
      </c>
      <c r="D2386" s="30">
        <v>0.06</v>
      </c>
      <c r="E2386" s="31">
        <v>4.2900000000000004E-3</v>
      </c>
      <c r="F2386" s="30">
        <v>543923692</v>
      </c>
      <c r="G2386" s="30" t="s">
        <v>5427</v>
      </c>
      <c r="H2386" s="30">
        <v>2021</v>
      </c>
      <c r="I2386" s="30">
        <v>168748</v>
      </c>
      <c r="J2386" s="30" t="s">
        <v>5431</v>
      </c>
      <c r="K2386" s="30" t="s">
        <v>5430</v>
      </c>
    </row>
    <row r="2387" spans="1:11" x14ac:dyDescent="0.35">
      <c r="A2387" s="30" t="s">
        <v>13806</v>
      </c>
      <c r="B2387" s="30" t="s">
        <v>13807</v>
      </c>
      <c r="C2387" s="32">
        <v>22.91</v>
      </c>
      <c r="D2387" s="30">
        <v>0.54</v>
      </c>
      <c r="E2387" s="31">
        <v>2.4140000000000002E-2</v>
      </c>
      <c r="F2387" s="30">
        <v>789826580</v>
      </c>
      <c r="G2387" s="30" t="s">
        <v>5427</v>
      </c>
      <c r="H2387" s="30"/>
      <c r="I2387" s="30">
        <v>233027</v>
      </c>
      <c r="J2387" s="30" t="s">
        <v>5457</v>
      </c>
      <c r="K2387" s="30" t="s">
        <v>5644</v>
      </c>
    </row>
    <row r="2388" spans="1:11" x14ac:dyDescent="0.35">
      <c r="A2388" s="30" t="s">
        <v>13808</v>
      </c>
      <c r="B2388" s="30" t="s">
        <v>13809</v>
      </c>
      <c r="C2388" s="32">
        <v>0.94</v>
      </c>
      <c r="D2388" s="30">
        <v>0</v>
      </c>
      <c r="E2388" s="31">
        <v>0</v>
      </c>
      <c r="F2388" s="30">
        <v>89433141</v>
      </c>
      <c r="G2388" s="30" t="s">
        <v>5515</v>
      </c>
      <c r="H2388" s="30"/>
      <c r="I2388" s="30">
        <v>21305</v>
      </c>
      <c r="J2388" s="30" t="s">
        <v>5431</v>
      </c>
      <c r="K2388" s="30" t="s">
        <v>8643</v>
      </c>
    </row>
    <row r="2389" spans="1:11" x14ac:dyDescent="0.35">
      <c r="A2389" s="30" t="s">
        <v>13810</v>
      </c>
      <c r="B2389" s="30" t="s">
        <v>13811</v>
      </c>
      <c r="C2389" s="32">
        <v>6.09</v>
      </c>
      <c r="D2389" s="30">
        <v>0</v>
      </c>
      <c r="E2389" s="31">
        <v>0</v>
      </c>
      <c r="F2389" s="30">
        <v>311944934</v>
      </c>
      <c r="G2389" s="30" t="s">
        <v>5427</v>
      </c>
      <c r="H2389" s="30">
        <v>2020</v>
      </c>
      <c r="I2389" s="30">
        <v>228988</v>
      </c>
      <c r="J2389" s="30"/>
      <c r="K2389" s="30"/>
    </row>
    <row r="2390" spans="1:11" x14ac:dyDescent="0.35">
      <c r="A2390" s="30" t="s">
        <v>13812</v>
      </c>
      <c r="B2390" s="30" t="s">
        <v>13813</v>
      </c>
      <c r="C2390" s="32">
        <v>17.350000000000001</v>
      </c>
      <c r="D2390" s="30">
        <v>0.36</v>
      </c>
      <c r="E2390" s="31">
        <v>2.1190000000000001E-2</v>
      </c>
      <c r="F2390" s="30">
        <v>2964941500</v>
      </c>
      <c r="G2390" s="30" t="s">
        <v>5823</v>
      </c>
      <c r="H2390" s="30"/>
      <c r="I2390" s="30">
        <v>220163</v>
      </c>
      <c r="J2390" s="30" t="s">
        <v>5732</v>
      </c>
      <c r="K2390" s="30" t="s">
        <v>5520</v>
      </c>
    </row>
    <row r="2391" spans="1:11" x14ac:dyDescent="0.35">
      <c r="A2391" s="30" t="s">
        <v>13814</v>
      </c>
      <c r="B2391" s="30" t="s">
        <v>13815</v>
      </c>
      <c r="C2391" s="32">
        <v>0.86699999999999999</v>
      </c>
      <c r="D2391" s="30">
        <v>5.3100000000000001E-2</v>
      </c>
      <c r="E2391" s="31">
        <v>6.5240000000000006E-2</v>
      </c>
      <c r="F2391" s="30">
        <v>112515009</v>
      </c>
      <c r="G2391" s="30" t="s">
        <v>5427</v>
      </c>
      <c r="H2391" s="30">
        <v>2021</v>
      </c>
      <c r="I2391" s="30">
        <v>1515049</v>
      </c>
      <c r="J2391" s="30" t="s">
        <v>5431</v>
      </c>
      <c r="K2391" s="30" t="s">
        <v>5430</v>
      </c>
    </row>
    <row r="2392" spans="1:11" x14ac:dyDescent="0.35">
      <c r="A2392" s="30" t="s">
        <v>13816</v>
      </c>
      <c r="B2392" s="30" t="s">
        <v>13817</v>
      </c>
      <c r="C2392" s="32">
        <v>11.79</v>
      </c>
      <c r="D2392" s="30">
        <v>0.41</v>
      </c>
      <c r="E2392" s="31">
        <v>3.603E-2</v>
      </c>
      <c r="F2392" s="30">
        <v>685821977</v>
      </c>
      <c r="G2392" s="30" t="s">
        <v>5427</v>
      </c>
      <c r="H2392" s="30"/>
      <c r="I2392" s="30">
        <v>491073</v>
      </c>
      <c r="J2392" s="30"/>
      <c r="K2392" s="30"/>
    </row>
    <row r="2393" spans="1:11" x14ac:dyDescent="0.35">
      <c r="A2393" s="30" t="s">
        <v>13818</v>
      </c>
      <c r="B2393" s="30" t="s">
        <v>13819</v>
      </c>
      <c r="C2393" s="32">
        <v>10.14</v>
      </c>
      <c r="D2393" s="30">
        <v>0</v>
      </c>
      <c r="E2393" s="31">
        <v>0</v>
      </c>
      <c r="F2393" s="30">
        <v>437287500</v>
      </c>
      <c r="G2393" s="30" t="s">
        <v>6263</v>
      </c>
      <c r="H2393" s="30">
        <v>2021</v>
      </c>
      <c r="I2393" s="30">
        <v>1126</v>
      </c>
      <c r="J2393" s="30" t="s">
        <v>5435</v>
      </c>
      <c r="K2393" s="30" t="s">
        <v>5482</v>
      </c>
    </row>
    <row r="2394" spans="1:11" x14ac:dyDescent="0.35">
      <c r="A2394" s="30" t="s">
        <v>13820</v>
      </c>
      <c r="B2394" s="30" t="s">
        <v>13821</v>
      </c>
      <c r="C2394" s="32">
        <v>14.89</v>
      </c>
      <c r="D2394" s="30">
        <v>-0.12</v>
      </c>
      <c r="E2394" s="31">
        <v>-7.9900000000000006E-3</v>
      </c>
      <c r="F2394" s="30">
        <v>539801527</v>
      </c>
      <c r="G2394" s="30" t="s">
        <v>5427</v>
      </c>
      <c r="H2394" s="30"/>
      <c r="I2394" s="30">
        <v>32454</v>
      </c>
      <c r="J2394" s="30" t="s">
        <v>5435</v>
      </c>
      <c r="K2394" s="30" t="s">
        <v>5760</v>
      </c>
    </row>
    <row r="2395" spans="1:11" x14ac:dyDescent="0.35">
      <c r="A2395" s="30" t="s">
        <v>13822</v>
      </c>
      <c r="B2395" s="30" t="s">
        <v>13823</v>
      </c>
      <c r="C2395" s="32">
        <v>44.09</v>
      </c>
      <c r="D2395" s="30">
        <v>0.15</v>
      </c>
      <c r="E2395" s="31">
        <v>3.4099999999999998E-3</v>
      </c>
      <c r="F2395" s="30">
        <v>1001145678</v>
      </c>
      <c r="G2395" s="30" t="s">
        <v>5427</v>
      </c>
      <c r="H2395" s="30">
        <v>2007</v>
      </c>
      <c r="I2395" s="30">
        <v>141293</v>
      </c>
      <c r="J2395" s="30"/>
      <c r="K2395" s="30"/>
    </row>
    <row r="2396" spans="1:11" x14ac:dyDescent="0.35">
      <c r="A2396" s="30" t="s">
        <v>13824</v>
      </c>
      <c r="B2396" s="30" t="s">
        <v>13825</v>
      </c>
      <c r="C2396" s="32">
        <v>5.97</v>
      </c>
      <c r="D2396" s="30">
        <v>0.01</v>
      </c>
      <c r="E2396" s="31">
        <v>1.6800000000000001E-3</v>
      </c>
      <c r="F2396" s="30">
        <v>167938989</v>
      </c>
      <c r="G2396" s="30" t="s">
        <v>5427</v>
      </c>
      <c r="H2396" s="30">
        <v>2021</v>
      </c>
      <c r="I2396" s="30">
        <v>18597</v>
      </c>
      <c r="J2396" s="30" t="s">
        <v>5431</v>
      </c>
      <c r="K2396" s="30" t="s">
        <v>5685</v>
      </c>
    </row>
    <row r="2397" spans="1:11" x14ac:dyDescent="0.35">
      <c r="A2397" s="30" t="s">
        <v>13826</v>
      </c>
      <c r="B2397" s="30" t="s">
        <v>13827</v>
      </c>
      <c r="C2397" s="32">
        <v>10.37</v>
      </c>
      <c r="D2397" s="30">
        <v>5.0000000000000001E-3</v>
      </c>
      <c r="E2397" s="31">
        <v>4.8000000000000001E-4</v>
      </c>
      <c r="F2397" s="30">
        <v>298137500</v>
      </c>
      <c r="G2397" s="30" t="s">
        <v>5427</v>
      </c>
      <c r="H2397" s="30">
        <v>2022</v>
      </c>
      <c r="I2397" s="30">
        <v>26418</v>
      </c>
      <c r="J2397" s="30" t="s">
        <v>5435</v>
      </c>
      <c r="K2397" s="30" t="s">
        <v>5482</v>
      </c>
    </row>
    <row r="2398" spans="1:11" x14ac:dyDescent="0.35">
      <c r="A2398" s="30" t="s">
        <v>13828</v>
      </c>
      <c r="B2398" s="30" t="s">
        <v>13829</v>
      </c>
      <c r="C2398" s="32">
        <v>3.33</v>
      </c>
      <c r="D2398" s="30">
        <v>0.09</v>
      </c>
      <c r="E2398" s="31">
        <v>2.7779999999999999E-2</v>
      </c>
      <c r="F2398" s="30">
        <v>1485702281</v>
      </c>
      <c r="G2398" s="30" t="s">
        <v>5515</v>
      </c>
      <c r="H2398" s="30">
        <v>2018</v>
      </c>
      <c r="I2398" s="30">
        <v>23782603</v>
      </c>
      <c r="J2398" s="30" t="s">
        <v>5431</v>
      </c>
      <c r="K2398" s="30" t="s">
        <v>5430</v>
      </c>
    </row>
    <row r="2399" spans="1:11" x14ac:dyDescent="0.35">
      <c r="A2399" s="30" t="s">
        <v>13830</v>
      </c>
      <c r="B2399" s="30" t="s">
        <v>13831</v>
      </c>
      <c r="C2399" s="32">
        <v>5.0199999999999996</v>
      </c>
      <c r="D2399" s="30">
        <v>0.17</v>
      </c>
      <c r="E2399" s="31">
        <v>3.5049999999999998E-2</v>
      </c>
      <c r="F2399" s="30">
        <v>337397332</v>
      </c>
      <c r="G2399" s="30" t="s">
        <v>5427</v>
      </c>
      <c r="H2399" s="30">
        <v>2020</v>
      </c>
      <c r="I2399" s="30">
        <v>493946</v>
      </c>
      <c r="J2399" s="30" t="s">
        <v>5219</v>
      </c>
      <c r="K2399" s="30" t="s">
        <v>5447</v>
      </c>
    </row>
    <row r="2400" spans="1:11" x14ac:dyDescent="0.35">
      <c r="A2400" s="30" t="s">
        <v>13832</v>
      </c>
      <c r="B2400" s="30" t="s">
        <v>13833</v>
      </c>
      <c r="C2400" s="32">
        <v>0.63490000000000002</v>
      </c>
      <c r="D2400" s="30">
        <v>-1.01E-2</v>
      </c>
      <c r="E2400" s="31">
        <v>-1.566E-2</v>
      </c>
      <c r="F2400" s="30">
        <v>64932883</v>
      </c>
      <c r="G2400" s="30" t="s">
        <v>5775</v>
      </c>
      <c r="H2400" s="30">
        <v>2018</v>
      </c>
      <c r="I2400" s="30">
        <v>22046</v>
      </c>
      <c r="J2400" s="30" t="s">
        <v>5431</v>
      </c>
      <c r="K2400" s="30" t="s">
        <v>5430</v>
      </c>
    </row>
    <row r="2401" spans="1:11" x14ac:dyDescent="0.35">
      <c r="A2401" s="30" t="s">
        <v>13834</v>
      </c>
      <c r="B2401" s="30" t="s">
        <v>13835</v>
      </c>
      <c r="C2401" s="32">
        <v>1.01</v>
      </c>
      <c r="D2401" s="30">
        <v>0.13650000000000001</v>
      </c>
      <c r="E2401" s="31">
        <v>0.15626999999999999</v>
      </c>
      <c r="F2401" s="30">
        <v>268187993</v>
      </c>
      <c r="G2401" s="30" t="s">
        <v>5515</v>
      </c>
      <c r="H2401" s="30"/>
      <c r="I2401" s="30">
        <v>6136676</v>
      </c>
      <c r="J2401" s="30"/>
      <c r="K2401" s="30"/>
    </row>
    <row r="2402" spans="1:11" x14ac:dyDescent="0.35">
      <c r="A2402" s="30" t="s">
        <v>13836</v>
      </c>
      <c r="B2402" s="30" t="s">
        <v>13837</v>
      </c>
      <c r="C2402" s="32">
        <v>23.5</v>
      </c>
      <c r="D2402" s="30">
        <v>0.41</v>
      </c>
      <c r="E2402" s="31">
        <v>1.7760000000000001E-2</v>
      </c>
      <c r="F2402" s="30">
        <v>1304290937</v>
      </c>
      <c r="G2402" s="30" t="s">
        <v>5427</v>
      </c>
      <c r="H2402" s="30">
        <v>2021</v>
      </c>
      <c r="I2402" s="30">
        <v>308368</v>
      </c>
      <c r="J2402" s="30" t="s">
        <v>5431</v>
      </c>
      <c r="K2402" s="30" t="s">
        <v>6537</v>
      </c>
    </row>
    <row r="2403" spans="1:11" x14ac:dyDescent="0.35">
      <c r="A2403" s="30" t="s">
        <v>13838</v>
      </c>
      <c r="B2403" s="30" t="s">
        <v>13839</v>
      </c>
      <c r="C2403" s="32">
        <v>0.89739999999999998</v>
      </c>
      <c r="D2403" s="30">
        <v>-9.1000000000000004E-3</v>
      </c>
      <c r="E2403" s="31">
        <v>-1.004E-2</v>
      </c>
      <c r="F2403" s="30">
        <v>100410720</v>
      </c>
      <c r="G2403" s="30" t="s">
        <v>5515</v>
      </c>
      <c r="H2403" s="30"/>
      <c r="I2403" s="30">
        <v>159891</v>
      </c>
      <c r="J2403" s="30"/>
      <c r="K2403" s="30"/>
    </row>
    <row r="2404" spans="1:11" x14ac:dyDescent="0.35">
      <c r="A2404" s="30" t="s">
        <v>13840</v>
      </c>
      <c r="B2404" s="30" t="s">
        <v>13841</v>
      </c>
      <c r="C2404" s="32">
        <v>65.34</v>
      </c>
      <c r="D2404" s="30">
        <v>2.3199999999999998</v>
      </c>
      <c r="E2404" s="31">
        <v>3.6810000000000002E-2</v>
      </c>
      <c r="F2404" s="30">
        <v>2085928535</v>
      </c>
      <c r="G2404" s="30" t="s">
        <v>5427</v>
      </c>
      <c r="H2404" s="30">
        <v>2019</v>
      </c>
      <c r="I2404" s="30">
        <v>510468</v>
      </c>
      <c r="J2404" s="30" t="s">
        <v>5431</v>
      </c>
      <c r="K2404" s="30" t="s">
        <v>6537</v>
      </c>
    </row>
    <row r="2405" spans="1:11" x14ac:dyDescent="0.35">
      <c r="A2405" s="30" t="s">
        <v>13842</v>
      </c>
      <c r="B2405" s="30" t="s">
        <v>13843</v>
      </c>
      <c r="C2405" s="32">
        <v>10.35</v>
      </c>
      <c r="D2405" s="30">
        <v>1.0800000000000001E-2</v>
      </c>
      <c r="E2405" s="31">
        <v>1.0399999999999999E-3</v>
      </c>
      <c r="F2405" s="30">
        <v>357075000</v>
      </c>
      <c r="G2405" s="30" t="s">
        <v>5427</v>
      </c>
      <c r="H2405" s="30">
        <v>2021</v>
      </c>
      <c r="I2405" s="30">
        <v>428</v>
      </c>
      <c r="J2405" s="30" t="s">
        <v>5457</v>
      </c>
      <c r="K2405" s="30" t="s">
        <v>5571</v>
      </c>
    </row>
    <row r="2406" spans="1:11" x14ac:dyDescent="0.35">
      <c r="A2406" s="30" t="s">
        <v>13844</v>
      </c>
      <c r="B2406" s="30" t="s">
        <v>13845</v>
      </c>
      <c r="C2406" s="32">
        <v>150.97</v>
      </c>
      <c r="D2406" s="30">
        <v>1.66</v>
      </c>
      <c r="E2406" s="31">
        <v>1.112E-2</v>
      </c>
      <c r="F2406" s="30">
        <v>187829949610</v>
      </c>
      <c r="G2406" s="30" t="s">
        <v>5427</v>
      </c>
      <c r="H2406" s="30"/>
      <c r="I2406" s="30">
        <v>7109815</v>
      </c>
      <c r="J2406" s="30" t="s">
        <v>5732</v>
      </c>
      <c r="K2406" s="30" t="s">
        <v>5520</v>
      </c>
    </row>
    <row r="2407" spans="1:11" x14ac:dyDescent="0.35">
      <c r="A2407" s="30" t="s">
        <v>13846</v>
      </c>
      <c r="B2407" s="30" t="s">
        <v>13847</v>
      </c>
      <c r="C2407" s="32">
        <v>41.39</v>
      </c>
      <c r="D2407" s="30">
        <v>0.65</v>
      </c>
      <c r="E2407" s="31">
        <v>1.5949999999999999E-2</v>
      </c>
      <c r="F2407" s="30">
        <v>2661326711</v>
      </c>
      <c r="G2407" s="30" t="s">
        <v>5427</v>
      </c>
      <c r="H2407" s="30">
        <v>2013</v>
      </c>
      <c r="I2407" s="30">
        <v>668594</v>
      </c>
      <c r="J2407" s="30" t="s">
        <v>5431</v>
      </c>
      <c r="K2407" s="30" t="s">
        <v>5500</v>
      </c>
    </row>
    <row r="2408" spans="1:11" x14ac:dyDescent="0.35">
      <c r="A2408" s="30" t="s">
        <v>13848</v>
      </c>
      <c r="B2408" s="30" t="s">
        <v>13849</v>
      </c>
      <c r="C2408" s="32">
        <v>6.85</v>
      </c>
      <c r="D2408" s="30">
        <v>0.25</v>
      </c>
      <c r="E2408" s="31">
        <v>3.7879999999999997E-2</v>
      </c>
      <c r="F2408" s="30">
        <v>604014875</v>
      </c>
      <c r="G2408" s="30" t="s">
        <v>5427</v>
      </c>
      <c r="H2408" s="30">
        <v>2020</v>
      </c>
      <c r="I2408" s="30">
        <v>284862</v>
      </c>
      <c r="J2408" s="30" t="s">
        <v>5431</v>
      </c>
      <c r="K2408" s="30" t="s">
        <v>5430</v>
      </c>
    </row>
    <row r="2409" spans="1:11" x14ac:dyDescent="0.35">
      <c r="A2409" s="30" t="s">
        <v>13850</v>
      </c>
      <c r="B2409" s="30" t="s">
        <v>13851</v>
      </c>
      <c r="C2409" s="32">
        <v>1.17</v>
      </c>
      <c r="D2409" s="30">
        <v>0.05</v>
      </c>
      <c r="E2409" s="31">
        <v>4.4639999999999999E-2</v>
      </c>
      <c r="F2409" s="30">
        <v>67317463</v>
      </c>
      <c r="G2409" s="30" t="s">
        <v>5427</v>
      </c>
      <c r="H2409" s="30"/>
      <c r="I2409" s="30">
        <v>3650410</v>
      </c>
      <c r="J2409" s="30" t="s">
        <v>5431</v>
      </c>
      <c r="K2409" s="30" t="s">
        <v>5430</v>
      </c>
    </row>
    <row r="2410" spans="1:11" x14ac:dyDescent="0.35">
      <c r="A2410" s="30" t="s">
        <v>13852</v>
      </c>
      <c r="B2410" s="30" t="s">
        <v>13853</v>
      </c>
      <c r="C2410" s="32">
        <v>3.19</v>
      </c>
      <c r="D2410" s="30">
        <v>-0.23</v>
      </c>
      <c r="E2410" s="31">
        <v>-6.7250000000000004E-2</v>
      </c>
      <c r="F2410" s="30">
        <v>204121707</v>
      </c>
      <c r="G2410" s="30" t="s">
        <v>5427</v>
      </c>
      <c r="H2410" s="30">
        <v>2021</v>
      </c>
      <c r="I2410" s="30">
        <v>264486</v>
      </c>
      <c r="J2410" s="30" t="s">
        <v>5431</v>
      </c>
      <c r="K2410" s="30" t="s">
        <v>5685</v>
      </c>
    </row>
    <row r="2411" spans="1:11" x14ac:dyDescent="0.35">
      <c r="A2411" s="30" t="s">
        <v>13854</v>
      </c>
      <c r="B2411" s="30" t="s">
        <v>13855</v>
      </c>
      <c r="C2411" s="32">
        <v>10.59</v>
      </c>
      <c r="D2411" s="30">
        <v>0.14000000000000001</v>
      </c>
      <c r="E2411" s="31">
        <v>1.34E-2</v>
      </c>
      <c r="F2411" s="30">
        <v>304462500</v>
      </c>
      <c r="G2411" s="30" t="s">
        <v>5427</v>
      </c>
      <c r="H2411" s="30">
        <v>2021</v>
      </c>
      <c r="I2411" s="30">
        <v>240</v>
      </c>
      <c r="J2411" s="30" t="s">
        <v>5435</v>
      </c>
      <c r="K2411" s="30" t="s">
        <v>5482</v>
      </c>
    </row>
    <row r="2412" spans="1:11" x14ac:dyDescent="0.35">
      <c r="A2412" s="30" t="s">
        <v>13856</v>
      </c>
      <c r="B2412" s="30" t="s">
        <v>13857</v>
      </c>
      <c r="C2412" s="32">
        <v>1.53</v>
      </c>
      <c r="D2412" s="30">
        <v>0.05</v>
      </c>
      <c r="E2412" s="31">
        <v>3.3779999999999998E-2</v>
      </c>
      <c r="F2412" s="30">
        <v>113864454</v>
      </c>
      <c r="G2412" s="30" t="s">
        <v>5427</v>
      </c>
      <c r="H2412" s="30">
        <v>2020</v>
      </c>
      <c r="I2412" s="30">
        <v>94969</v>
      </c>
      <c r="J2412" s="30" t="s">
        <v>5431</v>
      </c>
      <c r="K2412" s="30" t="s">
        <v>5610</v>
      </c>
    </row>
    <row r="2413" spans="1:11" x14ac:dyDescent="0.35">
      <c r="A2413" s="30" t="s">
        <v>13858</v>
      </c>
      <c r="B2413" s="30" t="s">
        <v>13859</v>
      </c>
      <c r="C2413" s="32">
        <v>4.6100000000000003</v>
      </c>
      <c r="D2413" s="30">
        <v>-0.11</v>
      </c>
      <c r="E2413" s="31">
        <v>-2.3310000000000001E-2</v>
      </c>
      <c r="F2413" s="30">
        <v>161580500</v>
      </c>
      <c r="G2413" s="30" t="s">
        <v>6387</v>
      </c>
      <c r="H2413" s="30">
        <v>2022</v>
      </c>
      <c r="I2413" s="30">
        <v>56558</v>
      </c>
      <c r="J2413" s="30" t="s">
        <v>5435</v>
      </c>
      <c r="K2413" s="30" t="s">
        <v>6221</v>
      </c>
    </row>
    <row r="2414" spans="1:11" x14ac:dyDescent="0.35">
      <c r="A2414" s="30" t="s">
        <v>13860</v>
      </c>
      <c r="B2414" s="30" t="s">
        <v>13861</v>
      </c>
      <c r="C2414" s="32">
        <v>1.33</v>
      </c>
      <c r="D2414" s="30">
        <v>0</v>
      </c>
      <c r="E2414" s="31">
        <v>0</v>
      </c>
      <c r="F2414" s="30">
        <v>52976523</v>
      </c>
      <c r="G2414" s="30" t="s">
        <v>5911</v>
      </c>
      <c r="H2414" s="30">
        <v>2004</v>
      </c>
      <c r="I2414" s="30">
        <v>434632</v>
      </c>
      <c r="J2414" s="30" t="s">
        <v>5442</v>
      </c>
      <c r="K2414" s="30" t="s">
        <v>5910</v>
      </c>
    </row>
    <row r="2415" spans="1:11" x14ac:dyDescent="0.35">
      <c r="A2415" s="30" t="s">
        <v>13862</v>
      </c>
      <c r="B2415" s="30" t="s">
        <v>13863</v>
      </c>
      <c r="C2415" s="32">
        <v>30.64</v>
      </c>
      <c r="D2415" s="30">
        <v>0.17</v>
      </c>
      <c r="E2415" s="31">
        <v>5.5799999999999999E-3</v>
      </c>
      <c r="F2415" s="30">
        <v>2290073555</v>
      </c>
      <c r="G2415" s="30" t="s">
        <v>5427</v>
      </c>
      <c r="H2415" s="30"/>
      <c r="I2415" s="30">
        <v>227053</v>
      </c>
      <c r="J2415" s="30" t="s">
        <v>5435</v>
      </c>
      <c r="K2415" s="30" t="s">
        <v>5579</v>
      </c>
    </row>
    <row r="2416" spans="1:11" x14ac:dyDescent="0.35">
      <c r="A2416" s="30" t="s">
        <v>13864</v>
      </c>
      <c r="B2416" s="30" t="s">
        <v>13865</v>
      </c>
      <c r="C2416" s="32">
        <v>10.1</v>
      </c>
      <c r="D2416" s="30">
        <v>-0.04</v>
      </c>
      <c r="E2416" s="31">
        <v>-3.9399999999999999E-3</v>
      </c>
      <c r="F2416" s="30">
        <v>227708267</v>
      </c>
      <c r="G2416" s="30" t="s">
        <v>5427</v>
      </c>
      <c r="H2416" s="30">
        <v>2021</v>
      </c>
      <c r="I2416" s="30">
        <v>8757</v>
      </c>
      <c r="J2416" s="30" t="s">
        <v>5435</v>
      </c>
      <c r="K2416" s="30" t="s">
        <v>5482</v>
      </c>
    </row>
    <row r="2417" spans="1:11" x14ac:dyDescent="0.35">
      <c r="A2417" s="30" t="s">
        <v>13866</v>
      </c>
      <c r="B2417" s="30" t="s">
        <v>13867</v>
      </c>
      <c r="C2417" s="32">
        <v>32.75</v>
      </c>
      <c r="D2417" s="30">
        <v>0.54</v>
      </c>
      <c r="E2417" s="31">
        <v>1.6760000000000001E-2</v>
      </c>
      <c r="F2417" s="30">
        <v>2595111900</v>
      </c>
      <c r="G2417" s="30" t="s">
        <v>5427</v>
      </c>
      <c r="H2417" s="30">
        <v>2022</v>
      </c>
      <c r="I2417" s="30">
        <v>324075</v>
      </c>
      <c r="J2417" s="30" t="s">
        <v>5435</v>
      </c>
      <c r="K2417" s="30" t="s">
        <v>5568</v>
      </c>
    </row>
    <row r="2418" spans="1:11" x14ac:dyDescent="0.35">
      <c r="A2418" s="30" t="s">
        <v>13868</v>
      </c>
      <c r="B2418" s="30" t="s">
        <v>13869</v>
      </c>
      <c r="C2418" s="32">
        <v>13.64</v>
      </c>
      <c r="D2418" s="30">
        <v>0.59</v>
      </c>
      <c r="E2418" s="31">
        <v>4.521E-2</v>
      </c>
      <c r="F2418" s="30">
        <v>572214177</v>
      </c>
      <c r="G2418" s="30" t="s">
        <v>5427</v>
      </c>
      <c r="H2418" s="30">
        <v>2016</v>
      </c>
      <c r="I2418" s="30">
        <v>362365</v>
      </c>
      <c r="J2418" s="30" t="s">
        <v>5219</v>
      </c>
      <c r="K2418" s="30" t="s">
        <v>5644</v>
      </c>
    </row>
    <row r="2419" spans="1:11" x14ac:dyDescent="0.35">
      <c r="A2419" s="30" t="s">
        <v>13870</v>
      </c>
      <c r="B2419" s="30" t="s">
        <v>13871</v>
      </c>
      <c r="C2419" s="32">
        <v>12.08</v>
      </c>
      <c r="D2419" s="30">
        <v>-7.0000000000000007E-2</v>
      </c>
      <c r="E2419" s="31">
        <v>-5.7600000000000004E-3</v>
      </c>
      <c r="F2419" s="30">
        <v>379386473</v>
      </c>
      <c r="G2419" s="30" t="s">
        <v>5427</v>
      </c>
      <c r="H2419" s="30">
        <v>2021</v>
      </c>
      <c r="I2419" s="30">
        <v>19985</v>
      </c>
      <c r="J2419" s="30" t="s">
        <v>5431</v>
      </c>
      <c r="K2419" s="30" t="s">
        <v>5430</v>
      </c>
    </row>
    <row r="2420" spans="1:11" x14ac:dyDescent="0.35">
      <c r="A2420" s="30" t="s">
        <v>13872</v>
      </c>
      <c r="B2420" s="30" t="s">
        <v>13873</v>
      </c>
      <c r="C2420" s="32">
        <v>42.03</v>
      </c>
      <c r="D2420" s="30">
        <v>2.37</v>
      </c>
      <c r="E2420" s="31">
        <v>5.9760000000000001E-2</v>
      </c>
      <c r="F2420" s="30">
        <v>537380239</v>
      </c>
      <c r="G2420" s="30" t="s">
        <v>5427</v>
      </c>
      <c r="H2420" s="30"/>
      <c r="I2420" s="30">
        <v>543430</v>
      </c>
      <c r="J2420" s="30" t="s">
        <v>5435</v>
      </c>
      <c r="K2420" s="30" t="s">
        <v>5985</v>
      </c>
    </row>
    <row r="2421" spans="1:11" x14ac:dyDescent="0.35">
      <c r="A2421" s="30" t="s">
        <v>13874</v>
      </c>
      <c r="B2421" s="30" t="s">
        <v>13875</v>
      </c>
      <c r="C2421" s="32">
        <v>6.04</v>
      </c>
      <c r="D2421" s="30">
        <v>-0.03</v>
      </c>
      <c r="E2421" s="31">
        <v>-4.9399999999999999E-3</v>
      </c>
      <c r="F2421" s="30">
        <v>163830693</v>
      </c>
      <c r="G2421" s="30" t="s">
        <v>5427</v>
      </c>
      <c r="H2421" s="30">
        <v>2016</v>
      </c>
      <c r="I2421" s="30">
        <v>26905</v>
      </c>
      <c r="J2421" s="30" t="s">
        <v>5431</v>
      </c>
      <c r="K2421" s="30" t="s">
        <v>5980</v>
      </c>
    </row>
    <row r="2422" spans="1:11" x14ac:dyDescent="0.35">
      <c r="A2422" s="30" t="s">
        <v>13876</v>
      </c>
      <c r="B2422" s="30" t="s">
        <v>13877</v>
      </c>
      <c r="C2422" s="32">
        <v>13.37</v>
      </c>
      <c r="D2422" s="30">
        <v>-0.02</v>
      </c>
      <c r="E2422" s="31">
        <v>-1.49E-3</v>
      </c>
      <c r="F2422" s="30">
        <v>470225333</v>
      </c>
      <c r="G2422" s="30" t="s">
        <v>5427</v>
      </c>
      <c r="H2422" s="30">
        <v>2021</v>
      </c>
      <c r="I2422" s="30">
        <v>253814</v>
      </c>
      <c r="J2422" s="30" t="s">
        <v>5435</v>
      </c>
      <c r="K2422" s="30" t="s">
        <v>5985</v>
      </c>
    </row>
    <row r="2423" spans="1:11" x14ac:dyDescent="0.35">
      <c r="A2423" s="30" t="s">
        <v>13878</v>
      </c>
      <c r="B2423" s="30" t="s">
        <v>13879</v>
      </c>
      <c r="C2423" s="32">
        <v>23.8</v>
      </c>
      <c r="D2423" s="30">
        <v>0.5</v>
      </c>
      <c r="E2423" s="31">
        <v>2.146E-2</v>
      </c>
      <c r="F2423" s="30">
        <v>3345948252</v>
      </c>
      <c r="G2423" s="30" t="s">
        <v>5427</v>
      </c>
      <c r="H2423" s="30"/>
      <c r="I2423" s="30">
        <v>3840751</v>
      </c>
      <c r="J2423" s="30"/>
      <c r="K2423" s="30"/>
    </row>
    <row r="2424" spans="1:11" x14ac:dyDescent="0.35">
      <c r="A2424" s="30" t="s">
        <v>13880</v>
      </c>
      <c r="B2424" s="30" t="s">
        <v>13881</v>
      </c>
      <c r="C2424" s="32">
        <v>60.19</v>
      </c>
      <c r="D2424" s="30">
        <v>2.13</v>
      </c>
      <c r="E2424" s="31">
        <v>3.669E-2</v>
      </c>
      <c r="F2424" s="30">
        <v>14844340151</v>
      </c>
      <c r="G2424" s="30" t="s">
        <v>5427</v>
      </c>
      <c r="H2424" s="30">
        <v>1990</v>
      </c>
      <c r="I2424" s="30">
        <v>1001482</v>
      </c>
      <c r="J2424" s="30" t="s">
        <v>5457</v>
      </c>
      <c r="K2424" s="30" t="s">
        <v>5644</v>
      </c>
    </row>
    <row r="2425" spans="1:11" x14ac:dyDescent="0.35">
      <c r="A2425" s="30" t="s">
        <v>13882</v>
      </c>
      <c r="B2425" s="30" t="s">
        <v>13883</v>
      </c>
      <c r="C2425" s="32">
        <v>26.32</v>
      </c>
      <c r="D2425" s="30">
        <v>0.63</v>
      </c>
      <c r="E2425" s="31">
        <v>2.452E-2</v>
      </c>
      <c r="F2425" s="30">
        <v>2153447865</v>
      </c>
      <c r="G2425" s="30" t="s">
        <v>5775</v>
      </c>
      <c r="H2425" s="30"/>
      <c r="I2425" s="30">
        <v>214243</v>
      </c>
      <c r="J2425" s="30" t="s">
        <v>5442</v>
      </c>
      <c r="K2425" s="30" t="s">
        <v>5910</v>
      </c>
    </row>
    <row r="2426" spans="1:11" x14ac:dyDescent="0.35">
      <c r="A2426" s="30" t="s">
        <v>13884</v>
      </c>
      <c r="B2426" s="30" t="s">
        <v>13885</v>
      </c>
      <c r="C2426" s="32">
        <v>29.34</v>
      </c>
      <c r="D2426" s="30">
        <v>0.22</v>
      </c>
      <c r="E2426" s="31">
        <v>7.5500000000000003E-3</v>
      </c>
      <c r="F2426" s="30">
        <v>1789085307</v>
      </c>
      <c r="G2426" s="30" t="s">
        <v>5427</v>
      </c>
      <c r="H2426" s="30"/>
      <c r="I2426" s="30">
        <v>361169</v>
      </c>
      <c r="J2426" s="30" t="s">
        <v>5435</v>
      </c>
      <c r="K2426" s="30" t="s">
        <v>5579</v>
      </c>
    </row>
    <row r="2427" spans="1:11" x14ac:dyDescent="0.35">
      <c r="A2427" s="30" t="s">
        <v>13886</v>
      </c>
      <c r="B2427" s="30" t="s">
        <v>13887</v>
      </c>
      <c r="C2427" s="32">
        <v>85.2</v>
      </c>
      <c r="D2427" s="30">
        <v>1.68</v>
      </c>
      <c r="E2427" s="31">
        <v>2.0109999999999999E-2</v>
      </c>
      <c r="F2427" s="30">
        <v>643967245</v>
      </c>
      <c r="G2427" s="30" t="s">
        <v>5427</v>
      </c>
      <c r="H2427" s="30"/>
      <c r="I2427" s="30">
        <v>94940</v>
      </c>
      <c r="J2427" s="30" t="s">
        <v>5219</v>
      </c>
      <c r="K2427" s="30" t="s">
        <v>5644</v>
      </c>
    </row>
    <row r="2428" spans="1:11" x14ac:dyDescent="0.35">
      <c r="A2428" s="30" t="s">
        <v>13888</v>
      </c>
      <c r="B2428" s="30" t="s">
        <v>13889</v>
      </c>
      <c r="C2428" s="32">
        <v>10.38</v>
      </c>
      <c r="D2428" s="30">
        <v>0.02</v>
      </c>
      <c r="E2428" s="31">
        <v>1.9300000000000001E-3</v>
      </c>
      <c r="F2428" s="30">
        <v>124884531</v>
      </c>
      <c r="G2428" s="30" t="s">
        <v>5427</v>
      </c>
      <c r="H2428" s="30">
        <v>2021</v>
      </c>
      <c r="I2428" s="30">
        <v>651</v>
      </c>
      <c r="J2428" s="30" t="s">
        <v>5435</v>
      </c>
      <c r="K2428" s="30" t="s">
        <v>5482</v>
      </c>
    </row>
    <row r="2429" spans="1:11" x14ac:dyDescent="0.35">
      <c r="A2429" s="30" t="s">
        <v>13890</v>
      </c>
      <c r="B2429" s="30" t="s">
        <v>13891</v>
      </c>
      <c r="C2429" s="32">
        <v>120.04</v>
      </c>
      <c r="D2429" s="30">
        <v>3.57</v>
      </c>
      <c r="E2429" s="31">
        <v>3.065E-2</v>
      </c>
      <c r="F2429" s="30">
        <v>26924972000</v>
      </c>
      <c r="G2429" s="30" t="s">
        <v>5427</v>
      </c>
      <c r="H2429" s="30">
        <v>1986</v>
      </c>
      <c r="I2429" s="30">
        <v>2120578</v>
      </c>
      <c r="J2429" s="30" t="s">
        <v>5435</v>
      </c>
      <c r="K2429" s="30" t="s">
        <v>5434</v>
      </c>
    </row>
    <row r="2430" spans="1:11" x14ac:dyDescent="0.35">
      <c r="A2430" s="30" t="s">
        <v>13892</v>
      </c>
      <c r="B2430" s="30" t="s">
        <v>13893</v>
      </c>
      <c r="C2430" s="32">
        <v>31.3</v>
      </c>
      <c r="D2430" s="30">
        <v>0.51</v>
      </c>
      <c r="E2430" s="31">
        <v>1.6559999999999998E-2</v>
      </c>
      <c r="F2430" s="30">
        <v>1313494985</v>
      </c>
      <c r="G2430" s="30" t="s">
        <v>5427</v>
      </c>
      <c r="H2430" s="30">
        <v>2007</v>
      </c>
      <c r="I2430" s="30">
        <v>110181</v>
      </c>
      <c r="J2430" s="30"/>
      <c r="K2430" s="30"/>
    </row>
    <row r="2431" spans="1:11" x14ac:dyDescent="0.35">
      <c r="A2431" s="30" t="s">
        <v>13894</v>
      </c>
      <c r="B2431" s="30" t="s">
        <v>13895</v>
      </c>
      <c r="C2431" s="32">
        <v>36.17</v>
      </c>
      <c r="D2431" s="30">
        <v>0.26</v>
      </c>
      <c r="E2431" s="31">
        <v>7.2399999999999999E-3</v>
      </c>
      <c r="F2431" s="30">
        <v>688098080</v>
      </c>
      <c r="G2431" s="30" t="s">
        <v>5427</v>
      </c>
      <c r="H2431" s="30"/>
      <c r="I2431" s="30">
        <v>135069</v>
      </c>
      <c r="J2431" s="30" t="s">
        <v>5435</v>
      </c>
      <c r="K2431" s="30" t="s">
        <v>5579</v>
      </c>
    </row>
    <row r="2432" spans="1:11" x14ac:dyDescent="0.35">
      <c r="A2432" s="30" t="b">
        <v>1</v>
      </c>
      <c r="B2432" s="30" t="s">
        <v>13896</v>
      </c>
      <c r="C2432" s="32">
        <v>3.23</v>
      </c>
      <c r="D2432" s="30">
        <v>0.11</v>
      </c>
      <c r="E2432" s="31">
        <v>3.526E-2</v>
      </c>
      <c r="F2432" s="30">
        <v>284605507</v>
      </c>
      <c r="G2432" s="30" t="s">
        <v>5427</v>
      </c>
      <c r="H2432" s="30">
        <v>2014</v>
      </c>
      <c r="I2432" s="30">
        <v>697066</v>
      </c>
      <c r="J2432" s="30" t="s">
        <v>5219</v>
      </c>
      <c r="K2432" s="30" t="s">
        <v>6076</v>
      </c>
    </row>
    <row r="2433" spans="1:11" x14ac:dyDescent="0.35">
      <c r="A2433" s="30" t="s">
        <v>13897</v>
      </c>
      <c r="B2433" s="30" t="s">
        <v>13898</v>
      </c>
      <c r="C2433" s="32">
        <v>61.17</v>
      </c>
      <c r="D2433" s="30">
        <v>2.15</v>
      </c>
      <c r="E2433" s="31">
        <v>3.6429999999999997E-2</v>
      </c>
      <c r="F2433" s="30">
        <v>2500853115</v>
      </c>
      <c r="G2433" s="30" t="s">
        <v>5427</v>
      </c>
      <c r="H2433" s="30"/>
      <c r="I2433" s="30">
        <v>480555</v>
      </c>
      <c r="J2433" s="30" t="s">
        <v>5431</v>
      </c>
      <c r="K2433" s="30" t="s">
        <v>5610</v>
      </c>
    </row>
    <row r="2434" spans="1:11" x14ac:dyDescent="0.35">
      <c r="A2434" s="30" t="s">
        <v>13899</v>
      </c>
      <c r="B2434" s="30" t="s">
        <v>13900</v>
      </c>
      <c r="C2434" s="32">
        <v>1.77</v>
      </c>
      <c r="D2434" s="30">
        <v>0.03</v>
      </c>
      <c r="E2434" s="31">
        <v>1.7239999999999998E-2</v>
      </c>
      <c r="F2434" s="30">
        <v>639468485</v>
      </c>
      <c r="G2434" s="30" t="s">
        <v>6263</v>
      </c>
      <c r="H2434" s="30">
        <v>2016</v>
      </c>
      <c r="I2434" s="30">
        <v>399893</v>
      </c>
      <c r="J2434" s="30" t="s">
        <v>5219</v>
      </c>
      <c r="K2434" s="30" t="s">
        <v>5447</v>
      </c>
    </row>
    <row r="2435" spans="1:11" x14ac:dyDescent="0.35">
      <c r="A2435" s="30" t="s">
        <v>13901</v>
      </c>
      <c r="B2435" s="30" t="s">
        <v>13902</v>
      </c>
      <c r="C2435" s="32">
        <v>2.33</v>
      </c>
      <c r="D2435" s="30">
        <v>0</v>
      </c>
      <c r="E2435" s="31">
        <v>0</v>
      </c>
      <c r="F2435" s="30">
        <v>139620462</v>
      </c>
      <c r="G2435" s="30" t="s">
        <v>5427</v>
      </c>
      <c r="H2435" s="30">
        <v>2019</v>
      </c>
      <c r="I2435" s="30">
        <v>24212</v>
      </c>
      <c r="J2435" s="30" t="s">
        <v>5431</v>
      </c>
      <c r="K2435" s="30" t="s">
        <v>5430</v>
      </c>
    </row>
    <row r="2436" spans="1:11" x14ac:dyDescent="0.35">
      <c r="A2436" s="30" t="s">
        <v>13903</v>
      </c>
      <c r="B2436" s="30" t="s">
        <v>13904</v>
      </c>
      <c r="C2436" s="32">
        <v>9.07</v>
      </c>
      <c r="D2436" s="30">
        <v>-0.17</v>
      </c>
      <c r="E2436" s="31">
        <v>-1.84E-2</v>
      </c>
      <c r="F2436" s="30">
        <v>114346633</v>
      </c>
      <c r="G2436" s="30" t="s">
        <v>5515</v>
      </c>
      <c r="H2436" s="30"/>
      <c r="I2436" s="30">
        <v>26398</v>
      </c>
      <c r="J2436" s="30" t="s">
        <v>5457</v>
      </c>
      <c r="K2436" s="30" t="s">
        <v>5634</v>
      </c>
    </row>
    <row r="2437" spans="1:11" x14ac:dyDescent="0.35">
      <c r="A2437" s="30" t="s">
        <v>13905</v>
      </c>
      <c r="B2437" s="30" t="s">
        <v>13906</v>
      </c>
      <c r="C2437" s="32">
        <v>33.200000000000003</v>
      </c>
      <c r="D2437" s="30">
        <v>-0.1</v>
      </c>
      <c r="E2437" s="31">
        <v>-3.0000000000000001E-3</v>
      </c>
      <c r="F2437" s="30">
        <v>273275740</v>
      </c>
      <c r="G2437" s="30" t="s">
        <v>5427</v>
      </c>
      <c r="H2437" s="30"/>
      <c r="I2437" s="30">
        <v>9264</v>
      </c>
      <c r="J2437" s="30" t="s">
        <v>5435</v>
      </c>
      <c r="K2437" s="30" t="s">
        <v>6698</v>
      </c>
    </row>
    <row r="2438" spans="1:11" x14ac:dyDescent="0.35">
      <c r="A2438" s="30" t="s">
        <v>13907</v>
      </c>
      <c r="B2438" s="30" t="s">
        <v>13908</v>
      </c>
      <c r="C2438" s="32">
        <v>230.03</v>
      </c>
      <c r="D2438" s="30">
        <v>2.04</v>
      </c>
      <c r="E2438" s="31">
        <v>8.9499999999999996E-3</v>
      </c>
      <c r="F2438" s="30">
        <v>25409860247</v>
      </c>
      <c r="G2438" s="30" t="s">
        <v>5427</v>
      </c>
      <c r="H2438" s="30">
        <v>1994</v>
      </c>
      <c r="I2438" s="30">
        <v>1169837</v>
      </c>
      <c r="J2438" s="30" t="s">
        <v>5442</v>
      </c>
      <c r="K2438" s="30" t="s">
        <v>5508</v>
      </c>
    </row>
    <row r="2439" spans="1:11" x14ac:dyDescent="0.35">
      <c r="A2439" s="30" t="s">
        <v>13909</v>
      </c>
      <c r="B2439" s="30" t="s">
        <v>13910</v>
      </c>
      <c r="C2439" s="32">
        <v>1.21</v>
      </c>
      <c r="D2439" s="30">
        <v>-0.43</v>
      </c>
      <c r="E2439" s="31">
        <v>-0.26219999999999999</v>
      </c>
      <c r="F2439" s="30">
        <v>75555160</v>
      </c>
      <c r="G2439" s="30" t="s">
        <v>5427</v>
      </c>
      <c r="H2439" s="30">
        <v>2020</v>
      </c>
      <c r="I2439" s="30">
        <v>5625073</v>
      </c>
      <c r="J2439" s="30" t="s">
        <v>5431</v>
      </c>
      <c r="K2439" s="30" t="s">
        <v>5430</v>
      </c>
    </row>
    <row r="2440" spans="1:11" x14ac:dyDescent="0.35">
      <c r="A2440" s="30" t="s">
        <v>13911</v>
      </c>
      <c r="B2440" s="30" t="s">
        <v>13912</v>
      </c>
      <c r="C2440" s="32">
        <v>181.41</v>
      </c>
      <c r="D2440" s="30">
        <v>8.19</v>
      </c>
      <c r="E2440" s="31">
        <v>4.7280000000000003E-2</v>
      </c>
      <c r="F2440" s="30">
        <v>572847871773</v>
      </c>
      <c r="G2440" s="30" t="s">
        <v>5427</v>
      </c>
      <c r="H2440" s="30">
        <v>2010</v>
      </c>
      <c r="I2440" s="30">
        <v>212884122</v>
      </c>
      <c r="J2440" s="30" t="s">
        <v>5442</v>
      </c>
      <c r="K2440" s="30" t="s">
        <v>5926</v>
      </c>
    </row>
    <row r="2441" spans="1:11" x14ac:dyDescent="0.35">
      <c r="A2441" s="30" t="s">
        <v>13913</v>
      </c>
      <c r="B2441" s="30" t="s">
        <v>13914</v>
      </c>
      <c r="C2441" s="32">
        <v>2.38</v>
      </c>
      <c r="D2441" s="30">
        <v>0.28000000000000003</v>
      </c>
      <c r="E2441" s="31">
        <v>0.13333</v>
      </c>
      <c r="F2441" s="30">
        <v>537183986</v>
      </c>
      <c r="G2441" s="30" t="s">
        <v>5427</v>
      </c>
      <c r="H2441" s="30">
        <v>2021</v>
      </c>
      <c r="I2441" s="30">
        <v>4995403</v>
      </c>
      <c r="J2441" s="30" t="s">
        <v>5457</v>
      </c>
      <c r="K2441" s="30" t="s">
        <v>5460</v>
      </c>
    </row>
    <row r="2442" spans="1:11" x14ac:dyDescent="0.35">
      <c r="A2442" s="30" t="s">
        <v>13915</v>
      </c>
      <c r="B2442" s="30" t="s">
        <v>13916</v>
      </c>
      <c r="C2442" s="32">
        <v>13.2</v>
      </c>
      <c r="D2442" s="30">
        <v>-0.4</v>
      </c>
      <c r="E2442" s="31">
        <v>-2.9409999999999999E-2</v>
      </c>
      <c r="F2442" s="30">
        <v>515216064</v>
      </c>
      <c r="G2442" s="30" t="s">
        <v>5427</v>
      </c>
      <c r="H2442" s="30"/>
      <c r="I2442" s="30">
        <v>957480</v>
      </c>
      <c r="J2442" s="30" t="s">
        <v>5431</v>
      </c>
      <c r="K2442" s="30" t="s">
        <v>5430</v>
      </c>
    </row>
    <row r="2443" spans="1:11" x14ac:dyDescent="0.35">
      <c r="A2443" s="30" t="s">
        <v>13917</v>
      </c>
      <c r="B2443" s="30" t="s">
        <v>13918</v>
      </c>
      <c r="C2443" s="32">
        <v>52.31</v>
      </c>
      <c r="D2443" s="30">
        <v>1.61</v>
      </c>
      <c r="E2443" s="31">
        <v>3.1759999999999997E-2</v>
      </c>
      <c r="F2443" s="30">
        <v>25606327053</v>
      </c>
      <c r="G2443" s="30" t="s">
        <v>5427</v>
      </c>
      <c r="H2443" s="30">
        <v>2016</v>
      </c>
      <c r="I2443" s="30">
        <v>3910159</v>
      </c>
      <c r="J2443" s="30" t="s">
        <v>5219</v>
      </c>
      <c r="K2443" s="30" t="s">
        <v>5447</v>
      </c>
    </row>
    <row r="2444" spans="1:11" x14ac:dyDescent="0.35">
      <c r="A2444" s="30" t="s">
        <v>13919</v>
      </c>
      <c r="B2444" s="30" t="s">
        <v>13920</v>
      </c>
      <c r="C2444" s="32">
        <v>52.95</v>
      </c>
      <c r="D2444" s="30">
        <v>2.11</v>
      </c>
      <c r="E2444" s="31">
        <v>4.1500000000000002E-2</v>
      </c>
      <c r="F2444" s="30">
        <v>2500272896</v>
      </c>
      <c r="G2444" s="30" t="s">
        <v>5427</v>
      </c>
      <c r="H2444" s="30">
        <v>1996</v>
      </c>
      <c r="I2444" s="30">
        <v>195116</v>
      </c>
      <c r="J2444" s="30" t="s">
        <v>5219</v>
      </c>
      <c r="K2444" s="30" t="s">
        <v>5812</v>
      </c>
    </row>
    <row r="2445" spans="1:11" x14ac:dyDescent="0.35">
      <c r="A2445" s="30" t="s">
        <v>13921</v>
      </c>
      <c r="B2445" s="30" t="s">
        <v>13922</v>
      </c>
      <c r="C2445" s="32">
        <v>157.87</v>
      </c>
      <c r="D2445" s="30">
        <v>2.35</v>
      </c>
      <c r="E2445" s="31">
        <v>1.511E-2</v>
      </c>
      <c r="F2445" s="30">
        <v>8402746469</v>
      </c>
      <c r="G2445" s="30" t="s">
        <v>5427</v>
      </c>
      <c r="H2445" s="30">
        <v>1991</v>
      </c>
      <c r="I2445" s="30">
        <v>381272</v>
      </c>
      <c r="J2445" s="30" t="s">
        <v>5442</v>
      </c>
      <c r="K2445" s="30" t="s">
        <v>5701</v>
      </c>
    </row>
    <row r="2446" spans="1:11" x14ac:dyDescent="0.35">
      <c r="A2446" s="30" t="s">
        <v>13923</v>
      </c>
      <c r="B2446" s="30" t="s">
        <v>13924</v>
      </c>
      <c r="C2446" s="32">
        <v>49.98</v>
      </c>
      <c r="D2446" s="30">
        <v>0.45</v>
      </c>
      <c r="E2446" s="31">
        <v>9.0900000000000009E-3</v>
      </c>
      <c r="F2446" s="30">
        <v>1465589530</v>
      </c>
      <c r="G2446" s="30" t="s">
        <v>5427</v>
      </c>
      <c r="H2446" s="30">
        <v>2007</v>
      </c>
      <c r="I2446" s="30">
        <v>284845</v>
      </c>
      <c r="J2446" s="30" t="s">
        <v>5219</v>
      </c>
      <c r="K2446" s="30" t="s">
        <v>6076</v>
      </c>
    </row>
    <row r="2447" spans="1:11" x14ac:dyDescent="0.35">
      <c r="A2447" s="30" t="s">
        <v>13925</v>
      </c>
      <c r="B2447" s="30" t="s">
        <v>13926</v>
      </c>
      <c r="C2447" s="32">
        <v>16.12</v>
      </c>
      <c r="D2447" s="30">
        <v>0.4</v>
      </c>
      <c r="E2447" s="31">
        <v>2.545E-2</v>
      </c>
      <c r="F2447" s="30">
        <v>1647563541</v>
      </c>
      <c r="G2447" s="30" t="s">
        <v>5427</v>
      </c>
      <c r="H2447" s="30">
        <v>2000</v>
      </c>
      <c r="I2447" s="30">
        <v>483710</v>
      </c>
      <c r="J2447" s="30" t="s">
        <v>5219</v>
      </c>
      <c r="K2447" s="30" t="s">
        <v>5647</v>
      </c>
    </row>
    <row r="2448" spans="1:11" x14ac:dyDescent="0.35">
      <c r="A2448" s="30" t="s">
        <v>13927</v>
      </c>
      <c r="B2448" s="30" t="s">
        <v>13928</v>
      </c>
      <c r="C2448" s="32">
        <v>5.17</v>
      </c>
      <c r="D2448" s="30">
        <v>0.17</v>
      </c>
      <c r="E2448" s="31">
        <v>3.4000000000000002E-2</v>
      </c>
      <c r="F2448" s="30">
        <v>229353603</v>
      </c>
      <c r="G2448" s="30" t="s">
        <v>5427</v>
      </c>
      <c r="H2448" s="30"/>
      <c r="I2448" s="30">
        <v>171465</v>
      </c>
      <c r="J2448" s="30" t="s">
        <v>5442</v>
      </c>
      <c r="K2448" s="30" t="s">
        <v>5508</v>
      </c>
    </row>
    <row r="2449" spans="1:11" x14ac:dyDescent="0.35">
      <c r="A2449" s="30" t="s">
        <v>13929</v>
      </c>
      <c r="B2449" s="30" t="s">
        <v>13930</v>
      </c>
      <c r="C2449" s="32">
        <v>112.25</v>
      </c>
      <c r="D2449" s="30">
        <v>-0.98</v>
      </c>
      <c r="E2449" s="31">
        <v>-8.6499999999999997E-3</v>
      </c>
      <c r="F2449" s="30">
        <v>18837696894</v>
      </c>
      <c r="G2449" s="30" t="s">
        <v>5427</v>
      </c>
      <c r="H2449" s="30">
        <v>1997</v>
      </c>
      <c r="I2449" s="30">
        <v>3238819</v>
      </c>
      <c r="J2449" s="30" t="s">
        <v>5219</v>
      </c>
      <c r="K2449" s="30" t="s">
        <v>5560</v>
      </c>
    </row>
    <row r="2450" spans="1:11" x14ac:dyDescent="0.35">
      <c r="A2450" s="30" t="s">
        <v>13931</v>
      </c>
      <c r="B2450" s="30" t="s">
        <v>13932</v>
      </c>
      <c r="C2450" s="32">
        <v>5.51</v>
      </c>
      <c r="D2450" s="30">
        <v>-0.03</v>
      </c>
      <c r="E2450" s="31">
        <v>-5.4200000000000003E-3</v>
      </c>
      <c r="F2450" s="30">
        <v>57159748</v>
      </c>
      <c r="G2450" s="30" t="s">
        <v>5427</v>
      </c>
      <c r="H2450" s="30"/>
      <c r="I2450" s="30">
        <v>7216</v>
      </c>
      <c r="J2450" s="30" t="s">
        <v>5435</v>
      </c>
      <c r="K2450" s="30" t="s">
        <v>5985</v>
      </c>
    </row>
    <row r="2451" spans="1:11" x14ac:dyDescent="0.35">
      <c r="A2451" s="30" t="s">
        <v>13933</v>
      </c>
      <c r="B2451" s="30" t="s">
        <v>13934</v>
      </c>
      <c r="C2451" s="32">
        <v>6.49</v>
      </c>
      <c r="D2451" s="30">
        <v>-0.04</v>
      </c>
      <c r="E2451" s="31">
        <v>-6.13E-3</v>
      </c>
      <c r="F2451" s="30">
        <v>307056632</v>
      </c>
      <c r="G2451" s="30" t="s">
        <v>5427</v>
      </c>
      <c r="H2451" s="30">
        <v>2016</v>
      </c>
      <c r="I2451" s="30">
        <v>144157</v>
      </c>
      <c r="J2451" s="30" t="s">
        <v>5457</v>
      </c>
      <c r="K2451" s="30" t="s">
        <v>5571</v>
      </c>
    </row>
    <row r="2452" spans="1:11" x14ac:dyDescent="0.35">
      <c r="A2452" s="30" t="s">
        <v>13935</v>
      </c>
      <c r="B2452" s="30" t="s">
        <v>13936</v>
      </c>
      <c r="C2452" s="32">
        <v>22.09</v>
      </c>
      <c r="D2452" s="30">
        <v>-0.31</v>
      </c>
      <c r="E2452" s="31">
        <v>-1.384E-2</v>
      </c>
      <c r="F2452" s="30">
        <v>1417594161</v>
      </c>
      <c r="G2452" s="30" t="s">
        <v>5427</v>
      </c>
      <c r="H2452" s="30"/>
      <c r="I2452" s="30">
        <v>1094354</v>
      </c>
      <c r="J2452" s="30" t="s">
        <v>5431</v>
      </c>
      <c r="K2452" s="30" t="s">
        <v>5430</v>
      </c>
    </row>
    <row r="2453" spans="1:11" x14ac:dyDescent="0.35">
      <c r="A2453" s="30" t="s">
        <v>13937</v>
      </c>
      <c r="B2453" s="30" t="s">
        <v>13938</v>
      </c>
      <c r="C2453" s="32">
        <v>75.599999999999994</v>
      </c>
      <c r="D2453" s="30">
        <v>1.06</v>
      </c>
      <c r="E2453" s="31">
        <v>1.422E-2</v>
      </c>
      <c r="F2453" s="30">
        <v>15725604006</v>
      </c>
      <c r="G2453" s="30" t="s">
        <v>5427</v>
      </c>
      <c r="H2453" s="30">
        <v>2019</v>
      </c>
      <c r="I2453" s="30">
        <v>945356</v>
      </c>
      <c r="J2453" s="30" t="s">
        <v>5435</v>
      </c>
      <c r="K2453" s="30" t="s">
        <v>6221</v>
      </c>
    </row>
    <row r="2454" spans="1:11" x14ac:dyDescent="0.35">
      <c r="A2454" s="30" t="s">
        <v>13939</v>
      </c>
      <c r="B2454" s="30" t="s">
        <v>13940</v>
      </c>
      <c r="C2454" s="32">
        <v>9.9700000000000006</v>
      </c>
      <c r="D2454" s="30">
        <v>0</v>
      </c>
      <c r="E2454" s="31">
        <v>0</v>
      </c>
      <c r="F2454" s="30">
        <v>224013906</v>
      </c>
      <c r="G2454" s="30" t="s">
        <v>5427</v>
      </c>
      <c r="H2454" s="30">
        <v>2021</v>
      </c>
      <c r="I2454" s="30">
        <v>501</v>
      </c>
      <c r="J2454" s="30" t="s">
        <v>5457</v>
      </c>
      <c r="K2454" s="30" t="s">
        <v>5571</v>
      </c>
    </row>
    <row r="2455" spans="1:11" x14ac:dyDescent="0.35">
      <c r="A2455" s="30" t="s">
        <v>13941</v>
      </c>
      <c r="B2455" s="30" t="s">
        <v>13942</v>
      </c>
      <c r="C2455" s="32">
        <v>10.220000000000001</v>
      </c>
      <c r="D2455" s="30">
        <v>0.12</v>
      </c>
      <c r="E2455" s="31">
        <v>1.188E-2</v>
      </c>
      <c r="F2455" s="30">
        <v>140904489</v>
      </c>
      <c r="G2455" s="30" t="s">
        <v>5427</v>
      </c>
      <c r="H2455" s="30"/>
      <c r="I2455" s="30">
        <v>23850</v>
      </c>
      <c r="J2455" s="30" t="s">
        <v>5457</v>
      </c>
      <c r="K2455" s="30" t="s">
        <v>5644</v>
      </c>
    </row>
    <row r="2456" spans="1:11" x14ac:dyDescent="0.35">
      <c r="A2456" s="30" t="s">
        <v>13943</v>
      </c>
      <c r="B2456" s="30" t="s">
        <v>13944</v>
      </c>
      <c r="C2456" s="32">
        <v>10.92</v>
      </c>
      <c r="D2456" s="30">
        <v>0.12</v>
      </c>
      <c r="E2456" s="31">
        <v>1.111E-2</v>
      </c>
      <c r="F2456" s="30">
        <v>3438039554</v>
      </c>
      <c r="G2456" s="30" t="s">
        <v>5427</v>
      </c>
      <c r="H2456" s="30">
        <v>2021</v>
      </c>
      <c r="I2456" s="30">
        <v>357539</v>
      </c>
      <c r="J2456" s="30" t="s">
        <v>5219</v>
      </c>
      <c r="K2456" s="30" t="s">
        <v>5447</v>
      </c>
    </row>
    <row r="2457" spans="1:11" x14ac:dyDescent="0.35">
      <c r="A2457" s="30" t="s">
        <v>13945</v>
      </c>
      <c r="B2457" s="30" t="s">
        <v>13946</v>
      </c>
      <c r="C2457" s="32">
        <v>10.119999999999999</v>
      </c>
      <c r="D2457" s="30">
        <v>0.01</v>
      </c>
      <c r="E2457" s="31">
        <v>9.8999999999999999E-4</v>
      </c>
      <c r="F2457" s="30">
        <v>448214800</v>
      </c>
      <c r="G2457" s="30" t="s">
        <v>5427</v>
      </c>
      <c r="H2457" s="30">
        <v>2021</v>
      </c>
      <c r="I2457" s="30">
        <v>106421</v>
      </c>
      <c r="J2457" s="30" t="s">
        <v>5457</v>
      </c>
      <c r="K2457" s="30" t="s">
        <v>5571</v>
      </c>
    </row>
    <row r="2458" spans="1:11" x14ac:dyDescent="0.35">
      <c r="A2458" s="30" t="s">
        <v>13947</v>
      </c>
      <c r="B2458" s="30" t="s">
        <v>13948</v>
      </c>
      <c r="C2458" s="32">
        <v>23.3</v>
      </c>
      <c r="D2458" s="30">
        <v>0.17</v>
      </c>
      <c r="E2458" s="31">
        <v>7.3499999999999998E-3</v>
      </c>
      <c r="F2458" s="30">
        <v>3119560972</v>
      </c>
      <c r="G2458" s="30" t="s">
        <v>5427</v>
      </c>
      <c r="H2458" s="30">
        <v>2015</v>
      </c>
      <c r="I2458" s="30">
        <v>1504351</v>
      </c>
      <c r="J2458" s="30" t="s">
        <v>5541</v>
      </c>
      <c r="K2458" s="30" t="s">
        <v>5716</v>
      </c>
    </row>
    <row r="2459" spans="1:11" x14ac:dyDescent="0.35">
      <c r="A2459" s="30" t="s">
        <v>13949</v>
      </c>
      <c r="B2459" s="30" t="s">
        <v>13950</v>
      </c>
      <c r="C2459" s="32">
        <v>9.24</v>
      </c>
      <c r="D2459" s="30">
        <v>0.61</v>
      </c>
      <c r="E2459" s="31">
        <v>7.0680000000000007E-2</v>
      </c>
      <c r="F2459" s="30">
        <v>730792330</v>
      </c>
      <c r="G2459" s="30" t="s">
        <v>5427</v>
      </c>
      <c r="H2459" s="30">
        <v>2014</v>
      </c>
      <c r="I2459" s="30">
        <v>1553004</v>
      </c>
      <c r="J2459" s="30" t="s">
        <v>5442</v>
      </c>
      <c r="K2459" s="30" t="s">
        <v>7723</v>
      </c>
    </row>
    <row r="2460" spans="1:11" x14ac:dyDescent="0.35">
      <c r="A2460" s="30" t="s">
        <v>13951</v>
      </c>
      <c r="B2460" s="30" t="s">
        <v>13952</v>
      </c>
      <c r="C2460" s="32">
        <v>29.08</v>
      </c>
      <c r="D2460" s="30">
        <v>0.39</v>
      </c>
      <c r="E2460" s="31">
        <v>1.359E-2</v>
      </c>
      <c r="F2460" s="30">
        <v>1647240031</v>
      </c>
      <c r="G2460" s="30" t="s">
        <v>5427</v>
      </c>
      <c r="H2460" s="30">
        <v>2018</v>
      </c>
      <c r="I2460" s="30">
        <v>1480085</v>
      </c>
      <c r="J2460" s="30" t="s">
        <v>5431</v>
      </c>
      <c r="K2460" s="30" t="s">
        <v>6530</v>
      </c>
    </row>
    <row r="2461" spans="1:11" x14ac:dyDescent="0.35">
      <c r="A2461" s="30" t="s">
        <v>13953</v>
      </c>
      <c r="B2461" s="30" t="s">
        <v>13954</v>
      </c>
      <c r="C2461" s="32">
        <v>47.59</v>
      </c>
      <c r="D2461" s="30">
        <v>0.76</v>
      </c>
      <c r="E2461" s="31">
        <v>1.6230000000000001E-2</v>
      </c>
      <c r="F2461" s="30">
        <v>5447318964</v>
      </c>
      <c r="G2461" s="30" t="s">
        <v>5427</v>
      </c>
      <c r="H2461" s="30">
        <v>2019</v>
      </c>
      <c r="I2461" s="30">
        <v>824415</v>
      </c>
      <c r="J2461" s="30" t="s">
        <v>5431</v>
      </c>
      <c r="K2461" s="30" t="s">
        <v>6530</v>
      </c>
    </row>
    <row r="2462" spans="1:11" x14ac:dyDescent="0.35">
      <c r="A2462" s="30" t="s">
        <v>13955</v>
      </c>
      <c r="B2462" s="30" t="s">
        <v>13956</v>
      </c>
      <c r="C2462" s="32">
        <v>5.31</v>
      </c>
      <c r="D2462" s="30">
        <v>0.04</v>
      </c>
      <c r="E2462" s="31">
        <v>7.5900000000000004E-3</v>
      </c>
      <c r="F2462" s="30">
        <v>50270322</v>
      </c>
      <c r="G2462" s="30" t="s">
        <v>5427</v>
      </c>
      <c r="H2462" s="30"/>
      <c r="I2462" s="30">
        <v>24069</v>
      </c>
      <c r="J2462" s="30" t="s">
        <v>5431</v>
      </c>
      <c r="K2462" s="30" t="s">
        <v>5430</v>
      </c>
    </row>
    <row r="2463" spans="1:11" x14ac:dyDescent="0.35">
      <c r="A2463" s="30" t="s">
        <v>13957</v>
      </c>
      <c r="B2463" s="30" t="s">
        <v>13958</v>
      </c>
      <c r="C2463" s="32">
        <v>182.1</v>
      </c>
      <c r="D2463" s="30">
        <v>4.8899999999999997</v>
      </c>
      <c r="E2463" s="31">
        <v>2.759E-2</v>
      </c>
      <c r="F2463" s="30">
        <v>164982600000</v>
      </c>
      <c r="G2463" s="30" t="s">
        <v>5427</v>
      </c>
      <c r="H2463" s="30"/>
      <c r="I2463" s="30">
        <v>7830317</v>
      </c>
      <c r="J2463" s="30" t="s">
        <v>5219</v>
      </c>
      <c r="K2463" s="30" t="s">
        <v>5526</v>
      </c>
    </row>
    <row r="2464" spans="1:11" x14ac:dyDescent="0.35">
      <c r="A2464" s="30" t="s">
        <v>13959</v>
      </c>
      <c r="B2464" s="30" t="s">
        <v>13960</v>
      </c>
      <c r="C2464" s="32">
        <v>101.53</v>
      </c>
      <c r="D2464" s="30">
        <v>1.1000000000000001</v>
      </c>
      <c r="E2464" s="31">
        <v>1.095E-2</v>
      </c>
      <c r="F2464" s="30">
        <v>6793854669</v>
      </c>
      <c r="G2464" s="30" t="s">
        <v>5427</v>
      </c>
      <c r="H2464" s="30">
        <v>2004</v>
      </c>
      <c r="I2464" s="30">
        <v>1021863</v>
      </c>
      <c r="J2464" s="30" t="s">
        <v>5442</v>
      </c>
      <c r="K2464" s="30" t="s">
        <v>5441</v>
      </c>
    </row>
    <row r="2465" spans="1:11" x14ac:dyDescent="0.35">
      <c r="A2465" s="30" t="s">
        <v>13961</v>
      </c>
      <c r="B2465" s="30" t="s">
        <v>13962</v>
      </c>
      <c r="C2465" s="32">
        <v>13.2</v>
      </c>
      <c r="D2465" s="30">
        <v>2.58</v>
      </c>
      <c r="E2465" s="31">
        <v>0.24293999999999999</v>
      </c>
      <c r="F2465" s="30">
        <v>557006089</v>
      </c>
      <c r="G2465" s="30" t="s">
        <v>5427</v>
      </c>
      <c r="H2465" s="30">
        <v>2021</v>
      </c>
      <c r="I2465" s="30">
        <v>134422</v>
      </c>
      <c r="J2465" s="30" t="s">
        <v>5431</v>
      </c>
      <c r="K2465" s="30" t="s">
        <v>5430</v>
      </c>
    </row>
    <row r="2466" spans="1:11" x14ac:dyDescent="0.35">
      <c r="A2466" s="30" t="s">
        <v>13963</v>
      </c>
      <c r="B2466" s="30" t="s">
        <v>13964</v>
      </c>
      <c r="C2466" s="32">
        <v>5.24</v>
      </c>
      <c r="D2466" s="30">
        <v>-0.1</v>
      </c>
      <c r="E2466" s="31">
        <v>-1.873E-2</v>
      </c>
      <c r="F2466" s="30">
        <v>64974475</v>
      </c>
      <c r="G2466" s="30" t="s">
        <v>5427</v>
      </c>
      <c r="H2466" s="30"/>
      <c r="I2466" s="30">
        <v>17947</v>
      </c>
      <c r="J2466" s="30" t="s">
        <v>5442</v>
      </c>
      <c r="K2466" s="30" t="s">
        <v>5856</v>
      </c>
    </row>
    <row r="2467" spans="1:11" x14ac:dyDescent="0.35">
      <c r="A2467" s="30" t="s">
        <v>13965</v>
      </c>
      <c r="B2467" s="30" t="s">
        <v>13966</v>
      </c>
      <c r="C2467" s="32">
        <v>50.22</v>
      </c>
      <c r="D2467" s="30">
        <v>1.26</v>
      </c>
      <c r="E2467" s="31">
        <v>2.5739999999999999E-2</v>
      </c>
      <c r="F2467" s="30">
        <v>16418315673</v>
      </c>
      <c r="G2467" s="30" t="s">
        <v>5427</v>
      </c>
      <c r="H2467" s="30"/>
      <c r="I2467" s="30">
        <v>7809559</v>
      </c>
      <c r="J2467" s="30" t="s">
        <v>5442</v>
      </c>
      <c r="K2467" s="30" t="s">
        <v>5749</v>
      </c>
    </row>
    <row r="2468" spans="1:11" x14ac:dyDescent="0.35">
      <c r="A2468" s="30" t="s">
        <v>13967</v>
      </c>
      <c r="B2468" s="30" t="s">
        <v>13968</v>
      </c>
      <c r="C2468" s="32">
        <v>14.45</v>
      </c>
      <c r="D2468" s="30">
        <v>0</v>
      </c>
      <c r="E2468" s="31">
        <v>0</v>
      </c>
      <c r="F2468" s="30">
        <v>85464352</v>
      </c>
      <c r="G2468" s="30" t="s">
        <v>5427</v>
      </c>
      <c r="H2468" s="30"/>
      <c r="I2468" s="30">
        <v>3094</v>
      </c>
      <c r="J2468" s="30" t="s">
        <v>5435</v>
      </c>
      <c r="K2468" s="30" t="s">
        <v>5579</v>
      </c>
    </row>
    <row r="2469" spans="1:11" x14ac:dyDescent="0.35">
      <c r="A2469" s="30" t="s">
        <v>13969</v>
      </c>
      <c r="B2469" s="30" t="s">
        <v>13970</v>
      </c>
      <c r="C2469" s="32">
        <v>7.9</v>
      </c>
      <c r="D2469" s="30">
        <v>0</v>
      </c>
      <c r="E2469" s="31">
        <v>0</v>
      </c>
      <c r="F2469" s="30">
        <v>134831299</v>
      </c>
      <c r="G2469" s="30" t="s">
        <v>5427</v>
      </c>
      <c r="H2469" s="30"/>
      <c r="I2469" s="30">
        <v>299666</v>
      </c>
      <c r="J2469" s="30" t="s">
        <v>5435</v>
      </c>
      <c r="K2469" s="30" t="s">
        <v>5579</v>
      </c>
    </row>
    <row r="2470" spans="1:11" x14ac:dyDescent="0.35">
      <c r="A2470" s="30" t="s">
        <v>13971</v>
      </c>
      <c r="B2470" s="30" t="s">
        <v>13972</v>
      </c>
      <c r="C2470" s="32">
        <v>40.619999999999997</v>
      </c>
      <c r="D2470" s="30">
        <v>0.42</v>
      </c>
      <c r="E2470" s="31">
        <v>1.0449999999999999E-2</v>
      </c>
      <c r="F2470" s="30">
        <v>5473346856</v>
      </c>
      <c r="G2470" s="30" t="s">
        <v>5427</v>
      </c>
      <c r="H2470" s="30"/>
      <c r="I2470" s="30">
        <v>725813</v>
      </c>
      <c r="J2470" s="30" t="s">
        <v>5435</v>
      </c>
      <c r="K2470" s="30" t="s">
        <v>5579</v>
      </c>
    </row>
    <row r="2471" spans="1:11" x14ac:dyDescent="0.35">
      <c r="A2471" s="30" t="s">
        <v>13973</v>
      </c>
      <c r="B2471" s="30" t="s">
        <v>13974</v>
      </c>
      <c r="C2471" s="32">
        <v>4.79</v>
      </c>
      <c r="D2471" s="30">
        <v>0.17</v>
      </c>
      <c r="E2471" s="31">
        <v>3.6799999999999999E-2</v>
      </c>
      <c r="F2471" s="30">
        <v>67981141</v>
      </c>
      <c r="G2471" s="30" t="s">
        <v>5427</v>
      </c>
      <c r="H2471" s="30">
        <v>2018</v>
      </c>
      <c r="I2471" s="30">
        <v>190183</v>
      </c>
      <c r="J2471" s="30" t="s">
        <v>5431</v>
      </c>
      <c r="K2471" s="30" t="s">
        <v>5685</v>
      </c>
    </row>
    <row r="2472" spans="1:11" x14ac:dyDescent="0.35">
      <c r="A2472" s="30" t="s">
        <v>13975</v>
      </c>
      <c r="B2472" s="30" t="s">
        <v>13976</v>
      </c>
      <c r="C2472" s="32">
        <v>32.69</v>
      </c>
      <c r="D2472" s="30">
        <v>0.15</v>
      </c>
      <c r="E2472" s="31">
        <v>4.6100000000000004E-3</v>
      </c>
      <c r="F2472" s="30">
        <v>3757415700</v>
      </c>
      <c r="G2472" s="30" t="s">
        <v>5427</v>
      </c>
      <c r="H2472" s="30"/>
      <c r="I2472" s="30">
        <v>672962</v>
      </c>
      <c r="J2472" s="30" t="s">
        <v>5435</v>
      </c>
      <c r="K2472" s="30" t="s">
        <v>5579</v>
      </c>
    </row>
    <row r="2473" spans="1:11" x14ac:dyDescent="0.35">
      <c r="A2473" s="30" t="s">
        <v>13977</v>
      </c>
      <c r="B2473" s="30" t="s">
        <v>13978</v>
      </c>
      <c r="C2473" s="32">
        <v>5.74</v>
      </c>
      <c r="D2473" s="30">
        <v>0.04</v>
      </c>
      <c r="E2473" s="31">
        <v>7.0200000000000002E-3</v>
      </c>
      <c r="F2473" s="30">
        <v>210519723</v>
      </c>
      <c r="G2473" s="30" t="s">
        <v>6387</v>
      </c>
      <c r="H2473" s="30">
        <v>2020</v>
      </c>
      <c r="I2473" s="30">
        <v>106160</v>
      </c>
      <c r="J2473" s="30" t="s">
        <v>5442</v>
      </c>
      <c r="K2473" s="30" t="s">
        <v>5520</v>
      </c>
    </row>
    <row r="2474" spans="1:11" x14ac:dyDescent="0.35">
      <c r="A2474" s="30" t="s">
        <v>13979</v>
      </c>
      <c r="B2474" s="30" t="s">
        <v>13980</v>
      </c>
      <c r="C2474" s="32">
        <v>36.72</v>
      </c>
      <c r="D2474" s="30">
        <v>3.07</v>
      </c>
      <c r="E2474" s="31">
        <v>9.1230000000000006E-2</v>
      </c>
      <c r="F2474" s="30">
        <v>1670636694</v>
      </c>
      <c r="G2474" s="30" t="s">
        <v>5427</v>
      </c>
      <c r="H2474" s="30">
        <v>2004</v>
      </c>
      <c r="I2474" s="30">
        <v>394045</v>
      </c>
      <c r="J2474" s="30" t="s">
        <v>5219</v>
      </c>
      <c r="K2474" s="30" t="s">
        <v>5526</v>
      </c>
    </row>
    <row r="2475" spans="1:11" x14ac:dyDescent="0.35">
      <c r="A2475" s="30" t="s">
        <v>13981</v>
      </c>
      <c r="B2475" s="30" t="s">
        <v>13982</v>
      </c>
      <c r="C2475" s="32">
        <v>12.7</v>
      </c>
      <c r="D2475" s="30">
        <v>0.16</v>
      </c>
      <c r="E2475" s="31">
        <v>1.2760000000000001E-2</v>
      </c>
      <c r="F2475" s="30">
        <v>1794793921</v>
      </c>
      <c r="G2475" s="30" t="s">
        <v>5427</v>
      </c>
      <c r="H2475" s="30">
        <v>2021</v>
      </c>
      <c r="I2475" s="30">
        <v>282210</v>
      </c>
      <c r="J2475" s="30"/>
      <c r="K2475" s="30"/>
    </row>
    <row r="2476" spans="1:11" x14ac:dyDescent="0.35">
      <c r="A2476" s="30" t="s">
        <v>13983</v>
      </c>
      <c r="B2476" s="30" t="s">
        <v>13984</v>
      </c>
      <c r="C2476" s="32">
        <v>24.5</v>
      </c>
      <c r="D2476" s="30">
        <v>1.07</v>
      </c>
      <c r="E2476" s="31">
        <v>4.5670000000000002E-2</v>
      </c>
      <c r="F2476" s="30">
        <v>310703071</v>
      </c>
      <c r="G2476" s="30" t="s">
        <v>5427</v>
      </c>
      <c r="H2476" s="30">
        <v>1993</v>
      </c>
      <c r="I2476" s="30">
        <v>64001</v>
      </c>
      <c r="J2476" s="30" t="s">
        <v>5541</v>
      </c>
      <c r="K2476" s="30" t="s">
        <v>5571</v>
      </c>
    </row>
    <row r="2477" spans="1:11" x14ac:dyDescent="0.35">
      <c r="A2477" s="30" t="s">
        <v>13985</v>
      </c>
      <c r="B2477" s="30" t="s">
        <v>13986</v>
      </c>
      <c r="C2477" s="32">
        <v>30.89</v>
      </c>
      <c r="D2477" s="30">
        <v>-0.6</v>
      </c>
      <c r="E2477" s="31">
        <v>-1.9050000000000001E-2</v>
      </c>
      <c r="F2477" s="30">
        <v>778346358</v>
      </c>
      <c r="G2477" s="30" t="s">
        <v>5427</v>
      </c>
      <c r="H2477" s="30"/>
      <c r="I2477" s="30">
        <v>79668</v>
      </c>
      <c r="J2477" s="30" t="s">
        <v>5435</v>
      </c>
      <c r="K2477" s="30" t="s">
        <v>5493</v>
      </c>
    </row>
    <row r="2478" spans="1:11" x14ac:dyDescent="0.35">
      <c r="A2478" s="30" t="s">
        <v>13987</v>
      </c>
      <c r="B2478" s="30" t="s">
        <v>13988</v>
      </c>
      <c r="C2478" s="32">
        <v>96.33</v>
      </c>
      <c r="D2478" s="30">
        <v>2.78</v>
      </c>
      <c r="E2478" s="31">
        <v>2.972E-2</v>
      </c>
      <c r="F2478" s="30">
        <v>5937541724</v>
      </c>
      <c r="G2478" s="30" t="s">
        <v>5427</v>
      </c>
      <c r="H2478" s="30">
        <v>1993</v>
      </c>
      <c r="I2478" s="30">
        <v>377778</v>
      </c>
      <c r="J2478" s="30" t="s">
        <v>6250</v>
      </c>
      <c r="K2478" s="30" t="s">
        <v>13989</v>
      </c>
    </row>
    <row r="2479" spans="1:11" x14ac:dyDescent="0.35">
      <c r="A2479" s="30" t="s">
        <v>13990</v>
      </c>
      <c r="B2479" s="30" t="s">
        <v>13991</v>
      </c>
      <c r="C2479" s="32">
        <v>110.05</v>
      </c>
      <c r="D2479" s="30">
        <v>-3.68</v>
      </c>
      <c r="E2479" s="31">
        <v>-3.236E-2</v>
      </c>
      <c r="F2479" s="30">
        <v>834025480</v>
      </c>
      <c r="G2479" s="30" t="s">
        <v>5427</v>
      </c>
      <c r="H2479" s="30">
        <v>1993</v>
      </c>
      <c r="I2479" s="30">
        <v>124839</v>
      </c>
      <c r="J2479" s="30" t="s">
        <v>5431</v>
      </c>
      <c r="K2479" s="30" t="s">
        <v>5500</v>
      </c>
    </row>
    <row r="2480" spans="1:11" x14ac:dyDescent="0.35">
      <c r="A2480" s="30" t="s">
        <v>13992</v>
      </c>
      <c r="B2480" s="30" t="s">
        <v>13993</v>
      </c>
      <c r="C2480" s="32">
        <v>11.35</v>
      </c>
      <c r="D2480" s="30">
        <v>-0.14000000000000001</v>
      </c>
      <c r="E2480" s="31">
        <v>-1.218E-2</v>
      </c>
      <c r="F2480" s="30">
        <v>52145521</v>
      </c>
      <c r="G2480" s="30" t="s">
        <v>5427</v>
      </c>
      <c r="H2480" s="30"/>
      <c r="I2480" s="30">
        <v>10656</v>
      </c>
      <c r="J2480" s="30" t="s">
        <v>5442</v>
      </c>
      <c r="K2480" s="30" t="s">
        <v>6240</v>
      </c>
    </row>
    <row r="2481" spans="1:11" x14ac:dyDescent="0.35">
      <c r="A2481" s="30" t="s">
        <v>13994</v>
      </c>
      <c r="B2481" s="30" t="s">
        <v>13995</v>
      </c>
      <c r="C2481" s="32">
        <v>2.3199999999999998</v>
      </c>
      <c r="D2481" s="30">
        <v>0.46</v>
      </c>
      <c r="E2481" s="31">
        <v>0.24731</v>
      </c>
      <c r="F2481" s="30">
        <v>100474771</v>
      </c>
      <c r="G2481" s="30" t="s">
        <v>5427</v>
      </c>
      <c r="H2481" s="30"/>
      <c r="I2481" s="30">
        <v>1156227</v>
      </c>
      <c r="J2481" s="30" t="s">
        <v>5435</v>
      </c>
      <c r="K2481" s="30" t="s">
        <v>5493</v>
      </c>
    </row>
    <row r="2482" spans="1:11" x14ac:dyDescent="0.35">
      <c r="A2482" s="30" t="s">
        <v>13996</v>
      </c>
      <c r="B2482" s="30" t="s">
        <v>13997</v>
      </c>
      <c r="C2482" s="32">
        <v>4.0999999999999996</v>
      </c>
      <c r="D2482" s="30">
        <v>0.03</v>
      </c>
      <c r="E2482" s="31">
        <v>7.3699999999999998E-3</v>
      </c>
      <c r="F2482" s="30">
        <v>66147834</v>
      </c>
      <c r="G2482" s="30" t="s">
        <v>5427</v>
      </c>
      <c r="H2482" s="30">
        <v>1992</v>
      </c>
      <c r="I2482" s="30">
        <v>29080</v>
      </c>
      <c r="J2482" s="30" t="s">
        <v>5219</v>
      </c>
      <c r="K2482" s="30" t="s">
        <v>5965</v>
      </c>
    </row>
    <row r="2483" spans="1:11" x14ac:dyDescent="0.35">
      <c r="A2483" s="30" t="s">
        <v>13998</v>
      </c>
      <c r="B2483" s="30" t="s">
        <v>13999</v>
      </c>
      <c r="C2483" s="32">
        <v>12.81</v>
      </c>
      <c r="D2483" s="30">
        <v>0.23</v>
      </c>
      <c r="E2483" s="31">
        <v>1.8280000000000001E-2</v>
      </c>
      <c r="F2483" s="30">
        <v>2789555982</v>
      </c>
      <c r="G2483" s="30" t="s">
        <v>5427</v>
      </c>
      <c r="H2483" s="30">
        <v>2021</v>
      </c>
      <c r="I2483" s="30">
        <v>572898</v>
      </c>
      <c r="J2483" s="30" t="s">
        <v>5442</v>
      </c>
      <c r="K2483" s="30" t="s">
        <v>5749</v>
      </c>
    </row>
    <row r="2484" spans="1:11" x14ac:dyDescent="0.35">
      <c r="A2484" s="30" t="s">
        <v>14000</v>
      </c>
      <c r="B2484" s="30" t="s">
        <v>14001</v>
      </c>
      <c r="C2484" s="32">
        <v>37.450000000000003</v>
      </c>
      <c r="D2484" s="30">
        <v>1.53</v>
      </c>
      <c r="E2484" s="31">
        <v>4.2590000000000003E-2</v>
      </c>
      <c r="F2484" s="30">
        <v>984094210</v>
      </c>
      <c r="G2484" s="30" t="s">
        <v>5427</v>
      </c>
      <c r="H2484" s="30">
        <v>2005</v>
      </c>
      <c r="I2484" s="30">
        <v>60726</v>
      </c>
      <c r="J2484" s="30" t="s">
        <v>5457</v>
      </c>
      <c r="K2484" s="30" t="s">
        <v>5725</v>
      </c>
    </row>
    <row r="2485" spans="1:11" x14ac:dyDescent="0.35">
      <c r="A2485" s="30" t="s">
        <v>14002</v>
      </c>
      <c r="B2485" s="30" t="s">
        <v>14003</v>
      </c>
      <c r="C2485" s="32">
        <v>523.59</v>
      </c>
      <c r="D2485" s="30">
        <v>9.6300000000000008</v>
      </c>
      <c r="E2485" s="31">
        <v>1.874E-2</v>
      </c>
      <c r="F2485" s="30">
        <v>26640662888</v>
      </c>
      <c r="G2485" s="30" t="s">
        <v>5427</v>
      </c>
      <c r="H2485" s="30">
        <v>2007</v>
      </c>
      <c r="I2485" s="30">
        <v>531489</v>
      </c>
      <c r="J2485" s="30"/>
      <c r="K2485" s="30"/>
    </row>
    <row r="2486" spans="1:11" x14ac:dyDescent="0.35">
      <c r="A2486" s="30" t="s">
        <v>14004</v>
      </c>
      <c r="B2486" s="30" t="s">
        <v>14005</v>
      </c>
      <c r="C2486" s="32">
        <v>90.2</v>
      </c>
      <c r="D2486" s="30">
        <v>0.01</v>
      </c>
      <c r="E2486" s="31">
        <v>1.1E-4</v>
      </c>
      <c r="F2486" s="30">
        <v>4358410241</v>
      </c>
      <c r="G2486" s="30" t="s">
        <v>5427</v>
      </c>
      <c r="H2486" s="30"/>
      <c r="I2486" s="30">
        <v>248203</v>
      </c>
      <c r="J2486" s="30" t="s">
        <v>5435</v>
      </c>
      <c r="K2486" s="30" t="s">
        <v>5582</v>
      </c>
    </row>
    <row r="2487" spans="1:11" x14ac:dyDescent="0.35">
      <c r="A2487" s="30" t="s">
        <v>14006</v>
      </c>
      <c r="B2487" s="30" t="s">
        <v>14007</v>
      </c>
      <c r="C2487" s="32">
        <v>18.86</v>
      </c>
      <c r="D2487" s="30">
        <v>0.66</v>
      </c>
      <c r="E2487" s="31">
        <v>3.6260000000000001E-2</v>
      </c>
      <c r="F2487" s="30">
        <v>4093625653</v>
      </c>
      <c r="G2487" s="30" t="s">
        <v>5427</v>
      </c>
      <c r="H2487" s="30"/>
      <c r="I2487" s="30">
        <v>1743432</v>
      </c>
      <c r="J2487" s="30" t="s">
        <v>5435</v>
      </c>
      <c r="K2487" s="30" t="s">
        <v>5582</v>
      </c>
    </row>
    <row r="2488" spans="1:11" x14ac:dyDescent="0.35">
      <c r="A2488" s="30" t="s">
        <v>14008</v>
      </c>
      <c r="B2488" s="30" t="s">
        <v>14009</v>
      </c>
      <c r="C2488" s="32">
        <v>25.88</v>
      </c>
      <c r="D2488" s="30">
        <v>-0.43</v>
      </c>
      <c r="E2488" s="31">
        <v>-1.634E-2</v>
      </c>
      <c r="F2488" s="30">
        <v>116415797</v>
      </c>
      <c r="G2488" s="30" t="s">
        <v>5427</v>
      </c>
      <c r="H2488" s="30"/>
      <c r="I2488" s="30">
        <v>11765</v>
      </c>
      <c r="J2488" s="30" t="s">
        <v>5435</v>
      </c>
      <c r="K2488" s="30" t="s">
        <v>5579</v>
      </c>
    </row>
    <row r="2489" spans="1:11" x14ac:dyDescent="0.35">
      <c r="A2489" s="30" t="s">
        <v>14010</v>
      </c>
      <c r="B2489" s="30" t="s">
        <v>14011</v>
      </c>
      <c r="C2489" s="32">
        <v>6.59</v>
      </c>
      <c r="D2489" s="30">
        <v>0</v>
      </c>
      <c r="E2489" s="31">
        <v>0</v>
      </c>
      <c r="F2489" s="30">
        <v>1563148330</v>
      </c>
      <c r="G2489" s="30" t="s">
        <v>5427</v>
      </c>
      <c r="H2489" s="30"/>
      <c r="I2489" s="30">
        <v>2374276</v>
      </c>
      <c r="J2489" s="30" t="s">
        <v>5197</v>
      </c>
      <c r="K2489" s="30" t="s">
        <v>5467</v>
      </c>
    </row>
    <row r="2490" spans="1:11" x14ac:dyDescent="0.35">
      <c r="A2490" s="30" t="s">
        <v>14012</v>
      </c>
      <c r="B2490" s="30" t="s">
        <v>14013</v>
      </c>
      <c r="C2490" s="32">
        <v>26.54</v>
      </c>
      <c r="D2490" s="30">
        <v>7.0000000000000007E-2</v>
      </c>
      <c r="E2490" s="31">
        <v>2.64E-3</v>
      </c>
      <c r="F2490" s="30">
        <v>280899360</v>
      </c>
      <c r="G2490" s="30" t="s">
        <v>5427</v>
      </c>
      <c r="H2490" s="30"/>
      <c r="I2490" s="30">
        <v>16670</v>
      </c>
      <c r="J2490" s="30" t="s">
        <v>5435</v>
      </c>
      <c r="K2490" s="30" t="s">
        <v>5579</v>
      </c>
    </row>
    <row r="2491" spans="1:11" x14ac:dyDescent="0.35">
      <c r="A2491" s="30" t="s">
        <v>14014</v>
      </c>
      <c r="B2491" s="30" t="s">
        <v>14015</v>
      </c>
      <c r="C2491" s="32">
        <v>6.79</v>
      </c>
      <c r="D2491" s="30">
        <v>-0.22</v>
      </c>
      <c r="E2491" s="31">
        <v>-3.1379999999999998E-2</v>
      </c>
      <c r="F2491" s="30">
        <v>328498625</v>
      </c>
      <c r="G2491" s="30" t="s">
        <v>5427</v>
      </c>
      <c r="H2491" s="30"/>
      <c r="I2491" s="30">
        <v>67973</v>
      </c>
      <c r="J2491" s="30" t="s">
        <v>5442</v>
      </c>
      <c r="K2491" s="30" t="s">
        <v>5834</v>
      </c>
    </row>
    <row r="2492" spans="1:11" x14ac:dyDescent="0.35">
      <c r="A2492" s="30" t="s">
        <v>14016</v>
      </c>
      <c r="B2492" s="30" t="s">
        <v>14017</v>
      </c>
      <c r="C2492" s="32">
        <v>5.0199999999999996</v>
      </c>
      <c r="D2492" s="30">
        <v>0.04</v>
      </c>
      <c r="E2492" s="31">
        <v>8.0300000000000007E-3</v>
      </c>
      <c r="F2492" s="30">
        <v>242866435</v>
      </c>
      <c r="G2492" s="30" t="s">
        <v>5427</v>
      </c>
      <c r="H2492" s="30"/>
      <c r="I2492" s="30">
        <v>23458</v>
      </c>
      <c r="J2492" s="30" t="s">
        <v>5442</v>
      </c>
      <c r="K2492" s="30" t="s">
        <v>5834</v>
      </c>
    </row>
    <row r="2493" spans="1:11" x14ac:dyDescent="0.35">
      <c r="A2493" s="30" t="s">
        <v>14018</v>
      </c>
      <c r="B2493" s="30" t="s">
        <v>14019</v>
      </c>
      <c r="C2493" s="32">
        <v>9.1</v>
      </c>
      <c r="D2493" s="30">
        <v>0.37</v>
      </c>
      <c r="E2493" s="31">
        <v>4.2380000000000001E-2</v>
      </c>
      <c r="F2493" s="30">
        <v>289180200</v>
      </c>
      <c r="G2493" s="30" t="s">
        <v>5427</v>
      </c>
      <c r="H2493" s="30">
        <v>2014</v>
      </c>
      <c r="I2493" s="30">
        <v>382753</v>
      </c>
      <c r="J2493" s="30" t="s">
        <v>5219</v>
      </c>
      <c r="K2493" s="30" t="s">
        <v>5447</v>
      </c>
    </row>
    <row r="2494" spans="1:11" x14ac:dyDescent="0.35">
      <c r="A2494" s="30" t="s">
        <v>14020</v>
      </c>
      <c r="B2494" s="30" t="s">
        <v>14021</v>
      </c>
      <c r="C2494" s="32">
        <v>20.2</v>
      </c>
      <c r="D2494" s="30">
        <v>1.52</v>
      </c>
      <c r="E2494" s="31">
        <v>8.1369999999999998E-2</v>
      </c>
      <c r="F2494" s="30">
        <v>1653922470</v>
      </c>
      <c r="G2494" s="30" t="s">
        <v>5427</v>
      </c>
      <c r="H2494" s="30">
        <v>2020</v>
      </c>
      <c r="I2494" s="30">
        <v>7388454</v>
      </c>
      <c r="J2494" s="30" t="s">
        <v>5435</v>
      </c>
      <c r="K2494" s="30" t="s">
        <v>5598</v>
      </c>
    </row>
    <row r="2495" spans="1:11" x14ac:dyDescent="0.35">
      <c r="A2495" s="30" t="s">
        <v>14022</v>
      </c>
      <c r="B2495" s="30" t="s">
        <v>14023</v>
      </c>
      <c r="C2495" s="32">
        <v>10.55</v>
      </c>
      <c r="D2495" s="30">
        <v>-0.12</v>
      </c>
      <c r="E2495" s="31">
        <v>-1.125E-2</v>
      </c>
      <c r="F2495" s="30">
        <v>61714335</v>
      </c>
      <c r="G2495" s="30" t="s">
        <v>5427</v>
      </c>
      <c r="H2495" s="30">
        <v>2021</v>
      </c>
      <c r="I2495" s="30">
        <v>354</v>
      </c>
      <c r="J2495" s="30" t="s">
        <v>5457</v>
      </c>
      <c r="K2495" s="30" t="s">
        <v>5571</v>
      </c>
    </row>
    <row r="2496" spans="1:11" x14ac:dyDescent="0.35">
      <c r="A2496" s="30" t="s">
        <v>14024</v>
      </c>
      <c r="B2496" s="30" t="s">
        <v>14025</v>
      </c>
      <c r="C2496" s="32">
        <v>13.55</v>
      </c>
      <c r="D2496" s="30">
        <v>0.59</v>
      </c>
      <c r="E2496" s="31">
        <v>4.5519999999999998E-2</v>
      </c>
      <c r="F2496" s="30">
        <v>1779690631</v>
      </c>
      <c r="G2496" s="30" t="s">
        <v>5427</v>
      </c>
      <c r="H2496" s="30">
        <v>2018</v>
      </c>
      <c r="I2496" s="30">
        <v>1678540</v>
      </c>
      <c r="J2496" s="30"/>
      <c r="K2496" s="30"/>
    </row>
    <row r="2497" spans="1:11" x14ac:dyDescent="0.35">
      <c r="A2497" s="30" t="s">
        <v>14026</v>
      </c>
      <c r="B2497" s="30" t="s">
        <v>14027</v>
      </c>
      <c r="C2497" s="32">
        <v>3.19</v>
      </c>
      <c r="D2497" s="30">
        <v>0.02</v>
      </c>
      <c r="E2497" s="31">
        <v>6.3099999999999996E-3</v>
      </c>
      <c r="F2497" s="30">
        <v>57294786</v>
      </c>
      <c r="G2497" s="30" t="s">
        <v>5427</v>
      </c>
      <c r="H2497" s="30">
        <v>2021</v>
      </c>
      <c r="I2497" s="30">
        <v>5620</v>
      </c>
      <c r="J2497" s="30" t="s">
        <v>5442</v>
      </c>
      <c r="K2497" s="30" t="s">
        <v>5447</v>
      </c>
    </row>
    <row r="2498" spans="1:11" x14ac:dyDescent="0.35">
      <c r="A2498" s="30" t="s">
        <v>14028</v>
      </c>
      <c r="B2498" s="30" t="s">
        <v>14029</v>
      </c>
      <c r="C2498" s="32">
        <v>28.16</v>
      </c>
      <c r="D2498" s="30">
        <v>0.77</v>
      </c>
      <c r="E2498" s="31">
        <v>2.811E-2</v>
      </c>
      <c r="F2498" s="30">
        <v>2595669120</v>
      </c>
      <c r="G2498" s="30" t="s">
        <v>5427</v>
      </c>
      <c r="H2498" s="30">
        <v>1993</v>
      </c>
      <c r="I2498" s="30">
        <v>1631396</v>
      </c>
      <c r="J2498" s="30" t="s">
        <v>5442</v>
      </c>
      <c r="K2498" s="30" t="s">
        <v>7318</v>
      </c>
    </row>
    <row r="2499" spans="1:11" x14ac:dyDescent="0.35">
      <c r="A2499" s="30" t="s">
        <v>14030</v>
      </c>
      <c r="B2499" s="30" t="s">
        <v>14031</v>
      </c>
      <c r="C2499" s="32">
        <v>2.9</v>
      </c>
      <c r="D2499" s="30">
        <v>7.0000000000000007E-2</v>
      </c>
      <c r="E2499" s="31">
        <v>2.4729999999999999E-2</v>
      </c>
      <c r="F2499" s="30">
        <v>288781232</v>
      </c>
      <c r="G2499" s="30" t="s">
        <v>5515</v>
      </c>
      <c r="H2499" s="30"/>
      <c r="I2499" s="30">
        <v>884233</v>
      </c>
      <c r="J2499" s="30"/>
      <c r="K2499" s="30"/>
    </row>
    <row r="2500" spans="1:11" x14ac:dyDescent="0.35">
      <c r="A2500" s="30" t="s">
        <v>14032</v>
      </c>
      <c r="B2500" s="30" t="s">
        <v>14033</v>
      </c>
      <c r="C2500" s="32">
        <v>8.02</v>
      </c>
      <c r="D2500" s="30">
        <v>-7.0000000000000007E-2</v>
      </c>
      <c r="E2500" s="31">
        <v>-8.6499999999999997E-3</v>
      </c>
      <c r="F2500" s="30">
        <v>72003183</v>
      </c>
      <c r="G2500" s="30" t="s">
        <v>5427</v>
      </c>
      <c r="H2500" s="30">
        <v>1994</v>
      </c>
      <c r="I2500" s="30">
        <v>32277</v>
      </c>
      <c r="J2500" s="30" t="s">
        <v>5457</v>
      </c>
      <c r="K2500" s="30" t="s">
        <v>5472</v>
      </c>
    </row>
    <row r="2501" spans="1:11" x14ac:dyDescent="0.35">
      <c r="A2501" s="30" t="s">
        <v>14034</v>
      </c>
      <c r="B2501" s="30" t="s">
        <v>14035</v>
      </c>
      <c r="C2501" s="32">
        <v>12.6</v>
      </c>
      <c r="D2501" s="30">
        <v>0.6</v>
      </c>
      <c r="E2501" s="31">
        <v>0.05</v>
      </c>
      <c r="F2501" s="30">
        <v>252009488</v>
      </c>
      <c r="G2501" s="30" t="s">
        <v>5427</v>
      </c>
      <c r="H2501" s="30">
        <v>2021</v>
      </c>
      <c r="I2501" s="30">
        <v>16327</v>
      </c>
      <c r="J2501" s="30" t="s">
        <v>5435</v>
      </c>
      <c r="K2501" s="30" t="s">
        <v>5579</v>
      </c>
    </row>
    <row r="2502" spans="1:11" x14ac:dyDescent="0.35">
      <c r="A2502" s="30" t="s">
        <v>14036</v>
      </c>
      <c r="B2502" s="30" t="s">
        <v>14037</v>
      </c>
      <c r="C2502" s="32">
        <v>10.455</v>
      </c>
      <c r="D2502" s="30">
        <v>8.5000000000000006E-2</v>
      </c>
      <c r="E2502" s="31">
        <v>8.2000000000000007E-3</v>
      </c>
      <c r="F2502" s="30">
        <v>300581250</v>
      </c>
      <c r="G2502" s="30" t="s">
        <v>5427</v>
      </c>
      <c r="H2502" s="30">
        <v>2021</v>
      </c>
      <c r="I2502" s="30">
        <v>3083</v>
      </c>
      <c r="J2502" s="30" t="s">
        <v>5435</v>
      </c>
      <c r="K2502" s="30" t="s">
        <v>5482</v>
      </c>
    </row>
    <row r="2503" spans="1:11" x14ac:dyDescent="0.35">
      <c r="A2503" s="30" t="s">
        <v>14038</v>
      </c>
      <c r="B2503" s="30" t="s">
        <v>14039</v>
      </c>
      <c r="C2503" s="32">
        <v>2.44</v>
      </c>
      <c r="D2503" s="30">
        <v>0.01</v>
      </c>
      <c r="E2503" s="31">
        <v>4.1200000000000004E-3</v>
      </c>
      <c r="F2503" s="30">
        <v>61058101</v>
      </c>
      <c r="G2503" s="30" t="s">
        <v>5427</v>
      </c>
      <c r="H2503" s="30"/>
      <c r="I2503" s="30">
        <v>41961</v>
      </c>
      <c r="J2503" s="30" t="s">
        <v>5464</v>
      </c>
      <c r="K2503" s="30" t="s">
        <v>5463</v>
      </c>
    </row>
    <row r="2504" spans="1:11" x14ac:dyDescent="0.35">
      <c r="A2504" s="30" t="s">
        <v>14040</v>
      </c>
      <c r="B2504" s="30" t="s">
        <v>14041</v>
      </c>
      <c r="C2504" s="32">
        <v>2.0099999999999998</v>
      </c>
      <c r="D2504" s="30">
        <v>0.06</v>
      </c>
      <c r="E2504" s="31">
        <v>3.0769999999999999E-2</v>
      </c>
      <c r="F2504" s="30">
        <v>50901638</v>
      </c>
      <c r="G2504" s="30" t="s">
        <v>5427</v>
      </c>
      <c r="H2504" s="30"/>
      <c r="I2504" s="30">
        <v>69123</v>
      </c>
      <c r="J2504" s="30" t="s">
        <v>5219</v>
      </c>
      <c r="K2504" s="30" t="s">
        <v>5447</v>
      </c>
    </row>
    <row r="2505" spans="1:11" x14ac:dyDescent="0.35">
      <c r="A2505" s="30" t="s">
        <v>14042</v>
      </c>
      <c r="B2505" s="30" t="s">
        <v>14043</v>
      </c>
      <c r="C2505" s="32">
        <v>148.19999999999999</v>
      </c>
      <c r="D2505" s="30">
        <v>-3.6</v>
      </c>
      <c r="E2505" s="31">
        <v>-2.3720000000000001E-2</v>
      </c>
      <c r="F2505" s="30">
        <v>840818628</v>
      </c>
      <c r="G2505" s="30" t="s">
        <v>5427</v>
      </c>
      <c r="H2505" s="30"/>
      <c r="I2505" s="30">
        <v>2409</v>
      </c>
      <c r="J2505" s="30" t="s">
        <v>5457</v>
      </c>
      <c r="K2505" s="30" t="s">
        <v>6914</v>
      </c>
    </row>
    <row r="2506" spans="1:11" x14ac:dyDescent="0.35">
      <c r="A2506" s="30" t="s">
        <v>14044</v>
      </c>
      <c r="B2506" s="30" t="s">
        <v>14045</v>
      </c>
      <c r="C2506" s="32">
        <v>10.29</v>
      </c>
      <c r="D2506" s="30">
        <v>0</v>
      </c>
      <c r="E2506" s="31">
        <v>0</v>
      </c>
      <c r="F2506" s="30">
        <v>295837500</v>
      </c>
      <c r="G2506" s="30" t="s">
        <v>5427</v>
      </c>
      <c r="H2506" s="30">
        <v>2022</v>
      </c>
      <c r="I2506" s="30">
        <v>10876</v>
      </c>
      <c r="J2506" s="30" t="s">
        <v>5435</v>
      </c>
      <c r="K2506" s="30" t="s">
        <v>5482</v>
      </c>
    </row>
    <row r="2507" spans="1:11" x14ac:dyDescent="0.35">
      <c r="A2507" s="30" t="s">
        <v>14046</v>
      </c>
      <c r="B2507" s="30" t="s">
        <v>14047</v>
      </c>
      <c r="C2507" s="32">
        <v>259.99</v>
      </c>
      <c r="D2507" s="30">
        <v>-3.18</v>
      </c>
      <c r="E2507" s="31">
        <v>-1.208E-2</v>
      </c>
      <c r="F2507" s="30">
        <v>11849552270</v>
      </c>
      <c r="G2507" s="30" t="s">
        <v>5427</v>
      </c>
      <c r="H2507" s="30">
        <v>1999</v>
      </c>
      <c r="I2507" s="30">
        <v>367484</v>
      </c>
      <c r="J2507" s="30" t="s">
        <v>5431</v>
      </c>
      <c r="K2507" s="30" t="s">
        <v>5430</v>
      </c>
    </row>
    <row r="2508" spans="1:11" x14ac:dyDescent="0.35">
      <c r="A2508" s="30" t="s">
        <v>14048</v>
      </c>
      <c r="B2508" s="30" t="s">
        <v>14049</v>
      </c>
      <c r="C2508" s="32">
        <v>92.69</v>
      </c>
      <c r="D2508" s="30">
        <v>0.56000000000000005</v>
      </c>
      <c r="E2508" s="31">
        <v>6.0800000000000003E-3</v>
      </c>
      <c r="F2508" s="30">
        <v>336240668</v>
      </c>
      <c r="G2508" s="30" t="s">
        <v>5427</v>
      </c>
      <c r="H2508" s="30"/>
      <c r="I2508" s="30">
        <v>5651</v>
      </c>
      <c r="J2508" s="30" t="s">
        <v>5431</v>
      </c>
      <c r="K2508" s="30" t="s">
        <v>5500</v>
      </c>
    </row>
    <row r="2509" spans="1:11" x14ac:dyDescent="0.35">
      <c r="A2509" s="30" t="s">
        <v>14050</v>
      </c>
      <c r="B2509" s="30" t="s">
        <v>14051</v>
      </c>
      <c r="C2509" s="32">
        <v>27.49</v>
      </c>
      <c r="D2509" s="30">
        <v>0.34</v>
      </c>
      <c r="E2509" s="31">
        <v>1.252E-2</v>
      </c>
      <c r="F2509" s="30">
        <v>804684943</v>
      </c>
      <c r="G2509" s="30" t="s">
        <v>5427</v>
      </c>
      <c r="H2509" s="30"/>
      <c r="I2509" s="30">
        <v>149303</v>
      </c>
      <c r="J2509" s="30" t="s">
        <v>5435</v>
      </c>
      <c r="K2509" s="30" t="s">
        <v>5579</v>
      </c>
    </row>
    <row r="2510" spans="1:11" x14ac:dyDescent="0.35">
      <c r="A2510" s="30" t="s">
        <v>14052</v>
      </c>
      <c r="B2510" s="30" t="s">
        <v>14053</v>
      </c>
      <c r="C2510" s="32">
        <v>39</v>
      </c>
      <c r="D2510" s="30">
        <v>2.7</v>
      </c>
      <c r="E2510" s="31">
        <v>7.4380000000000002E-2</v>
      </c>
      <c r="F2510" s="30">
        <v>207763569</v>
      </c>
      <c r="G2510" s="30" t="s">
        <v>5427</v>
      </c>
      <c r="H2510" s="30"/>
      <c r="I2510" s="30">
        <v>81425</v>
      </c>
      <c r="J2510" s="30" t="s">
        <v>5435</v>
      </c>
      <c r="K2510" s="30" t="s">
        <v>5579</v>
      </c>
    </row>
    <row r="2511" spans="1:11" x14ac:dyDescent="0.35">
      <c r="A2511" s="30" t="s">
        <v>14054</v>
      </c>
      <c r="B2511" s="30" t="s">
        <v>14055</v>
      </c>
      <c r="C2511" s="32">
        <v>2.9</v>
      </c>
      <c r="D2511" s="30">
        <v>7.0000000000000007E-2</v>
      </c>
      <c r="E2511" s="31">
        <v>2.4729999999999999E-2</v>
      </c>
      <c r="F2511" s="30">
        <v>108159894</v>
      </c>
      <c r="G2511" s="30" t="s">
        <v>5775</v>
      </c>
      <c r="H2511" s="30">
        <v>2021</v>
      </c>
      <c r="I2511" s="30">
        <v>26995</v>
      </c>
      <c r="J2511" s="30" t="s">
        <v>5431</v>
      </c>
      <c r="K2511" s="30" t="s">
        <v>5430</v>
      </c>
    </row>
    <row r="2512" spans="1:11" x14ac:dyDescent="0.35">
      <c r="A2512" s="30" t="s">
        <v>14056</v>
      </c>
      <c r="B2512" s="30" t="s">
        <v>14057</v>
      </c>
      <c r="C2512" s="32">
        <v>13.5259</v>
      </c>
      <c r="D2512" s="30">
        <v>0.1236</v>
      </c>
      <c r="E2512" s="31">
        <v>9.2200000000000008E-3</v>
      </c>
      <c r="F2512" s="30">
        <v>934654109</v>
      </c>
      <c r="G2512" s="30" t="s">
        <v>5847</v>
      </c>
      <c r="H2512" s="30">
        <v>2021</v>
      </c>
      <c r="I2512" s="30">
        <v>9131</v>
      </c>
      <c r="J2512" s="30" t="s">
        <v>5431</v>
      </c>
      <c r="K2512" s="30" t="s">
        <v>6409</v>
      </c>
    </row>
    <row r="2513" spans="1:11" x14ac:dyDescent="0.35">
      <c r="A2513" s="30" t="s">
        <v>14058</v>
      </c>
      <c r="B2513" s="30" t="s">
        <v>14059</v>
      </c>
      <c r="C2513" s="32">
        <v>51.96</v>
      </c>
      <c r="D2513" s="30">
        <v>0.25</v>
      </c>
      <c r="E2513" s="31">
        <v>4.8300000000000001E-3</v>
      </c>
      <c r="F2513" s="30">
        <v>491064555</v>
      </c>
      <c r="G2513" s="30" t="s">
        <v>5427</v>
      </c>
      <c r="H2513" s="30">
        <v>1983</v>
      </c>
      <c r="I2513" s="30">
        <v>1881</v>
      </c>
      <c r="J2513" s="30" t="s">
        <v>5435</v>
      </c>
      <c r="K2513" s="30" t="s">
        <v>5856</v>
      </c>
    </row>
    <row r="2514" spans="1:11" x14ac:dyDescent="0.35">
      <c r="A2514" s="30" t="s">
        <v>14060</v>
      </c>
      <c r="B2514" s="30" t="s">
        <v>14061</v>
      </c>
      <c r="C2514" s="32">
        <v>1.25</v>
      </c>
      <c r="D2514" s="30">
        <v>0.05</v>
      </c>
      <c r="E2514" s="31">
        <v>4.1669999999999999E-2</v>
      </c>
      <c r="F2514" s="30">
        <v>63419713</v>
      </c>
      <c r="G2514" s="30" t="s">
        <v>5427</v>
      </c>
      <c r="H2514" s="30">
        <v>2014</v>
      </c>
      <c r="I2514" s="30">
        <v>37960</v>
      </c>
      <c r="J2514" s="30" t="s">
        <v>5431</v>
      </c>
      <c r="K2514" s="30" t="s">
        <v>5610</v>
      </c>
    </row>
    <row r="2515" spans="1:11" x14ac:dyDescent="0.35">
      <c r="A2515" s="30" t="s">
        <v>14062</v>
      </c>
      <c r="B2515" s="30" t="s">
        <v>14063</v>
      </c>
      <c r="C2515" s="32">
        <v>10.19</v>
      </c>
      <c r="D2515" s="30">
        <v>2.1499999999999998E-2</v>
      </c>
      <c r="E2515" s="31">
        <v>2.1099999999999999E-3</v>
      </c>
      <c r="F2515" s="30">
        <v>573187500</v>
      </c>
      <c r="G2515" s="30" t="s">
        <v>5427</v>
      </c>
      <c r="H2515" s="30">
        <v>2021</v>
      </c>
      <c r="I2515" s="30">
        <v>1532348</v>
      </c>
      <c r="J2515" s="30" t="s">
        <v>5435</v>
      </c>
      <c r="K2515" s="30" t="s">
        <v>5482</v>
      </c>
    </row>
    <row r="2516" spans="1:11" x14ac:dyDescent="0.35">
      <c r="A2516" s="30" t="s">
        <v>14064</v>
      </c>
      <c r="B2516" s="30" t="s">
        <v>14065</v>
      </c>
      <c r="C2516" s="32">
        <v>3.99</v>
      </c>
      <c r="D2516" s="30">
        <v>-0.01</v>
      </c>
      <c r="E2516" s="31">
        <v>-2.5000000000000001E-3</v>
      </c>
      <c r="F2516" s="30">
        <v>502963448</v>
      </c>
      <c r="G2516" s="30" t="s">
        <v>5427</v>
      </c>
      <c r="H2516" s="30">
        <v>2021</v>
      </c>
      <c r="I2516" s="30">
        <v>229735</v>
      </c>
      <c r="J2516" s="30" t="s">
        <v>5431</v>
      </c>
      <c r="K2516" s="30" t="s">
        <v>5430</v>
      </c>
    </row>
    <row r="2517" spans="1:11" x14ac:dyDescent="0.35">
      <c r="A2517" s="30" t="s">
        <v>14066</v>
      </c>
      <c r="B2517" s="30" t="s">
        <v>14067</v>
      </c>
      <c r="C2517" s="32">
        <v>57.04</v>
      </c>
      <c r="D2517" s="30">
        <v>0</v>
      </c>
      <c r="E2517" s="31">
        <v>0</v>
      </c>
      <c r="F2517" s="30">
        <v>84578342</v>
      </c>
      <c r="G2517" s="30" t="s">
        <v>5427</v>
      </c>
      <c r="H2517" s="30"/>
      <c r="I2517" s="30">
        <v>21</v>
      </c>
      <c r="J2517" s="30" t="s">
        <v>5435</v>
      </c>
      <c r="K2517" s="30" t="s">
        <v>5579</v>
      </c>
    </row>
    <row r="2518" spans="1:11" x14ac:dyDescent="0.35">
      <c r="A2518" s="30" t="s">
        <v>14068</v>
      </c>
      <c r="B2518" s="30" t="s">
        <v>14069</v>
      </c>
      <c r="C2518" s="32">
        <v>0.6</v>
      </c>
      <c r="D2518" s="30">
        <v>1.7999999999999999E-2</v>
      </c>
      <c r="E2518" s="31">
        <v>3.0929999999999999E-2</v>
      </c>
      <c r="F2518" s="30">
        <v>154954496</v>
      </c>
      <c r="G2518" s="30" t="s">
        <v>5427</v>
      </c>
      <c r="H2518" s="30"/>
      <c r="I2518" s="30">
        <v>583474</v>
      </c>
      <c r="J2518" s="30" t="s">
        <v>5431</v>
      </c>
      <c r="K2518" s="30" t="s">
        <v>8643</v>
      </c>
    </row>
    <row r="2519" spans="1:11" x14ac:dyDescent="0.35">
      <c r="A2519" s="30" t="s">
        <v>14070</v>
      </c>
      <c r="B2519" s="30" t="s">
        <v>14071</v>
      </c>
      <c r="C2519" s="32">
        <v>7.72</v>
      </c>
      <c r="D2519" s="30">
        <v>-0.08</v>
      </c>
      <c r="E2519" s="31">
        <v>-1.026E-2</v>
      </c>
      <c r="F2519" s="30">
        <v>210201565</v>
      </c>
      <c r="G2519" s="30" t="s">
        <v>5515</v>
      </c>
      <c r="H2519" s="30"/>
      <c r="I2519" s="30">
        <v>3853</v>
      </c>
      <c r="J2519" s="30"/>
      <c r="K2519" s="30"/>
    </row>
    <row r="2520" spans="1:11" x14ac:dyDescent="0.35">
      <c r="A2520" s="30" t="s">
        <v>14072</v>
      </c>
      <c r="B2520" s="30" t="s">
        <v>14073</v>
      </c>
      <c r="C2520" s="32">
        <v>10.220000000000001</v>
      </c>
      <c r="D2520" s="30">
        <v>-1.3599999999999999E-2</v>
      </c>
      <c r="E2520" s="31">
        <v>-1.33E-3</v>
      </c>
      <c r="F2520" s="30">
        <v>110184375</v>
      </c>
      <c r="G2520" s="30" t="s">
        <v>5427</v>
      </c>
      <c r="H2520" s="30">
        <v>2022</v>
      </c>
      <c r="I2520" s="30">
        <v>14762</v>
      </c>
      <c r="J2520" s="30" t="s">
        <v>5457</v>
      </c>
      <c r="K2520" s="30" t="s">
        <v>5571</v>
      </c>
    </row>
    <row r="2521" spans="1:11" x14ac:dyDescent="0.35">
      <c r="A2521" s="30" t="s">
        <v>14074</v>
      </c>
      <c r="B2521" s="30" t="s">
        <v>14075</v>
      </c>
      <c r="C2521" s="32">
        <v>28.67</v>
      </c>
      <c r="D2521" s="30">
        <v>0.52</v>
      </c>
      <c r="E2521" s="31">
        <v>1.847E-2</v>
      </c>
      <c r="F2521" s="30">
        <v>1549040100</v>
      </c>
      <c r="G2521" s="30" t="s">
        <v>5427</v>
      </c>
      <c r="H2521" s="30">
        <v>2014</v>
      </c>
      <c r="I2521" s="30">
        <v>396662</v>
      </c>
      <c r="J2521" s="30" t="s">
        <v>5435</v>
      </c>
      <c r="K2521" s="30" t="s">
        <v>5579</v>
      </c>
    </row>
    <row r="2522" spans="1:11" x14ac:dyDescent="0.35">
      <c r="A2522" s="30" t="s">
        <v>14076</v>
      </c>
      <c r="B2522" s="30" t="s">
        <v>14077</v>
      </c>
      <c r="C2522" s="32">
        <v>157.47999999999999</v>
      </c>
      <c r="D2522" s="30">
        <v>1.1399999999999999</v>
      </c>
      <c r="E2522" s="31">
        <v>7.2899999999999996E-3</v>
      </c>
      <c r="F2522" s="30">
        <v>4431926412</v>
      </c>
      <c r="G2522" s="30" t="s">
        <v>5427</v>
      </c>
      <c r="H2522" s="30"/>
      <c r="I2522" s="30">
        <v>295264</v>
      </c>
      <c r="J2522" s="30" t="s">
        <v>5442</v>
      </c>
      <c r="K2522" s="30" t="s">
        <v>5853</v>
      </c>
    </row>
    <row r="2523" spans="1:11" x14ac:dyDescent="0.35">
      <c r="A2523" s="30" t="s">
        <v>14078</v>
      </c>
      <c r="B2523" s="30" t="s">
        <v>14079</v>
      </c>
      <c r="C2523" s="32">
        <v>28.37</v>
      </c>
      <c r="D2523" s="30">
        <v>0.9</v>
      </c>
      <c r="E2523" s="31">
        <v>3.2759999999999997E-2</v>
      </c>
      <c r="F2523" s="30">
        <v>1339716141</v>
      </c>
      <c r="G2523" s="30" t="s">
        <v>5427</v>
      </c>
      <c r="H2523" s="30"/>
      <c r="I2523" s="30">
        <v>284895</v>
      </c>
      <c r="J2523" s="30" t="s">
        <v>5431</v>
      </c>
      <c r="K2523" s="30" t="s">
        <v>6409</v>
      </c>
    </row>
    <row r="2524" spans="1:11" x14ac:dyDescent="0.35">
      <c r="A2524" s="30" t="s">
        <v>14080</v>
      </c>
      <c r="B2524" s="30" t="s">
        <v>14081</v>
      </c>
      <c r="C2524" s="32">
        <v>1.84</v>
      </c>
      <c r="D2524" s="30">
        <v>0.09</v>
      </c>
      <c r="E2524" s="31">
        <v>5.1429999999999997E-2</v>
      </c>
      <c r="F2524" s="30">
        <v>830422187</v>
      </c>
      <c r="G2524" s="30" t="s">
        <v>5427</v>
      </c>
      <c r="H2524" s="30"/>
      <c r="I2524" s="30">
        <v>1250641</v>
      </c>
      <c r="J2524" s="30" t="s">
        <v>5219</v>
      </c>
      <c r="K2524" s="30" t="s">
        <v>5560</v>
      </c>
    </row>
    <row r="2525" spans="1:11" x14ac:dyDescent="0.35">
      <c r="A2525" s="30" t="s">
        <v>14082</v>
      </c>
      <c r="B2525" s="30" t="s">
        <v>14083</v>
      </c>
      <c r="C2525" s="32">
        <v>30.34</v>
      </c>
      <c r="D2525" s="30">
        <v>0.7</v>
      </c>
      <c r="E2525" s="31">
        <v>2.3619999999999999E-2</v>
      </c>
      <c r="F2525" s="30">
        <v>2077650433</v>
      </c>
      <c r="G2525" s="30" t="s">
        <v>5427</v>
      </c>
      <c r="H2525" s="30">
        <v>2018</v>
      </c>
      <c r="I2525" s="30">
        <v>369966</v>
      </c>
      <c r="J2525" s="30" t="s">
        <v>5435</v>
      </c>
      <c r="K2525" s="30" t="s">
        <v>5434</v>
      </c>
    </row>
    <row r="2526" spans="1:11" x14ac:dyDescent="0.35">
      <c r="A2526" s="30" t="s">
        <v>14084</v>
      </c>
      <c r="B2526" s="30" t="s">
        <v>14085</v>
      </c>
      <c r="C2526" s="32">
        <v>10.049200000000001</v>
      </c>
      <c r="D2526" s="30">
        <v>4.1999999999999997E-3</v>
      </c>
      <c r="E2526" s="31">
        <v>4.2000000000000002E-4</v>
      </c>
      <c r="F2526" s="30">
        <v>274560896</v>
      </c>
      <c r="G2526" s="30" t="s">
        <v>5427</v>
      </c>
      <c r="H2526" s="30">
        <v>2021</v>
      </c>
      <c r="I2526" s="30">
        <v>2106</v>
      </c>
      <c r="J2526" s="30" t="s">
        <v>5435</v>
      </c>
      <c r="K2526" s="30" t="s">
        <v>5598</v>
      </c>
    </row>
    <row r="2527" spans="1:11" x14ac:dyDescent="0.35">
      <c r="A2527" s="30" t="s">
        <v>14086</v>
      </c>
      <c r="B2527" s="30" t="s">
        <v>14087</v>
      </c>
      <c r="C2527" s="32">
        <v>25.96</v>
      </c>
      <c r="D2527" s="30">
        <v>0.83</v>
      </c>
      <c r="E2527" s="31">
        <v>3.3029999999999997E-2</v>
      </c>
      <c r="F2527" s="30">
        <v>1862705180</v>
      </c>
      <c r="G2527" s="30" t="s">
        <v>5427</v>
      </c>
      <c r="H2527" s="30">
        <v>2013</v>
      </c>
      <c r="I2527" s="30">
        <v>821784</v>
      </c>
      <c r="J2527" s="30" t="s">
        <v>5431</v>
      </c>
      <c r="K2527" s="30" t="s">
        <v>5430</v>
      </c>
    </row>
    <row r="2528" spans="1:11" x14ac:dyDescent="0.35">
      <c r="A2528" s="30" t="s">
        <v>14088</v>
      </c>
      <c r="B2528" s="30" t="s">
        <v>14089</v>
      </c>
      <c r="C2528" s="32">
        <v>20.87</v>
      </c>
      <c r="D2528" s="30">
        <v>1.01</v>
      </c>
      <c r="E2528" s="31">
        <v>5.0860000000000002E-2</v>
      </c>
      <c r="F2528" s="30">
        <v>1073242881</v>
      </c>
      <c r="G2528" s="30" t="s">
        <v>5427</v>
      </c>
      <c r="H2528" s="30">
        <v>1994</v>
      </c>
      <c r="I2528" s="30">
        <v>440749</v>
      </c>
      <c r="J2528" s="30" t="s">
        <v>5219</v>
      </c>
      <c r="K2528" s="30" t="s">
        <v>5526</v>
      </c>
    </row>
    <row r="2529" spans="1:11" x14ac:dyDescent="0.35">
      <c r="A2529" s="30" t="s">
        <v>14090</v>
      </c>
      <c r="B2529" s="30" t="s">
        <v>14091</v>
      </c>
      <c r="C2529" s="32">
        <v>8.1199999999999992</v>
      </c>
      <c r="D2529" s="30">
        <v>0.1</v>
      </c>
      <c r="E2529" s="31">
        <v>1.247E-2</v>
      </c>
      <c r="F2529" s="30">
        <v>547221335</v>
      </c>
      <c r="G2529" s="30" t="s">
        <v>5799</v>
      </c>
      <c r="H2529" s="30">
        <v>2021</v>
      </c>
      <c r="I2529" s="30">
        <v>10113</v>
      </c>
      <c r="J2529" s="30" t="s">
        <v>5431</v>
      </c>
      <c r="K2529" s="30" t="s">
        <v>6409</v>
      </c>
    </row>
    <row r="2530" spans="1:11" x14ac:dyDescent="0.35">
      <c r="A2530" s="30" t="s">
        <v>14092</v>
      </c>
      <c r="B2530" s="30" t="s">
        <v>14093</v>
      </c>
      <c r="C2530" s="32">
        <v>0.6</v>
      </c>
      <c r="D2530" s="30">
        <v>9.7500000000000003E-2</v>
      </c>
      <c r="E2530" s="31">
        <v>0.19403000000000001</v>
      </c>
      <c r="F2530" s="30">
        <v>1049476442</v>
      </c>
      <c r="G2530" s="30" t="s">
        <v>6073</v>
      </c>
      <c r="H2530" s="30"/>
      <c r="I2530" s="30">
        <v>3353669</v>
      </c>
      <c r="J2530" s="30" t="s">
        <v>5732</v>
      </c>
      <c r="K2530" s="30" t="s">
        <v>5520</v>
      </c>
    </row>
    <row r="2531" spans="1:11" x14ac:dyDescent="0.35">
      <c r="A2531" s="30" t="s">
        <v>14094</v>
      </c>
      <c r="B2531" s="30" t="s">
        <v>14095</v>
      </c>
      <c r="C2531" s="32">
        <v>8.49</v>
      </c>
      <c r="D2531" s="30">
        <v>0.01</v>
      </c>
      <c r="E2531" s="31">
        <v>1.1800000000000001E-3</v>
      </c>
      <c r="F2531" s="30">
        <v>234813364</v>
      </c>
      <c r="G2531" s="30" t="s">
        <v>5427</v>
      </c>
      <c r="H2531" s="30">
        <v>2021</v>
      </c>
      <c r="I2531" s="30">
        <v>260776</v>
      </c>
      <c r="J2531" s="30" t="s">
        <v>5431</v>
      </c>
      <c r="K2531" s="30" t="s">
        <v>5430</v>
      </c>
    </row>
    <row r="2532" spans="1:11" x14ac:dyDescent="0.35">
      <c r="A2532" s="30" t="s">
        <v>14096</v>
      </c>
      <c r="B2532" s="30" t="s">
        <v>14097</v>
      </c>
      <c r="C2532" s="32">
        <v>9.9700000000000006</v>
      </c>
      <c r="D2532" s="30">
        <v>1.52</v>
      </c>
      <c r="E2532" s="31">
        <v>0.17988000000000001</v>
      </c>
      <c r="F2532" s="30">
        <v>361807631</v>
      </c>
      <c r="G2532" s="30" t="s">
        <v>5427</v>
      </c>
      <c r="H2532" s="30">
        <v>2017</v>
      </c>
      <c r="I2532" s="30">
        <v>1887853</v>
      </c>
      <c r="J2532" s="30" t="s">
        <v>5219</v>
      </c>
      <c r="K2532" s="30" t="s">
        <v>5447</v>
      </c>
    </row>
    <row r="2533" spans="1:11" x14ac:dyDescent="0.35">
      <c r="A2533" s="30" t="s">
        <v>14098</v>
      </c>
      <c r="B2533" s="30" t="s">
        <v>14099</v>
      </c>
      <c r="C2533" s="32">
        <v>5.9</v>
      </c>
      <c r="D2533" s="30">
        <v>0.14000000000000001</v>
      </c>
      <c r="E2533" s="31">
        <v>2.4309999999999998E-2</v>
      </c>
      <c r="F2533" s="30">
        <v>475676455</v>
      </c>
      <c r="G2533" s="30" t="s">
        <v>5427</v>
      </c>
      <c r="H2533" s="30"/>
      <c r="I2533" s="30">
        <v>2257877</v>
      </c>
      <c r="J2533" s="30" t="s">
        <v>5431</v>
      </c>
      <c r="K2533" s="30" t="s">
        <v>5430</v>
      </c>
    </row>
    <row r="2534" spans="1:11" x14ac:dyDescent="0.35">
      <c r="A2534" s="30" t="s">
        <v>14100</v>
      </c>
      <c r="B2534" s="30" t="s">
        <v>14101</v>
      </c>
      <c r="C2534" s="32">
        <v>22.07</v>
      </c>
      <c r="D2534" s="30">
        <v>-0.68</v>
      </c>
      <c r="E2534" s="31">
        <v>-2.989E-2</v>
      </c>
      <c r="F2534" s="30">
        <v>1359595601</v>
      </c>
      <c r="G2534" s="30" t="s">
        <v>5427</v>
      </c>
      <c r="H2534" s="30">
        <v>2021</v>
      </c>
      <c r="I2534" s="30">
        <v>778561</v>
      </c>
      <c r="J2534" s="30" t="s">
        <v>5431</v>
      </c>
      <c r="K2534" s="30" t="s">
        <v>5685</v>
      </c>
    </row>
    <row r="2535" spans="1:11" x14ac:dyDescent="0.35">
      <c r="A2535" s="30" t="s">
        <v>14102</v>
      </c>
      <c r="B2535" s="30" t="s">
        <v>14103</v>
      </c>
      <c r="C2535" s="32">
        <v>13.88</v>
      </c>
      <c r="D2535" s="30">
        <v>0.38</v>
      </c>
      <c r="E2535" s="31">
        <v>2.8150000000000001E-2</v>
      </c>
      <c r="F2535" s="30">
        <v>2082553590</v>
      </c>
      <c r="G2535" s="30" t="s">
        <v>5427</v>
      </c>
      <c r="H2535" s="30">
        <v>2020</v>
      </c>
      <c r="I2535" s="30">
        <v>161178</v>
      </c>
      <c r="J2535" s="30" t="s">
        <v>5219</v>
      </c>
      <c r="K2535" s="30" t="s">
        <v>5447</v>
      </c>
    </row>
    <row r="2536" spans="1:11" x14ac:dyDescent="0.35">
      <c r="A2536" s="30" t="s">
        <v>14104</v>
      </c>
      <c r="B2536" s="30" t="s">
        <v>14105</v>
      </c>
      <c r="C2536" s="32">
        <v>8.25</v>
      </c>
      <c r="D2536" s="30">
        <v>0.2601</v>
      </c>
      <c r="E2536" s="31">
        <v>3.2550000000000003E-2</v>
      </c>
      <c r="F2536" s="30">
        <v>122718750</v>
      </c>
      <c r="G2536" s="30" t="s">
        <v>5427</v>
      </c>
      <c r="H2536" s="30">
        <v>2019</v>
      </c>
      <c r="I2536" s="30">
        <v>5066</v>
      </c>
      <c r="J2536" s="30" t="s">
        <v>5435</v>
      </c>
      <c r="K2536" s="30" t="s">
        <v>6352</v>
      </c>
    </row>
    <row r="2537" spans="1:11" x14ac:dyDescent="0.35">
      <c r="A2537" s="30" t="s">
        <v>14106</v>
      </c>
      <c r="B2537" s="30" t="s">
        <v>14107</v>
      </c>
      <c r="C2537" s="32">
        <v>1.1399999999999999</v>
      </c>
      <c r="D2537" s="30">
        <v>0.06</v>
      </c>
      <c r="E2537" s="31">
        <v>5.5559999999999998E-2</v>
      </c>
      <c r="F2537" s="30">
        <v>104753379</v>
      </c>
      <c r="G2537" s="30" t="s">
        <v>5515</v>
      </c>
      <c r="H2537" s="30"/>
      <c r="I2537" s="30">
        <v>2212781</v>
      </c>
      <c r="J2537" s="30"/>
      <c r="K2537" s="30"/>
    </row>
    <row r="2538" spans="1:11" x14ac:dyDescent="0.35">
      <c r="A2538" s="30" t="s">
        <v>14108</v>
      </c>
      <c r="B2538" s="30" t="s">
        <v>14109</v>
      </c>
      <c r="C2538" s="32">
        <v>10.35</v>
      </c>
      <c r="D2538" s="30">
        <v>0</v>
      </c>
      <c r="E2538" s="31">
        <v>0</v>
      </c>
      <c r="F2538" s="30">
        <v>258879375</v>
      </c>
      <c r="G2538" s="30" t="s">
        <v>5427</v>
      </c>
      <c r="H2538" s="30">
        <v>2022</v>
      </c>
      <c r="I2538" s="30">
        <v>104</v>
      </c>
      <c r="J2538" s="30" t="s">
        <v>5435</v>
      </c>
      <c r="K2538" s="30" t="s">
        <v>5482</v>
      </c>
    </row>
    <row r="2539" spans="1:11" x14ac:dyDescent="0.35">
      <c r="A2539" s="30" t="s">
        <v>14110</v>
      </c>
      <c r="B2539" s="30" t="s">
        <v>14111</v>
      </c>
      <c r="C2539" s="32">
        <v>6.8</v>
      </c>
      <c r="D2539" s="30">
        <v>0.09</v>
      </c>
      <c r="E2539" s="31">
        <v>1.341E-2</v>
      </c>
      <c r="F2539" s="30">
        <v>107832809</v>
      </c>
      <c r="G2539" s="30" t="s">
        <v>5427</v>
      </c>
      <c r="H2539" s="30">
        <v>2014</v>
      </c>
      <c r="I2539" s="30">
        <v>88529</v>
      </c>
      <c r="J2539" s="30" t="s">
        <v>5426</v>
      </c>
      <c r="K2539" s="30" t="s">
        <v>5593</v>
      </c>
    </row>
    <row r="2540" spans="1:11" x14ac:dyDescent="0.35">
      <c r="A2540" s="30" t="s">
        <v>14112</v>
      </c>
      <c r="B2540" s="30" t="s">
        <v>14113</v>
      </c>
      <c r="C2540" s="32">
        <v>11.43</v>
      </c>
      <c r="D2540" s="30">
        <v>0.13</v>
      </c>
      <c r="E2540" s="31">
        <v>1.15E-2</v>
      </c>
      <c r="F2540" s="30">
        <v>2587277415</v>
      </c>
      <c r="G2540" s="30" t="s">
        <v>5427</v>
      </c>
      <c r="H2540" s="30"/>
      <c r="I2540" s="30">
        <v>2658292</v>
      </c>
      <c r="J2540" s="30" t="s">
        <v>5219</v>
      </c>
      <c r="K2540" s="30" t="s">
        <v>5780</v>
      </c>
    </row>
    <row r="2541" spans="1:11" x14ac:dyDescent="0.35">
      <c r="A2541" s="30" t="s">
        <v>14114</v>
      </c>
      <c r="B2541" s="30" t="s">
        <v>14115</v>
      </c>
      <c r="C2541" s="32">
        <v>70.16</v>
      </c>
      <c r="D2541" s="30">
        <v>0.73</v>
      </c>
      <c r="E2541" s="31">
        <v>1.051E-2</v>
      </c>
      <c r="F2541" s="30">
        <v>3090445075</v>
      </c>
      <c r="G2541" s="30" t="s">
        <v>5427</v>
      </c>
      <c r="H2541" s="30"/>
      <c r="I2541" s="30">
        <v>354589</v>
      </c>
      <c r="J2541" s="30" t="s">
        <v>5219</v>
      </c>
      <c r="K2541" s="30" t="s">
        <v>5644</v>
      </c>
    </row>
    <row r="2542" spans="1:11" x14ac:dyDescent="0.35">
      <c r="A2542" s="30" t="s">
        <v>14116</v>
      </c>
      <c r="B2542" s="30" t="s">
        <v>14117</v>
      </c>
      <c r="C2542" s="32">
        <v>0.83689999999999998</v>
      </c>
      <c r="D2542" s="30">
        <v>1.6899999999999998E-2</v>
      </c>
      <c r="E2542" s="31">
        <v>2.061E-2</v>
      </c>
      <c r="F2542" s="30">
        <v>199553209</v>
      </c>
      <c r="G2542" s="30" t="s">
        <v>5427</v>
      </c>
      <c r="H2542" s="30">
        <v>2020</v>
      </c>
      <c r="I2542" s="30">
        <v>524188</v>
      </c>
      <c r="J2542" s="30" t="s">
        <v>5442</v>
      </c>
      <c r="K2542" s="30" t="s">
        <v>5965</v>
      </c>
    </row>
    <row r="2543" spans="1:11" x14ac:dyDescent="0.35">
      <c r="A2543" s="30" t="s">
        <v>14118</v>
      </c>
      <c r="B2543" s="30" t="s">
        <v>14119</v>
      </c>
      <c r="C2543" s="32">
        <v>10.65</v>
      </c>
      <c r="D2543" s="30">
        <v>-0.19</v>
      </c>
      <c r="E2543" s="31">
        <v>-1.753E-2</v>
      </c>
      <c r="F2543" s="30">
        <v>378729070</v>
      </c>
      <c r="G2543" s="30" t="s">
        <v>5427</v>
      </c>
      <c r="H2543" s="30">
        <v>2022</v>
      </c>
      <c r="I2543" s="30">
        <v>12349</v>
      </c>
      <c r="J2543" s="30" t="s">
        <v>5431</v>
      </c>
      <c r="K2543" s="30" t="s">
        <v>5430</v>
      </c>
    </row>
    <row r="2544" spans="1:11" x14ac:dyDescent="0.35">
      <c r="A2544" s="30" t="s">
        <v>14120</v>
      </c>
      <c r="B2544" s="30" t="s">
        <v>14121</v>
      </c>
      <c r="C2544" s="32">
        <v>10.24</v>
      </c>
      <c r="D2544" s="30">
        <v>6.0499999999999998E-2</v>
      </c>
      <c r="E2544" s="31">
        <v>5.94E-3</v>
      </c>
      <c r="F2544" s="30">
        <v>294400000</v>
      </c>
      <c r="G2544" s="30" t="s">
        <v>5427</v>
      </c>
      <c r="H2544" s="30">
        <v>2021</v>
      </c>
      <c r="I2544" s="30">
        <v>840</v>
      </c>
      <c r="J2544" s="30" t="s">
        <v>5457</v>
      </c>
      <c r="K2544" s="30" t="s">
        <v>5571</v>
      </c>
    </row>
    <row r="2545" spans="1:11" x14ac:dyDescent="0.35">
      <c r="A2545" s="30" t="s">
        <v>14122</v>
      </c>
      <c r="B2545" s="30" t="s">
        <v>14123</v>
      </c>
      <c r="C2545" s="32">
        <v>29.16</v>
      </c>
      <c r="D2545" s="30">
        <v>-0.39</v>
      </c>
      <c r="E2545" s="31">
        <v>-1.32E-2</v>
      </c>
      <c r="F2545" s="30">
        <v>3881651508</v>
      </c>
      <c r="G2545" s="30" t="s">
        <v>5427</v>
      </c>
      <c r="H2545" s="30">
        <v>2019</v>
      </c>
      <c r="I2545" s="30">
        <v>740291</v>
      </c>
      <c r="J2545" s="30" t="s">
        <v>5431</v>
      </c>
      <c r="K2545" s="30" t="s">
        <v>5430</v>
      </c>
    </row>
    <row r="2546" spans="1:11" x14ac:dyDescent="0.35">
      <c r="A2546" s="30" t="s">
        <v>14124</v>
      </c>
      <c r="B2546" s="30" t="s">
        <v>14125</v>
      </c>
      <c r="C2546" s="32">
        <v>4.87</v>
      </c>
      <c r="D2546" s="30">
        <v>-0.03</v>
      </c>
      <c r="E2546" s="31">
        <v>-6.1199999999999996E-3</v>
      </c>
      <c r="F2546" s="30">
        <v>78947497</v>
      </c>
      <c r="G2546" s="30" t="s">
        <v>5427</v>
      </c>
      <c r="H2546" s="30"/>
      <c r="I2546" s="30">
        <v>25529</v>
      </c>
      <c r="J2546" s="30" t="s">
        <v>5442</v>
      </c>
      <c r="K2546" s="30" t="s">
        <v>5438</v>
      </c>
    </row>
    <row r="2547" spans="1:11" x14ac:dyDescent="0.35">
      <c r="A2547" s="30" t="s">
        <v>14126</v>
      </c>
      <c r="B2547" s="30" t="s">
        <v>14127</v>
      </c>
      <c r="C2547" s="32">
        <v>19.38</v>
      </c>
      <c r="D2547" s="30">
        <v>7.0000000000000007E-2</v>
      </c>
      <c r="E2547" s="31">
        <v>3.63E-3</v>
      </c>
      <c r="F2547" s="30">
        <v>3530917065</v>
      </c>
      <c r="G2547" s="30" t="s">
        <v>5427</v>
      </c>
      <c r="H2547" s="30">
        <v>2015</v>
      </c>
      <c r="I2547" s="30">
        <v>1526765</v>
      </c>
      <c r="J2547" s="30" t="s">
        <v>5435</v>
      </c>
      <c r="K2547" s="30" t="s">
        <v>6221</v>
      </c>
    </row>
    <row r="2548" spans="1:11" x14ac:dyDescent="0.35">
      <c r="A2548" s="30" t="s">
        <v>14128</v>
      </c>
      <c r="B2548" s="30" t="s">
        <v>14129</v>
      </c>
      <c r="C2548" s="32">
        <v>2.0699999999999998</v>
      </c>
      <c r="D2548" s="30">
        <v>-0.01</v>
      </c>
      <c r="E2548" s="31">
        <v>-4.81E-3</v>
      </c>
      <c r="F2548" s="30">
        <v>79068504</v>
      </c>
      <c r="G2548" s="30" t="s">
        <v>5427</v>
      </c>
      <c r="H2548" s="30">
        <v>2005</v>
      </c>
      <c r="I2548" s="30">
        <v>60643</v>
      </c>
      <c r="J2548" s="30" t="s">
        <v>5431</v>
      </c>
      <c r="K2548" s="30" t="s">
        <v>5430</v>
      </c>
    </row>
    <row r="2549" spans="1:11" x14ac:dyDescent="0.35">
      <c r="A2549" s="30" t="s">
        <v>14130</v>
      </c>
      <c r="B2549" s="30" t="s">
        <v>14131</v>
      </c>
      <c r="C2549" s="32">
        <v>17.649999999999999</v>
      </c>
      <c r="D2549" s="30">
        <v>7.0000000000000007E-2</v>
      </c>
      <c r="E2549" s="31">
        <v>3.98E-3</v>
      </c>
      <c r="F2549" s="30">
        <v>718917664</v>
      </c>
      <c r="G2549" s="30" t="s">
        <v>5427</v>
      </c>
      <c r="H2549" s="30">
        <v>2020</v>
      </c>
      <c r="I2549" s="30">
        <v>163563</v>
      </c>
      <c r="J2549" s="30" t="s">
        <v>5541</v>
      </c>
      <c r="K2549" s="30" t="s">
        <v>5774</v>
      </c>
    </row>
    <row r="2550" spans="1:11" x14ac:dyDescent="0.35">
      <c r="A2550" s="30" t="s">
        <v>14132</v>
      </c>
      <c r="B2550" s="30" t="s">
        <v>14133</v>
      </c>
      <c r="C2550" s="32">
        <v>8.8000000000000007</v>
      </c>
      <c r="D2550" s="30">
        <v>0.04</v>
      </c>
      <c r="E2550" s="31">
        <v>4.5700000000000003E-3</v>
      </c>
      <c r="F2550" s="30">
        <v>674858606</v>
      </c>
      <c r="G2550" s="30" t="s">
        <v>5427</v>
      </c>
      <c r="H2550" s="30">
        <v>2015</v>
      </c>
      <c r="I2550" s="30">
        <v>1987319</v>
      </c>
      <c r="J2550" s="30" t="s">
        <v>5431</v>
      </c>
      <c r="K2550" s="30" t="s">
        <v>5430</v>
      </c>
    </row>
    <row r="2551" spans="1:11" x14ac:dyDescent="0.35">
      <c r="A2551" s="30" t="s">
        <v>14134</v>
      </c>
      <c r="B2551" s="30" t="s">
        <v>14135</v>
      </c>
      <c r="C2551" s="32">
        <v>1.21</v>
      </c>
      <c r="D2551" s="30">
        <v>0.04</v>
      </c>
      <c r="E2551" s="31">
        <v>3.4189999999999998E-2</v>
      </c>
      <c r="F2551" s="30">
        <v>288321059</v>
      </c>
      <c r="G2551" s="30" t="s">
        <v>5427</v>
      </c>
      <c r="H2551" s="30"/>
      <c r="I2551" s="30">
        <v>2445088</v>
      </c>
      <c r="J2551" s="30" t="s">
        <v>5457</v>
      </c>
      <c r="K2551" s="30" t="s">
        <v>5644</v>
      </c>
    </row>
    <row r="2552" spans="1:11" x14ac:dyDescent="0.35">
      <c r="A2552" s="30" t="s">
        <v>14136</v>
      </c>
      <c r="B2552" s="30" t="s">
        <v>14137</v>
      </c>
      <c r="C2552" s="32">
        <v>23.39</v>
      </c>
      <c r="D2552" s="30">
        <v>0.13</v>
      </c>
      <c r="E2552" s="31">
        <v>5.5900000000000004E-3</v>
      </c>
      <c r="F2552" s="30">
        <v>339444896</v>
      </c>
      <c r="G2552" s="30" t="s">
        <v>5427</v>
      </c>
      <c r="H2552" s="30"/>
      <c r="I2552" s="30">
        <v>24527</v>
      </c>
      <c r="J2552" s="30" t="s">
        <v>5541</v>
      </c>
      <c r="K2552" s="30" t="s">
        <v>5540</v>
      </c>
    </row>
    <row r="2553" spans="1:11" x14ac:dyDescent="0.35">
      <c r="A2553" s="30" t="s">
        <v>14138</v>
      </c>
      <c r="B2553" s="30" t="s">
        <v>14139</v>
      </c>
      <c r="C2553" s="32">
        <v>12.06</v>
      </c>
      <c r="D2553" s="30">
        <v>0.18</v>
      </c>
      <c r="E2553" s="31">
        <v>1.515E-2</v>
      </c>
      <c r="F2553" s="30">
        <v>6106876205</v>
      </c>
      <c r="G2553" s="30" t="s">
        <v>5427</v>
      </c>
      <c r="H2553" s="30"/>
      <c r="I2553" s="30">
        <v>2422239</v>
      </c>
      <c r="J2553" s="30" t="s">
        <v>5435</v>
      </c>
      <c r="K2553" s="30" t="s">
        <v>5579</v>
      </c>
    </row>
    <row r="2554" spans="1:11" x14ac:dyDescent="0.35">
      <c r="A2554" s="30" t="s">
        <v>14140</v>
      </c>
      <c r="B2554" s="30" t="s">
        <v>14141</v>
      </c>
      <c r="C2554" s="32">
        <v>10.45</v>
      </c>
      <c r="D2554" s="30">
        <v>0.01</v>
      </c>
      <c r="E2554" s="31">
        <v>9.6000000000000002E-4</v>
      </c>
      <c r="F2554" s="30">
        <v>287505134</v>
      </c>
      <c r="G2554" s="30" t="s">
        <v>5427</v>
      </c>
      <c r="H2554" s="30">
        <v>2022</v>
      </c>
      <c r="I2554" s="30">
        <v>271807</v>
      </c>
      <c r="J2554" s="30" t="s">
        <v>5435</v>
      </c>
      <c r="K2554" s="30" t="s">
        <v>5482</v>
      </c>
    </row>
    <row r="2555" spans="1:11" x14ac:dyDescent="0.35">
      <c r="A2555" s="30" t="s">
        <v>14142</v>
      </c>
      <c r="B2555" s="30" t="s">
        <v>14143</v>
      </c>
      <c r="C2555" s="32">
        <v>8.7100000000000009</v>
      </c>
      <c r="D2555" s="30">
        <v>0.22</v>
      </c>
      <c r="E2555" s="31">
        <v>2.5909999999999999E-2</v>
      </c>
      <c r="F2555" s="30">
        <v>331155480</v>
      </c>
      <c r="G2555" s="30" t="s">
        <v>5427</v>
      </c>
      <c r="H2555" s="30"/>
      <c r="I2555" s="30">
        <v>96878</v>
      </c>
      <c r="J2555" s="30"/>
      <c r="K2555" s="30"/>
    </row>
    <row r="2556" spans="1:11" x14ac:dyDescent="0.35">
      <c r="A2556" s="30" t="s">
        <v>14144</v>
      </c>
      <c r="B2556" s="30" t="s">
        <v>14145</v>
      </c>
      <c r="C2556" s="32">
        <v>4.7</v>
      </c>
      <c r="D2556" s="30">
        <v>0.16</v>
      </c>
      <c r="E2556" s="31">
        <v>3.524E-2</v>
      </c>
      <c r="F2556" s="30">
        <v>826256475</v>
      </c>
      <c r="G2556" s="30" t="s">
        <v>5427</v>
      </c>
      <c r="H2556" s="30"/>
      <c r="I2556" s="30">
        <v>2223906</v>
      </c>
      <c r="J2556" s="30" t="s">
        <v>5219</v>
      </c>
      <c r="K2556" s="30" t="s">
        <v>5560</v>
      </c>
    </row>
    <row r="2557" spans="1:11" x14ac:dyDescent="0.35">
      <c r="A2557" s="30" t="s">
        <v>14146</v>
      </c>
      <c r="B2557" s="30" t="s">
        <v>14147</v>
      </c>
      <c r="C2557" s="32">
        <v>10.25</v>
      </c>
      <c r="D2557" s="30">
        <v>0</v>
      </c>
      <c r="E2557" s="31">
        <v>0</v>
      </c>
      <c r="F2557" s="30">
        <v>294687500</v>
      </c>
      <c r="G2557" s="30" t="s">
        <v>5427</v>
      </c>
      <c r="H2557" s="30">
        <v>2022</v>
      </c>
      <c r="I2557" s="30">
        <v>3370</v>
      </c>
      <c r="J2557" s="30" t="s">
        <v>5457</v>
      </c>
      <c r="K2557" s="30" t="s">
        <v>5571</v>
      </c>
    </row>
    <row r="2558" spans="1:11" x14ac:dyDescent="0.35">
      <c r="A2558" s="30" t="s">
        <v>5075</v>
      </c>
      <c r="B2558" s="30" t="s">
        <v>14148</v>
      </c>
      <c r="C2558" s="32">
        <v>7.67</v>
      </c>
      <c r="D2558" s="30">
        <v>-0.01</v>
      </c>
      <c r="E2558" s="31">
        <v>-1.2999999999999999E-3</v>
      </c>
      <c r="F2558" s="30">
        <v>434045668</v>
      </c>
      <c r="G2558" s="30" t="s">
        <v>5427</v>
      </c>
      <c r="H2558" s="30">
        <v>2006</v>
      </c>
      <c r="I2558" s="30">
        <v>624851</v>
      </c>
      <c r="J2558" s="30" t="s">
        <v>5431</v>
      </c>
      <c r="K2558" s="30" t="s">
        <v>5430</v>
      </c>
    </row>
    <row r="2559" spans="1:11" x14ac:dyDescent="0.35">
      <c r="A2559" s="30" t="s">
        <v>14149</v>
      </c>
      <c r="B2559" s="30" t="s">
        <v>14150</v>
      </c>
      <c r="C2559" s="32">
        <v>30.85</v>
      </c>
      <c r="D2559" s="30">
        <v>-0.9</v>
      </c>
      <c r="E2559" s="31">
        <v>-2.835E-2</v>
      </c>
      <c r="F2559" s="30">
        <v>2288611600</v>
      </c>
      <c r="G2559" s="30" t="s">
        <v>5427</v>
      </c>
      <c r="H2559" s="30">
        <v>2014</v>
      </c>
      <c r="I2559" s="30">
        <v>559494</v>
      </c>
      <c r="J2559" s="30" t="s">
        <v>5464</v>
      </c>
      <c r="K2559" s="30" t="s">
        <v>5463</v>
      </c>
    </row>
    <row r="2560" spans="1:11" x14ac:dyDescent="0.35">
      <c r="A2560" s="30" t="s">
        <v>14151</v>
      </c>
      <c r="B2560" s="30" t="s">
        <v>14152</v>
      </c>
      <c r="C2560" s="32">
        <v>11.42</v>
      </c>
      <c r="D2560" s="30">
        <v>-0.16</v>
      </c>
      <c r="E2560" s="31">
        <v>-1.3820000000000001E-2</v>
      </c>
      <c r="F2560" s="30">
        <v>31052884411</v>
      </c>
      <c r="G2560" s="30" t="s">
        <v>5775</v>
      </c>
      <c r="H2560" s="30"/>
      <c r="I2560" s="30">
        <v>7084246</v>
      </c>
      <c r="J2560" s="30" t="s">
        <v>5732</v>
      </c>
      <c r="K2560" s="30" t="s">
        <v>5520</v>
      </c>
    </row>
    <row r="2561" spans="1:11" x14ac:dyDescent="0.35">
      <c r="A2561" s="30" t="s">
        <v>14153</v>
      </c>
      <c r="B2561" s="30" t="s">
        <v>14154</v>
      </c>
      <c r="C2561" s="32">
        <v>5.29</v>
      </c>
      <c r="D2561" s="30">
        <v>0.02</v>
      </c>
      <c r="E2561" s="31">
        <v>3.8E-3</v>
      </c>
      <c r="F2561" s="30">
        <v>347285717</v>
      </c>
      <c r="G2561" s="30" t="s">
        <v>5427</v>
      </c>
      <c r="H2561" s="30">
        <v>2021</v>
      </c>
      <c r="I2561" s="30">
        <v>69061</v>
      </c>
      <c r="J2561" s="30" t="s">
        <v>5431</v>
      </c>
      <c r="K2561" s="30" t="s">
        <v>5430</v>
      </c>
    </row>
    <row r="2562" spans="1:11" x14ac:dyDescent="0.35">
      <c r="A2562" s="30" t="s">
        <v>14155</v>
      </c>
      <c r="B2562" s="30" t="s">
        <v>14156</v>
      </c>
      <c r="C2562" s="32">
        <v>1.68</v>
      </c>
      <c r="D2562" s="30">
        <v>0</v>
      </c>
      <c r="E2562" s="31">
        <v>0</v>
      </c>
      <c r="F2562" s="30">
        <v>566183997</v>
      </c>
      <c r="G2562" s="30" t="s">
        <v>5427</v>
      </c>
      <c r="H2562" s="30">
        <v>2021</v>
      </c>
      <c r="I2562" s="30">
        <v>433246</v>
      </c>
      <c r="J2562" s="30"/>
      <c r="K2562" s="30"/>
    </row>
    <row r="2563" spans="1:11" x14ac:dyDescent="0.35">
      <c r="A2563" s="30" t="s">
        <v>14157</v>
      </c>
      <c r="B2563" s="30" t="s">
        <v>14158</v>
      </c>
      <c r="C2563" s="32">
        <v>2.5499999999999998</v>
      </c>
      <c r="D2563" s="30">
        <v>0.1799</v>
      </c>
      <c r="E2563" s="31">
        <v>7.5899999999999995E-2</v>
      </c>
      <c r="F2563" s="30">
        <v>114133586</v>
      </c>
      <c r="G2563" s="30" t="s">
        <v>5515</v>
      </c>
      <c r="H2563" s="30"/>
      <c r="I2563" s="30">
        <v>48547</v>
      </c>
      <c r="J2563" s="30"/>
      <c r="K2563" s="30"/>
    </row>
    <row r="2564" spans="1:11" x14ac:dyDescent="0.35">
      <c r="A2564" s="30" t="s">
        <v>14159</v>
      </c>
      <c r="B2564" s="30" t="s">
        <v>14160</v>
      </c>
      <c r="C2564" s="32">
        <v>10.7</v>
      </c>
      <c r="D2564" s="30">
        <v>0.155</v>
      </c>
      <c r="E2564" s="31">
        <v>1.47E-2</v>
      </c>
      <c r="F2564" s="30">
        <v>252747054</v>
      </c>
      <c r="G2564" s="30" t="s">
        <v>5427</v>
      </c>
      <c r="H2564" s="30"/>
      <c r="I2564" s="30">
        <v>96035</v>
      </c>
      <c r="J2564" s="30" t="s">
        <v>5541</v>
      </c>
      <c r="K2564" s="30" t="s">
        <v>5571</v>
      </c>
    </row>
    <row r="2565" spans="1:11" x14ac:dyDescent="0.35">
      <c r="A2565" s="30" t="s">
        <v>14161</v>
      </c>
      <c r="B2565" s="30" t="s">
        <v>14162</v>
      </c>
      <c r="C2565" s="32">
        <v>10.19</v>
      </c>
      <c r="D2565" s="30">
        <v>0.01</v>
      </c>
      <c r="E2565" s="31">
        <v>9.7999999999999997E-4</v>
      </c>
      <c r="F2565" s="30">
        <v>325805716</v>
      </c>
      <c r="G2565" s="30" t="s">
        <v>5427</v>
      </c>
      <c r="H2565" s="30">
        <v>2021</v>
      </c>
      <c r="I2565" s="30">
        <v>351780</v>
      </c>
      <c r="J2565" s="30" t="s">
        <v>5435</v>
      </c>
      <c r="K2565" s="30" t="s">
        <v>5482</v>
      </c>
    </row>
    <row r="2566" spans="1:11" x14ac:dyDescent="0.35">
      <c r="A2566" s="30" t="s">
        <v>14163</v>
      </c>
      <c r="B2566" s="30" t="s">
        <v>14164</v>
      </c>
      <c r="C2566" s="32">
        <v>5.87</v>
      </c>
      <c r="D2566" s="30">
        <v>-0.08</v>
      </c>
      <c r="E2566" s="31">
        <v>-1.345E-2</v>
      </c>
      <c r="F2566" s="30">
        <v>181241204</v>
      </c>
      <c r="G2566" s="30" t="s">
        <v>5427</v>
      </c>
      <c r="H2566" s="30">
        <v>2010</v>
      </c>
      <c r="I2566" s="30">
        <v>253494</v>
      </c>
      <c r="J2566" s="30" t="s">
        <v>5442</v>
      </c>
      <c r="K2566" s="30" t="s">
        <v>5692</v>
      </c>
    </row>
    <row r="2567" spans="1:11" x14ac:dyDescent="0.35">
      <c r="A2567" s="30" t="s">
        <v>14165</v>
      </c>
      <c r="B2567" s="30" t="s">
        <v>14166</v>
      </c>
      <c r="C2567" s="32">
        <v>4.59</v>
      </c>
      <c r="D2567" s="30">
        <v>0.09</v>
      </c>
      <c r="E2567" s="31">
        <v>0.02</v>
      </c>
      <c r="F2567" s="30">
        <v>62404419</v>
      </c>
      <c r="G2567" s="30" t="s">
        <v>5427</v>
      </c>
      <c r="H2567" s="30">
        <v>2021</v>
      </c>
      <c r="I2567" s="30">
        <v>75196</v>
      </c>
      <c r="J2567" s="30" t="s">
        <v>5219</v>
      </c>
      <c r="K2567" s="30" t="s">
        <v>5812</v>
      </c>
    </row>
    <row r="2568" spans="1:11" x14ac:dyDescent="0.35">
      <c r="A2568" s="30" t="s">
        <v>14167</v>
      </c>
      <c r="B2568" s="30" t="s">
        <v>14168</v>
      </c>
      <c r="C2568" s="32">
        <v>4.59</v>
      </c>
      <c r="D2568" s="30">
        <v>0</v>
      </c>
      <c r="E2568" s="31">
        <v>0</v>
      </c>
      <c r="F2568" s="30">
        <v>832698430</v>
      </c>
      <c r="G2568" s="30" t="s">
        <v>5427</v>
      </c>
      <c r="H2568" s="30"/>
      <c r="I2568" s="30">
        <v>992952</v>
      </c>
      <c r="J2568" s="30" t="s">
        <v>5431</v>
      </c>
      <c r="K2568" s="30" t="s">
        <v>5438</v>
      </c>
    </row>
    <row r="2569" spans="1:11" x14ac:dyDescent="0.35">
      <c r="A2569" s="30" t="s">
        <v>14169</v>
      </c>
      <c r="B2569" s="30" t="s">
        <v>14170</v>
      </c>
      <c r="C2569" s="32">
        <v>4.9800000000000004</v>
      </c>
      <c r="D2569" s="30">
        <v>0.36</v>
      </c>
      <c r="E2569" s="31">
        <v>7.7920000000000003E-2</v>
      </c>
      <c r="F2569" s="30">
        <v>204648384</v>
      </c>
      <c r="G2569" s="30" t="s">
        <v>5427</v>
      </c>
      <c r="H2569" s="30">
        <v>2018</v>
      </c>
      <c r="I2569" s="30">
        <v>580308</v>
      </c>
      <c r="J2569" s="30" t="s">
        <v>5431</v>
      </c>
      <c r="K2569" s="30" t="s">
        <v>5430</v>
      </c>
    </row>
    <row r="2570" spans="1:11" x14ac:dyDescent="0.35">
      <c r="A2570" s="30" t="s">
        <v>14171</v>
      </c>
      <c r="B2570" s="30" t="s">
        <v>14172</v>
      </c>
      <c r="C2570" s="32">
        <v>37.299999999999997</v>
      </c>
      <c r="D2570" s="30">
        <v>0.78</v>
      </c>
      <c r="E2570" s="31">
        <v>2.1360000000000001E-2</v>
      </c>
      <c r="F2570" s="30">
        <v>1501259650</v>
      </c>
      <c r="G2570" s="30" t="s">
        <v>5427</v>
      </c>
      <c r="H2570" s="30">
        <v>2014</v>
      </c>
      <c r="I2570" s="30">
        <v>401924</v>
      </c>
      <c r="J2570" s="30" t="s">
        <v>5431</v>
      </c>
      <c r="K2570" s="30" t="s">
        <v>5430</v>
      </c>
    </row>
    <row r="2571" spans="1:11" x14ac:dyDescent="0.35">
      <c r="A2571" s="30" t="s">
        <v>14173</v>
      </c>
      <c r="B2571" s="30" t="s">
        <v>14174</v>
      </c>
      <c r="C2571" s="32">
        <v>18.809999999999999</v>
      </c>
      <c r="D2571" s="30">
        <v>-2.68</v>
      </c>
      <c r="E2571" s="31">
        <v>-0.12471</v>
      </c>
      <c r="F2571" s="30">
        <v>754038351</v>
      </c>
      <c r="G2571" s="30" t="s">
        <v>5427</v>
      </c>
      <c r="H2571" s="30"/>
      <c r="I2571" s="30">
        <v>1764479</v>
      </c>
      <c r="J2571" s="30" t="s">
        <v>5431</v>
      </c>
      <c r="K2571" s="30" t="s">
        <v>11286</v>
      </c>
    </row>
    <row r="2572" spans="1:11" x14ac:dyDescent="0.35">
      <c r="A2572" s="30" t="s">
        <v>14175</v>
      </c>
      <c r="B2572" s="30" t="s">
        <v>14176</v>
      </c>
      <c r="C2572" s="32">
        <v>1.27</v>
      </c>
      <c r="D2572" s="30">
        <v>0.12</v>
      </c>
      <c r="E2572" s="31">
        <v>0.10435</v>
      </c>
      <c r="F2572" s="30">
        <v>175480241</v>
      </c>
      <c r="G2572" s="30" t="s">
        <v>5427</v>
      </c>
      <c r="H2572" s="30">
        <v>2020</v>
      </c>
      <c r="I2572" s="30">
        <v>8144998</v>
      </c>
      <c r="J2572" s="30" t="s">
        <v>5442</v>
      </c>
      <c r="K2572" s="30" t="s">
        <v>5508</v>
      </c>
    </row>
    <row r="2573" spans="1:11" x14ac:dyDescent="0.35">
      <c r="A2573" s="30" t="s">
        <v>14177</v>
      </c>
      <c r="B2573" s="30" t="s">
        <v>14178</v>
      </c>
      <c r="C2573" s="32">
        <v>20.8</v>
      </c>
      <c r="D2573" s="30">
        <v>-1.24</v>
      </c>
      <c r="E2573" s="31">
        <v>-5.6259999999999998E-2</v>
      </c>
      <c r="F2573" s="30">
        <v>1572949539</v>
      </c>
      <c r="G2573" s="30" t="s">
        <v>5775</v>
      </c>
      <c r="H2573" s="30">
        <v>2017</v>
      </c>
      <c r="I2573" s="30">
        <v>505379</v>
      </c>
      <c r="J2573" s="30" t="s">
        <v>5431</v>
      </c>
      <c r="K2573" s="30" t="s">
        <v>5430</v>
      </c>
    </row>
    <row r="2574" spans="1:11" x14ac:dyDescent="0.35">
      <c r="A2574" s="30" t="s">
        <v>14179</v>
      </c>
      <c r="B2574" s="30" t="s">
        <v>14180</v>
      </c>
      <c r="C2574" s="32">
        <v>27.14</v>
      </c>
      <c r="D2574" s="30">
        <v>1.3</v>
      </c>
      <c r="E2574" s="31">
        <v>5.0310000000000001E-2</v>
      </c>
      <c r="F2574" s="30">
        <v>2991372998</v>
      </c>
      <c r="G2574" s="30" t="s">
        <v>5427</v>
      </c>
      <c r="H2574" s="30">
        <v>2014</v>
      </c>
      <c r="I2574" s="30">
        <v>1278057</v>
      </c>
      <c r="J2574" s="30" t="s">
        <v>5219</v>
      </c>
      <c r="K2574" s="30" t="s">
        <v>5560</v>
      </c>
    </row>
    <row r="2575" spans="1:11" x14ac:dyDescent="0.35">
      <c r="A2575" s="30" t="s">
        <v>14181</v>
      </c>
      <c r="B2575" s="30" t="s">
        <v>14182</v>
      </c>
      <c r="C2575" s="32">
        <v>39.42</v>
      </c>
      <c r="D2575" s="30">
        <v>1.45</v>
      </c>
      <c r="E2575" s="31">
        <v>3.8190000000000002E-2</v>
      </c>
      <c r="F2575" s="30">
        <v>2596447851</v>
      </c>
      <c r="G2575" s="30" t="s">
        <v>5427</v>
      </c>
      <c r="H2575" s="30">
        <v>2010</v>
      </c>
      <c r="I2575" s="30">
        <v>533555</v>
      </c>
      <c r="J2575" s="30" t="s">
        <v>5219</v>
      </c>
      <c r="K2575" s="30" t="s">
        <v>5447</v>
      </c>
    </row>
    <row r="2576" spans="1:11" x14ac:dyDescent="0.35">
      <c r="A2576" s="30" t="s">
        <v>14183</v>
      </c>
      <c r="B2576" s="30" t="s">
        <v>14184</v>
      </c>
      <c r="C2576" s="32">
        <v>15.84</v>
      </c>
      <c r="D2576" s="30">
        <v>0.41</v>
      </c>
      <c r="E2576" s="31">
        <v>2.657E-2</v>
      </c>
      <c r="F2576" s="30">
        <v>2374031215</v>
      </c>
      <c r="G2576" s="30" t="s">
        <v>5427</v>
      </c>
      <c r="H2576" s="30">
        <v>2017</v>
      </c>
      <c r="I2576" s="30">
        <v>1407568</v>
      </c>
      <c r="J2576" s="30" t="s">
        <v>5442</v>
      </c>
      <c r="K2576" s="30" t="s">
        <v>5914</v>
      </c>
    </row>
    <row r="2577" spans="1:11" x14ac:dyDescent="0.35">
      <c r="A2577" s="30" t="s">
        <v>14185</v>
      </c>
      <c r="B2577" s="30" t="s">
        <v>14186</v>
      </c>
      <c r="C2577" s="32">
        <v>184.16</v>
      </c>
      <c r="D2577" s="30">
        <v>2.37</v>
      </c>
      <c r="E2577" s="31">
        <v>1.304E-2</v>
      </c>
      <c r="F2577" s="30">
        <v>28800404872</v>
      </c>
      <c r="G2577" s="30" t="s">
        <v>5427</v>
      </c>
      <c r="H2577" s="30">
        <v>2009</v>
      </c>
      <c r="I2577" s="30">
        <v>1138477</v>
      </c>
      <c r="J2577" s="30" t="s">
        <v>5442</v>
      </c>
      <c r="K2577" s="30" t="s">
        <v>5482</v>
      </c>
    </row>
    <row r="2578" spans="1:11" x14ac:dyDescent="0.35">
      <c r="A2578" s="30" t="s">
        <v>14187</v>
      </c>
      <c r="B2578" s="30" t="s">
        <v>14188</v>
      </c>
      <c r="C2578" s="32">
        <v>220.73</v>
      </c>
      <c r="D2578" s="30">
        <v>2.68</v>
      </c>
      <c r="E2578" s="31">
        <v>1.2290000000000001E-2</v>
      </c>
      <c r="F2578" s="30">
        <v>23401012333</v>
      </c>
      <c r="G2578" s="30" t="s">
        <v>5427</v>
      </c>
      <c r="H2578" s="30">
        <v>1998</v>
      </c>
      <c r="I2578" s="30">
        <v>508348</v>
      </c>
      <c r="J2578" s="30" t="s">
        <v>5219</v>
      </c>
      <c r="K2578" s="30" t="s">
        <v>5447</v>
      </c>
    </row>
    <row r="2579" spans="1:11" x14ac:dyDescent="0.35">
      <c r="A2579" s="30" t="s">
        <v>14189</v>
      </c>
      <c r="B2579" s="30" t="s">
        <v>14190</v>
      </c>
      <c r="C2579" s="32">
        <v>221.77</v>
      </c>
      <c r="D2579" s="30">
        <v>6.89</v>
      </c>
      <c r="E2579" s="31">
        <v>3.2059999999999998E-2</v>
      </c>
      <c r="F2579" s="30">
        <v>1603834652</v>
      </c>
      <c r="G2579" s="30" t="s">
        <v>5427</v>
      </c>
      <c r="H2579" s="30"/>
      <c r="I2579" s="30">
        <v>100569</v>
      </c>
      <c r="J2579" s="30" t="s">
        <v>5435</v>
      </c>
      <c r="K2579" s="30" t="s">
        <v>5434</v>
      </c>
    </row>
    <row r="2580" spans="1:11" x14ac:dyDescent="0.35">
      <c r="A2580" s="30" t="s">
        <v>14191</v>
      </c>
      <c r="B2580" s="30" t="s">
        <v>14192</v>
      </c>
      <c r="C2580" s="32">
        <v>317.27</v>
      </c>
      <c r="D2580" s="30">
        <v>-5.83</v>
      </c>
      <c r="E2580" s="31">
        <v>-1.804E-2</v>
      </c>
      <c r="F2580" s="30">
        <v>81440496976</v>
      </c>
      <c r="G2580" s="30" t="s">
        <v>5427</v>
      </c>
      <c r="H2580" s="30">
        <v>1991</v>
      </c>
      <c r="I2580" s="30">
        <v>1237106</v>
      </c>
      <c r="J2580" s="30" t="s">
        <v>5431</v>
      </c>
      <c r="K2580" s="30" t="s">
        <v>5430</v>
      </c>
    </row>
    <row r="2581" spans="1:11" x14ac:dyDescent="0.35">
      <c r="A2581" s="30" t="s">
        <v>14193</v>
      </c>
      <c r="B2581" s="30" t="s">
        <v>14194</v>
      </c>
      <c r="C2581" s="32">
        <v>10.4001</v>
      </c>
      <c r="D2581" s="30">
        <v>1E-4</v>
      </c>
      <c r="E2581" s="31">
        <v>1.0000000000000001E-5</v>
      </c>
      <c r="F2581" s="30">
        <v>136477392</v>
      </c>
      <c r="G2581" s="30" t="s">
        <v>5427</v>
      </c>
      <c r="H2581" s="30">
        <v>2021</v>
      </c>
      <c r="I2581" s="30">
        <v>325508</v>
      </c>
      <c r="J2581" s="30" t="s">
        <v>5457</v>
      </c>
      <c r="K2581" s="30" t="s">
        <v>5571</v>
      </c>
    </row>
    <row r="2582" spans="1:11" x14ac:dyDescent="0.35">
      <c r="A2582" s="30" t="s">
        <v>14195</v>
      </c>
      <c r="B2582" s="30" t="s">
        <v>14196</v>
      </c>
      <c r="C2582" s="32">
        <v>35.130000000000003</v>
      </c>
      <c r="D2582" s="30">
        <v>0.68</v>
      </c>
      <c r="E2582" s="31">
        <v>1.9740000000000001E-2</v>
      </c>
      <c r="F2582" s="30">
        <v>2655369694</v>
      </c>
      <c r="G2582" s="30" t="s">
        <v>5427</v>
      </c>
      <c r="H2582" s="30">
        <v>1996</v>
      </c>
      <c r="I2582" s="30">
        <v>423429</v>
      </c>
      <c r="J2582" s="30" t="s">
        <v>5219</v>
      </c>
      <c r="K2582" s="30" t="s">
        <v>5780</v>
      </c>
    </row>
    <row r="2583" spans="1:11" x14ac:dyDescent="0.35">
      <c r="A2583" s="30" t="s">
        <v>14197</v>
      </c>
      <c r="B2583" s="30" t="s">
        <v>14198</v>
      </c>
      <c r="C2583" s="32">
        <v>56.07</v>
      </c>
      <c r="D2583" s="30">
        <v>1.17</v>
      </c>
      <c r="E2583" s="31">
        <v>2.1309999999999999E-2</v>
      </c>
      <c r="F2583" s="30">
        <v>717677945</v>
      </c>
      <c r="G2583" s="30" t="s">
        <v>5427</v>
      </c>
      <c r="H2583" s="30"/>
      <c r="I2583" s="30">
        <v>53564</v>
      </c>
      <c r="J2583" s="30"/>
      <c r="K2583" s="30"/>
    </row>
    <row r="2584" spans="1:11" x14ac:dyDescent="0.35">
      <c r="A2584" s="30" t="s">
        <v>14199</v>
      </c>
      <c r="B2584" s="30" t="s">
        <v>14200</v>
      </c>
      <c r="C2584" s="32">
        <v>0.64429999999999998</v>
      </c>
      <c r="D2584" s="30">
        <v>-2.5999999999999999E-3</v>
      </c>
      <c r="E2584" s="31">
        <v>-4.0200000000000001E-3</v>
      </c>
      <c r="F2584" s="30">
        <v>129281067</v>
      </c>
      <c r="G2584" s="30" t="s">
        <v>5427</v>
      </c>
      <c r="H2584" s="30">
        <v>2012</v>
      </c>
      <c r="I2584" s="30">
        <v>493457</v>
      </c>
      <c r="J2584" s="30" t="s">
        <v>5431</v>
      </c>
      <c r="K2584" s="30" t="s">
        <v>5430</v>
      </c>
    </row>
    <row r="2585" spans="1:11" x14ac:dyDescent="0.35">
      <c r="A2585" s="30" t="s">
        <v>14201</v>
      </c>
      <c r="B2585" s="30" t="s">
        <v>14202</v>
      </c>
      <c r="C2585" s="32">
        <v>0.24790000000000001</v>
      </c>
      <c r="D2585" s="30">
        <v>-1.09E-2</v>
      </c>
      <c r="E2585" s="31">
        <v>-4.2119999999999998E-2</v>
      </c>
      <c r="F2585" s="30">
        <v>51274730</v>
      </c>
      <c r="G2585" s="30" t="s">
        <v>5427</v>
      </c>
      <c r="H2585" s="30"/>
      <c r="I2585" s="30">
        <v>5748346</v>
      </c>
      <c r="J2585" s="30" t="s">
        <v>5431</v>
      </c>
      <c r="K2585" s="30" t="s">
        <v>5430</v>
      </c>
    </row>
    <row r="2586" spans="1:11" x14ac:dyDescent="0.35">
      <c r="A2586" s="30" t="s">
        <v>14203</v>
      </c>
      <c r="B2586" s="30" t="s">
        <v>14204</v>
      </c>
      <c r="C2586" s="32">
        <v>7.35</v>
      </c>
      <c r="D2586" s="30">
        <v>7.0000000000000007E-2</v>
      </c>
      <c r="E2586" s="31">
        <v>9.6200000000000001E-3</v>
      </c>
      <c r="F2586" s="30">
        <v>556165871</v>
      </c>
      <c r="G2586" s="30" t="s">
        <v>5427</v>
      </c>
      <c r="H2586" s="30"/>
      <c r="I2586" s="30">
        <v>4758788</v>
      </c>
      <c r="J2586" s="30" t="s">
        <v>5464</v>
      </c>
      <c r="K2586" s="30" t="s">
        <v>5588</v>
      </c>
    </row>
    <row r="2587" spans="1:11" x14ac:dyDescent="0.35">
      <c r="A2587" s="30" t="s">
        <v>14205</v>
      </c>
      <c r="B2587" s="30" t="s">
        <v>14206</v>
      </c>
      <c r="C2587" s="32">
        <v>12.26</v>
      </c>
      <c r="D2587" s="30">
        <v>0.1</v>
      </c>
      <c r="E2587" s="31">
        <v>8.2199999999999999E-3</v>
      </c>
      <c r="F2587" s="30">
        <v>14867513171</v>
      </c>
      <c r="G2587" s="30" t="s">
        <v>5427</v>
      </c>
      <c r="H2587" s="30"/>
      <c r="I2587" s="30">
        <v>9533692</v>
      </c>
      <c r="J2587" s="30" t="s">
        <v>5431</v>
      </c>
      <c r="K2587" s="30" t="s">
        <v>5685</v>
      </c>
    </row>
    <row r="2588" spans="1:11" x14ac:dyDescent="0.35">
      <c r="A2588" s="30" t="s">
        <v>14207</v>
      </c>
      <c r="B2588" s="30" t="s">
        <v>14208</v>
      </c>
      <c r="C2588" s="32">
        <v>4.7699999999999996</v>
      </c>
      <c r="D2588" s="30">
        <v>0.01</v>
      </c>
      <c r="E2588" s="31">
        <v>2.0999999999999999E-3</v>
      </c>
      <c r="F2588" s="30">
        <v>51984695</v>
      </c>
      <c r="G2588" s="30" t="s">
        <v>5427</v>
      </c>
      <c r="H2588" s="30"/>
      <c r="I2588" s="30">
        <v>5468</v>
      </c>
      <c r="J2588" s="30" t="s">
        <v>5457</v>
      </c>
      <c r="K2588" s="30" t="s">
        <v>5701</v>
      </c>
    </row>
    <row r="2589" spans="1:11" x14ac:dyDescent="0.35">
      <c r="A2589" s="30" t="s">
        <v>14209</v>
      </c>
      <c r="B2589" s="30" t="s">
        <v>14210</v>
      </c>
      <c r="C2589" s="32">
        <v>0.9284</v>
      </c>
      <c r="D2589" s="30">
        <v>-2.1399999999999999E-2</v>
      </c>
      <c r="E2589" s="31">
        <v>-2.2530000000000001E-2</v>
      </c>
      <c r="F2589" s="30">
        <v>75649374</v>
      </c>
      <c r="G2589" s="30" t="s">
        <v>5427</v>
      </c>
      <c r="H2589" s="30">
        <v>2015</v>
      </c>
      <c r="I2589" s="30">
        <v>52142</v>
      </c>
      <c r="J2589" s="30" t="s">
        <v>5431</v>
      </c>
      <c r="K2589" s="30" t="s">
        <v>5430</v>
      </c>
    </row>
    <row r="2590" spans="1:11" x14ac:dyDescent="0.35">
      <c r="A2590" s="30" t="s">
        <v>14211</v>
      </c>
      <c r="B2590" s="30" t="s">
        <v>14212</v>
      </c>
      <c r="C2590" s="32">
        <v>40.85</v>
      </c>
      <c r="D2590" s="30">
        <v>-1.1499999999999999</v>
      </c>
      <c r="E2590" s="31">
        <v>-2.7380000000000002E-2</v>
      </c>
      <c r="F2590" s="30">
        <v>2313640159</v>
      </c>
      <c r="G2590" s="30" t="s">
        <v>5427</v>
      </c>
      <c r="H2590" s="30">
        <v>2021</v>
      </c>
      <c r="I2590" s="30">
        <v>873770</v>
      </c>
      <c r="J2590" s="30" t="s">
        <v>5431</v>
      </c>
      <c r="K2590" s="30" t="s">
        <v>5685</v>
      </c>
    </row>
    <row r="2591" spans="1:11" x14ac:dyDescent="0.35">
      <c r="A2591" s="30" t="s">
        <v>14213</v>
      </c>
      <c r="B2591" s="30" t="s">
        <v>14214</v>
      </c>
      <c r="C2591" s="32">
        <v>5.3</v>
      </c>
      <c r="D2591" s="30">
        <v>0.09</v>
      </c>
      <c r="E2591" s="31">
        <v>1.7270000000000001E-2</v>
      </c>
      <c r="F2591" s="30">
        <v>337820145</v>
      </c>
      <c r="G2591" s="30" t="s">
        <v>5427</v>
      </c>
      <c r="H2591" s="30"/>
      <c r="I2591" s="30">
        <v>1029295</v>
      </c>
      <c r="J2591" s="30" t="s">
        <v>5219</v>
      </c>
      <c r="K2591" s="30" t="s">
        <v>5644</v>
      </c>
    </row>
    <row r="2592" spans="1:11" x14ac:dyDescent="0.35">
      <c r="A2592" s="30" t="s">
        <v>14215</v>
      </c>
      <c r="B2592" s="30" t="s">
        <v>14216</v>
      </c>
      <c r="C2592" s="32">
        <v>2.72</v>
      </c>
      <c r="D2592" s="30">
        <v>-0.14000000000000001</v>
      </c>
      <c r="E2592" s="31">
        <v>-4.895E-2</v>
      </c>
      <c r="F2592" s="30">
        <v>167799667</v>
      </c>
      <c r="G2592" s="30" t="s">
        <v>5427</v>
      </c>
      <c r="H2592" s="30"/>
      <c r="I2592" s="30">
        <v>320227</v>
      </c>
      <c r="J2592" s="30" t="s">
        <v>5541</v>
      </c>
      <c r="K2592" s="30" t="s">
        <v>5997</v>
      </c>
    </row>
    <row r="2593" spans="1:11" x14ac:dyDescent="0.35">
      <c r="A2593" s="30" t="s">
        <v>14217</v>
      </c>
      <c r="B2593" s="30" t="s">
        <v>14218</v>
      </c>
      <c r="C2593" s="32">
        <v>1.0900000000000001</v>
      </c>
      <c r="D2593" s="30">
        <v>0.01</v>
      </c>
      <c r="E2593" s="31">
        <v>9.2599999999999991E-3</v>
      </c>
      <c r="F2593" s="30">
        <v>143061504</v>
      </c>
      <c r="G2593" s="30" t="s">
        <v>5427</v>
      </c>
      <c r="H2593" s="30"/>
      <c r="I2593" s="30">
        <v>1843499</v>
      </c>
      <c r="J2593" s="30" t="s">
        <v>5431</v>
      </c>
      <c r="K2593" s="30" t="s">
        <v>6409</v>
      </c>
    </row>
    <row r="2594" spans="1:11" x14ac:dyDescent="0.35">
      <c r="A2594" s="30" t="s">
        <v>14219</v>
      </c>
      <c r="B2594" s="30" t="s">
        <v>14220</v>
      </c>
      <c r="C2594" s="32">
        <v>9.36</v>
      </c>
      <c r="D2594" s="30">
        <v>-0.08</v>
      </c>
      <c r="E2594" s="31">
        <v>-8.4700000000000001E-3</v>
      </c>
      <c r="F2594" s="30">
        <v>361364759</v>
      </c>
      <c r="G2594" s="30" t="s">
        <v>5427</v>
      </c>
      <c r="H2594" s="30">
        <v>2015</v>
      </c>
      <c r="I2594" s="30">
        <v>381933</v>
      </c>
      <c r="J2594" s="30" t="s">
        <v>5431</v>
      </c>
      <c r="K2594" s="30" t="s">
        <v>5430</v>
      </c>
    </row>
    <row r="2595" spans="1:11" x14ac:dyDescent="0.35">
      <c r="A2595" s="30" t="s">
        <v>14221</v>
      </c>
      <c r="B2595" s="30" t="s">
        <v>14222</v>
      </c>
      <c r="C2595" s="32">
        <v>55.41</v>
      </c>
      <c r="D2595" s="30">
        <v>-0.15</v>
      </c>
      <c r="E2595" s="31">
        <v>-2.7000000000000001E-3</v>
      </c>
      <c r="F2595" s="30">
        <v>1491249330</v>
      </c>
      <c r="G2595" s="30" t="s">
        <v>5427</v>
      </c>
      <c r="H2595" s="30"/>
      <c r="I2595" s="30">
        <v>191282</v>
      </c>
      <c r="J2595" s="30" t="s">
        <v>5435</v>
      </c>
      <c r="K2595" s="30" t="s">
        <v>5579</v>
      </c>
    </row>
    <row r="2596" spans="1:11" x14ac:dyDescent="0.35">
      <c r="A2596" s="30" t="s">
        <v>14223</v>
      </c>
      <c r="B2596" s="30" t="s">
        <v>14224</v>
      </c>
      <c r="C2596" s="32">
        <v>35.89</v>
      </c>
      <c r="D2596" s="30">
        <v>0.43</v>
      </c>
      <c r="E2596" s="31">
        <v>1.213E-2</v>
      </c>
      <c r="F2596" s="30">
        <v>2346766168</v>
      </c>
      <c r="G2596" s="30" t="s">
        <v>5427</v>
      </c>
      <c r="H2596" s="30"/>
      <c r="I2596" s="30">
        <v>380184</v>
      </c>
      <c r="J2596" s="30" t="s">
        <v>5435</v>
      </c>
      <c r="K2596" s="30" t="s">
        <v>5579</v>
      </c>
    </row>
    <row r="2597" spans="1:11" x14ac:dyDescent="0.35">
      <c r="A2597" s="30" t="s">
        <v>14225</v>
      </c>
      <c r="B2597" s="30" t="s">
        <v>14226</v>
      </c>
      <c r="C2597" s="32">
        <v>9.09</v>
      </c>
      <c r="D2597" s="30">
        <v>0.35</v>
      </c>
      <c r="E2597" s="31">
        <v>4.0050000000000002E-2</v>
      </c>
      <c r="F2597" s="30">
        <v>977763896</v>
      </c>
      <c r="G2597" s="30" t="s">
        <v>5427</v>
      </c>
      <c r="H2597" s="30">
        <v>2021</v>
      </c>
      <c r="I2597" s="30">
        <v>5831</v>
      </c>
      <c r="J2597" s="30" t="s">
        <v>5442</v>
      </c>
      <c r="K2597" s="30" t="s">
        <v>6240</v>
      </c>
    </row>
    <row r="2598" spans="1:11" x14ac:dyDescent="0.35">
      <c r="A2598" s="30" t="s">
        <v>14227</v>
      </c>
      <c r="B2598" s="30" t="s">
        <v>14228</v>
      </c>
      <c r="C2598" s="32">
        <v>43.1</v>
      </c>
      <c r="D2598" s="30">
        <v>0.33</v>
      </c>
      <c r="E2598" s="31">
        <v>7.7200000000000003E-3</v>
      </c>
      <c r="F2598" s="30">
        <v>740587300</v>
      </c>
      <c r="G2598" s="30" t="s">
        <v>5427</v>
      </c>
      <c r="H2598" s="30"/>
      <c r="I2598" s="30">
        <v>111967</v>
      </c>
      <c r="J2598" s="30" t="s">
        <v>5435</v>
      </c>
      <c r="K2598" s="30" t="s">
        <v>5579</v>
      </c>
    </row>
    <row r="2599" spans="1:11" x14ac:dyDescent="0.35">
      <c r="A2599" s="30" t="s">
        <v>14229</v>
      </c>
      <c r="B2599" s="30" t="s">
        <v>14230</v>
      </c>
      <c r="C2599" s="32">
        <v>0.82599999999999996</v>
      </c>
      <c r="D2599" s="30">
        <v>6.0000000000000001E-3</v>
      </c>
      <c r="E2599" s="31">
        <v>7.3200000000000001E-3</v>
      </c>
      <c r="F2599" s="30">
        <v>64496841</v>
      </c>
      <c r="G2599" s="30" t="s">
        <v>5427</v>
      </c>
      <c r="H2599" s="30">
        <v>2014</v>
      </c>
      <c r="I2599" s="30">
        <v>149785</v>
      </c>
      <c r="J2599" s="30" t="s">
        <v>5457</v>
      </c>
      <c r="K2599" s="30" t="s">
        <v>5644</v>
      </c>
    </row>
    <row r="2600" spans="1:11" x14ac:dyDescent="0.35">
      <c r="A2600" s="30" t="s">
        <v>14231</v>
      </c>
      <c r="B2600" s="30" t="s">
        <v>14232</v>
      </c>
      <c r="C2600" s="32">
        <v>37.18</v>
      </c>
      <c r="D2600" s="30">
        <v>0.32</v>
      </c>
      <c r="E2600" s="31">
        <v>8.6800000000000002E-3</v>
      </c>
      <c r="F2600" s="30">
        <v>32067882138</v>
      </c>
      <c r="G2600" s="30" t="s">
        <v>5427</v>
      </c>
      <c r="H2600" s="30"/>
      <c r="I2600" s="30">
        <v>7958288</v>
      </c>
      <c r="J2600" s="30" t="s">
        <v>5541</v>
      </c>
      <c r="K2600" s="30" t="s">
        <v>6398</v>
      </c>
    </row>
    <row r="2601" spans="1:11" x14ac:dyDescent="0.35">
      <c r="A2601" s="30" t="s">
        <v>14233</v>
      </c>
      <c r="B2601" s="30" t="s">
        <v>14234</v>
      </c>
      <c r="C2601" s="32">
        <v>15.36</v>
      </c>
      <c r="D2601" s="30">
        <v>0.54</v>
      </c>
      <c r="E2601" s="31">
        <v>3.644E-2</v>
      </c>
      <c r="F2601" s="30">
        <v>37300162790</v>
      </c>
      <c r="G2601" s="30" t="s">
        <v>5427</v>
      </c>
      <c r="H2601" s="30"/>
      <c r="I2601" s="30">
        <v>26284806</v>
      </c>
      <c r="J2601" s="30" t="s">
        <v>5732</v>
      </c>
      <c r="K2601" s="30" t="s">
        <v>11797</v>
      </c>
    </row>
    <row r="2602" spans="1:11" x14ac:dyDescent="0.35">
      <c r="A2602" s="30" t="s">
        <v>14235</v>
      </c>
      <c r="B2602" s="30" t="s">
        <v>14236</v>
      </c>
      <c r="C2602" s="32">
        <v>185.32499999999999</v>
      </c>
      <c r="D2602" s="30">
        <v>3.895</v>
      </c>
      <c r="E2602" s="31">
        <v>2.147E-2</v>
      </c>
      <c r="F2602" s="30">
        <v>47628525000</v>
      </c>
      <c r="G2602" s="30" t="s">
        <v>5427</v>
      </c>
      <c r="H2602" s="30"/>
      <c r="I2602" s="30">
        <v>2395210</v>
      </c>
      <c r="J2602" s="30" t="s">
        <v>5219</v>
      </c>
      <c r="K2602" s="30" t="s">
        <v>5560</v>
      </c>
    </row>
    <row r="2603" spans="1:11" x14ac:dyDescent="0.35">
      <c r="A2603" s="30" t="s">
        <v>14237</v>
      </c>
      <c r="B2603" s="30" t="s">
        <v>14238</v>
      </c>
      <c r="C2603" s="32">
        <v>43.32</v>
      </c>
      <c r="D2603" s="30">
        <v>-0.63</v>
      </c>
      <c r="E2603" s="31">
        <v>-1.4330000000000001E-2</v>
      </c>
      <c r="F2603" s="30">
        <v>13760610779</v>
      </c>
      <c r="G2603" s="30" t="s">
        <v>5427</v>
      </c>
      <c r="H2603" s="30"/>
      <c r="I2603" s="30">
        <v>15476251</v>
      </c>
      <c r="J2603" s="30" t="s">
        <v>5219</v>
      </c>
      <c r="K2603" s="30" t="s">
        <v>5965</v>
      </c>
    </row>
    <row r="2604" spans="1:11" x14ac:dyDescent="0.35">
      <c r="A2604" s="30" t="s">
        <v>14239</v>
      </c>
      <c r="B2604" s="30" t="s">
        <v>14240</v>
      </c>
      <c r="C2604" s="32">
        <v>178.12</v>
      </c>
      <c r="D2604" s="30">
        <v>3.58</v>
      </c>
      <c r="E2604" s="31">
        <v>2.051E-2</v>
      </c>
      <c r="F2604" s="30">
        <v>2420222600</v>
      </c>
      <c r="G2604" s="30" t="s">
        <v>5427</v>
      </c>
      <c r="H2604" s="30">
        <v>1973</v>
      </c>
      <c r="I2604" s="30">
        <v>88942</v>
      </c>
      <c r="J2604" s="30" t="s">
        <v>5457</v>
      </c>
      <c r="K2604" s="30" t="s">
        <v>5438</v>
      </c>
    </row>
    <row r="2605" spans="1:11" x14ac:dyDescent="0.35">
      <c r="A2605" s="30" t="s">
        <v>14241</v>
      </c>
      <c r="B2605" s="30" t="s">
        <v>14242</v>
      </c>
      <c r="C2605" s="32">
        <v>22.31</v>
      </c>
      <c r="D2605" s="30">
        <v>0.01</v>
      </c>
      <c r="E2605" s="31">
        <v>4.4999999999999999E-4</v>
      </c>
      <c r="F2605" s="30">
        <v>4752631968</v>
      </c>
      <c r="G2605" s="30" t="s">
        <v>5427</v>
      </c>
      <c r="H2605" s="30"/>
      <c r="I2605" s="30">
        <v>1788321</v>
      </c>
      <c r="J2605" s="30" t="s">
        <v>5442</v>
      </c>
      <c r="K2605" s="30" t="s">
        <v>5441</v>
      </c>
    </row>
    <row r="2606" spans="1:11" x14ac:dyDescent="0.35">
      <c r="A2606" s="30" t="s">
        <v>14243</v>
      </c>
      <c r="B2606" s="30" t="s">
        <v>14244</v>
      </c>
      <c r="C2606" s="32">
        <v>48.43</v>
      </c>
      <c r="D2606" s="30">
        <v>1.46</v>
      </c>
      <c r="E2606" s="31">
        <v>3.108E-2</v>
      </c>
      <c r="F2606" s="30">
        <v>3060875427</v>
      </c>
      <c r="G2606" s="30" t="s">
        <v>5427</v>
      </c>
      <c r="H2606" s="30">
        <v>1986</v>
      </c>
      <c r="I2606" s="30">
        <v>536943</v>
      </c>
      <c r="J2606" s="30" t="s">
        <v>5457</v>
      </c>
      <c r="K2606" s="30" t="s">
        <v>5725</v>
      </c>
    </row>
    <row r="2607" spans="1:11" x14ac:dyDescent="0.35">
      <c r="A2607" s="30" t="s">
        <v>14245</v>
      </c>
      <c r="B2607" s="30" t="s">
        <v>14246</v>
      </c>
      <c r="C2607" s="32">
        <v>13.08</v>
      </c>
      <c r="D2607" s="30">
        <v>-0.01</v>
      </c>
      <c r="E2607" s="31">
        <v>-7.6000000000000004E-4</v>
      </c>
      <c r="F2607" s="30">
        <v>986268689</v>
      </c>
      <c r="G2607" s="30" t="s">
        <v>5427</v>
      </c>
      <c r="H2607" s="30"/>
      <c r="I2607" s="30">
        <v>78281</v>
      </c>
      <c r="J2607" s="30" t="s">
        <v>5541</v>
      </c>
      <c r="K2607" s="30" t="s">
        <v>5716</v>
      </c>
    </row>
    <row r="2608" spans="1:11" x14ac:dyDescent="0.35">
      <c r="A2608" s="30" t="s">
        <v>14247</v>
      </c>
      <c r="B2608" s="30" t="s">
        <v>14248</v>
      </c>
      <c r="C2608" s="32">
        <v>26.5</v>
      </c>
      <c r="D2608" s="30">
        <v>-0.72</v>
      </c>
      <c r="E2608" s="31">
        <v>-2.6450000000000001E-2</v>
      </c>
      <c r="F2608" s="30">
        <v>254987956</v>
      </c>
      <c r="G2608" s="30" t="s">
        <v>5427</v>
      </c>
      <c r="H2608" s="30"/>
      <c r="I2608" s="30">
        <v>13858</v>
      </c>
      <c r="J2608" s="30" t="s">
        <v>5442</v>
      </c>
      <c r="K2608" s="30" t="s">
        <v>5477</v>
      </c>
    </row>
    <row r="2609" spans="1:11" x14ac:dyDescent="0.35">
      <c r="A2609" s="30" t="s">
        <v>14249</v>
      </c>
      <c r="B2609" s="30" t="s">
        <v>14250</v>
      </c>
      <c r="C2609" s="32">
        <v>14.15</v>
      </c>
      <c r="D2609" s="30">
        <v>0.15</v>
      </c>
      <c r="E2609" s="31">
        <v>1.0710000000000001E-2</v>
      </c>
      <c r="F2609" s="30">
        <v>82524328</v>
      </c>
      <c r="G2609" s="30" t="s">
        <v>5427</v>
      </c>
      <c r="H2609" s="30"/>
      <c r="I2609" s="30">
        <v>2884</v>
      </c>
      <c r="J2609" s="30" t="s">
        <v>5219</v>
      </c>
      <c r="K2609" s="30" t="s">
        <v>5560</v>
      </c>
    </row>
    <row r="2610" spans="1:11" x14ac:dyDescent="0.35">
      <c r="A2610" s="30" t="s">
        <v>14251</v>
      </c>
      <c r="B2610" s="30" t="s">
        <v>14252</v>
      </c>
      <c r="C2610" s="32">
        <v>56.3</v>
      </c>
      <c r="D2610" s="30">
        <v>-0.57999999999999996</v>
      </c>
      <c r="E2610" s="31">
        <v>-1.0200000000000001E-2</v>
      </c>
      <c r="F2610" s="30">
        <v>3975266376</v>
      </c>
      <c r="G2610" s="30" t="s">
        <v>5427</v>
      </c>
      <c r="H2610" s="30"/>
      <c r="I2610" s="30">
        <v>1129051</v>
      </c>
      <c r="J2610" s="30" t="s">
        <v>5457</v>
      </c>
      <c r="K2610" s="30" t="s">
        <v>5634</v>
      </c>
    </row>
    <row r="2611" spans="1:11" x14ac:dyDescent="0.35">
      <c r="A2611" s="30" t="s">
        <v>14253</v>
      </c>
      <c r="B2611" s="30" t="s">
        <v>14254</v>
      </c>
      <c r="C2611" s="32">
        <v>0.38469999999999999</v>
      </c>
      <c r="D2611" s="30">
        <v>-4.0099999999999997E-2</v>
      </c>
      <c r="E2611" s="31">
        <v>-9.4399999999999998E-2</v>
      </c>
      <c r="F2611" s="30">
        <v>148800087</v>
      </c>
      <c r="G2611" s="30" t="s">
        <v>5427</v>
      </c>
      <c r="H2611" s="30">
        <v>2020</v>
      </c>
      <c r="I2611" s="30">
        <v>6183512</v>
      </c>
      <c r="J2611" s="30" t="s">
        <v>5219</v>
      </c>
      <c r="K2611" s="30" t="s">
        <v>5812</v>
      </c>
    </row>
    <row r="2612" spans="1:11" x14ac:dyDescent="0.35">
      <c r="A2612" s="30" t="s">
        <v>14255</v>
      </c>
      <c r="B2612" s="30" t="s">
        <v>14256</v>
      </c>
      <c r="C2612" s="32">
        <v>13.05</v>
      </c>
      <c r="D2612" s="30">
        <v>-0.13</v>
      </c>
      <c r="E2612" s="31">
        <v>-9.8600000000000007E-3</v>
      </c>
      <c r="F2612" s="30">
        <v>303322298</v>
      </c>
      <c r="G2612" s="30" t="s">
        <v>5427</v>
      </c>
      <c r="H2612" s="30"/>
      <c r="I2612" s="30">
        <v>19095</v>
      </c>
      <c r="J2612" s="30" t="s">
        <v>5435</v>
      </c>
      <c r="K2612" s="30" t="s">
        <v>5563</v>
      </c>
    </row>
    <row r="2613" spans="1:11" x14ac:dyDescent="0.35">
      <c r="A2613" s="30" t="s">
        <v>14257</v>
      </c>
      <c r="B2613" s="30" t="s">
        <v>14258</v>
      </c>
      <c r="C2613" s="32">
        <v>276.31</v>
      </c>
      <c r="D2613" s="30">
        <v>-4.49</v>
      </c>
      <c r="E2613" s="31">
        <v>-1.5990000000000001E-2</v>
      </c>
      <c r="F2613" s="30">
        <v>949894650</v>
      </c>
      <c r="G2613" s="30" t="s">
        <v>5427</v>
      </c>
      <c r="H2613" s="30"/>
      <c r="I2613" s="30">
        <v>14604</v>
      </c>
      <c r="J2613" s="30" t="s">
        <v>5682</v>
      </c>
      <c r="K2613" s="30" t="s">
        <v>5746</v>
      </c>
    </row>
    <row r="2614" spans="1:11" x14ac:dyDescent="0.35">
      <c r="A2614" s="30" t="s">
        <v>14259</v>
      </c>
      <c r="B2614" s="30" t="s">
        <v>14260</v>
      </c>
      <c r="C2614" s="32">
        <v>163.01</v>
      </c>
      <c r="D2614" s="30">
        <v>4.54</v>
      </c>
      <c r="E2614" s="31">
        <v>2.8649999999999998E-2</v>
      </c>
      <c r="F2614" s="30">
        <v>4876669104</v>
      </c>
      <c r="G2614" s="30" t="s">
        <v>5427</v>
      </c>
      <c r="H2614" s="30">
        <v>2015</v>
      </c>
      <c r="I2614" s="30">
        <v>599354</v>
      </c>
      <c r="J2614" s="30" t="s">
        <v>5442</v>
      </c>
      <c r="K2614" s="30" t="s">
        <v>5441</v>
      </c>
    </row>
    <row r="2615" spans="1:11" x14ac:dyDescent="0.35">
      <c r="A2615" s="30" t="s">
        <v>14261</v>
      </c>
      <c r="B2615" s="30" t="s">
        <v>14262</v>
      </c>
      <c r="C2615" s="32">
        <v>10.37</v>
      </c>
      <c r="D2615" s="30">
        <v>0.01</v>
      </c>
      <c r="E2615" s="31">
        <v>9.7000000000000005E-4</v>
      </c>
      <c r="F2615" s="30">
        <v>149068750</v>
      </c>
      <c r="G2615" s="30" t="s">
        <v>5427</v>
      </c>
      <c r="H2615" s="30">
        <v>2021</v>
      </c>
      <c r="I2615" s="30">
        <v>100</v>
      </c>
      <c r="J2615" s="30" t="s">
        <v>5457</v>
      </c>
      <c r="K2615" s="30" t="s">
        <v>5571</v>
      </c>
    </row>
    <row r="2616" spans="1:11" x14ac:dyDescent="0.35">
      <c r="A2616" s="30" t="s">
        <v>14263</v>
      </c>
      <c r="B2616" s="30" t="s">
        <v>14264</v>
      </c>
      <c r="C2616" s="32">
        <v>166</v>
      </c>
      <c r="D2616" s="30">
        <v>4.57</v>
      </c>
      <c r="E2616" s="31">
        <v>2.8309999999999998E-2</v>
      </c>
      <c r="F2616" s="30">
        <v>3044868280</v>
      </c>
      <c r="G2616" s="30" t="s">
        <v>5427</v>
      </c>
      <c r="H2616" s="30">
        <v>1992</v>
      </c>
      <c r="I2616" s="30">
        <v>201427</v>
      </c>
      <c r="J2616" s="30" t="s">
        <v>5457</v>
      </c>
      <c r="K2616" s="30" t="s">
        <v>5634</v>
      </c>
    </row>
    <row r="2617" spans="1:11" x14ac:dyDescent="0.35">
      <c r="A2617" s="30" t="s">
        <v>14265</v>
      </c>
      <c r="B2617" s="30" t="s">
        <v>14266</v>
      </c>
      <c r="C2617" s="32">
        <v>0.71509999999999996</v>
      </c>
      <c r="D2617" s="30">
        <v>2.7199999999999998E-2</v>
      </c>
      <c r="E2617" s="31">
        <v>3.9539999999999999E-2</v>
      </c>
      <c r="F2617" s="30">
        <v>484122700</v>
      </c>
      <c r="G2617" s="30" t="s">
        <v>5427</v>
      </c>
      <c r="H2617" s="30">
        <v>2020</v>
      </c>
      <c r="I2617" s="30">
        <v>21640684</v>
      </c>
      <c r="J2617" s="30" t="s">
        <v>5442</v>
      </c>
      <c r="K2617" s="30" t="s">
        <v>14267</v>
      </c>
    </row>
    <row r="2618" spans="1:11" x14ac:dyDescent="0.35">
      <c r="A2618" s="30" t="s">
        <v>14268</v>
      </c>
      <c r="B2618" s="30" t="s">
        <v>14269</v>
      </c>
      <c r="C2618" s="32">
        <v>2.3199999999999998</v>
      </c>
      <c r="D2618" s="30">
        <v>0.11</v>
      </c>
      <c r="E2618" s="31">
        <v>4.9770000000000002E-2</v>
      </c>
      <c r="F2618" s="30">
        <v>380714886</v>
      </c>
      <c r="G2618" s="30" t="s">
        <v>5427</v>
      </c>
      <c r="H2618" s="30"/>
      <c r="I2618" s="30">
        <v>3124697</v>
      </c>
      <c r="J2618" s="30" t="s">
        <v>5442</v>
      </c>
      <c r="K2618" s="30" t="s">
        <v>5926</v>
      </c>
    </row>
    <row r="2619" spans="1:11" x14ac:dyDescent="0.35">
      <c r="A2619" s="30" t="s">
        <v>14270</v>
      </c>
      <c r="B2619" s="30" t="s">
        <v>14271</v>
      </c>
      <c r="C2619" s="32">
        <v>20.82</v>
      </c>
      <c r="D2619" s="30">
        <v>1.78</v>
      </c>
      <c r="E2619" s="31">
        <v>9.3490000000000004E-2</v>
      </c>
      <c r="F2619" s="30">
        <v>276800276</v>
      </c>
      <c r="G2619" s="30" t="s">
        <v>5427</v>
      </c>
      <c r="H2619" s="30">
        <v>2006</v>
      </c>
      <c r="I2619" s="30">
        <v>53201</v>
      </c>
      <c r="J2619" s="30" t="s">
        <v>5442</v>
      </c>
      <c r="K2619" s="30" t="s">
        <v>5701</v>
      </c>
    </row>
    <row r="2620" spans="1:11" x14ac:dyDescent="0.35">
      <c r="A2620" s="30" t="s">
        <v>14272</v>
      </c>
      <c r="B2620" s="30" t="s">
        <v>14273</v>
      </c>
      <c r="C2620" s="32">
        <v>58.23</v>
      </c>
      <c r="D2620" s="30">
        <v>0.24</v>
      </c>
      <c r="E2620" s="31">
        <v>4.1399999999999996E-3</v>
      </c>
      <c r="F2620" s="30">
        <v>355029708</v>
      </c>
      <c r="G2620" s="30" t="s">
        <v>5427</v>
      </c>
      <c r="H2620" s="30">
        <v>1996</v>
      </c>
      <c r="I2620" s="30">
        <v>6457</v>
      </c>
      <c r="J2620" s="30" t="s">
        <v>5457</v>
      </c>
      <c r="K2620" s="30" t="s">
        <v>5523</v>
      </c>
    </row>
    <row r="2621" spans="1:11" x14ac:dyDescent="0.35">
      <c r="A2621" s="30" t="s">
        <v>14274</v>
      </c>
      <c r="B2621" s="30" t="s">
        <v>14275</v>
      </c>
      <c r="C2621" s="32">
        <v>36.99</v>
      </c>
      <c r="D2621" s="30">
        <v>0.54</v>
      </c>
      <c r="E2621" s="31">
        <v>1.481E-2</v>
      </c>
      <c r="F2621" s="30">
        <v>19084578912</v>
      </c>
      <c r="G2621" s="30" t="s">
        <v>5427</v>
      </c>
      <c r="H2621" s="30">
        <v>2020</v>
      </c>
      <c r="I2621" s="30">
        <v>1341844</v>
      </c>
      <c r="J2621" s="30" t="s">
        <v>5442</v>
      </c>
      <c r="K2621" s="30" t="s">
        <v>5450</v>
      </c>
    </row>
    <row r="2622" spans="1:11" x14ac:dyDescent="0.35">
      <c r="A2622" s="30" t="s">
        <v>14276</v>
      </c>
      <c r="B2622" s="30" t="s">
        <v>14277</v>
      </c>
      <c r="C2622" s="32">
        <v>11.75</v>
      </c>
      <c r="D2622" s="30">
        <v>0</v>
      </c>
      <c r="E2622" s="31">
        <v>0</v>
      </c>
      <c r="F2622" s="30">
        <v>166184092</v>
      </c>
      <c r="G2622" s="30" t="s">
        <v>5427</v>
      </c>
      <c r="H2622" s="30">
        <v>2021</v>
      </c>
      <c r="I2622" s="30">
        <v>16986</v>
      </c>
      <c r="J2622" s="30" t="s">
        <v>5435</v>
      </c>
      <c r="K2622" s="30" t="s">
        <v>6556</v>
      </c>
    </row>
    <row r="2623" spans="1:11" x14ac:dyDescent="0.35">
      <c r="A2623" s="30" t="s">
        <v>14278</v>
      </c>
      <c r="B2623" s="30" t="s">
        <v>14279</v>
      </c>
      <c r="C2623" s="32">
        <v>9.8000000000000007</v>
      </c>
      <c r="D2623" s="30">
        <v>0.05</v>
      </c>
      <c r="E2623" s="31">
        <v>5.13E-3</v>
      </c>
      <c r="F2623" s="30">
        <v>217724532</v>
      </c>
      <c r="G2623" s="30" t="s">
        <v>5427</v>
      </c>
      <c r="H2623" s="30"/>
      <c r="I2623" s="30">
        <v>65914</v>
      </c>
      <c r="J2623" s="30" t="s">
        <v>5435</v>
      </c>
      <c r="K2623" s="30" t="s">
        <v>6556</v>
      </c>
    </row>
    <row r="2624" spans="1:11" x14ac:dyDescent="0.35">
      <c r="A2624" s="30" t="s">
        <v>14280</v>
      </c>
      <c r="B2624" s="30" t="s">
        <v>14281</v>
      </c>
      <c r="C2624" s="32">
        <v>12.09</v>
      </c>
      <c r="D2624" s="30">
        <v>0.4</v>
      </c>
      <c r="E2624" s="31">
        <v>3.422E-2</v>
      </c>
      <c r="F2624" s="30">
        <v>3214973235</v>
      </c>
      <c r="G2624" s="30" t="s">
        <v>5427</v>
      </c>
      <c r="H2624" s="30">
        <v>2021</v>
      </c>
      <c r="I2624" s="30">
        <v>1410570</v>
      </c>
      <c r="J2624" s="30" t="s">
        <v>5682</v>
      </c>
      <c r="K2624" s="30" t="s">
        <v>5746</v>
      </c>
    </row>
    <row r="2625" spans="1:11" x14ac:dyDescent="0.35">
      <c r="A2625" s="30" t="s">
        <v>14282</v>
      </c>
      <c r="B2625" s="30" t="s">
        <v>14283</v>
      </c>
      <c r="C2625" s="32">
        <v>1.1399999999999999</v>
      </c>
      <c r="D2625" s="30">
        <v>0.12</v>
      </c>
      <c r="E2625" s="31">
        <v>0.11765</v>
      </c>
      <c r="F2625" s="30">
        <v>195277758</v>
      </c>
      <c r="G2625" s="30" t="s">
        <v>5515</v>
      </c>
      <c r="H2625" s="30">
        <v>2008</v>
      </c>
      <c r="I2625" s="30">
        <v>1089549</v>
      </c>
      <c r="J2625" s="30" t="s">
        <v>5442</v>
      </c>
      <c r="K2625" s="30" t="s">
        <v>5679</v>
      </c>
    </row>
    <row r="2626" spans="1:11" x14ac:dyDescent="0.35">
      <c r="A2626" s="30" t="s">
        <v>14284</v>
      </c>
      <c r="B2626" s="30" t="s">
        <v>14285</v>
      </c>
      <c r="C2626" s="32">
        <v>2.59</v>
      </c>
      <c r="D2626" s="30">
        <v>0.01</v>
      </c>
      <c r="E2626" s="31">
        <v>3.8800000000000002E-3</v>
      </c>
      <c r="F2626" s="30">
        <v>106511968</v>
      </c>
      <c r="G2626" s="30" t="s">
        <v>5427</v>
      </c>
      <c r="H2626" s="30"/>
      <c r="I2626" s="30">
        <v>272225</v>
      </c>
      <c r="J2626" s="30" t="s">
        <v>5457</v>
      </c>
      <c r="K2626" s="30" t="s">
        <v>5644</v>
      </c>
    </row>
    <row r="2627" spans="1:11" x14ac:dyDescent="0.35">
      <c r="A2627" s="30" t="s">
        <v>14286</v>
      </c>
      <c r="B2627" s="30" t="s">
        <v>14287</v>
      </c>
      <c r="C2627" s="32">
        <v>98.48</v>
      </c>
      <c r="D2627" s="30">
        <v>2.76</v>
      </c>
      <c r="E2627" s="31">
        <v>2.8830000000000001E-2</v>
      </c>
      <c r="F2627" s="30">
        <v>571184000</v>
      </c>
      <c r="G2627" s="30" t="s">
        <v>5427</v>
      </c>
      <c r="H2627" s="30">
        <v>1991</v>
      </c>
      <c r="I2627" s="30">
        <v>115052</v>
      </c>
      <c r="J2627" s="30" t="s">
        <v>5435</v>
      </c>
      <c r="K2627" s="30" t="s">
        <v>5598</v>
      </c>
    </row>
    <row r="2628" spans="1:11" x14ac:dyDescent="0.35">
      <c r="A2628" s="30" t="s">
        <v>14288</v>
      </c>
      <c r="B2628" s="30" t="s">
        <v>14289</v>
      </c>
      <c r="C2628" s="32">
        <v>37.380000000000003</v>
      </c>
      <c r="D2628" s="30">
        <v>0.21</v>
      </c>
      <c r="E2628" s="31">
        <v>5.6499999999999996E-3</v>
      </c>
      <c r="F2628" s="30">
        <v>2212857237</v>
      </c>
      <c r="G2628" s="30" t="s">
        <v>5427</v>
      </c>
      <c r="H2628" s="30"/>
      <c r="I2628" s="30">
        <v>162742</v>
      </c>
      <c r="J2628" s="30" t="s">
        <v>5435</v>
      </c>
      <c r="K2628" s="30" t="s">
        <v>5579</v>
      </c>
    </row>
    <row r="2629" spans="1:11" x14ac:dyDescent="0.35">
      <c r="A2629" s="30" t="s">
        <v>14290</v>
      </c>
      <c r="B2629" s="30" t="s">
        <v>14291</v>
      </c>
      <c r="C2629" s="32">
        <v>16.11</v>
      </c>
      <c r="D2629" s="30">
        <v>0.01</v>
      </c>
      <c r="E2629" s="31">
        <v>6.2E-4</v>
      </c>
      <c r="F2629" s="30">
        <v>357223140</v>
      </c>
      <c r="G2629" s="30" t="s">
        <v>5427</v>
      </c>
      <c r="H2629" s="30">
        <v>2005</v>
      </c>
      <c r="I2629" s="30">
        <v>79337</v>
      </c>
      <c r="J2629" s="30" t="s">
        <v>5435</v>
      </c>
      <c r="K2629" s="30" t="s">
        <v>6556</v>
      </c>
    </row>
    <row r="2630" spans="1:11" x14ac:dyDescent="0.35">
      <c r="A2630" s="30" t="s">
        <v>14292</v>
      </c>
      <c r="B2630" s="30" t="s">
        <v>14293</v>
      </c>
      <c r="C2630" s="32">
        <v>48.26</v>
      </c>
      <c r="D2630" s="30">
        <v>-0.2</v>
      </c>
      <c r="E2630" s="31">
        <v>-4.13E-3</v>
      </c>
      <c r="F2630" s="30">
        <v>10081022279</v>
      </c>
      <c r="G2630" s="30" t="s">
        <v>5427</v>
      </c>
      <c r="H2630" s="30">
        <v>2015</v>
      </c>
      <c r="I2630" s="30">
        <v>1148792</v>
      </c>
      <c r="J2630" s="30" t="s">
        <v>5442</v>
      </c>
      <c r="K2630" s="30" t="s">
        <v>5746</v>
      </c>
    </row>
    <row r="2631" spans="1:11" x14ac:dyDescent="0.35">
      <c r="A2631" s="30" t="s">
        <v>14294</v>
      </c>
      <c r="B2631" s="30" t="s">
        <v>14295</v>
      </c>
      <c r="C2631" s="32">
        <v>48.65</v>
      </c>
      <c r="D2631" s="30">
        <v>0.34</v>
      </c>
      <c r="E2631" s="31">
        <v>7.0400000000000003E-3</v>
      </c>
      <c r="F2631" s="30">
        <v>2997423800</v>
      </c>
      <c r="G2631" s="30" t="s">
        <v>5427</v>
      </c>
      <c r="H2631" s="30"/>
      <c r="I2631" s="30">
        <v>373941</v>
      </c>
      <c r="J2631" s="30" t="s">
        <v>5435</v>
      </c>
      <c r="K2631" s="30" t="s">
        <v>5579</v>
      </c>
    </row>
    <row r="2632" spans="1:11" x14ac:dyDescent="0.35">
      <c r="A2632" s="30" t="s">
        <v>14296</v>
      </c>
      <c r="B2632" s="30" t="s">
        <v>14297</v>
      </c>
      <c r="C2632" s="32">
        <v>21.46</v>
      </c>
      <c r="D2632" s="30">
        <v>-0.44</v>
      </c>
      <c r="E2632" s="31">
        <v>-2.009E-2</v>
      </c>
      <c r="F2632" s="30">
        <v>357103263</v>
      </c>
      <c r="G2632" s="30" t="s">
        <v>5427</v>
      </c>
      <c r="H2632" s="30"/>
      <c r="I2632" s="30">
        <v>53689</v>
      </c>
      <c r="J2632" s="30" t="s">
        <v>5435</v>
      </c>
      <c r="K2632" s="30" t="s">
        <v>5579</v>
      </c>
    </row>
    <row r="2633" spans="1:11" x14ac:dyDescent="0.35">
      <c r="A2633" s="30" t="s">
        <v>14298</v>
      </c>
      <c r="B2633" s="30" t="s">
        <v>14299</v>
      </c>
      <c r="C2633" s="32">
        <v>92.94</v>
      </c>
      <c r="D2633" s="30">
        <v>1.47</v>
      </c>
      <c r="E2633" s="31">
        <v>1.6070000000000001E-2</v>
      </c>
      <c r="F2633" s="30">
        <v>5650195104</v>
      </c>
      <c r="G2633" s="30" t="s">
        <v>5427</v>
      </c>
      <c r="H2633" s="30"/>
      <c r="I2633" s="30">
        <v>477377</v>
      </c>
      <c r="J2633" s="30" t="s">
        <v>5435</v>
      </c>
      <c r="K2633" s="30" t="s">
        <v>5579</v>
      </c>
    </row>
    <row r="2634" spans="1:11" x14ac:dyDescent="0.35">
      <c r="A2634" s="30" t="s">
        <v>14300</v>
      </c>
      <c r="B2634" s="30" t="s">
        <v>14301</v>
      </c>
      <c r="C2634" s="32">
        <v>10.24</v>
      </c>
      <c r="D2634" s="30">
        <v>0</v>
      </c>
      <c r="E2634" s="31">
        <v>0</v>
      </c>
      <c r="F2634" s="30">
        <v>102519419</v>
      </c>
      <c r="G2634" s="30" t="s">
        <v>5427</v>
      </c>
      <c r="H2634" s="30">
        <v>2022</v>
      </c>
      <c r="I2634" s="30">
        <v>2</v>
      </c>
      <c r="J2634" s="30" t="s">
        <v>5457</v>
      </c>
      <c r="K2634" s="30" t="s">
        <v>5571</v>
      </c>
    </row>
    <row r="2635" spans="1:11" x14ac:dyDescent="0.35">
      <c r="A2635" s="30" t="s">
        <v>14302</v>
      </c>
      <c r="B2635" s="30" t="s">
        <v>14303</v>
      </c>
      <c r="C2635" s="32">
        <v>253.23</v>
      </c>
      <c r="D2635" s="30">
        <v>-0.96</v>
      </c>
      <c r="E2635" s="31">
        <v>-3.7799999999999999E-3</v>
      </c>
      <c r="F2635" s="30">
        <v>27409012766</v>
      </c>
      <c r="G2635" s="30" t="s">
        <v>5775</v>
      </c>
      <c r="H2635" s="30">
        <v>2001</v>
      </c>
      <c r="I2635" s="30">
        <v>391948</v>
      </c>
      <c r="J2635" s="30" t="s">
        <v>5435</v>
      </c>
      <c r="K2635" s="30" t="s">
        <v>6066</v>
      </c>
    </row>
    <row r="2636" spans="1:11" x14ac:dyDescent="0.35">
      <c r="A2636" s="30" t="s">
        <v>14304</v>
      </c>
      <c r="B2636" s="30" t="s">
        <v>14305</v>
      </c>
      <c r="C2636" s="32">
        <v>1.03</v>
      </c>
      <c r="D2636" s="30">
        <v>5.2699999999999997E-2</v>
      </c>
      <c r="E2636" s="31">
        <v>5.3920000000000003E-2</v>
      </c>
      <c r="F2636" s="30">
        <v>149857760</v>
      </c>
      <c r="G2636" s="30" t="s">
        <v>5427</v>
      </c>
      <c r="H2636" s="30"/>
      <c r="I2636" s="30">
        <v>1935433</v>
      </c>
      <c r="J2636" s="30" t="s">
        <v>5435</v>
      </c>
      <c r="K2636" s="30" t="s">
        <v>6221</v>
      </c>
    </row>
    <row r="2637" spans="1:11" x14ac:dyDescent="0.35">
      <c r="A2637" s="30" t="s">
        <v>14306</v>
      </c>
      <c r="B2637" s="30" t="s">
        <v>14307</v>
      </c>
      <c r="C2637" s="32">
        <v>5.1100000000000003</v>
      </c>
      <c r="D2637" s="30">
        <v>0.18</v>
      </c>
      <c r="E2637" s="31">
        <v>3.6510000000000001E-2</v>
      </c>
      <c r="F2637" s="30">
        <v>444108276</v>
      </c>
      <c r="G2637" s="30" t="s">
        <v>5752</v>
      </c>
      <c r="H2637" s="30">
        <v>2015</v>
      </c>
      <c r="I2637" s="30">
        <v>516494</v>
      </c>
      <c r="J2637" s="30" t="s">
        <v>5431</v>
      </c>
      <c r="K2637" s="30" t="s">
        <v>5430</v>
      </c>
    </row>
    <row r="2638" spans="1:11" x14ac:dyDescent="0.35">
      <c r="A2638" s="30" t="s">
        <v>5078</v>
      </c>
      <c r="B2638" s="30" t="s">
        <v>14308</v>
      </c>
      <c r="C2638" s="32">
        <v>4.8899999999999997</v>
      </c>
      <c r="D2638" s="30">
        <v>-0.08</v>
      </c>
      <c r="E2638" s="31">
        <v>-1.61E-2</v>
      </c>
      <c r="F2638" s="30">
        <v>344875646</v>
      </c>
      <c r="G2638" s="30" t="s">
        <v>5427</v>
      </c>
      <c r="H2638" s="30"/>
      <c r="I2638" s="30">
        <v>1466076</v>
      </c>
      <c r="J2638" s="30" t="s">
        <v>5442</v>
      </c>
      <c r="K2638" s="30" t="s">
        <v>5914</v>
      </c>
    </row>
    <row r="2639" spans="1:11" x14ac:dyDescent="0.35">
      <c r="A2639" s="30" t="s">
        <v>14309</v>
      </c>
      <c r="B2639" s="30" t="s">
        <v>14310</v>
      </c>
      <c r="C2639" s="32">
        <v>10.24</v>
      </c>
      <c r="D2639" s="30">
        <v>0</v>
      </c>
      <c r="E2639" s="31">
        <v>0</v>
      </c>
      <c r="F2639" s="30">
        <v>294400000</v>
      </c>
      <c r="G2639" s="30" t="s">
        <v>5427</v>
      </c>
      <c r="H2639" s="30">
        <v>2021</v>
      </c>
      <c r="I2639" s="30">
        <v>779</v>
      </c>
      <c r="J2639" s="30" t="s">
        <v>5435</v>
      </c>
      <c r="K2639" s="30" t="s">
        <v>5482</v>
      </c>
    </row>
    <row r="2640" spans="1:11" x14ac:dyDescent="0.35">
      <c r="A2640" s="30" t="s">
        <v>14311</v>
      </c>
      <c r="B2640" s="30" t="s">
        <v>14312</v>
      </c>
      <c r="C2640" s="32">
        <v>105.04</v>
      </c>
      <c r="D2640" s="30">
        <v>2.78</v>
      </c>
      <c r="E2640" s="31">
        <v>2.7189999999999999E-2</v>
      </c>
      <c r="F2640" s="30">
        <v>6274992228</v>
      </c>
      <c r="G2640" s="30" t="s">
        <v>5427</v>
      </c>
      <c r="H2640" s="30"/>
      <c r="I2640" s="30">
        <v>614053</v>
      </c>
      <c r="J2640" s="30" t="s">
        <v>5457</v>
      </c>
      <c r="K2640" s="30" t="s">
        <v>5701</v>
      </c>
    </row>
    <row r="2641" spans="1:11" x14ac:dyDescent="0.35">
      <c r="A2641" s="30" t="s">
        <v>14313</v>
      </c>
      <c r="B2641" s="30" t="s">
        <v>14314</v>
      </c>
      <c r="C2641" s="32">
        <v>104.32</v>
      </c>
      <c r="D2641" s="30">
        <v>0.68</v>
      </c>
      <c r="E2641" s="31">
        <v>6.5599999999999999E-3</v>
      </c>
      <c r="F2641" s="30">
        <v>11820873813</v>
      </c>
      <c r="G2641" s="30" t="s">
        <v>5427</v>
      </c>
      <c r="H2641" s="30">
        <v>2002</v>
      </c>
      <c r="I2641" s="30">
        <v>2425863</v>
      </c>
      <c r="J2641" s="30" t="s">
        <v>5442</v>
      </c>
      <c r="K2641" s="30" t="s">
        <v>5704</v>
      </c>
    </row>
    <row r="2642" spans="1:11" x14ac:dyDescent="0.35">
      <c r="A2642" s="30" t="s">
        <v>14315</v>
      </c>
      <c r="B2642" s="30" t="s">
        <v>14316</v>
      </c>
      <c r="C2642" s="32">
        <v>6.6</v>
      </c>
      <c r="D2642" s="30">
        <v>0.05</v>
      </c>
      <c r="E2642" s="31">
        <v>7.6299999999999996E-3</v>
      </c>
      <c r="F2642" s="30">
        <v>198181546</v>
      </c>
      <c r="G2642" s="30" t="s">
        <v>5427</v>
      </c>
      <c r="H2642" s="30"/>
      <c r="I2642" s="30">
        <v>171145</v>
      </c>
      <c r="J2642" s="30" t="s">
        <v>5219</v>
      </c>
      <c r="K2642" s="30" t="s">
        <v>6076</v>
      </c>
    </row>
    <row r="2643" spans="1:11" x14ac:dyDescent="0.35">
      <c r="A2643" s="30" t="s">
        <v>14317</v>
      </c>
      <c r="B2643" s="30" t="s">
        <v>14318</v>
      </c>
      <c r="C2643" s="32">
        <v>4.3600000000000003</v>
      </c>
      <c r="D2643" s="30">
        <v>0.01</v>
      </c>
      <c r="E2643" s="31">
        <v>2.3E-3</v>
      </c>
      <c r="F2643" s="30">
        <v>132715248</v>
      </c>
      <c r="G2643" s="30" t="s">
        <v>5427</v>
      </c>
      <c r="H2643" s="30">
        <v>2015</v>
      </c>
      <c r="I2643" s="30">
        <v>26897</v>
      </c>
      <c r="J2643" s="30" t="s">
        <v>5431</v>
      </c>
      <c r="K2643" s="30" t="s">
        <v>8643</v>
      </c>
    </row>
    <row r="2644" spans="1:11" x14ac:dyDescent="0.35">
      <c r="A2644" s="30" t="s">
        <v>14319</v>
      </c>
      <c r="B2644" s="30" t="s">
        <v>14320</v>
      </c>
      <c r="C2644" s="32">
        <v>69.61</v>
      </c>
      <c r="D2644" s="30">
        <v>0.84</v>
      </c>
      <c r="E2644" s="31">
        <v>1.221E-2</v>
      </c>
      <c r="F2644" s="30">
        <v>38093967807</v>
      </c>
      <c r="G2644" s="30" t="s">
        <v>5427</v>
      </c>
      <c r="H2644" s="30"/>
      <c r="I2644" s="30">
        <v>2992437</v>
      </c>
      <c r="J2644" s="30" t="s">
        <v>5426</v>
      </c>
      <c r="K2644" s="30" t="s">
        <v>5593</v>
      </c>
    </row>
    <row r="2645" spans="1:11" x14ac:dyDescent="0.35">
      <c r="A2645" s="30" t="s">
        <v>14321</v>
      </c>
      <c r="B2645" s="30" t="s">
        <v>14322</v>
      </c>
      <c r="C2645" s="32">
        <v>39.18</v>
      </c>
      <c r="D2645" s="30">
        <v>0.09</v>
      </c>
      <c r="E2645" s="31">
        <v>2.3E-3</v>
      </c>
      <c r="F2645" s="30">
        <v>2450474664</v>
      </c>
      <c r="G2645" s="30" t="s">
        <v>5515</v>
      </c>
      <c r="H2645" s="30">
        <v>2014</v>
      </c>
      <c r="I2645" s="30">
        <v>350102</v>
      </c>
      <c r="J2645" s="30" t="s">
        <v>5431</v>
      </c>
      <c r="K2645" s="30" t="s">
        <v>8643</v>
      </c>
    </row>
    <row r="2646" spans="1:11" x14ac:dyDescent="0.35">
      <c r="A2646" s="30" t="s">
        <v>14323</v>
      </c>
      <c r="B2646" s="30" t="s">
        <v>14324</v>
      </c>
      <c r="C2646" s="32">
        <v>1.22</v>
      </c>
      <c r="D2646" s="30">
        <v>-0.02</v>
      </c>
      <c r="E2646" s="31">
        <v>-1.6129999999999999E-2</v>
      </c>
      <c r="F2646" s="30">
        <v>165901810</v>
      </c>
      <c r="G2646" s="30" t="s">
        <v>5427</v>
      </c>
      <c r="H2646" s="30">
        <v>2018</v>
      </c>
      <c r="I2646" s="30">
        <v>717390</v>
      </c>
      <c r="J2646" s="30" t="s">
        <v>5431</v>
      </c>
      <c r="K2646" s="30" t="s">
        <v>5430</v>
      </c>
    </row>
    <row r="2647" spans="1:11" x14ac:dyDescent="0.35">
      <c r="A2647" s="30" t="s">
        <v>14325</v>
      </c>
      <c r="B2647" s="30" t="s">
        <v>14326</v>
      </c>
      <c r="C2647" s="32">
        <v>10.3</v>
      </c>
      <c r="D2647" s="30">
        <v>0.01</v>
      </c>
      <c r="E2647" s="31">
        <v>9.7000000000000005E-4</v>
      </c>
      <c r="F2647" s="30">
        <v>296125000</v>
      </c>
      <c r="G2647" s="30" t="s">
        <v>5427</v>
      </c>
      <c r="H2647" s="30">
        <v>2021</v>
      </c>
      <c r="I2647" s="30">
        <v>27321</v>
      </c>
      <c r="J2647" s="30" t="s">
        <v>5457</v>
      </c>
      <c r="K2647" s="30" t="s">
        <v>5571</v>
      </c>
    </row>
    <row r="2648" spans="1:11" x14ac:dyDescent="0.35">
      <c r="A2648" s="30" t="s">
        <v>14327</v>
      </c>
      <c r="B2648" s="30" t="s">
        <v>14328</v>
      </c>
      <c r="C2648" s="32">
        <v>1.04</v>
      </c>
      <c r="D2648" s="30">
        <v>0.01</v>
      </c>
      <c r="E2648" s="31">
        <v>9.7099999999999999E-3</v>
      </c>
      <c r="F2648" s="30">
        <v>126396477</v>
      </c>
      <c r="G2648" s="30" t="s">
        <v>5427</v>
      </c>
      <c r="H2648" s="30">
        <v>2017</v>
      </c>
      <c r="I2648" s="30">
        <v>574792</v>
      </c>
      <c r="J2648" s="30" t="s">
        <v>5431</v>
      </c>
      <c r="K2648" s="30" t="s">
        <v>6409</v>
      </c>
    </row>
    <row r="2649" spans="1:11" x14ac:dyDescent="0.35">
      <c r="A2649" s="30" t="s">
        <v>14329</v>
      </c>
      <c r="B2649" s="30" t="s">
        <v>14330</v>
      </c>
      <c r="C2649" s="32">
        <v>3.7</v>
      </c>
      <c r="D2649" s="30">
        <v>0.05</v>
      </c>
      <c r="E2649" s="31">
        <v>1.37E-2</v>
      </c>
      <c r="F2649" s="30">
        <v>101644946</v>
      </c>
      <c r="G2649" s="30" t="s">
        <v>5427</v>
      </c>
      <c r="H2649" s="30">
        <v>2021</v>
      </c>
      <c r="I2649" s="30">
        <v>41534</v>
      </c>
      <c r="J2649" s="30" t="s">
        <v>5431</v>
      </c>
      <c r="K2649" s="30" t="s">
        <v>5430</v>
      </c>
    </row>
    <row r="2650" spans="1:11" x14ac:dyDescent="0.35">
      <c r="A2650" s="30" t="s">
        <v>14331</v>
      </c>
      <c r="B2650" s="30" t="s">
        <v>14332</v>
      </c>
      <c r="C2650" s="32">
        <v>16.95</v>
      </c>
      <c r="D2650" s="30">
        <v>1.18</v>
      </c>
      <c r="E2650" s="31">
        <v>7.4829999999999994E-2</v>
      </c>
      <c r="F2650" s="30">
        <v>10065887591</v>
      </c>
      <c r="G2650" s="30" t="s">
        <v>5427</v>
      </c>
      <c r="H2650" s="30">
        <v>2021</v>
      </c>
      <c r="I2650" s="30">
        <v>6921251</v>
      </c>
      <c r="J2650" s="30" t="s">
        <v>5219</v>
      </c>
      <c r="K2650" s="30" t="s">
        <v>5560</v>
      </c>
    </row>
    <row r="2651" spans="1:11" x14ac:dyDescent="0.35">
      <c r="A2651" s="30" t="s">
        <v>14333</v>
      </c>
      <c r="B2651" s="30" t="s">
        <v>14334</v>
      </c>
      <c r="C2651" s="32">
        <v>37.200000000000003</v>
      </c>
      <c r="D2651" s="30">
        <v>2.1800000000000002</v>
      </c>
      <c r="E2651" s="31">
        <v>6.225E-2</v>
      </c>
      <c r="F2651" s="30">
        <v>1764771385</v>
      </c>
      <c r="G2651" s="30" t="s">
        <v>5427</v>
      </c>
      <c r="H2651" s="30">
        <v>2021</v>
      </c>
      <c r="I2651" s="30">
        <v>462076</v>
      </c>
      <c r="J2651" s="30" t="s">
        <v>5219</v>
      </c>
      <c r="K2651" s="30" t="s">
        <v>5644</v>
      </c>
    </row>
    <row r="2652" spans="1:11" x14ac:dyDescent="0.35">
      <c r="A2652" s="30" t="s">
        <v>14335</v>
      </c>
      <c r="B2652" s="30" t="s">
        <v>14336</v>
      </c>
      <c r="C2652" s="32">
        <v>34.200000000000003</v>
      </c>
      <c r="D2652" s="30">
        <v>1.28</v>
      </c>
      <c r="E2652" s="31">
        <v>3.8879999999999998E-2</v>
      </c>
      <c r="F2652" s="30">
        <v>2049401347</v>
      </c>
      <c r="G2652" s="30" t="s">
        <v>5427</v>
      </c>
      <c r="H2652" s="30">
        <v>2013</v>
      </c>
      <c r="I2652" s="30">
        <v>498437</v>
      </c>
      <c r="J2652" s="30" t="s">
        <v>5431</v>
      </c>
      <c r="K2652" s="30" t="s">
        <v>5430</v>
      </c>
    </row>
    <row r="2653" spans="1:11" x14ac:dyDescent="0.35">
      <c r="A2653" s="30" t="s">
        <v>14337</v>
      </c>
      <c r="B2653" s="30" t="s">
        <v>14338</v>
      </c>
      <c r="C2653" s="32">
        <v>20.3</v>
      </c>
      <c r="D2653" s="30">
        <v>0.01</v>
      </c>
      <c r="E2653" s="31">
        <v>4.8999999999999998E-4</v>
      </c>
      <c r="F2653" s="30">
        <v>232451707</v>
      </c>
      <c r="G2653" s="30" t="s">
        <v>5427</v>
      </c>
      <c r="H2653" s="30">
        <v>1986</v>
      </c>
      <c r="I2653" s="30">
        <v>20876</v>
      </c>
      <c r="J2653" s="30" t="s">
        <v>5431</v>
      </c>
      <c r="K2653" s="30" t="s">
        <v>5430</v>
      </c>
    </row>
    <row r="2654" spans="1:11" x14ac:dyDescent="0.35">
      <c r="A2654" s="30" t="s">
        <v>14339</v>
      </c>
      <c r="B2654" s="30" t="s">
        <v>14340</v>
      </c>
      <c r="C2654" s="32">
        <v>0.97319999999999995</v>
      </c>
      <c r="D2654" s="30">
        <v>2.63E-2</v>
      </c>
      <c r="E2654" s="31">
        <v>2.777E-2</v>
      </c>
      <c r="F2654" s="30">
        <v>163530901</v>
      </c>
      <c r="G2654" s="30" t="s">
        <v>5427</v>
      </c>
      <c r="H2654" s="30">
        <v>2020</v>
      </c>
      <c r="I2654" s="30">
        <v>287225</v>
      </c>
      <c r="J2654" s="30" t="s">
        <v>5442</v>
      </c>
      <c r="K2654" s="30" t="s">
        <v>5460</v>
      </c>
    </row>
    <row r="2655" spans="1:11" x14ac:dyDescent="0.35">
      <c r="A2655" s="30" t="s">
        <v>14341</v>
      </c>
      <c r="B2655" s="30" t="s">
        <v>14342</v>
      </c>
      <c r="C2655" s="32">
        <v>10.09</v>
      </c>
      <c r="D2655" s="30">
        <v>0.01</v>
      </c>
      <c r="E2655" s="31">
        <v>9.8999999999999999E-4</v>
      </c>
      <c r="F2655" s="30">
        <v>276984767</v>
      </c>
      <c r="G2655" s="30" t="s">
        <v>5427</v>
      </c>
      <c r="H2655" s="30">
        <v>2021</v>
      </c>
      <c r="I2655" s="30">
        <v>930928</v>
      </c>
      <c r="J2655" s="30" t="s">
        <v>5435</v>
      </c>
      <c r="K2655" s="30" t="s">
        <v>5482</v>
      </c>
    </row>
    <row r="2656" spans="1:11" x14ac:dyDescent="0.35">
      <c r="A2656" s="30" t="s">
        <v>14343</v>
      </c>
      <c r="B2656" s="30" t="s">
        <v>14344</v>
      </c>
      <c r="C2656" s="32">
        <v>10.16</v>
      </c>
      <c r="D2656" s="30">
        <v>0.01</v>
      </c>
      <c r="E2656" s="31">
        <v>9.8999999999999999E-4</v>
      </c>
      <c r="F2656" s="30">
        <v>365125000</v>
      </c>
      <c r="G2656" s="30" t="s">
        <v>5427</v>
      </c>
      <c r="H2656" s="30">
        <v>2022</v>
      </c>
      <c r="I2656" s="30">
        <v>11573</v>
      </c>
      <c r="J2656" s="30" t="s">
        <v>5457</v>
      </c>
      <c r="K2656" s="30" t="s">
        <v>5571</v>
      </c>
    </row>
    <row r="2657" spans="1:11" x14ac:dyDescent="0.35">
      <c r="A2657" s="30" t="s">
        <v>14345</v>
      </c>
      <c r="B2657" s="30" t="s">
        <v>14346</v>
      </c>
      <c r="C2657" s="32">
        <v>78.81</v>
      </c>
      <c r="D2657" s="30">
        <v>2.74</v>
      </c>
      <c r="E2657" s="31">
        <v>3.6020000000000003E-2</v>
      </c>
      <c r="F2657" s="30">
        <v>2176422004</v>
      </c>
      <c r="G2657" s="30" t="s">
        <v>5427</v>
      </c>
      <c r="H2657" s="30"/>
      <c r="I2657" s="30">
        <v>155828</v>
      </c>
      <c r="J2657" s="30" t="s">
        <v>5442</v>
      </c>
      <c r="K2657" s="30" t="s">
        <v>5853</v>
      </c>
    </row>
    <row r="2658" spans="1:11" x14ac:dyDescent="0.35">
      <c r="A2658" s="30" t="s">
        <v>14347</v>
      </c>
      <c r="B2658" s="30" t="s">
        <v>14348</v>
      </c>
      <c r="C2658" s="32">
        <v>37.479999999999997</v>
      </c>
      <c r="D2658" s="30">
        <v>0.65</v>
      </c>
      <c r="E2658" s="31">
        <v>1.7649999999999999E-2</v>
      </c>
      <c r="F2658" s="30">
        <v>8054897487</v>
      </c>
      <c r="G2658" s="30" t="s">
        <v>5427</v>
      </c>
      <c r="H2658" s="30">
        <v>1987</v>
      </c>
      <c r="I2658" s="30">
        <v>1648938</v>
      </c>
      <c r="J2658" s="30" t="s">
        <v>5431</v>
      </c>
      <c r="K2658" s="30" t="s">
        <v>5500</v>
      </c>
    </row>
    <row r="2659" spans="1:11" x14ac:dyDescent="0.35">
      <c r="A2659" s="30" t="s">
        <v>14349</v>
      </c>
      <c r="B2659" s="30" t="s">
        <v>14350</v>
      </c>
      <c r="C2659" s="32">
        <v>16.7</v>
      </c>
      <c r="D2659" s="30">
        <v>0.32</v>
      </c>
      <c r="E2659" s="31">
        <v>1.9539999999999998E-2</v>
      </c>
      <c r="F2659" s="30">
        <v>2601542700</v>
      </c>
      <c r="G2659" s="30" t="s">
        <v>5427</v>
      </c>
      <c r="H2659" s="30"/>
      <c r="I2659" s="30">
        <v>1419270</v>
      </c>
      <c r="J2659" s="30" t="s">
        <v>5219</v>
      </c>
      <c r="K2659" s="30" t="s">
        <v>5447</v>
      </c>
    </row>
    <row r="2660" spans="1:11" x14ac:dyDescent="0.35">
      <c r="A2660" s="30" t="s">
        <v>14351</v>
      </c>
      <c r="B2660" s="30" t="s">
        <v>14352</v>
      </c>
      <c r="C2660" s="32">
        <v>1.07</v>
      </c>
      <c r="D2660" s="30">
        <v>-0.03</v>
      </c>
      <c r="E2660" s="31">
        <v>-2.7269999999999999E-2</v>
      </c>
      <c r="F2660" s="30">
        <v>230372715</v>
      </c>
      <c r="G2660" s="30" t="s">
        <v>5427</v>
      </c>
      <c r="H2660" s="30"/>
      <c r="I2660" s="30">
        <v>1241655</v>
      </c>
      <c r="J2660" s="30"/>
      <c r="K2660" s="30"/>
    </row>
    <row r="2661" spans="1:11" x14ac:dyDescent="0.35">
      <c r="A2661" s="30" t="s">
        <v>14353</v>
      </c>
      <c r="B2661" s="30" t="s">
        <v>14354</v>
      </c>
      <c r="C2661" s="32">
        <v>3.57</v>
      </c>
      <c r="D2661" s="30">
        <v>0.26</v>
      </c>
      <c r="E2661" s="31">
        <v>7.8549999999999995E-2</v>
      </c>
      <c r="F2661" s="30">
        <v>184442186</v>
      </c>
      <c r="G2661" s="30" t="s">
        <v>5427</v>
      </c>
      <c r="H2661" s="30"/>
      <c r="I2661" s="30">
        <v>1156565</v>
      </c>
      <c r="J2661" s="30" t="s">
        <v>5457</v>
      </c>
      <c r="K2661" s="30" t="s">
        <v>5725</v>
      </c>
    </row>
    <row r="2662" spans="1:11" x14ac:dyDescent="0.35">
      <c r="A2662" s="30" t="s">
        <v>14355</v>
      </c>
      <c r="B2662" s="30" t="s">
        <v>14356</v>
      </c>
      <c r="C2662" s="32">
        <v>4.6399999999999997</v>
      </c>
      <c r="D2662" s="30">
        <v>0.15</v>
      </c>
      <c r="E2662" s="31">
        <v>3.3410000000000002E-2</v>
      </c>
      <c r="F2662" s="30">
        <v>202620123</v>
      </c>
      <c r="G2662" s="30" t="s">
        <v>5427</v>
      </c>
      <c r="H2662" s="30">
        <v>2018</v>
      </c>
      <c r="I2662" s="30">
        <v>413710</v>
      </c>
      <c r="J2662" s="30" t="s">
        <v>5431</v>
      </c>
      <c r="K2662" s="30" t="s">
        <v>5430</v>
      </c>
    </row>
    <row r="2663" spans="1:11" x14ac:dyDescent="0.35">
      <c r="A2663" s="30" t="s">
        <v>14357</v>
      </c>
      <c r="B2663" s="30" t="s">
        <v>14358</v>
      </c>
      <c r="C2663" s="32">
        <v>45.87</v>
      </c>
      <c r="D2663" s="30">
        <v>0.42</v>
      </c>
      <c r="E2663" s="31">
        <v>9.2399999999999999E-3</v>
      </c>
      <c r="F2663" s="30">
        <v>654854844</v>
      </c>
      <c r="G2663" s="30" t="s">
        <v>5427</v>
      </c>
      <c r="H2663" s="30"/>
      <c r="I2663" s="30">
        <v>41778</v>
      </c>
      <c r="J2663" s="30" t="s">
        <v>5426</v>
      </c>
      <c r="K2663" s="30" t="s">
        <v>5490</v>
      </c>
    </row>
    <row r="2664" spans="1:11" x14ac:dyDescent="0.35">
      <c r="A2664" s="30" t="s">
        <v>14359</v>
      </c>
      <c r="B2664" s="30" t="s">
        <v>14360</v>
      </c>
      <c r="C2664" s="32">
        <v>10.16</v>
      </c>
      <c r="D2664" s="30">
        <v>0</v>
      </c>
      <c r="E2664" s="31">
        <v>0</v>
      </c>
      <c r="F2664" s="30">
        <v>149539950</v>
      </c>
      <c r="G2664" s="30" t="s">
        <v>5427</v>
      </c>
      <c r="H2664" s="30">
        <v>2022</v>
      </c>
      <c r="I2664" s="30">
        <v>98580</v>
      </c>
      <c r="J2664" s="30" t="s">
        <v>5457</v>
      </c>
      <c r="K2664" s="30" t="s">
        <v>5571</v>
      </c>
    </row>
    <row r="2665" spans="1:11" x14ac:dyDescent="0.35">
      <c r="A2665" s="30" t="s">
        <v>14361</v>
      </c>
      <c r="B2665" s="30" t="s">
        <v>14362</v>
      </c>
      <c r="C2665" s="32">
        <v>2.38</v>
      </c>
      <c r="D2665" s="30">
        <v>5.5399999999999998E-2</v>
      </c>
      <c r="E2665" s="31">
        <v>2.383E-2</v>
      </c>
      <c r="F2665" s="30">
        <v>149660419</v>
      </c>
      <c r="G2665" s="30" t="s">
        <v>5529</v>
      </c>
      <c r="H2665" s="30"/>
      <c r="I2665" s="30">
        <v>56953</v>
      </c>
      <c r="J2665" s="30" t="s">
        <v>5442</v>
      </c>
      <c r="K2665" s="30" t="s">
        <v>5914</v>
      </c>
    </row>
    <row r="2666" spans="1:11" x14ac:dyDescent="0.35">
      <c r="A2666" s="30" t="s">
        <v>14363</v>
      </c>
      <c r="B2666" s="30" t="s">
        <v>14364</v>
      </c>
      <c r="C2666" s="32">
        <v>44.98</v>
      </c>
      <c r="D2666" s="30">
        <v>0.77</v>
      </c>
      <c r="E2666" s="31">
        <v>1.7420000000000001E-2</v>
      </c>
      <c r="F2666" s="30">
        <v>10692940129</v>
      </c>
      <c r="G2666" s="30" t="s">
        <v>5427</v>
      </c>
      <c r="H2666" s="30"/>
      <c r="I2666" s="30">
        <v>3861071</v>
      </c>
      <c r="J2666" s="30" t="s">
        <v>5442</v>
      </c>
      <c r="K2666" s="30" t="s">
        <v>5482</v>
      </c>
    </row>
    <row r="2667" spans="1:11" x14ac:dyDescent="0.35">
      <c r="A2667" s="30" t="s">
        <v>14365</v>
      </c>
      <c r="B2667" s="30" t="s">
        <v>14366</v>
      </c>
      <c r="C2667" s="32">
        <v>328.63</v>
      </c>
      <c r="D2667" s="30">
        <v>12.45</v>
      </c>
      <c r="E2667" s="31">
        <v>3.9379999999999998E-2</v>
      </c>
      <c r="F2667" s="30">
        <v>16967100517</v>
      </c>
      <c r="G2667" s="30" t="s">
        <v>5427</v>
      </c>
      <c r="H2667" s="30">
        <v>1991</v>
      </c>
      <c r="I2667" s="30">
        <v>442480</v>
      </c>
      <c r="J2667" s="30" t="s">
        <v>5219</v>
      </c>
      <c r="K2667" s="30" t="s">
        <v>7345</v>
      </c>
    </row>
    <row r="2668" spans="1:11" x14ac:dyDescent="0.35">
      <c r="A2668" s="30" t="s">
        <v>14367</v>
      </c>
      <c r="B2668" s="30" t="s">
        <v>14368</v>
      </c>
      <c r="C2668" s="32">
        <v>89.75</v>
      </c>
      <c r="D2668" s="30">
        <v>0.27</v>
      </c>
      <c r="E2668" s="31">
        <v>3.0200000000000001E-3</v>
      </c>
      <c r="F2668" s="30">
        <v>4235442869</v>
      </c>
      <c r="G2668" s="30" t="s">
        <v>5427</v>
      </c>
      <c r="H2668" s="30"/>
      <c r="I2668" s="30">
        <v>233600</v>
      </c>
      <c r="J2668" s="30" t="s">
        <v>5442</v>
      </c>
      <c r="K2668" s="30" t="s">
        <v>5856</v>
      </c>
    </row>
    <row r="2669" spans="1:11" x14ac:dyDescent="0.35">
      <c r="A2669" s="30" t="s">
        <v>14369</v>
      </c>
      <c r="B2669" s="30" t="s">
        <v>14370</v>
      </c>
      <c r="C2669" s="32">
        <v>46.31</v>
      </c>
      <c r="D2669" s="30">
        <v>2.0699999999999998</v>
      </c>
      <c r="E2669" s="31">
        <v>4.6789999999999998E-2</v>
      </c>
      <c r="F2669" s="30">
        <v>515427151</v>
      </c>
      <c r="G2669" s="30" t="s">
        <v>5427</v>
      </c>
      <c r="H2669" s="30">
        <v>1994</v>
      </c>
      <c r="I2669" s="30">
        <v>177420</v>
      </c>
      <c r="J2669" s="30" t="s">
        <v>5457</v>
      </c>
      <c r="K2669" s="30" t="s">
        <v>5472</v>
      </c>
    </row>
    <row r="2670" spans="1:11" x14ac:dyDescent="0.35">
      <c r="A2670" s="30" t="s">
        <v>14371</v>
      </c>
      <c r="B2670" s="30" t="s">
        <v>14372</v>
      </c>
      <c r="C2670" s="32">
        <v>3.99</v>
      </c>
      <c r="D2670" s="30">
        <v>0.37</v>
      </c>
      <c r="E2670" s="31">
        <v>0.10221</v>
      </c>
      <c r="F2670" s="30">
        <v>471530332</v>
      </c>
      <c r="G2670" s="30" t="s">
        <v>5427</v>
      </c>
      <c r="H2670" s="30"/>
      <c r="I2670" s="30">
        <v>75125</v>
      </c>
      <c r="J2670" s="30" t="s">
        <v>5219</v>
      </c>
      <c r="K2670" s="30" t="s">
        <v>5447</v>
      </c>
    </row>
    <row r="2671" spans="1:11" x14ac:dyDescent="0.35">
      <c r="A2671" s="30" t="s">
        <v>14373</v>
      </c>
      <c r="B2671" s="30" t="s">
        <v>14374</v>
      </c>
      <c r="C2671" s="32">
        <v>43.8</v>
      </c>
      <c r="D2671" s="30">
        <v>0.84</v>
      </c>
      <c r="E2671" s="31">
        <v>1.9550000000000001E-2</v>
      </c>
      <c r="F2671" s="30">
        <v>10412422802</v>
      </c>
      <c r="G2671" s="30" t="s">
        <v>5427</v>
      </c>
      <c r="H2671" s="30">
        <v>2011</v>
      </c>
      <c r="I2671" s="30">
        <v>662077</v>
      </c>
      <c r="J2671" s="30" t="s">
        <v>5442</v>
      </c>
      <c r="K2671" s="30" t="s">
        <v>5482</v>
      </c>
    </row>
    <row r="2672" spans="1:11" x14ac:dyDescent="0.35">
      <c r="A2672" s="30" t="s">
        <v>14375</v>
      </c>
      <c r="B2672" s="30" t="s">
        <v>14376</v>
      </c>
      <c r="C2672" s="32">
        <v>28.395</v>
      </c>
      <c r="D2672" s="30">
        <v>0.16500000000000001</v>
      </c>
      <c r="E2672" s="31">
        <v>5.8399999999999997E-3</v>
      </c>
      <c r="F2672" s="30">
        <v>11461840771</v>
      </c>
      <c r="G2672" s="30" t="s">
        <v>5427</v>
      </c>
      <c r="H2672" s="30">
        <v>2020</v>
      </c>
      <c r="I2672" s="30">
        <v>9444295</v>
      </c>
      <c r="J2672" s="30" t="s">
        <v>5219</v>
      </c>
      <c r="K2672" s="30" t="s">
        <v>5560</v>
      </c>
    </row>
    <row r="2673" spans="1:11" x14ac:dyDescent="0.35">
      <c r="A2673" s="30" t="s">
        <v>14377</v>
      </c>
      <c r="B2673" s="30" t="s">
        <v>14378</v>
      </c>
      <c r="C2673" s="32">
        <v>9.94</v>
      </c>
      <c r="D2673" s="30">
        <v>0.13</v>
      </c>
      <c r="E2673" s="31">
        <v>1.325E-2</v>
      </c>
      <c r="F2673" s="30">
        <v>259317424</v>
      </c>
      <c r="G2673" s="30" t="s">
        <v>5427</v>
      </c>
      <c r="H2673" s="30"/>
      <c r="I2673" s="30">
        <v>525129</v>
      </c>
      <c r="J2673" s="30" t="s">
        <v>5431</v>
      </c>
      <c r="K2673" s="30" t="s">
        <v>6537</v>
      </c>
    </row>
    <row r="2674" spans="1:11" x14ac:dyDescent="0.35">
      <c r="A2674" s="30" t="s">
        <v>14379</v>
      </c>
      <c r="B2674" s="30" t="s">
        <v>14380</v>
      </c>
      <c r="C2674" s="32">
        <v>10.14</v>
      </c>
      <c r="D2674" s="30">
        <v>0</v>
      </c>
      <c r="E2674" s="31">
        <v>0</v>
      </c>
      <c r="F2674" s="30">
        <v>568228697</v>
      </c>
      <c r="G2674" s="30" t="s">
        <v>5427</v>
      </c>
      <c r="H2674" s="30">
        <v>2022</v>
      </c>
      <c r="I2674" s="30">
        <v>2</v>
      </c>
      <c r="J2674" s="30" t="s">
        <v>5457</v>
      </c>
      <c r="K2674" s="30" t="s">
        <v>5571</v>
      </c>
    </row>
    <row r="2675" spans="1:11" x14ac:dyDescent="0.35">
      <c r="A2675" s="30" t="s">
        <v>14381</v>
      </c>
      <c r="B2675" s="30" t="s">
        <v>14382</v>
      </c>
      <c r="C2675" s="32">
        <v>53.39</v>
      </c>
      <c r="D2675" s="30">
        <v>0.23</v>
      </c>
      <c r="E2675" s="31">
        <v>4.3299999999999996E-3</v>
      </c>
      <c r="F2675" s="30">
        <v>7937170960</v>
      </c>
      <c r="G2675" s="30" t="s">
        <v>5427</v>
      </c>
      <c r="H2675" s="30"/>
      <c r="I2675" s="30">
        <v>1329836</v>
      </c>
      <c r="J2675" s="30" t="s">
        <v>5435</v>
      </c>
      <c r="K2675" s="30" t="s">
        <v>5579</v>
      </c>
    </row>
    <row r="2676" spans="1:11" x14ac:dyDescent="0.35">
      <c r="A2676" s="30" t="s">
        <v>14383</v>
      </c>
      <c r="B2676" s="30" t="s">
        <v>14384</v>
      </c>
      <c r="C2676" s="32">
        <v>78.11</v>
      </c>
      <c r="D2676" s="30">
        <v>3.11</v>
      </c>
      <c r="E2676" s="31">
        <v>4.147E-2</v>
      </c>
      <c r="F2676" s="30">
        <v>22833289307</v>
      </c>
      <c r="G2676" s="30" t="s">
        <v>5427</v>
      </c>
      <c r="H2676" s="30">
        <v>2019</v>
      </c>
      <c r="I2676" s="30">
        <v>3153039</v>
      </c>
      <c r="J2676" s="30" t="s">
        <v>5219</v>
      </c>
      <c r="K2676" s="30" t="s">
        <v>5560</v>
      </c>
    </row>
    <row r="2677" spans="1:11" x14ac:dyDescent="0.35">
      <c r="A2677" s="30" t="s">
        <v>14385</v>
      </c>
      <c r="B2677" s="30" t="s">
        <v>14386</v>
      </c>
      <c r="C2677" s="32">
        <v>23.65</v>
      </c>
      <c r="D2677" s="30">
        <v>0.05</v>
      </c>
      <c r="E2677" s="31">
        <v>2.1199999999999999E-3</v>
      </c>
      <c r="F2677" s="30">
        <v>1349693462</v>
      </c>
      <c r="G2677" s="30" t="s">
        <v>5427</v>
      </c>
      <c r="H2677" s="30">
        <v>2020</v>
      </c>
      <c r="I2677" s="30">
        <v>506704</v>
      </c>
      <c r="J2677" s="30" t="s">
        <v>5431</v>
      </c>
      <c r="K2677" s="30" t="s">
        <v>5685</v>
      </c>
    </row>
    <row r="2678" spans="1:11" x14ac:dyDescent="0.35">
      <c r="A2678" s="30" t="s">
        <v>14387</v>
      </c>
      <c r="B2678" s="30" t="s">
        <v>14388</v>
      </c>
      <c r="C2678" s="32">
        <v>131.52000000000001</v>
      </c>
      <c r="D2678" s="30">
        <v>7.36</v>
      </c>
      <c r="E2678" s="31">
        <v>5.9279999999999999E-2</v>
      </c>
      <c r="F2678" s="30">
        <v>18966792095</v>
      </c>
      <c r="G2678" s="30" t="s">
        <v>5427</v>
      </c>
      <c r="H2678" s="30">
        <v>2018</v>
      </c>
      <c r="I2678" s="30">
        <v>2448105</v>
      </c>
      <c r="J2678" s="30" t="s">
        <v>5219</v>
      </c>
      <c r="K2678" s="30" t="s">
        <v>5447</v>
      </c>
    </row>
    <row r="2679" spans="1:11" x14ac:dyDescent="0.35">
      <c r="A2679" s="30" t="s">
        <v>14389</v>
      </c>
      <c r="B2679" s="30" t="s">
        <v>14390</v>
      </c>
      <c r="C2679" s="32">
        <v>10.029999999999999</v>
      </c>
      <c r="D2679" s="30">
        <v>0.02</v>
      </c>
      <c r="E2679" s="31">
        <v>2E-3</v>
      </c>
      <c r="F2679" s="30">
        <v>432543750</v>
      </c>
      <c r="G2679" s="30" t="s">
        <v>5427</v>
      </c>
      <c r="H2679" s="30">
        <v>2021</v>
      </c>
      <c r="I2679" s="30">
        <v>5130</v>
      </c>
      <c r="J2679" s="30" t="s">
        <v>5457</v>
      </c>
      <c r="K2679" s="30" t="s">
        <v>5571</v>
      </c>
    </row>
    <row r="2680" spans="1:11" x14ac:dyDescent="0.35">
      <c r="A2680" s="30" t="s">
        <v>14391</v>
      </c>
      <c r="B2680" s="30" t="s">
        <v>14392</v>
      </c>
      <c r="C2680" s="32">
        <v>1.45</v>
      </c>
      <c r="D2680" s="30">
        <v>0</v>
      </c>
      <c r="E2680" s="31">
        <v>0</v>
      </c>
      <c r="F2680" s="30">
        <v>144324274</v>
      </c>
      <c r="G2680" s="30" t="s">
        <v>5515</v>
      </c>
      <c r="H2680" s="30"/>
      <c r="I2680" s="30">
        <v>2737</v>
      </c>
      <c r="J2680" s="30"/>
      <c r="K2680" s="30"/>
    </row>
    <row r="2681" spans="1:11" x14ac:dyDescent="0.35">
      <c r="A2681" s="30" t="s">
        <v>14393</v>
      </c>
      <c r="B2681" s="30" t="s">
        <v>14394</v>
      </c>
      <c r="C2681" s="32">
        <v>26.92</v>
      </c>
      <c r="D2681" s="30">
        <v>1.0900000000000001</v>
      </c>
      <c r="E2681" s="31">
        <v>4.2200000000000001E-2</v>
      </c>
      <c r="F2681" s="30">
        <v>524691232</v>
      </c>
      <c r="G2681" s="30" t="s">
        <v>5427</v>
      </c>
      <c r="H2681" s="30">
        <v>2005</v>
      </c>
      <c r="I2681" s="30">
        <v>388159</v>
      </c>
      <c r="J2681" s="30"/>
      <c r="K2681" s="30"/>
    </row>
    <row r="2682" spans="1:11" x14ac:dyDescent="0.35">
      <c r="A2682" s="30" t="s">
        <v>14395</v>
      </c>
      <c r="B2682" s="30" t="s">
        <v>14396</v>
      </c>
      <c r="C2682" s="32">
        <v>9.27</v>
      </c>
      <c r="D2682" s="30">
        <v>-0.18</v>
      </c>
      <c r="E2682" s="31">
        <v>-1.9050000000000001E-2</v>
      </c>
      <c r="F2682" s="30">
        <v>583975831</v>
      </c>
      <c r="G2682" s="30" t="s">
        <v>5427</v>
      </c>
      <c r="H2682" s="30"/>
      <c r="I2682" s="30">
        <v>397797</v>
      </c>
      <c r="J2682" s="30" t="s">
        <v>5431</v>
      </c>
      <c r="K2682" s="30" t="s">
        <v>6409</v>
      </c>
    </row>
    <row r="2683" spans="1:11" x14ac:dyDescent="0.35">
      <c r="A2683" s="30" t="s">
        <v>14397</v>
      </c>
      <c r="B2683" s="30" t="s">
        <v>14398</v>
      </c>
      <c r="C2683" s="32">
        <v>14.23</v>
      </c>
      <c r="D2683" s="30">
        <v>0.1</v>
      </c>
      <c r="E2683" s="31">
        <v>7.0800000000000004E-3</v>
      </c>
      <c r="F2683" s="30">
        <v>547855000</v>
      </c>
      <c r="G2683" s="30" t="s">
        <v>5427</v>
      </c>
      <c r="H2683" s="30"/>
      <c r="I2683" s="30">
        <v>304748</v>
      </c>
      <c r="J2683" s="30" t="s">
        <v>5431</v>
      </c>
      <c r="K2683" s="30" t="s">
        <v>6734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A250-0EBF-4E32-A20E-43572E3CFCE7}">
  <dimension ref="A1:K1731"/>
  <sheetViews>
    <sheetView workbookViewId="0">
      <selection activeCell="K21" sqref="K21:K29"/>
    </sheetView>
  </sheetViews>
  <sheetFormatPr defaultRowHeight="10" x14ac:dyDescent="0.2"/>
  <cols>
    <col min="11" max="11" width="56.26953125" bestFit="1" customWidth="1"/>
  </cols>
  <sheetData>
    <row r="1" spans="1:11" ht="12.5" x14ac:dyDescent="0.25">
      <c r="A1" s="30" t="s">
        <v>9043</v>
      </c>
      <c r="B1" s="30" t="s">
        <v>9042</v>
      </c>
      <c r="C1" s="30" t="s">
        <v>9041</v>
      </c>
      <c r="D1" s="30" t="s">
        <v>9040</v>
      </c>
      <c r="E1" s="30" t="s">
        <v>9039</v>
      </c>
      <c r="F1" s="30" t="s">
        <v>9038</v>
      </c>
      <c r="G1" s="30" t="s">
        <v>9037</v>
      </c>
      <c r="H1" s="30" t="s">
        <v>9036</v>
      </c>
      <c r="I1" s="30" t="s">
        <v>9035</v>
      </c>
      <c r="J1" s="30" t="s">
        <v>5155</v>
      </c>
      <c r="K1" s="30" t="s">
        <v>9034</v>
      </c>
    </row>
    <row r="2" spans="1:11" ht="12.5" x14ac:dyDescent="0.25">
      <c r="A2" s="30" t="s">
        <v>9033</v>
      </c>
      <c r="B2" s="30" t="s">
        <v>9032</v>
      </c>
      <c r="C2" s="32">
        <v>155.44999999999999</v>
      </c>
      <c r="D2" s="30">
        <v>3.37</v>
      </c>
      <c r="E2" s="31">
        <v>2.2159999999999999E-2</v>
      </c>
      <c r="F2" s="30">
        <v>46024398618</v>
      </c>
      <c r="G2" s="30" t="s">
        <v>5427</v>
      </c>
      <c r="H2" s="30">
        <v>1999</v>
      </c>
      <c r="I2" s="30">
        <v>1499909</v>
      </c>
      <c r="J2" s="30" t="s">
        <v>5457</v>
      </c>
      <c r="K2" s="30" t="s">
        <v>5647</v>
      </c>
    </row>
    <row r="3" spans="1:11" ht="12.5" x14ac:dyDescent="0.25">
      <c r="A3" s="30" t="s">
        <v>9031</v>
      </c>
      <c r="B3" s="30" t="s">
        <v>9030</v>
      </c>
      <c r="C3" s="32">
        <v>3.06</v>
      </c>
      <c r="D3" s="30">
        <v>0.05</v>
      </c>
      <c r="E3" s="31">
        <v>1.661E-2</v>
      </c>
      <c r="F3" s="30">
        <v>86802035</v>
      </c>
      <c r="G3" s="30" t="s">
        <v>5427</v>
      </c>
      <c r="H3" s="30"/>
      <c r="I3" s="30">
        <v>99465</v>
      </c>
      <c r="J3" s="30" t="s">
        <v>5197</v>
      </c>
      <c r="K3" s="30" t="s">
        <v>5467</v>
      </c>
    </row>
    <row r="4" spans="1:11" ht="12.5" x14ac:dyDescent="0.25">
      <c r="A4" s="30" t="s">
        <v>9029</v>
      </c>
      <c r="B4" s="30" t="s">
        <v>9028</v>
      </c>
      <c r="C4" s="32">
        <v>156.84</v>
      </c>
      <c r="D4" s="30">
        <v>4.5599999999999996</v>
      </c>
      <c r="E4" s="31">
        <v>2.9940000000000001E-2</v>
      </c>
      <c r="F4" s="30">
        <v>9293352817</v>
      </c>
      <c r="G4" s="30" t="s">
        <v>5427</v>
      </c>
      <c r="H4" s="30"/>
      <c r="I4" s="30">
        <v>1010458</v>
      </c>
      <c r="J4" s="30" t="s">
        <v>5442</v>
      </c>
      <c r="K4" s="30" t="s">
        <v>9027</v>
      </c>
    </row>
    <row r="5" spans="1:11" ht="12.5" x14ac:dyDescent="0.25">
      <c r="A5" s="30" t="s">
        <v>9026</v>
      </c>
      <c r="B5" s="30" t="s">
        <v>9025</v>
      </c>
      <c r="C5" s="32">
        <v>28.97</v>
      </c>
      <c r="D5" s="30">
        <v>0.51</v>
      </c>
      <c r="E5" s="31">
        <v>1.7919999999999998E-2</v>
      </c>
      <c r="F5" s="30">
        <v>1753499492</v>
      </c>
      <c r="G5" s="30" t="s">
        <v>5427</v>
      </c>
      <c r="H5" s="30">
        <v>2011</v>
      </c>
      <c r="I5" s="30">
        <v>342700</v>
      </c>
      <c r="J5" s="30" t="s">
        <v>5197</v>
      </c>
      <c r="K5" s="30" t="s">
        <v>5467</v>
      </c>
    </row>
    <row r="6" spans="1:11" ht="12.5" x14ac:dyDescent="0.25">
      <c r="A6" s="30" t="s">
        <v>9024</v>
      </c>
      <c r="B6" s="30" t="s">
        <v>9023</v>
      </c>
      <c r="C6" s="32">
        <v>38.58</v>
      </c>
      <c r="D6" s="30">
        <v>0.67</v>
      </c>
      <c r="E6" s="31">
        <v>1.7670000000000002E-2</v>
      </c>
      <c r="F6" s="30">
        <v>3873472278</v>
      </c>
      <c r="G6" s="30" t="s">
        <v>5427</v>
      </c>
      <c r="H6" s="30"/>
      <c r="I6" s="30">
        <v>190428</v>
      </c>
      <c r="J6" s="30" t="s">
        <v>5435</v>
      </c>
      <c r="K6" s="30" t="s">
        <v>5434</v>
      </c>
    </row>
    <row r="7" spans="1:11" ht="12.5" x14ac:dyDescent="0.25">
      <c r="A7" s="30" t="s">
        <v>9022</v>
      </c>
      <c r="B7" s="30" t="s">
        <v>9021</v>
      </c>
      <c r="C7" s="32">
        <v>35.33</v>
      </c>
      <c r="D7" s="30">
        <v>0.48</v>
      </c>
      <c r="E7" s="31">
        <v>1.3769999999999999E-2</v>
      </c>
      <c r="F7" s="30">
        <v>65939075774</v>
      </c>
      <c r="G7" s="30" t="s">
        <v>5799</v>
      </c>
      <c r="H7" s="30"/>
      <c r="I7" s="30">
        <v>1416361</v>
      </c>
      <c r="J7" s="30" t="s">
        <v>5464</v>
      </c>
      <c r="K7" s="30" t="s">
        <v>5647</v>
      </c>
    </row>
    <row r="8" spans="1:11" ht="12.5" x14ac:dyDescent="0.25">
      <c r="A8" s="30" t="s">
        <v>9020</v>
      </c>
      <c r="B8" s="30" t="s">
        <v>9019</v>
      </c>
      <c r="C8" s="32">
        <v>146.6</v>
      </c>
      <c r="D8" s="30">
        <v>-1.1499999999999999</v>
      </c>
      <c r="E8" s="31">
        <v>-7.7799999999999996E-3</v>
      </c>
      <c r="F8" s="30">
        <v>259259242473</v>
      </c>
      <c r="G8" s="30" t="s">
        <v>5427</v>
      </c>
      <c r="H8" s="30">
        <v>2012</v>
      </c>
      <c r="I8" s="30">
        <v>5309658</v>
      </c>
      <c r="J8" s="30" t="s">
        <v>5431</v>
      </c>
      <c r="K8" s="30" t="s">
        <v>6734</v>
      </c>
    </row>
    <row r="9" spans="1:11" ht="12.5" x14ac:dyDescent="0.25">
      <c r="A9" s="30" t="s">
        <v>9018</v>
      </c>
      <c r="B9" s="30" t="s">
        <v>9017</v>
      </c>
      <c r="C9" s="32">
        <v>161.05000000000001</v>
      </c>
      <c r="D9" s="30">
        <v>-7.91</v>
      </c>
      <c r="E9" s="31">
        <v>-4.6820000000000001E-2</v>
      </c>
      <c r="F9" s="30">
        <v>32570153860</v>
      </c>
      <c r="G9" s="30" t="s">
        <v>5427</v>
      </c>
      <c r="H9" s="30"/>
      <c r="I9" s="30">
        <v>2352052</v>
      </c>
      <c r="J9" s="30" t="s">
        <v>5431</v>
      </c>
      <c r="K9" s="30" t="s">
        <v>6734</v>
      </c>
    </row>
    <row r="10" spans="1:11" ht="12.5" x14ac:dyDescent="0.25">
      <c r="A10" s="30" t="s">
        <v>9016</v>
      </c>
      <c r="B10" s="30" t="s">
        <v>9015</v>
      </c>
      <c r="C10" s="32">
        <v>231.64</v>
      </c>
      <c r="D10" s="30">
        <v>11.64</v>
      </c>
      <c r="E10" s="31">
        <v>5.2909999999999999E-2</v>
      </c>
      <c r="F10" s="30">
        <v>5126901323</v>
      </c>
      <c r="G10" s="30" t="s">
        <v>5427</v>
      </c>
      <c r="H10" s="30">
        <v>2002</v>
      </c>
      <c r="I10" s="30">
        <v>359718</v>
      </c>
      <c r="J10" s="30" t="s">
        <v>5442</v>
      </c>
      <c r="K10" s="30" t="s">
        <v>5508</v>
      </c>
    </row>
    <row r="11" spans="1:11" ht="12.5" x14ac:dyDescent="0.25">
      <c r="A11" s="30" t="s">
        <v>9014</v>
      </c>
      <c r="B11" s="30" t="s">
        <v>9013</v>
      </c>
      <c r="C11" s="32">
        <v>47.23</v>
      </c>
      <c r="D11" s="30">
        <v>0.32</v>
      </c>
      <c r="E11" s="31">
        <v>6.8199999999999997E-3</v>
      </c>
      <c r="F11" s="30">
        <v>3098320305</v>
      </c>
      <c r="G11" s="30" t="s">
        <v>5427</v>
      </c>
      <c r="H11" s="30"/>
      <c r="I11" s="30">
        <v>250528</v>
      </c>
      <c r="J11" s="30" t="s">
        <v>5442</v>
      </c>
      <c r="K11" s="30" t="s">
        <v>5746</v>
      </c>
    </row>
    <row r="12" spans="1:11" ht="12.5" x14ac:dyDescent="0.25">
      <c r="A12" s="30" t="s">
        <v>9012</v>
      </c>
      <c r="B12" s="30" t="s">
        <v>9011</v>
      </c>
      <c r="C12" s="32">
        <v>15.16</v>
      </c>
      <c r="D12" s="30">
        <v>0.23</v>
      </c>
      <c r="E12" s="31">
        <v>1.541E-2</v>
      </c>
      <c r="F12" s="30">
        <v>2600297655</v>
      </c>
      <c r="G12" s="30" t="s">
        <v>5427</v>
      </c>
      <c r="H12" s="30">
        <v>2004</v>
      </c>
      <c r="I12" s="30">
        <v>2274271</v>
      </c>
      <c r="J12" s="30" t="s">
        <v>5197</v>
      </c>
      <c r="K12" s="30" t="s">
        <v>5467</v>
      </c>
    </row>
    <row r="13" spans="1:11" ht="12.5" x14ac:dyDescent="0.25">
      <c r="A13" s="30" t="s">
        <v>9010</v>
      </c>
      <c r="B13" s="30" t="s">
        <v>9009</v>
      </c>
      <c r="C13" s="32">
        <v>111.82</v>
      </c>
      <c r="D13" s="30">
        <v>1.27</v>
      </c>
      <c r="E13" s="31">
        <v>1.149E-2</v>
      </c>
      <c r="F13" s="30">
        <v>194966419744</v>
      </c>
      <c r="G13" s="30" t="s">
        <v>5427</v>
      </c>
      <c r="H13" s="30"/>
      <c r="I13" s="30">
        <v>4532253</v>
      </c>
      <c r="J13" s="30" t="s">
        <v>5431</v>
      </c>
      <c r="K13" s="30" t="s">
        <v>5500</v>
      </c>
    </row>
    <row r="14" spans="1:11" ht="12.5" x14ac:dyDescent="0.25">
      <c r="A14" s="30" t="s">
        <v>9008</v>
      </c>
      <c r="B14" s="30" t="s">
        <v>9007</v>
      </c>
      <c r="C14" s="32">
        <v>38.68</v>
      </c>
      <c r="D14" s="30">
        <v>0.63</v>
      </c>
      <c r="E14" s="31">
        <v>1.6559999999999998E-2</v>
      </c>
      <c r="F14" s="30">
        <v>851045173</v>
      </c>
      <c r="G14" s="30" t="s">
        <v>5427</v>
      </c>
      <c r="H14" s="30">
        <v>2015</v>
      </c>
      <c r="I14" s="30">
        <v>3058</v>
      </c>
      <c r="J14" s="30" t="s">
        <v>5435</v>
      </c>
      <c r="K14" s="30" t="s">
        <v>6221</v>
      </c>
    </row>
    <row r="15" spans="1:11" ht="12.5" x14ac:dyDescent="0.25">
      <c r="A15" s="30" t="s">
        <v>9006</v>
      </c>
      <c r="B15" s="30" t="s">
        <v>9005</v>
      </c>
      <c r="C15" s="32">
        <v>6.45</v>
      </c>
      <c r="D15" s="30">
        <v>0.1</v>
      </c>
      <c r="E15" s="31">
        <v>1.575E-2</v>
      </c>
      <c r="F15" s="30">
        <v>607982973</v>
      </c>
      <c r="G15" s="30" t="s">
        <v>5427</v>
      </c>
      <c r="H15" s="30"/>
      <c r="I15" s="30">
        <v>441410</v>
      </c>
      <c r="J15" s="30" t="s">
        <v>5442</v>
      </c>
      <c r="K15" s="30" t="s">
        <v>5856</v>
      </c>
    </row>
    <row r="16" spans="1:11" ht="12.5" x14ac:dyDescent="0.25">
      <c r="A16" s="30" t="s">
        <v>9004</v>
      </c>
      <c r="B16" s="30" t="s">
        <v>9003</v>
      </c>
      <c r="C16" s="32">
        <v>9.56</v>
      </c>
      <c r="D16" s="30">
        <v>0.34</v>
      </c>
      <c r="E16" s="31">
        <v>3.6880000000000003E-2</v>
      </c>
      <c r="F16" s="30">
        <v>836185266</v>
      </c>
      <c r="G16" s="30" t="s">
        <v>5427</v>
      </c>
      <c r="H16" s="30">
        <v>2017</v>
      </c>
      <c r="I16" s="30">
        <v>217736</v>
      </c>
      <c r="J16" s="30" t="s">
        <v>5442</v>
      </c>
      <c r="K16" s="30" t="s">
        <v>5641</v>
      </c>
    </row>
    <row r="17" spans="1:11" ht="12.5" x14ac:dyDescent="0.25">
      <c r="A17" s="30" t="s">
        <v>9002</v>
      </c>
      <c r="B17" s="30" t="s">
        <v>9001</v>
      </c>
      <c r="C17" s="32">
        <v>2.96</v>
      </c>
      <c r="D17" s="30">
        <v>0.06</v>
      </c>
      <c r="E17" s="31">
        <v>2.069E-2</v>
      </c>
      <c r="F17" s="30">
        <v>720152593</v>
      </c>
      <c r="G17" s="30" t="s">
        <v>5427</v>
      </c>
      <c r="H17" s="30">
        <v>2020</v>
      </c>
      <c r="I17" s="30">
        <v>1471349</v>
      </c>
      <c r="J17" s="30" t="s">
        <v>5457</v>
      </c>
      <c r="K17" s="30" t="s">
        <v>5523</v>
      </c>
    </row>
    <row r="18" spans="1:11" ht="12.5" x14ac:dyDescent="0.25">
      <c r="A18" s="30" t="s">
        <v>9000</v>
      </c>
      <c r="B18" s="30" t="s">
        <v>8999</v>
      </c>
      <c r="C18" s="32">
        <v>21.35</v>
      </c>
      <c r="D18" s="30">
        <v>0.15</v>
      </c>
      <c r="E18" s="31">
        <v>7.0800000000000004E-3</v>
      </c>
      <c r="F18" s="30">
        <v>11437568198</v>
      </c>
      <c r="G18" s="30" t="s">
        <v>5427</v>
      </c>
      <c r="H18" s="30">
        <v>2020</v>
      </c>
      <c r="I18" s="30">
        <v>2319085</v>
      </c>
      <c r="J18" s="30" t="s">
        <v>5541</v>
      </c>
      <c r="K18" s="30" t="s">
        <v>5540</v>
      </c>
    </row>
    <row r="19" spans="1:11" ht="12.5" x14ac:dyDescent="0.25">
      <c r="A19" s="30" t="s">
        <v>8998</v>
      </c>
      <c r="B19" s="30" t="s">
        <v>8997</v>
      </c>
      <c r="C19" s="32">
        <v>87.14</v>
      </c>
      <c r="D19" s="30">
        <v>-0.13</v>
      </c>
      <c r="E19" s="31">
        <v>-1.49E-3</v>
      </c>
      <c r="F19" s="30">
        <v>12081985399</v>
      </c>
      <c r="G19" s="30" t="s">
        <v>5427</v>
      </c>
      <c r="H19" s="30">
        <v>2007</v>
      </c>
      <c r="I19" s="30">
        <v>966072</v>
      </c>
      <c r="J19" s="30" t="s">
        <v>5442</v>
      </c>
      <c r="K19" s="30" t="s">
        <v>5701</v>
      </c>
    </row>
    <row r="20" spans="1:11" ht="12.5" x14ac:dyDescent="0.25">
      <c r="A20" s="30" t="s">
        <v>8996</v>
      </c>
      <c r="B20" s="30" t="s">
        <v>8995</v>
      </c>
      <c r="C20" s="32">
        <v>283.60000000000002</v>
      </c>
      <c r="D20" s="30">
        <v>4.55</v>
      </c>
      <c r="E20" s="31">
        <v>1.6310000000000002E-2</v>
      </c>
      <c r="F20" s="30">
        <v>178594304271</v>
      </c>
      <c r="G20" s="30" t="s">
        <v>5512</v>
      </c>
      <c r="H20" s="30">
        <v>2001</v>
      </c>
      <c r="I20" s="30">
        <v>1797027</v>
      </c>
      <c r="J20" s="30" t="s">
        <v>5442</v>
      </c>
      <c r="K20" s="30" t="s">
        <v>5482</v>
      </c>
    </row>
    <row r="21" spans="1:11" ht="12.5" x14ac:dyDescent="0.25">
      <c r="A21" s="30" t="s">
        <v>8994</v>
      </c>
      <c r="B21" s="30" t="s">
        <v>8993</v>
      </c>
      <c r="C21" s="32">
        <v>7.87</v>
      </c>
      <c r="D21" s="30">
        <v>0.13</v>
      </c>
      <c r="E21" s="31">
        <v>1.6799999999999999E-2</v>
      </c>
      <c r="F21" s="30">
        <v>195312796</v>
      </c>
      <c r="G21" s="30" t="s">
        <v>5427</v>
      </c>
      <c r="H21" s="30">
        <v>2011</v>
      </c>
      <c r="I21" s="30">
        <v>234803</v>
      </c>
      <c r="J21" s="30" t="s">
        <v>5435</v>
      </c>
      <c r="K21" s="30" t="s">
        <v>5434</v>
      </c>
    </row>
    <row r="22" spans="1:11" ht="12.5" x14ac:dyDescent="0.25">
      <c r="A22" s="30" t="s">
        <v>8992</v>
      </c>
      <c r="B22" s="30" t="s">
        <v>8991</v>
      </c>
      <c r="C22" s="32">
        <v>9.57</v>
      </c>
      <c r="D22" s="30">
        <v>0.12</v>
      </c>
      <c r="E22" s="31">
        <v>1.2699999999999999E-2</v>
      </c>
      <c r="F22" s="30">
        <v>83819524</v>
      </c>
      <c r="G22" s="30" t="s">
        <v>5427</v>
      </c>
      <c r="H22" s="30"/>
      <c r="I22" s="30">
        <v>6212</v>
      </c>
      <c r="J22" s="30" t="s">
        <v>5197</v>
      </c>
      <c r="K22" s="30" t="s">
        <v>5467</v>
      </c>
    </row>
    <row r="23" spans="1:11" ht="12.5" x14ac:dyDescent="0.25">
      <c r="A23" s="30" t="s">
        <v>8990</v>
      </c>
      <c r="B23" s="30" t="s">
        <v>8989</v>
      </c>
      <c r="C23" s="32">
        <v>12.47</v>
      </c>
      <c r="D23" s="30">
        <v>0.19</v>
      </c>
      <c r="E23" s="31">
        <v>1.5469999999999999E-2</v>
      </c>
      <c r="F23" s="30">
        <v>678899833</v>
      </c>
      <c r="G23" s="30" t="s">
        <v>5427</v>
      </c>
      <c r="H23" s="30">
        <v>2012</v>
      </c>
      <c r="I23" s="30">
        <v>634160</v>
      </c>
      <c r="J23" s="30" t="s">
        <v>5197</v>
      </c>
      <c r="K23" s="30" t="s">
        <v>5467</v>
      </c>
    </row>
    <row r="24" spans="1:11" ht="12.5" x14ac:dyDescent="0.25">
      <c r="A24" s="30" t="s">
        <v>8988</v>
      </c>
      <c r="B24" s="30" t="s">
        <v>8987</v>
      </c>
      <c r="C24" s="32">
        <v>23.06</v>
      </c>
      <c r="D24" s="30">
        <v>0.44</v>
      </c>
      <c r="E24" s="31">
        <v>1.9449999999999999E-2</v>
      </c>
      <c r="F24" s="30">
        <v>238969719</v>
      </c>
      <c r="G24" s="30" t="s">
        <v>5427</v>
      </c>
      <c r="H24" s="30">
        <v>2015</v>
      </c>
      <c r="I24" s="30">
        <v>74884</v>
      </c>
      <c r="J24" s="30" t="s">
        <v>5435</v>
      </c>
      <c r="K24" s="30" t="s">
        <v>5985</v>
      </c>
    </row>
    <row r="25" spans="1:11" ht="12.5" x14ac:dyDescent="0.25">
      <c r="A25" s="30" t="s">
        <v>8986</v>
      </c>
      <c r="B25" s="30" t="s">
        <v>8985</v>
      </c>
      <c r="C25" s="32">
        <v>74.38</v>
      </c>
      <c r="D25" s="30">
        <v>-0.25</v>
      </c>
      <c r="E25" s="31">
        <v>-3.3500000000000001E-3</v>
      </c>
      <c r="F25" s="30">
        <v>6588078186</v>
      </c>
      <c r="G25" s="30" t="s">
        <v>5427</v>
      </c>
      <c r="H25" s="30"/>
      <c r="I25" s="30">
        <v>1297058</v>
      </c>
      <c r="J25" s="30" t="s">
        <v>5197</v>
      </c>
      <c r="K25" s="30" t="s">
        <v>5467</v>
      </c>
    </row>
    <row r="26" spans="1:11" ht="12.5" x14ac:dyDescent="0.25">
      <c r="A26" s="30" t="s">
        <v>8984</v>
      </c>
      <c r="B26" s="30" t="s">
        <v>8983</v>
      </c>
      <c r="C26" s="32">
        <v>83.37</v>
      </c>
      <c r="D26" s="30">
        <v>0.52</v>
      </c>
      <c r="E26" s="31">
        <v>6.28E-3</v>
      </c>
      <c r="F26" s="30">
        <v>45609191218</v>
      </c>
      <c r="G26" s="30" t="s">
        <v>5427</v>
      </c>
      <c r="H26" s="30"/>
      <c r="I26" s="30">
        <v>5672921</v>
      </c>
      <c r="J26" s="30"/>
      <c r="K26" s="30"/>
    </row>
    <row r="27" spans="1:11" ht="12.5" x14ac:dyDescent="0.25">
      <c r="A27" s="30" t="s">
        <v>8982</v>
      </c>
      <c r="B27" s="30" t="s">
        <v>8981</v>
      </c>
      <c r="C27" s="32">
        <v>8.7899999999999991</v>
      </c>
      <c r="D27" s="30">
        <v>0</v>
      </c>
      <c r="E27" s="31">
        <v>0</v>
      </c>
      <c r="F27" s="30">
        <v>8029377286</v>
      </c>
      <c r="G27" s="30" t="s">
        <v>5427</v>
      </c>
      <c r="H27" s="30">
        <v>2018</v>
      </c>
      <c r="I27" s="30">
        <v>1938251</v>
      </c>
      <c r="J27" s="30" t="s">
        <v>5442</v>
      </c>
      <c r="K27" s="30" t="s">
        <v>5746</v>
      </c>
    </row>
    <row r="28" spans="1:11" ht="12.5" x14ac:dyDescent="0.25">
      <c r="A28" s="30" t="s">
        <v>8980</v>
      </c>
      <c r="B28" s="30" t="s">
        <v>8979</v>
      </c>
      <c r="C28" s="32">
        <v>15.78</v>
      </c>
      <c r="D28" s="30">
        <v>0.22</v>
      </c>
      <c r="E28" s="31">
        <v>1.414E-2</v>
      </c>
      <c r="F28" s="30">
        <v>1859513338</v>
      </c>
      <c r="G28" s="30" t="s">
        <v>5427</v>
      </c>
      <c r="H28" s="30"/>
      <c r="I28" s="30">
        <v>636844</v>
      </c>
      <c r="J28" s="30" t="s">
        <v>5435</v>
      </c>
      <c r="K28" s="30" t="s">
        <v>5434</v>
      </c>
    </row>
    <row r="29" spans="1:11" ht="12.5" x14ac:dyDescent="0.25">
      <c r="A29" s="30" t="s">
        <v>8978</v>
      </c>
      <c r="B29" s="30" t="s">
        <v>8977</v>
      </c>
      <c r="C29" s="32">
        <v>87.29</v>
      </c>
      <c r="D29" s="30">
        <v>0.42</v>
      </c>
      <c r="E29" s="31">
        <v>4.8300000000000001E-3</v>
      </c>
      <c r="F29" s="30">
        <v>22566400132</v>
      </c>
      <c r="G29" s="30" t="s">
        <v>5427</v>
      </c>
      <c r="H29" s="30"/>
      <c r="I29" s="30">
        <v>2930896</v>
      </c>
      <c r="J29" s="30" t="s">
        <v>5426</v>
      </c>
      <c r="K29" s="30" t="s">
        <v>5593</v>
      </c>
    </row>
    <row r="30" spans="1:11" ht="12.5" x14ac:dyDescent="0.25">
      <c r="A30" s="30" t="s">
        <v>8976</v>
      </c>
      <c r="B30" s="30" t="s">
        <v>8975</v>
      </c>
      <c r="C30" s="32">
        <v>5.48</v>
      </c>
      <c r="D30" s="30">
        <v>0</v>
      </c>
      <c r="E30" s="31">
        <v>0</v>
      </c>
      <c r="F30" s="30">
        <v>10834790642</v>
      </c>
      <c r="G30" s="30" t="s">
        <v>6073</v>
      </c>
      <c r="H30" s="30"/>
      <c r="I30" s="30">
        <v>1388863</v>
      </c>
      <c r="J30" s="30" t="s">
        <v>5435</v>
      </c>
      <c r="K30" s="30" t="s">
        <v>6352</v>
      </c>
    </row>
    <row r="31" spans="1:11" ht="12.5" x14ac:dyDescent="0.25">
      <c r="A31" s="30" t="s">
        <v>8974</v>
      </c>
      <c r="B31" s="30" t="s">
        <v>8973</v>
      </c>
      <c r="C31" s="32">
        <v>47.74</v>
      </c>
      <c r="D31" s="30">
        <v>0.09</v>
      </c>
      <c r="E31" s="31">
        <v>1.89E-3</v>
      </c>
      <c r="F31" s="30">
        <v>4091425892</v>
      </c>
      <c r="G31" s="30" t="s">
        <v>5427</v>
      </c>
      <c r="H31" s="30">
        <v>2003</v>
      </c>
      <c r="I31" s="30">
        <v>690794</v>
      </c>
      <c r="J31" s="30" t="s">
        <v>5435</v>
      </c>
      <c r="K31" s="30" t="s">
        <v>6352</v>
      </c>
    </row>
    <row r="32" spans="1:11" ht="12.5" x14ac:dyDescent="0.25">
      <c r="A32" s="30" t="s">
        <v>8972</v>
      </c>
      <c r="B32" s="30" t="s">
        <v>8971</v>
      </c>
      <c r="C32" s="32">
        <v>57.2</v>
      </c>
      <c r="D32" s="30">
        <v>0.72</v>
      </c>
      <c r="E32" s="31">
        <v>1.2749999999999999E-2</v>
      </c>
      <c r="F32" s="30">
        <v>26079676537</v>
      </c>
      <c r="G32" s="30" t="s">
        <v>5515</v>
      </c>
      <c r="H32" s="30"/>
      <c r="I32" s="30">
        <v>3263698</v>
      </c>
      <c r="J32" s="30"/>
      <c r="K32" s="30"/>
    </row>
    <row r="33" spans="1:11" ht="12.5" x14ac:dyDescent="0.25">
      <c r="A33" s="30" t="s">
        <v>8970</v>
      </c>
      <c r="B33" s="30" t="s">
        <v>8969</v>
      </c>
      <c r="C33" s="32">
        <v>16.510000000000002</v>
      </c>
      <c r="D33" s="30">
        <v>0.37</v>
      </c>
      <c r="E33" s="31">
        <v>2.2919999999999999E-2</v>
      </c>
      <c r="F33" s="30">
        <v>3094076956</v>
      </c>
      <c r="G33" s="30" t="s">
        <v>5427</v>
      </c>
      <c r="H33" s="30"/>
      <c r="I33" s="30">
        <v>3325041</v>
      </c>
      <c r="J33" s="30" t="s">
        <v>5442</v>
      </c>
      <c r="K33" s="30" t="s">
        <v>7318</v>
      </c>
    </row>
    <row r="34" spans="1:11" ht="12.5" x14ac:dyDescent="0.25">
      <c r="A34" s="30" t="s">
        <v>8968</v>
      </c>
      <c r="B34" s="30" t="s">
        <v>8967</v>
      </c>
      <c r="C34" s="32">
        <v>64.62</v>
      </c>
      <c r="D34" s="30">
        <v>1.41</v>
      </c>
      <c r="E34" s="31">
        <v>2.231E-2</v>
      </c>
      <c r="F34" s="30">
        <v>15888735616</v>
      </c>
      <c r="G34" s="30" t="s">
        <v>6073</v>
      </c>
      <c r="H34" s="30">
        <v>2006</v>
      </c>
      <c r="I34" s="30">
        <v>528372</v>
      </c>
      <c r="J34" s="30" t="s">
        <v>5442</v>
      </c>
      <c r="K34" s="30" t="s">
        <v>5746</v>
      </c>
    </row>
    <row r="35" spans="1:11" ht="12.5" x14ac:dyDescent="0.25">
      <c r="A35" s="30" t="s">
        <v>8966</v>
      </c>
      <c r="B35" s="30" t="s">
        <v>8965</v>
      </c>
      <c r="C35" s="32">
        <v>26.8</v>
      </c>
      <c r="D35" s="30">
        <v>-0.61</v>
      </c>
      <c r="E35" s="31">
        <v>-2.2249999999999999E-2</v>
      </c>
      <c r="F35" s="30">
        <v>17901054050</v>
      </c>
      <c r="G35" s="30" t="s">
        <v>5427</v>
      </c>
      <c r="H35" s="30"/>
      <c r="I35" s="30">
        <v>4940364</v>
      </c>
      <c r="J35" s="30" t="s">
        <v>5426</v>
      </c>
      <c r="K35" s="30" t="s">
        <v>6000</v>
      </c>
    </row>
    <row r="36" spans="1:11" ht="12.5" x14ac:dyDescent="0.25">
      <c r="A36" s="30" t="s">
        <v>8964</v>
      </c>
      <c r="B36" s="30" t="s">
        <v>8963</v>
      </c>
      <c r="C36" s="32">
        <v>11.26</v>
      </c>
      <c r="D36" s="30">
        <v>-7.0000000000000007E-2</v>
      </c>
      <c r="E36" s="31">
        <v>-6.1799999999999997E-3</v>
      </c>
      <c r="F36" s="30">
        <v>323667979</v>
      </c>
      <c r="G36" s="30" t="s">
        <v>5427</v>
      </c>
      <c r="H36" s="30">
        <v>2002</v>
      </c>
      <c r="I36" s="30">
        <v>84141</v>
      </c>
      <c r="J36" s="30" t="s">
        <v>5435</v>
      </c>
      <c r="K36" s="30" t="s">
        <v>5568</v>
      </c>
    </row>
    <row r="37" spans="1:11" ht="12.5" x14ac:dyDescent="0.25">
      <c r="A37" s="30" t="s">
        <v>8962</v>
      </c>
      <c r="B37" s="30" t="s">
        <v>8961</v>
      </c>
      <c r="C37" s="32">
        <v>138.02000000000001</v>
      </c>
      <c r="D37" s="30">
        <v>-4.57</v>
      </c>
      <c r="E37" s="31">
        <v>-3.2050000000000002E-2</v>
      </c>
      <c r="F37" s="30">
        <v>11751506284</v>
      </c>
      <c r="G37" s="30" t="s">
        <v>5427</v>
      </c>
      <c r="H37" s="30"/>
      <c r="I37" s="30">
        <v>607694</v>
      </c>
      <c r="J37" s="30" t="s">
        <v>5435</v>
      </c>
      <c r="K37" s="30" t="s">
        <v>5493</v>
      </c>
    </row>
    <row r="38" spans="1:11" ht="12.5" x14ac:dyDescent="0.25">
      <c r="A38" s="30" t="s">
        <v>8960</v>
      </c>
      <c r="B38" s="30" t="s">
        <v>8959</v>
      </c>
      <c r="C38" s="32">
        <v>73.28</v>
      </c>
      <c r="D38" s="30">
        <v>-0.22</v>
      </c>
      <c r="E38" s="31">
        <v>-2.99E-3</v>
      </c>
      <c r="F38" s="30">
        <v>45564665677</v>
      </c>
      <c r="G38" s="30" t="s">
        <v>5427</v>
      </c>
      <c r="H38" s="30"/>
      <c r="I38" s="30">
        <v>3162768</v>
      </c>
      <c r="J38" s="30" t="s">
        <v>5435</v>
      </c>
      <c r="K38" s="30" t="s">
        <v>5760</v>
      </c>
    </row>
    <row r="39" spans="1:11" ht="12.5" x14ac:dyDescent="0.25">
      <c r="A39" s="30" t="s">
        <v>8958</v>
      </c>
      <c r="B39" s="30" t="s">
        <v>8957</v>
      </c>
      <c r="C39" s="32">
        <v>8.1300000000000008</v>
      </c>
      <c r="D39" s="30">
        <v>0.24</v>
      </c>
      <c r="E39" s="31">
        <v>3.0419999999999999E-2</v>
      </c>
      <c r="F39" s="30">
        <v>2216058969</v>
      </c>
      <c r="G39" s="30" t="s">
        <v>5515</v>
      </c>
      <c r="H39" s="30"/>
      <c r="I39" s="30">
        <v>6216126</v>
      </c>
      <c r="J39" s="30"/>
      <c r="K39" s="30"/>
    </row>
    <row r="40" spans="1:11" ht="12.5" x14ac:dyDescent="0.25">
      <c r="A40" s="30" t="s">
        <v>8956</v>
      </c>
      <c r="B40" s="30" t="s">
        <v>8955</v>
      </c>
      <c r="C40" s="32">
        <v>139.22</v>
      </c>
      <c r="D40" s="30">
        <v>1.0900000000000001</v>
      </c>
      <c r="E40" s="31">
        <v>7.8899999999999994E-3</v>
      </c>
      <c r="F40" s="30">
        <v>10385544280</v>
      </c>
      <c r="G40" s="30" t="s">
        <v>5427</v>
      </c>
      <c r="H40" s="30"/>
      <c r="I40" s="30">
        <v>916695</v>
      </c>
      <c r="J40" s="30" t="s">
        <v>5457</v>
      </c>
      <c r="K40" s="30" t="s">
        <v>5644</v>
      </c>
    </row>
    <row r="41" spans="1:11" ht="12.5" x14ac:dyDescent="0.25">
      <c r="A41" s="30" t="s">
        <v>8954</v>
      </c>
      <c r="B41" s="30" t="s">
        <v>8953</v>
      </c>
      <c r="C41" s="32">
        <v>10</v>
      </c>
      <c r="D41" s="30">
        <v>-7.0000000000000007E-2</v>
      </c>
      <c r="E41" s="31">
        <v>-6.9499999999999996E-3</v>
      </c>
      <c r="F41" s="30">
        <v>125495820</v>
      </c>
      <c r="G41" s="30" t="s">
        <v>5427</v>
      </c>
      <c r="H41" s="30">
        <v>2006</v>
      </c>
      <c r="I41" s="30">
        <v>123182</v>
      </c>
      <c r="J41" s="30" t="s">
        <v>5435</v>
      </c>
      <c r="K41" s="30" t="s">
        <v>5568</v>
      </c>
    </row>
    <row r="42" spans="1:11" ht="12.5" x14ac:dyDescent="0.25">
      <c r="A42" s="30" t="s">
        <v>8952</v>
      </c>
      <c r="B42" s="30" t="s">
        <v>8951</v>
      </c>
      <c r="C42" s="32">
        <v>11.23</v>
      </c>
      <c r="D42" s="30">
        <v>0.19</v>
      </c>
      <c r="E42" s="31">
        <v>1.721E-2</v>
      </c>
      <c r="F42" s="30">
        <v>4418538405</v>
      </c>
      <c r="G42" s="30" t="s">
        <v>5515</v>
      </c>
      <c r="H42" s="30">
        <v>2015</v>
      </c>
      <c r="I42" s="30">
        <v>3773664</v>
      </c>
      <c r="J42" s="30"/>
      <c r="K42" s="30"/>
    </row>
    <row r="43" spans="1:11" ht="12.5" x14ac:dyDescent="0.25">
      <c r="A43" s="30" t="s">
        <v>8950</v>
      </c>
      <c r="B43" s="30" t="s">
        <v>8949</v>
      </c>
      <c r="C43" s="32">
        <v>132.80000000000001</v>
      </c>
      <c r="D43" s="30">
        <v>-0.17</v>
      </c>
      <c r="E43" s="31">
        <v>-1.2800000000000001E-3</v>
      </c>
      <c r="F43" s="30">
        <v>1434321938</v>
      </c>
      <c r="G43" s="30" t="s">
        <v>5427</v>
      </c>
      <c r="H43" s="30"/>
      <c r="I43" s="30">
        <v>59664</v>
      </c>
      <c r="J43" s="30" t="s">
        <v>5435</v>
      </c>
      <c r="K43" s="30" t="s">
        <v>5563</v>
      </c>
    </row>
    <row r="44" spans="1:11" ht="12.5" x14ac:dyDescent="0.25">
      <c r="A44" s="30" t="s">
        <v>8948</v>
      </c>
      <c r="B44" s="30" t="s">
        <v>8947</v>
      </c>
      <c r="C44" s="32">
        <v>42.69</v>
      </c>
      <c r="D44" s="30">
        <v>0.52</v>
      </c>
      <c r="E44" s="31">
        <v>1.2330000000000001E-2</v>
      </c>
      <c r="F44" s="30">
        <v>16504988421</v>
      </c>
      <c r="G44" s="30" t="s">
        <v>5427</v>
      </c>
      <c r="H44" s="30">
        <v>2015</v>
      </c>
      <c r="I44" s="30">
        <v>682175</v>
      </c>
      <c r="J44" s="30" t="s">
        <v>5426</v>
      </c>
      <c r="K44" s="30" t="s">
        <v>6000</v>
      </c>
    </row>
    <row r="45" spans="1:11" ht="12.5" x14ac:dyDescent="0.25">
      <c r="A45" s="30" t="s">
        <v>8946</v>
      </c>
      <c r="B45" s="30" t="s">
        <v>8945</v>
      </c>
      <c r="C45" s="32">
        <v>8.4600000000000009</v>
      </c>
      <c r="D45" s="30">
        <v>0.01</v>
      </c>
      <c r="E45" s="31">
        <v>1.1800000000000001E-3</v>
      </c>
      <c r="F45" s="30">
        <v>925940122</v>
      </c>
      <c r="G45" s="30" t="s">
        <v>5823</v>
      </c>
      <c r="H45" s="30">
        <v>2011</v>
      </c>
      <c r="I45" s="30">
        <v>414182</v>
      </c>
      <c r="J45" s="30" t="s">
        <v>5541</v>
      </c>
      <c r="K45" s="30" t="s">
        <v>5774</v>
      </c>
    </row>
    <row r="46" spans="1:11" ht="12.5" x14ac:dyDescent="0.25">
      <c r="A46" s="30" t="s">
        <v>8944</v>
      </c>
      <c r="B46" s="30" t="s">
        <v>8943</v>
      </c>
      <c r="C46" s="32">
        <v>6.66</v>
      </c>
      <c r="D46" s="30">
        <v>0.05</v>
      </c>
      <c r="E46" s="31">
        <v>7.5599999999999999E-3</v>
      </c>
      <c r="F46" s="30">
        <v>251476079</v>
      </c>
      <c r="G46" s="30" t="s">
        <v>5427</v>
      </c>
      <c r="H46" s="30">
        <v>2018</v>
      </c>
      <c r="I46" s="30">
        <v>203988</v>
      </c>
      <c r="J46" s="30" t="s">
        <v>5442</v>
      </c>
      <c r="K46" s="30" t="s">
        <v>5641</v>
      </c>
    </row>
    <row r="47" spans="1:11" ht="12.5" x14ac:dyDescent="0.25">
      <c r="A47" s="30" t="s">
        <v>5043</v>
      </c>
      <c r="B47" s="30" t="s">
        <v>8942</v>
      </c>
      <c r="C47" s="32">
        <v>38.93</v>
      </c>
      <c r="D47" s="30">
        <v>-0.06</v>
      </c>
      <c r="E47" s="31">
        <v>-1.5399999999999999E-3</v>
      </c>
      <c r="F47" s="30">
        <v>528524775</v>
      </c>
      <c r="G47" s="30" t="s">
        <v>5427</v>
      </c>
      <c r="H47" s="30"/>
      <c r="I47" s="30">
        <v>57096</v>
      </c>
      <c r="J47" s="30" t="s">
        <v>5457</v>
      </c>
      <c r="K47" s="30" t="s">
        <v>5588</v>
      </c>
    </row>
    <row r="48" spans="1:11" ht="12.5" x14ac:dyDescent="0.25">
      <c r="A48" s="30" t="s">
        <v>8941</v>
      </c>
      <c r="B48" s="30" t="s">
        <v>8940</v>
      </c>
      <c r="C48" s="32">
        <v>12.6</v>
      </c>
      <c r="D48" s="30">
        <v>-0.08</v>
      </c>
      <c r="E48" s="31">
        <v>-6.3099999999999996E-3</v>
      </c>
      <c r="F48" s="30">
        <v>853395971</v>
      </c>
      <c r="G48" s="30" t="s">
        <v>5427</v>
      </c>
      <c r="H48" s="30">
        <v>2013</v>
      </c>
      <c r="I48" s="30">
        <v>299211</v>
      </c>
      <c r="J48" s="30" t="s">
        <v>5197</v>
      </c>
      <c r="K48" s="30" t="s">
        <v>5467</v>
      </c>
    </row>
    <row r="49" spans="1:11" ht="12.5" x14ac:dyDescent="0.25">
      <c r="A49" s="30" t="s">
        <v>8939</v>
      </c>
      <c r="B49" s="30" t="s">
        <v>8938</v>
      </c>
      <c r="C49" s="32">
        <v>7.12</v>
      </c>
      <c r="D49" s="30">
        <v>0.23</v>
      </c>
      <c r="E49" s="31">
        <v>3.338E-2</v>
      </c>
      <c r="F49" s="30">
        <v>245632830</v>
      </c>
      <c r="G49" s="30" t="s">
        <v>5427</v>
      </c>
      <c r="H49" s="30">
        <v>2003</v>
      </c>
      <c r="I49" s="30">
        <v>460103</v>
      </c>
      <c r="J49" s="30" t="s">
        <v>5197</v>
      </c>
      <c r="K49" s="30" t="s">
        <v>5467</v>
      </c>
    </row>
    <row r="50" spans="1:11" ht="12.5" x14ac:dyDescent="0.25">
      <c r="A50" s="30" t="s">
        <v>8937</v>
      </c>
      <c r="B50" s="30" t="s">
        <v>8936</v>
      </c>
      <c r="C50" s="32">
        <v>61.23</v>
      </c>
      <c r="D50" s="30">
        <v>-1.99</v>
      </c>
      <c r="E50" s="31">
        <v>-3.1480000000000001E-2</v>
      </c>
      <c r="F50" s="30">
        <v>52751220693</v>
      </c>
      <c r="G50" s="30" t="s">
        <v>5427</v>
      </c>
      <c r="H50" s="30"/>
      <c r="I50" s="30">
        <v>6371422</v>
      </c>
      <c r="J50" s="30" t="s">
        <v>5435</v>
      </c>
      <c r="K50" s="30" t="s">
        <v>6352</v>
      </c>
    </row>
    <row r="51" spans="1:11" ht="12.5" x14ac:dyDescent="0.25">
      <c r="A51" s="30" t="s">
        <v>8935</v>
      </c>
      <c r="B51" s="30" t="s">
        <v>8934</v>
      </c>
      <c r="C51" s="32">
        <v>112.89</v>
      </c>
      <c r="D51" s="30">
        <v>0.74</v>
      </c>
      <c r="E51" s="31">
        <v>6.6E-3</v>
      </c>
      <c r="F51" s="30">
        <v>3510879000</v>
      </c>
      <c r="G51" s="30" t="s">
        <v>5427</v>
      </c>
      <c r="H51" s="30"/>
      <c r="I51" s="30">
        <v>96211</v>
      </c>
      <c r="J51" s="30" t="s">
        <v>5442</v>
      </c>
      <c r="K51" s="30" t="s">
        <v>8246</v>
      </c>
    </row>
    <row r="52" spans="1:11" ht="12.5" x14ac:dyDescent="0.25">
      <c r="A52" s="30" t="s">
        <v>8933</v>
      </c>
      <c r="B52" s="30" t="s">
        <v>8932</v>
      </c>
      <c r="C52" s="32">
        <v>52.03</v>
      </c>
      <c r="D52" s="30">
        <v>0.59</v>
      </c>
      <c r="E52" s="31">
        <v>1.1469999999999999E-2</v>
      </c>
      <c r="F52" s="30">
        <v>1792699738</v>
      </c>
      <c r="G52" s="30" t="s">
        <v>5427</v>
      </c>
      <c r="H52" s="30"/>
      <c r="I52" s="30">
        <v>178690</v>
      </c>
      <c r="J52" s="30" t="s">
        <v>5457</v>
      </c>
      <c r="K52" s="30" t="s">
        <v>5523</v>
      </c>
    </row>
    <row r="53" spans="1:11" ht="12.5" x14ac:dyDescent="0.25">
      <c r="A53" s="30" t="s">
        <v>8931</v>
      </c>
      <c r="B53" s="30" t="s">
        <v>8930</v>
      </c>
      <c r="C53" s="32">
        <v>145.72</v>
      </c>
      <c r="D53" s="30">
        <v>2.5099999999999998</v>
      </c>
      <c r="E53" s="31">
        <v>1.753E-2</v>
      </c>
      <c r="F53" s="30">
        <v>5624746390</v>
      </c>
      <c r="G53" s="30" t="s">
        <v>5427</v>
      </c>
      <c r="H53" s="30"/>
      <c r="I53" s="30">
        <v>291567</v>
      </c>
      <c r="J53" s="30" t="s">
        <v>5457</v>
      </c>
      <c r="K53" s="30" t="s">
        <v>5644</v>
      </c>
    </row>
    <row r="54" spans="1:11" ht="12.5" x14ac:dyDescent="0.25">
      <c r="A54" s="30" t="s">
        <v>8929</v>
      </c>
      <c r="B54" s="30" t="s">
        <v>8928</v>
      </c>
      <c r="C54" s="32">
        <v>7.59</v>
      </c>
      <c r="D54" s="30">
        <v>0.08</v>
      </c>
      <c r="E54" s="31">
        <v>1.065E-2</v>
      </c>
      <c r="F54" s="30">
        <v>1150888239</v>
      </c>
      <c r="G54" s="30" t="s">
        <v>5427</v>
      </c>
      <c r="H54" s="30">
        <v>1994</v>
      </c>
      <c r="I54" s="30">
        <v>688142</v>
      </c>
      <c r="J54" s="30" t="s">
        <v>5197</v>
      </c>
      <c r="K54" s="30" t="s">
        <v>5467</v>
      </c>
    </row>
    <row r="55" spans="1:11" ht="12.5" x14ac:dyDescent="0.25">
      <c r="A55" s="30" t="s">
        <v>8927</v>
      </c>
      <c r="B55" s="30" t="s">
        <v>8926</v>
      </c>
      <c r="C55" s="32">
        <v>132.25</v>
      </c>
      <c r="D55" s="30">
        <v>-0.34</v>
      </c>
      <c r="E55" s="31">
        <v>-2.5600000000000002E-3</v>
      </c>
      <c r="F55" s="30">
        <v>6986956485</v>
      </c>
      <c r="G55" s="30" t="s">
        <v>5427</v>
      </c>
      <c r="H55" s="30">
        <v>2004</v>
      </c>
      <c r="I55" s="30">
        <v>427329</v>
      </c>
      <c r="J55" s="30" t="s">
        <v>5435</v>
      </c>
      <c r="K55" s="30" t="s">
        <v>6066</v>
      </c>
    </row>
    <row r="56" spans="1:11" ht="12.5" x14ac:dyDescent="0.25">
      <c r="A56" s="30" t="s">
        <v>8925</v>
      </c>
      <c r="B56" s="30" t="s">
        <v>8924</v>
      </c>
      <c r="C56" s="32">
        <v>196.28</v>
      </c>
      <c r="D56" s="30">
        <v>0.56000000000000005</v>
      </c>
      <c r="E56" s="31">
        <v>2.8600000000000001E-3</v>
      </c>
      <c r="F56" s="30">
        <v>41594479920</v>
      </c>
      <c r="G56" s="30" t="s">
        <v>5427</v>
      </c>
      <c r="H56" s="30"/>
      <c r="I56" s="30">
        <v>1171893</v>
      </c>
      <c r="J56" s="30" t="s">
        <v>5435</v>
      </c>
      <c r="K56" s="30" t="s">
        <v>6066</v>
      </c>
    </row>
    <row r="57" spans="1:11" ht="12.5" x14ac:dyDescent="0.25">
      <c r="A57" s="30" t="s">
        <v>8923</v>
      </c>
      <c r="B57" s="30" t="s">
        <v>8922</v>
      </c>
      <c r="C57" s="32">
        <v>55.88</v>
      </c>
      <c r="D57" s="30">
        <v>-0.04</v>
      </c>
      <c r="E57" s="31">
        <v>-7.2000000000000005E-4</v>
      </c>
      <c r="F57" s="30">
        <v>4506708030</v>
      </c>
      <c r="G57" s="30" t="s">
        <v>5427</v>
      </c>
      <c r="H57" s="30"/>
      <c r="I57" s="30">
        <v>751473</v>
      </c>
      <c r="J57" s="30" t="s">
        <v>5457</v>
      </c>
      <c r="K57" s="30" t="s">
        <v>5701</v>
      </c>
    </row>
    <row r="58" spans="1:11" ht="12.5" x14ac:dyDescent="0.25">
      <c r="A58" s="30" t="s">
        <v>8921</v>
      </c>
      <c r="B58" s="30" t="s">
        <v>8920</v>
      </c>
      <c r="C58" s="32">
        <v>8.8000000000000007</v>
      </c>
      <c r="D58" s="30">
        <v>0.03</v>
      </c>
      <c r="E58" s="31">
        <v>3.4199999999999999E-3</v>
      </c>
      <c r="F58" s="30">
        <v>201455179</v>
      </c>
      <c r="G58" s="30" t="s">
        <v>5427</v>
      </c>
      <c r="H58" s="30">
        <v>2015</v>
      </c>
      <c r="I58" s="30">
        <v>111545</v>
      </c>
      <c r="J58" s="30" t="s">
        <v>5197</v>
      </c>
      <c r="K58" s="30" t="s">
        <v>5467</v>
      </c>
    </row>
    <row r="59" spans="1:11" ht="12.5" x14ac:dyDescent="0.25">
      <c r="A59" s="30" t="s">
        <v>8919</v>
      </c>
      <c r="B59" s="30" t="s">
        <v>8918</v>
      </c>
      <c r="C59" s="32">
        <v>15.54</v>
      </c>
      <c r="D59" s="30">
        <v>0.01</v>
      </c>
      <c r="E59" s="31">
        <v>6.4000000000000005E-4</v>
      </c>
      <c r="F59" s="30">
        <v>1475627367</v>
      </c>
      <c r="G59" s="30" t="s">
        <v>5427</v>
      </c>
      <c r="H59" s="30"/>
      <c r="I59" s="30">
        <v>497910</v>
      </c>
      <c r="J59" s="30" t="s">
        <v>5197</v>
      </c>
      <c r="K59" s="30" t="s">
        <v>5467</v>
      </c>
    </row>
    <row r="60" spans="1:11" ht="12.5" x14ac:dyDescent="0.25">
      <c r="A60" s="30" t="s">
        <v>8917</v>
      </c>
      <c r="B60" s="30" t="s">
        <v>8916</v>
      </c>
      <c r="C60" s="32">
        <v>45.47</v>
      </c>
      <c r="D60" s="30">
        <v>0.5</v>
      </c>
      <c r="E60" s="31">
        <v>1.112E-2</v>
      </c>
      <c r="F60" s="30">
        <v>5042263651</v>
      </c>
      <c r="G60" s="30" t="s">
        <v>5427</v>
      </c>
      <c r="H60" s="30">
        <v>2011</v>
      </c>
      <c r="I60" s="30">
        <v>344551</v>
      </c>
      <c r="J60" s="30" t="s">
        <v>5442</v>
      </c>
      <c r="K60" s="30" t="s">
        <v>5746</v>
      </c>
    </row>
    <row r="61" spans="1:11" ht="12.5" x14ac:dyDescent="0.25">
      <c r="A61" s="30" t="s">
        <v>8915</v>
      </c>
      <c r="B61" s="30" t="s">
        <v>8914</v>
      </c>
      <c r="C61" s="32">
        <v>285.89999999999998</v>
      </c>
      <c r="D61" s="30">
        <v>4.45</v>
      </c>
      <c r="E61" s="31">
        <v>1.5810000000000001E-2</v>
      </c>
      <c r="F61" s="30">
        <v>33493983805</v>
      </c>
      <c r="G61" s="30" t="s">
        <v>5427</v>
      </c>
      <c r="H61" s="30"/>
      <c r="I61" s="30">
        <v>1328675</v>
      </c>
      <c r="J61" s="30" t="s">
        <v>5457</v>
      </c>
      <c r="K61" s="30" t="s">
        <v>5438</v>
      </c>
    </row>
    <row r="62" spans="1:11" ht="12.5" x14ac:dyDescent="0.25">
      <c r="A62" s="30" t="s">
        <v>8913</v>
      </c>
      <c r="B62" s="30" t="s">
        <v>8912</v>
      </c>
      <c r="C62" s="32">
        <v>76.42</v>
      </c>
      <c r="D62" s="30">
        <v>1.21</v>
      </c>
      <c r="E62" s="31">
        <v>1.609E-2</v>
      </c>
      <c r="F62" s="30">
        <v>37452447088</v>
      </c>
      <c r="G62" s="30" t="s">
        <v>5799</v>
      </c>
      <c r="H62" s="30">
        <v>2019</v>
      </c>
      <c r="I62" s="30">
        <v>1152680</v>
      </c>
      <c r="J62" s="30" t="s">
        <v>5431</v>
      </c>
      <c r="K62" s="30" t="s">
        <v>8316</v>
      </c>
    </row>
    <row r="63" spans="1:11" ht="12.5" x14ac:dyDescent="0.25">
      <c r="A63" s="30" t="s">
        <v>8911</v>
      </c>
      <c r="B63" s="30" t="s">
        <v>8910</v>
      </c>
      <c r="C63" s="32">
        <v>62.41</v>
      </c>
      <c r="D63" s="30">
        <v>0.55000000000000004</v>
      </c>
      <c r="E63" s="31">
        <v>8.8900000000000003E-3</v>
      </c>
      <c r="F63" s="30">
        <v>3567472806</v>
      </c>
      <c r="G63" s="30" t="s">
        <v>5427</v>
      </c>
      <c r="H63" s="30"/>
      <c r="I63" s="30">
        <v>298191</v>
      </c>
      <c r="J63" s="30" t="s">
        <v>5426</v>
      </c>
      <c r="K63" s="30" t="s">
        <v>5593</v>
      </c>
    </row>
    <row r="64" spans="1:11" ht="12.5" x14ac:dyDescent="0.25">
      <c r="A64" s="30" t="s">
        <v>8909</v>
      </c>
      <c r="B64" s="30" t="s">
        <v>8908</v>
      </c>
      <c r="C64" s="32">
        <v>20</v>
      </c>
      <c r="D64" s="30">
        <v>-0.02</v>
      </c>
      <c r="E64" s="31">
        <v>-1E-3</v>
      </c>
      <c r="F64" s="30">
        <v>1450884700</v>
      </c>
      <c r="G64" s="30" t="s">
        <v>5427</v>
      </c>
      <c r="H64" s="30"/>
      <c r="I64" s="30">
        <v>203076</v>
      </c>
      <c r="J64" s="30" t="s">
        <v>5197</v>
      </c>
      <c r="K64" s="30" t="s">
        <v>5467</v>
      </c>
    </row>
    <row r="65" spans="1:11" ht="12.5" x14ac:dyDescent="0.25">
      <c r="A65" s="30" t="s">
        <v>8907</v>
      </c>
      <c r="B65" s="30" t="s">
        <v>8906</v>
      </c>
      <c r="C65" s="32">
        <v>158.57</v>
      </c>
      <c r="D65" s="30">
        <v>2.1</v>
      </c>
      <c r="E65" s="31">
        <v>1.342E-2</v>
      </c>
      <c r="F65" s="30">
        <v>1897483981</v>
      </c>
      <c r="G65" s="30" t="s">
        <v>5427</v>
      </c>
      <c r="H65" s="30"/>
      <c r="I65" s="30">
        <v>59149</v>
      </c>
      <c r="J65" s="30" t="s">
        <v>5457</v>
      </c>
      <c r="K65" s="30" t="s">
        <v>5644</v>
      </c>
    </row>
    <row r="66" spans="1:11" ht="12.5" x14ac:dyDescent="0.25">
      <c r="A66" s="30" t="s">
        <v>8905</v>
      </c>
      <c r="B66" s="30" t="s">
        <v>8904</v>
      </c>
      <c r="C66" s="32">
        <v>51.84</v>
      </c>
      <c r="D66" s="30">
        <v>0.5</v>
      </c>
      <c r="E66" s="31">
        <v>9.7400000000000004E-3</v>
      </c>
      <c r="F66" s="30">
        <v>6611315800</v>
      </c>
      <c r="G66" s="30" t="s">
        <v>5427</v>
      </c>
      <c r="H66" s="30"/>
      <c r="I66" s="30">
        <v>1478384</v>
      </c>
      <c r="J66" s="30" t="s">
        <v>5442</v>
      </c>
      <c r="K66" s="30" t="s">
        <v>5749</v>
      </c>
    </row>
    <row r="67" spans="1:11" ht="12.5" x14ac:dyDescent="0.25">
      <c r="A67" s="30" t="s">
        <v>8903</v>
      </c>
      <c r="B67" s="30" t="s">
        <v>8902</v>
      </c>
      <c r="C67" s="32">
        <v>128.16</v>
      </c>
      <c r="D67" s="30">
        <v>-0.31</v>
      </c>
      <c r="E67" s="31">
        <v>-2.4099999999999998E-3</v>
      </c>
      <c r="F67" s="30">
        <v>33989259004</v>
      </c>
      <c r="G67" s="30" t="s">
        <v>5427</v>
      </c>
      <c r="H67" s="30"/>
      <c r="I67" s="30">
        <v>1794097</v>
      </c>
      <c r="J67" s="30" t="s">
        <v>5435</v>
      </c>
      <c r="K67" s="30" t="s">
        <v>5493</v>
      </c>
    </row>
    <row r="68" spans="1:11" ht="12.5" x14ac:dyDescent="0.25">
      <c r="A68" s="30" t="s">
        <v>8901</v>
      </c>
      <c r="B68" s="30" t="s">
        <v>8900</v>
      </c>
      <c r="C68" s="32">
        <v>120.05</v>
      </c>
      <c r="D68" s="30">
        <v>2.5</v>
      </c>
      <c r="E68" s="31">
        <v>2.1270000000000001E-2</v>
      </c>
      <c r="F68" s="30">
        <v>10545770881</v>
      </c>
      <c r="G68" s="30" t="s">
        <v>5427</v>
      </c>
      <c r="H68" s="30">
        <v>2013</v>
      </c>
      <c r="I68" s="30">
        <v>634800</v>
      </c>
      <c r="J68" s="30" t="s">
        <v>5442</v>
      </c>
      <c r="K68" s="30" t="s">
        <v>5746</v>
      </c>
    </row>
    <row r="69" spans="1:11" ht="12.5" x14ac:dyDescent="0.25">
      <c r="A69" s="30" t="s">
        <v>8899</v>
      </c>
      <c r="B69" s="30" t="s">
        <v>8898</v>
      </c>
      <c r="C69" s="32">
        <v>4.5599999999999996</v>
      </c>
      <c r="D69" s="30">
        <v>0.21</v>
      </c>
      <c r="E69" s="31">
        <v>4.8280000000000003E-2</v>
      </c>
      <c r="F69" s="30">
        <v>1212242452</v>
      </c>
      <c r="G69" s="30" t="s">
        <v>6073</v>
      </c>
      <c r="H69" s="30">
        <v>2022</v>
      </c>
      <c r="I69" s="30">
        <v>47633</v>
      </c>
      <c r="J69" s="30" t="s">
        <v>5442</v>
      </c>
      <c r="K69" s="30" t="s">
        <v>5508</v>
      </c>
    </row>
    <row r="70" spans="1:11" ht="12.5" x14ac:dyDescent="0.25">
      <c r="A70" s="30" t="s">
        <v>8897</v>
      </c>
      <c r="B70" s="30" t="s">
        <v>8896</v>
      </c>
      <c r="C70" s="32">
        <v>33.840000000000003</v>
      </c>
      <c r="D70" s="30">
        <v>1.35</v>
      </c>
      <c r="E70" s="31">
        <v>4.1549999999999997E-2</v>
      </c>
      <c r="F70" s="30">
        <v>10129124160</v>
      </c>
      <c r="G70" s="30" t="s">
        <v>5427</v>
      </c>
      <c r="H70" s="30">
        <v>2014</v>
      </c>
      <c r="I70" s="30">
        <v>8289829</v>
      </c>
      <c r="J70" s="30" t="s">
        <v>5435</v>
      </c>
      <c r="K70" s="30" t="s">
        <v>6009</v>
      </c>
    </row>
    <row r="71" spans="1:11" ht="12.5" x14ac:dyDescent="0.25">
      <c r="A71" s="30" t="s">
        <v>8895</v>
      </c>
      <c r="B71" s="30" t="s">
        <v>8894</v>
      </c>
      <c r="C71" s="32">
        <v>45.53</v>
      </c>
      <c r="D71" s="30">
        <v>0.45</v>
      </c>
      <c r="E71" s="31">
        <v>9.9799999999999993E-3</v>
      </c>
      <c r="F71" s="30">
        <v>4211090006</v>
      </c>
      <c r="G71" s="30" t="s">
        <v>5427</v>
      </c>
      <c r="H71" s="30">
        <v>2012</v>
      </c>
      <c r="I71" s="30">
        <v>682404</v>
      </c>
      <c r="J71" s="30" t="s">
        <v>5442</v>
      </c>
      <c r="K71" s="30" t="s">
        <v>5853</v>
      </c>
    </row>
    <row r="72" spans="1:11" ht="12.5" x14ac:dyDescent="0.25">
      <c r="A72" s="30" t="s">
        <v>8893</v>
      </c>
      <c r="B72" s="30" t="s">
        <v>8892</v>
      </c>
      <c r="C72" s="32">
        <v>91.57</v>
      </c>
      <c r="D72" s="30">
        <v>-0.55000000000000004</v>
      </c>
      <c r="E72" s="31">
        <v>-5.9699999999999996E-3</v>
      </c>
      <c r="F72" s="30">
        <v>7893334000</v>
      </c>
      <c r="G72" s="30" t="s">
        <v>8891</v>
      </c>
      <c r="H72" s="30"/>
      <c r="I72" s="30">
        <v>780477</v>
      </c>
      <c r="J72" s="30" t="s">
        <v>5442</v>
      </c>
      <c r="K72" s="30" t="s">
        <v>5853</v>
      </c>
    </row>
    <row r="73" spans="1:11" ht="12.5" x14ac:dyDescent="0.25">
      <c r="A73" s="30" t="s">
        <v>8890</v>
      </c>
      <c r="B73" s="30" t="s">
        <v>8889</v>
      </c>
      <c r="C73" s="32">
        <v>237.2</v>
      </c>
      <c r="D73" s="30">
        <v>-0.08</v>
      </c>
      <c r="E73" s="31">
        <v>-3.4000000000000002E-4</v>
      </c>
      <c r="F73" s="30">
        <v>1211449188</v>
      </c>
      <c r="G73" s="30" t="s">
        <v>5427</v>
      </c>
      <c r="H73" s="30"/>
      <c r="I73" s="30">
        <v>6770</v>
      </c>
      <c r="J73" s="30" t="s">
        <v>5197</v>
      </c>
      <c r="K73" s="30" t="s">
        <v>5467</v>
      </c>
    </row>
    <row r="74" spans="1:11" ht="12.5" x14ac:dyDescent="0.25">
      <c r="A74" s="30" t="s">
        <v>8888</v>
      </c>
      <c r="B74" s="30" t="s">
        <v>8887</v>
      </c>
      <c r="C74" s="32">
        <v>10.74</v>
      </c>
      <c r="D74" s="30">
        <v>-0.16</v>
      </c>
      <c r="E74" s="31">
        <v>-1.468E-2</v>
      </c>
      <c r="F74" s="30">
        <v>5138924217</v>
      </c>
      <c r="G74" s="30" t="s">
        <v>5427</v>
      </c>
      <c r="H74" s="30">
        <v>2017</v>
      </c>
      <c r="I74" s="30">
        <v>4846684</v>
      </c>
      <c r="J74" s="30" t="s">
        <v>5426</v>
      </c>
      <c r="K74" s="30" t="s">
        <v>5546</v>
      </c>
    </row>
    <row r="75" spans="1:11" ht="12.5" x14ac:dyDescent="0.25">
      <c r="A75" s="30" t="s">
        <v>8886</v>
      </c>
      <c r="B75" s="30" t="s">
        <v>8885</v>
      </c>
      <c r="C75" s="32">
        <v>16.61</v>
      </c>
      <c r="D75" s="30">
        <v>-0.05</v>
      </c>
      <c r="E75" s="31">
        <v>-3.0000000000000001E-3</v>
      </c>
      <c r="F75" s="30">
        <v>746972114</v>
      </c>
      <c r="G75" s="30" t="s">
        <v>5427</v>
      </c>
      <c r="H75" s="30"/>
      <c r="I75" s="30">
        <v>507368</v>
      </c>
      <c r="J75" s="30" t="s">
        <v>5435</v>
      </c>
      <c r="K75" s="30" t="s">
        <v>5493</v>
      </c>
    </row>
    <row r="76" spans="1:11" ht="12.5" x14ac:dyDescent="0.25">
      <c r="A76" s="30" t="s">
        <v>8884</v>
      </c>
      <c r="B76" s="30" t="s">
        <v>8883</v>
      </c>
      <c r="C76" s="32">
        <v>145.15</v>
      </c>
      <c r="D76" s="30">
        <v>0.23</v>
      </c>
      <c r="E76" s="31">
        <v>1.5900000000000001E-3</v>
      </c>
      <c r="F76" s="30">
        <v>33334335725</v>
      </c>
      <c r="G76" s="30" t="s">
        <v>5427</v>
      </c>
      <c r="H76" s="30"/>
      <c r="I76" s="30">
        <v>1841973</v>
      </c>
      <c r="J76" s="30" t="s">
        <v>5442</v>
      </c>
      <c r="K76" s="30" t="s">
        <v>5634</v>
      </c>
    </row>
    <row r="77" spans="1:11" ht="12.5" x14ac:dyDescent="0.25">
      <c r="A77" s="30" t="s">
        <v>8882</v>
      </c>
      <c r="B77" s="30" t="s">
        <v>8881</v>
      </c>
      <c r="C77" s="32">
        <v>176.39</v>
      </c>
      <c r="D77" s="30">
        <v>3.65</v>
      </c>
      <c r="E77" s="31">
        <v>2.1129999999999999E-2</v>
      </c>
      <c r="F77" s="30">
        <v>6644370351</v>
      </c>
      <c r="G77" s="30" t="s">
        <v>5427</v>
      </c>
      <c r="H77" s="30"/>
      <c r="I77" s="30">
        <v>295925</v>
      </c>
      <c r="J77" s="30" t="s">
        <v>5435</v>
      </c>
      <c r="K77" s="30" t="s">
        <v>5434</v>
      </c>
    </row>
    <row r="78" spans="1:11" ht="12.5" x14ac:dyDescent="0.25">
      <c r="A78" s="30" t="s">
        <v>8880</v>
      </c>
      <c r="B78" s="30" t="s">
        <v>8879</v>
      </c>
      <c r="C78" s="32">
        <v>27.27</v>
      </c>
      <c r="D78" s="30">
        <v>0.73</v>
      </c>
      <c r="E78" s="31">
        <v>2.751E-2</v>
      </c>
      <c r="F78" s="30">
        <v>2013810581</v>
      </c>
      <c r="G78" s="30" t="s">
        <v>5427</v>
      </c>
      <c r="H78" s="30">
        <v>2019</v>
      </c>
      <c r="I78" s="30">
        <v>112926</v>
      </c>
      <c r="J78" s="30" t="s">
        <v>5435</v>
      </c>
      <c r="K78" s="30" t="s">
        <v>5985</v>
      </c>
    </row>
    <row r="79" spans="1:11" ht="12.5" x14ac:dyDescent="0.25">
      <c r="A79" s="30" t="s">
        <v>5053</v>
      </c>
      <c r="B79" s="30" t="s">
        <v>8878</v>
      </c>
      <c r="C79" s="32">
        <v>99.77</v>
      </c>
      <c r="D79" s="30">
        <v>3.93</v>
      </c>
      <c r="E79" s="31">
        <v>4.1009999999999998E-2</v>
      </c>
      <c r="F79" s="30">
        <v>4323623840</v>
      </c>
      <c r="G79" s="30" t="s">
        <v>5427</v>
      </c>
      <c r="H79" s="30"/>
      <c r="I79" s="30">
        <v>979583</v>
      </c>
      <c r="J79" s="30" t="s">
        <v>5431</v>
      </c>
      <c r="K79" s="30" t="s">
        <v>6634</v>
      </c>
    </row>
    <row r="80" spans="1:11" ht="12.5" x14ac:dyDescent="0.25">
      <c r="A80" s="30" t="s">
        <v>8877</v>
      </c>
      <c r="B80" s="30" t="s">
        <v>8876</v>
      </c>
      <c r="C80" s="32">
        <v>20.68</v>
      </c>
      <c r="D80" s="30">
        <v>-0.16</v>
      </c>
      <c r="E80" s="31">
        <v>-7.6800000000000002E-3</v>
      </c>
      <c r="F80" s="30">
        <v>65449759760</v>
      </c>
      <c r="G80" s="30" t="s">
        <v>5835</v>
      </c>
      <c r="H80" s="30"/>
      <c r="I80" s="30">
        <v>3956</v>
      </c>
      <c r="J80" s="30" t="s">
        <v>5732</v>
      </c>
      <c r="K80" s="30" t="s">
        <v>5520</v>
      </c>
    </row>
    <row r="81" spans="1:11" ht="12.5" x14ac:dyDescent="0.25">
      <c r="A81" s="30" t="s">
        <v>8875</v>
      </c>
      <c r="B81" s="30" t="s">
        <v>8874</v>
      </c>
      <c r="C81" s="32">
        <v>354.53</v>
      </c>
      <c r="D81" s="30">
        <v>4.41</v>
      </c>
      <c r="E81" s="31">
        <v>1.26E-2</v>
      </c>
      <c r="F81" s="30">
        <v>37332009000</v>
      </c>
      <c r="G81" s="30" t="s">
        <v>5427</v>
      </c>
      <c r="H81" s="30"/>
      <c r="I81" s="30">
        <v>650954</v>
      </c>
      <c r="J81" s="30" t="s">
        <v>5435</v>
      </c>
      <c r="K81" s="30" t="s">
        <v>5434</v>
      </c>
    </row>
    <row r="82" spans="1:11" ht="12.5" x14ac:dyDescent="0.25">
      <c r="A82" s="30" t="s">
        <v>8873</v>
      </c>
      <c r="B82" s="30" t="s">
        <v>8872</v>
      </c>
      <c r="C82" s="32">
        <v>8.44</v>
      </c>
      <c r="D82" s="30">
        <v>-0.22</v>
      </c>
      <c r="E82" s="31">
        <v>-2.5399999999999999E-2</v>
      </c>
      <c r="F82" s="30">
        <v>324457274</v>
      </c>
      <c r="G82" s="30" t="s">
        <v>5427</v>
      </c>
      <c r="H82" s="30">
        <v>2016</v>
      </c>
      <c r="I82" s="30">
        <v>935820</v>
      </c>
      <c r="J82" s="30" t="s">
        <v>5464</v>
      </c>
      <c r="K82" s="30" t="s">
        <v>5463</v>
      </c>
    </row>
    <row r="83" spans="1:11" ht="12.5" x14ac:dyDescent="0.25">
      <c r="A83" s="30" t="s">
        <v>8871</v>
      </c>
      <c r="B83" s="30" t="s">
        <v>8870</v>
      </c>
      <c r="C83" s="32">
        <v>163.25</v>
      </c>
      <c r="D83" s="30">
        <v>2.3199999999999998</v>
      </c>
      <c r="E83" s="31">
        <v>1.4420000000000001E-2</v>
      </c>
      <c r="F83" s="30">
        <v>2602800699</v>
      </c>
      <c r="G83" s="30" t="s">
        <v>5427</v>
      </c>
      <c r="H83" s="30">
        <v>2018</v>
      </c>
      <c r="I83" s="30">
        <v>262544</v>
      </c>
      <c r="J83" s="30" t="s">
        <v>5464</v>
      </c>
      <c r="K83" s="30" t="s">
        <v>6756</v>
      </c>
    </row>
    <row r="84" spans="1:11" ht="12.5" x14ac:dyDescent="0.25">
      <c r="A84" s="30" t="s">
        <v>8869</v>
      </c>
      <c r="B84" s="30" t="s">
        <v>8868</v>
      </c>
      <c r="C84" s="32">
        <v>64.31</v>
      </c>
      <c r="D84" s="30">
        <v>-0.16</v>
      </c>
      <c r="E84" s="31">
        <v>-2.48E-3</v>
      </c>
      <c r="F84" s="30">
        <v>3338601752</v>
      </c>
      <c r="G84" s="30" t="s">
        <v>5427</v>
      </c>
      <c r="H84" s="30">
        <v>2010</v>
      </c>
      <c r="I84" s="30">
        <v>256748</v>
      </c>
      <c r="J84" s="30" t="s">
        <v>5457</v>
      </c>
      <c r="K84" s="30" t="s">
        <v>6933</v>
      </c>
    </row>
    <row r="85" spans="1:11" ht="12.5" x14ac:dyDescent="0.25">
      <c r="A85" s="30" t="s">
        <v>8867</v>
      </c>
      <c r="B85" s="30" t="s">
        <v>8866</v>
      </c>
      <c r="C85" s="32">
        <v>227.14</v>
      </c>
      <c r="D85" s="30">
        <v>3.75</v>
      </c>
      <c r="E85" s="31">
        <v>1.6789999999999999E-2</v>
      </c>
      <c r="F85" s="30">
        <v>105757656665</v>
      </c>
      <c r="G85" s="30" t="s">
        <v>5427</v>
      </c>
      <c r="H85" s="30"/>
      <c r="I85" s="30">
        <v>2601226</v>
      </c>
      <c r="J85" s="30" t="s">
        <v>5197</v>
      </c>
      <c r="K85" s="30" t="s">
        <v>5467</v>
      </c>
    </row>
    <row r="86" spans="1:11" ht="12.5" x14ac:dyDescent="0.25">
      <c r="A86" s="30" t="s">
        <v>8865</v>
      </c>
      <c r="B86" s="30" t="s">
        <v>8864</v>
      </c>
      <c r="C86" s="32">
        <v>4.01</v>
      </c>
      <c r="D86" s="30">
        <v>0.04</v>
      </c>
      <c r="E86" s="31">
        <v>1.008E-2</v>
      </c>
      <c r="F86" s="30">
        <v>1104392640</v>
      </c>
      <c r="G86" s="30" t="s">
        <v>5427</v>
      </c>
      <c r="H86" s="30">
        <v>2020</v>
      </c>
      <c r="I86" s="30">
        <v>1556662</v>
      </c>
      <c r="J86" s="30" t="s">
        <v>5219</v>
      </c>
      <c r="K86" s="30" t="s">
        <v>5812</v>
      </c>
    </row>
    <row r="87" spans="1:11" ht="12.5" x14ac:dyDescent="0.25">
      <c r="A87" s="30" t="s">
        <v>8863</v>
      </c>
      <c r="B87" s="30" t="s">
        <v>8862</v>
      </c>
      <c r="C87" s="32">
        <v>21</v>
      </c>
      <c r="D87" s="30">
        <v>7.0000000000000007E-2</v>
      </c>
      <c r="E87" s="31">
        <v>3.3400000000000001E-3</v>
      </c>
      <c r="F87" s="30">
        <v>66462522000</v>
      </c>
      <c r="G87" s="30" t="s">
        <v>5835</v>
      </c>
      <c r="H87" s="30"/>
      <c r="I87" s="30">
        <v>2014270</v>
      </c>
      <c r="J87" s="30" t="s">
        <v>5732</v>
      </c>
      <c r="K87" s="30" t="s">
        <v>5520</v>
      </c>
    </row>
    <row r="88" spans="1:11" ht="12.5" x14ac:dyDescent="0.25">
      <c r="A88" s="30" t="s">
        <v>8861</v>
      </c>
      <c r="B88" s="30" t="s">
        <v>8860</v>
      </c>
      <c r="C88" s="32">
        <v>130</v>
      </c>
      <c r="D88" s="30">
        <v>3.28</v>
      </c>
      <c r="E88" s="31">
        <v>2.588E-2</v>
      </c>
      <c r="F88" s="30">
        <v>11454710800</v>
      </c>
      <c r="G88" s="30" t="s">
        <v>5427</v>
      </c>
      <c r="H88" s="30"/>
      <c r="I88" s="30">
        <v>501447</v>
      </c>
      <c r="J88" s="30" t="s">
        <v>5442</v>
      </c>
      <c r="K88" s="30" t="s">
        <v>5508</v>
      </c>
    </row>
    <row r="89" spans="1:11" ht="12.5" x14ac:dyDescent="0.25">
      <c r="A89" s="30" t="s">
        <v>8859</v>
      </c>
      <c r="B89" s="30" t="s">
        <v>8858</v>
      </c>
      <c r="C89" s="32">
        <v>29.23</v>
      </c>
      <c r="D89" s="30">
        <v>0.27</v>
      </c>
      <c r="E89" s="31">
        <v>9.3200000000000002E-3</v>
      </c>
      <c r="F89" s="30">
        <v>1432320919</v>
      </c>
      <c r="G89" s="30" t="s">
        <v>5427</v>
      </c>
      <c r="H89" s="30"/>
      <c r="I89" s="30">
        <v>1535455</v>
      </c>
      <c r="J89" s="30" t="s">
        <v>5442</v>
      </c>
      <c r="K89" s="30" t="s">
        <v>7318</v>
      </c>
    </row>
    <row r="90" spans="1:11" ht="12.5" x14ac:dyDescent="0.25">
      <c r="A90" s="30" t="s">
        <v>8857</v>
      </c>
      <c r="B90" s="30" t="s">
        <v>8856</v>
      </c>
      <c r="C90" s="32">
        <v>18.05</v>
      </c>
      <c r="D90" s="30">
        <v>1.53</v>
      </c>
      <c r="E90" s="31">
        <v>9.2619999999999994E-2</v>
      </c>
      <c r="F90" s="30">
        <v>147358810</v>
      </c>
      <c r="G90" s="30" t="s">
        <v>5427</v>
      </c>
      <c r="H90" s="30">
        <v>2020</v>
      </c>
      <c r="I90" s="30">
        <v>96106</v>
      </c>
      <c r="J90" s="30" t="s">
        <v>5431</v>
      </c>
      <c r="K90" s="30" t="s">
        <v>5685</v>
      </c>
    </row>
    <row r="91" spans="1:11" ht="12.5" x14ac:dyDescent="0.25">
      <c r="A91" s="30" t="s">
        <v>8855</v>
      </c>
      <c r="B91" s="30" t="s">
        <v>8854</v>
      </c>
      <c r="C91" s="32">
        <v>8.4700000000000006</v>
      </c>
      <c r="D91" s="30">
        <v>0.08</v>
      </c>
      <c r="E91" s="31">
        <v>9.5399999999999999E-3</v>
      </c>
      <c r="F91" s="30">
        <v>893000562</v>
      </c>
      <c r="G91" s="30" t="s">
        <v>5427</v>
      </c>
      <c r="H91" s="30">
        <v>2007</v>
      </c>
      <c r="I91" s="30">
        <v>411541</v>
      </c>
      <c r="J91" s="30" t="s">
        <v>5435</v>
      </c>
      <c r="K91" s="30" t="s">
        <v>5434</v>
      </c>
    </row>
    <row r="92" spans="1:11" ht="12.5" x14ac:dyDescent="0.25">
      <c r="A92" s="30" t="s">
        <v>8853</v>
      </c>
      <c r="B92" s="30" t="s">
        <v>8852</v>
      </c>
      <c r="C92" s="32">
        <v>319.38</v>
      </c>
      <c r="D92" s="30">
        <v>0.7</v>
      </c>
      <c r="E92" s="31">
        <v>2.2000000000000001E-3</v>
      </c>
      <c r="F92" s="30">
        <v>66064690700</v>
      </c>
      <c r="G92" s="30" t="s">
        <v>5427</v>
      </c>
      <c r="H92" s="30"/>
      <c r="I92" s="30">
        <v>1181461</v>
      </c>
      <c r="J92" s="30" t="s">
        <v>5435</v>
      </c>
      <c r="K92" s="30" t="s">
        <v>6066</v>
      </c>
    </row>
    <row r="93" spans="1:11" ht="12.5" x14ac:dyDescent="0.25">
      <c r="A93" s="30" t="s">
        <v>8851</v>
      </c>
      <c r="B93" s="30" t="s">
        <v>8850</v>
      </c>
      <c r="C93" s="32">
        <v>13.14</v>
      </c>
      <c r="D93" s="30">
        <v>0.1</v>
      </c>
      <c r="E93" s="31">
        <v>7.6699999999999997E-3</v>
      </c>
      <c r="F93" s="30">
        <v>529929380</v>
      </c>
      <c r="G93" s="30" t="s">
        <v>5427</v>
      </c>
      <c r="H93" s="30"/>
      <c r="I93" s="30">
        <v>150027</v>
      </c>
      <c r="J93" s="30" t="s">
        <v>5431</v>
      </c>
      <c r="K93" s="30" t="s">
        <v>5500</v>
      </c>
    </row>
    <row r="94" spans="1:11" ht="12.5" x14ac:dyDescent="0.25">
      <c r="A94" s="30" t="s">
        <v>8849</v>
      </c>
      <c r="B94" s="30" t="s">
        <v>8848</v>
      </c>
      <c r="C94" s="32">
        <v>69.959999999999994</v>
      </c>
      <c r="D94" s="30">
        <v>2.2599999999999998</v>
      </c>
      <c r="E94" s="31">
        <v>3.338E-2</v>
      </c>
      <c r="F94" s="30">
        <v>10688175869</v>
      </c>
      <c r="G94" s="30" t="s">
        <v>5427</v>
      </c>
      <c r="H94" s="30"/>
      <c r="I94" s="30">
        <v>2124302</v>
      </c>
      <c r="J94" s="30" t="s">
        <v>5457</v>
      </c>
      <c r="K94" s="30" t="s">
        <v>5644</v>
      </c>
    </row>
    <row r="95" spans="1:11" ht="12.5" x14ac:dyDescent="0.25">
      <c r="A95" s="30" t="s">
        <v>8847</v>
      </c>
      <c r="B95" s="30" t="s">
        <v>8846</v>
      </c>
      <c r="C95" s="32">
        <v>3.29</v>
      </c>
      <c r="D95" s="30">
        <v>0.01</v>
      </c>
      <c r="E95" s="31">
        <v>3.0500000000000002E-3</v>
      </c>
      <c r="F95" s="30">
        <v>63837578</v>
      </c>
      <c r="G95" s="30" t="s">
        <v>5427</v>
      </c>
      <c r="H95" s="30"/>
      <c r="I95" s="30">
        <v>16294</v>
      </c>
      <c r="J95" s="30" t="s">
        <v>5457</v>
      </c>
      <c r="K95" s="30" t="s">
        <v>5634</v>
      </c>
    </row>
    <row r="96" spans="1:11" ht="12.5" x14ac:dyDescent="0.25">
      <c r="A96" s="30" t="s">
        <v>8845</v>
      </c>
      <c r="B96" s="30" t="s">
        <v>8844</v>
      </c>
      <c r="C96" s="32">
        <v>37.14</v>
      </c>
      <c r="D96" s="30">
        <v>0.32</v>
      </c>
      <c r="E96" s="31">
        <v>8.6899999999999998E-3</v>
      </c>
      <c r="F96" s="30">
        <v>2522216657</v>
      </c>
      <c r="G96" s="30" t="s">
        <v>5427</v>
      </c>
      <c r="H96" s="30">
        <v>2013</v>
      </c>
      <c r="I96" s="30">
        <v>906040</v>
      </c>
      <c r="J96" s="30" t="s">
        <v>5435</v>
      </c>
      <c r="K96" s="30" t="s">
        <v>5434</v>
      </c>
    </row>
    <row r="97" spans="1:11" ht="12.5" x14ac:dyDescent="0.25">
      <c r="A97" s="30" t="s">
        <v>8843</v>
      </c>
      <c r="B97" s="30" t="s">
        <v>8842</v>
      </c>
      <c r="C97" s="32">
        <v>318.13</v>
      </c>
      <c r="D97" s="30">
        <v>-2.38</v>
      </c>
      <c r="E97" s="31">
        <v>-7.43E-3</v>
      </c>
      <c r="F97" s="30">
        <v>70620949228</v>
      </c>
      <c r="G97" s="30" t="s">
        <v>5427</v>
      </c>
      <c r="H97" s="30"/>
      <c r="I97" s="30">
        <v>1357891</v>
      </c>
      <c r="J97" s="30" t="s">
        <v>5457</v>
      </c>
      <c r="K97" s="30" t="s">
        <v>5755</v>
      </c>
    </row>
    <row r="98" spans="1:11" ht="12.5" x14ac:dyDescent="0.25">
      <c r="A98" s="30" t="s">
        <v>8841</v>
      </c>
      <c r="B98" s="30" t="s">
        <v>8840</v>
      </c>
      <c r="C98" s="32">
        <v>81.14</v>
      </c>
      <c r="D98" s="30">
        <v>1.37</v>
      </c>
      <c r="E98" s="31">
        <v>1.7170000000000001E-2</v>
      </c>
      <c r="F98" s="30">
        <v>48285970976</v>
      </c>
      <c r="G98" s="30" t="s">
        <v>5427</v>
      </c>
      <c r="H98" s="30"/>
      <c r="I98" s="30">
        <v>2294535</v>
      </c>
      <c r="J98" s="30" t="s">
        <v>5219</v>
      </c>
      <c r="K98" s="30" t="s">
        <v>5647</v>
      </c>
    </row>
    <row r="99" spans="1:11" ht="12.5" x14ac:dyDescent="0.25">
      <c r="A99" s="30" t="s">
        <v>8839</v>
      </c>
      <c r="B99" s="30" t="s">
        <v>8838</v>
      </c>
      <c r="C99" s="32">
        <v>17.87</v>
      </c>
      <c r="D99" s="30">
        <v>0.14000000000000001</v>
      </c>
      <c r="E99" s="31">
        <v>7.9000000000000008E-3</v>
      </c>
      <c r="F99" s="30">
        <v>4087809141</v>
      </c>
      <c r="G99" s="30" t="s">
        <v>5427</v>
      </c>
      <c r="H99" s="30">
        <v>2015</v>
      </c>
      <c r="I99" s="30">
        <v>1387649</v>
      </c>
      <c r="J99" s="30" t="s">
        <v>5197</v>
      </c>
      <c r="K99" s="30" t="s">
        <v>5467</v>
      </c>
    </row>
    <row r="100" spans="1:11" ht="12.5" x14ac:dyDescent="0.25">
      <c r="A100" s="30" t="s">
        <v>8837</v>
      </c>
      <c r="B100" s="30" t="s">
        <v>8836</v>
      </c>
      <c r="C100" s="32">
        <v>114.75</v>
      </c>
      <c r="D100" s="30">
        <v>1.66</v>
      </c>
      <c r="E100" s="31">
        <v>1.468E-2</v>
      </c>
      <c r="F100" s="30">
        <v>31091464190</v>
      </c>
      <c r="G100" s="30" t="s">
        <v>5775</v>
      </c>
      <c r="H100" s="30">
        <v>2011</v>
      </c>
      <c r="I100" s="30">
        <v>2165285</v>
      </c>
      <c r="J100" s="30" t="s">
        <v>5442</v>
      </c>
      <c r="K100" s="30" t="s">
        <v>5853</v>
      </c>
    </row>
    <row r="101" spans="1:11" ht="12.5" x14ac:dyDescent="0.25">
      <c r="A101" s="30" t="s">
        <v>8835</v>
      </c>
      <c r="B101" s="30" t="s">
        <v>8834</v>
      </c>
      <c r="C101" s="32">
        <v>49.03</v>
      </c>
      <c r="D101" s="30">
        <v>0.52</v>
      </c>
      <c r="E101" s="31">
        <v>1.072E-2</v>
      </c>
      <c r="F101" s="30">
        <v>5988312439</v>
      </c>
      <c r="G101" s="30" t="s">
        <v>5427</v>
      </c>
      <c r="H101" s="30">
        <v>2017</v>
      </c>
      <c r="I101" s="30">
        <v>3220358</v>
      </c>
      <c r="J101" s="30" t="s">
        <v>5457</v>
      </c>
      <c r="K101" s="30" t="s">
        <v>5487</v>
      </c>
    </row>
    <row r="102" spans="1:11" ht="12.5" x14ac:dyDescent="0.25">
      <c r="A102" s="30" t="s">
        <v>8833</v>
      </c>
      <c r="B102" s="30" t="s">
        <v>8832</v>
      </c>
      <c r="C102" s="32">
        <v>3.48</v>
      </c>
      <c r="D102" s="30">
        <v>-0.01</v>
      </c>
      <c r="E102" s="31">
        <v>-2.8700000000000002E-3</v>
      </c>
      <c r="F102" s="30">
        <v>149729304</v>
      </c>
      <c r="G102" s="30" t="s">
        <v>5427</v>
      </c>
      <c r="H102" s="30">
        <v>2004</v>
      </c>
      <c r="I102" s="30">
        <v>278458</v>
      </c>
      <c r="J102" s="30" t="s">
        <v>5442</v>
      </c>
      <c r="K102" s="30" t="s">
        <v>5482</v>
      </c>
    </row>
    <row r="103" spans="1:11" ht="12.5" x14ac:dyDescent="0.25">
      <c r="A103" s="30" t="s">
        <v>8831</v>
      </c>
      <c r="B103" s="30" t="s">
        <v>8830</v>
      </c>
      <c r="C103" s="32">
        <v>151.35</v>
      </c>
      <c r="D103" s="30">
        <v>3.33</v>
      </c>
      <c r="E103" s="31">
        <v>2.2499999999999999E-2</v>
      </c>
      <c r="F103" s="30">
        <v>2736831780</v>
      </c>
      <c r="G103" s="30" t="s">
        <v>5427</v>
      </c>
      <c r="H103" s="30">
        <v>2016</v>
      </c>
      <c r="I103" s="30">
        <v>372895</v>
      </c>
      <c r="J103" s="30" t="s">
        <v>5464</v>
      </c>
      <c r="K103" s="30" t="s">
        <v>6756</v>
      </c>
    </row>
    <row r="104" spans="1:11" ht="12.5" x14ac:dyDescent="0.25">
      <c r="A104" s="30" t="s">
        <v>8829</v>
      </c>
      <c r="B104" s="30" t="s">
        <v>8828</v>
      </c>
      <c r="C104" s="32">
        <v>12.82</v>
      </c>
      <c r="D104" s="30">
        <v>0.14000000000000001</v>
      </c>
      <c r="E104" s="31">
        <v>1.1039999999999999E-2</v>
      </c>
      <c r="F104" s="30">
        <v>293770300</v>
      </c>
      <c r="G104" s="30" t="s">
        <v>5427</v>
      </c>
      <c r="H104" s="30">
        <v>2012</v>
      </c>
      <c r="I104" s="30">
        <v>115952</v>
      </c>
      <c r="J104" s="30" t="s">
        <v>5435</v>
      </c>
      <c r="K104" s="30" t="s">
        <v>5434</v>
      </c>
    </row>
    <row r="105" spans="1:11" ht="12.5" x14ac:dyDescent="0.25">
      <c r="A105" s="30" t="s">
        <v>8827</v>
      </c>
      <c r="B105" s="30" t="s">
        <v>8826</v>
      </c>
      <c r="C105" s="32">
        <v>163.27000000000001</v>
      </c>
      <c r="D105" s="30">
        <v>2.5299999999999998</v>
      </c>
      <c r="E105" s="31">
        <v>1.5740000000000001E-2</v>
      </c>
      <c r="F105" s="30">
        <v>26790529553</v>
      </c>
      <c r="G105" s="30" t="s">
        <v>5427</v>
      </c>
      <c r="H105" s="30"/>
      <c r="I105" s="30">
        <v>844721</v>
      </c>
      <c r="J105" s="30" t="s">
        <v>5197</v>
      </c>
      <c r="K105" s="30" t="s">
        <v>5467</v>
      </c>
    </row>
    <row r="106" spans="1:11" ht="12.5" x14ac:dyDescent="0.25">
      <c r="A106" s="30" t="s">
        <v>8825</v>
      </c>
      <c r="B106" s="30" t="s">
        <v>8824</v>
      </c>
      <c r="C106" s="32">
        <v>12.29</v>
      </c>
      <c r="D106" s="30">
        <v>0.12</v>
      </c>
      <c r="E106" s="31">
        <v>9.8600000000000007E-3</v>
      </c>
      <c r="F106" s="30">
        <v>1727924779</v>
      </c>
      <c r="G106" s="30" t="s">
        <v>5427</v>
      </c>
      <c r="H106" s="30">
        <v>2009</v>
      </c>
      <c r="I106" s="30">
        <v>956793</v>
      </c>
      <c r="J106" s="30" t="s">
        <v>5197</v>
      </c>
      <c r="K106" s="30" t="s">
        <v>5467</v>
      </c>
    </row>
    <row r="107" spans="1:11" ht="12.5" x14ac:dyDescent="0.25">
      <c r="A107" s="30" t="s">
        <v>8823</v>
      </c>
      <c r="B107" s="30" t="s">
        <v>8822</v>
      </c>
      <c r="C107" s="32">
        <v>27.15</v>
      </c>
      <c r="D107" s="30">
        <v>-0.26</v>
      </c>
      <c r="E107" s="31">
        <v>-9.4900000000000002E-3</v>
      </c>
      <c r="F107" s="30">
        <v>438527967</v>
      </c>
      <c r="G107" s="30" t="s">
        <v>5427</v>
      </c>
      <c r="H107" s="30"/>
      <c r="I107" s="30">
        <v>16374</v>
      </c>
      <c r="J107" s="30" t="s">
        <v>5197</v>
      </c>
      <c r="K107" s="30" t="s">
        <v>6091</v>
      </c>
    </row>
    <row r="108" spans="1:11" ht="12.5" x14ac:dyDescent="0.25">
      <c r="A108" s="30" t="s">
        <v>8821</v>
      </c>
      <c r="B108" s="30" t="s">
        <v>8820</v>
      </c>
      <c r="C108" s="32">
        <v>3.88</v>
      </c>
      <c r="D108" s="30">
        <v>0.13</v>
      </c>
      <c r="E108" s="31">
        <v>3.4669999999999999E-2</v>
      </c>
      <c r="F108" s="30">
        <v>343270801</v>
      </c>
      <c r="G108" s="30" t="s">
        <v>5427</v>
      </c>
      <c r="H108" s="30">
        <v>2018</v>
      </c>
      <c r="I108" s="30">
        <v>1357208</v>
      </c>
      <c r="J108" s="30" t="s">
        <v>5219</v>
      </c>
      <c r="K108" s="30" t="s">
        <v>6786</v>
      </c>
    </row>
    <row r="109" spans="1:11" ht="12.5" x14ac:dyDescent="0.25">
      <c r="A109" s="30" t="s">
        <v>8819</v>
      </c>
      <c r="B109" s="30" t="s">
        <v>8818</v>
      </c>
      <c r="C109" s="32">
        <v>9.93</v>
      </c>
      <c r="D109" s="30">
        <v>0.02</v>
      </c>
      <c r="E109" s="31">
        <v>2.0200000000000001E-3</v>
      </c>
      <c r="F109" s="30">
        <v>1545223486</v>
      </c>
      <c r="G109" s="30" t="s">
        <v>5427</v>
      </c>
      <c r="H109" s="30"/>
      <c r="I109" s="30">
        <v>1049034</v>
      </c>
      <c r="J109" s="30" t="s">
        <v>5464</v>
      </c>
      <c r="K109" s="30" t="s">
        <v>5463</v>
      </c>
    </row>
    <row r="110" spans="1:11" ht="12.5" x14ac:dyDescent="0.25">
      <c r="A110" s="30" t="s">
        <v>8817</v>
      </c>
      <c r="B110" s="30" t="s">
        <v>8816</v>
      </c>
      <c r="C110" s="32">
        <v>6.47</v>
      </c>
      <c r="D110" s="30">
        <v>0.19</v>
      </c>
      <c r="E110" s="31">
        <v>3.0249999999999999E-2</v>
      </c>
      <c r="F110" s="30">
        <v>1054040640</v>
      </c>
      <c r="G110" s="30" t="s">
        <v>5427</v>
      </c>
      <c r="H110" s="30"/>
      <c r="I110" s="30">
        <v>9319151</v>
      </c>
      <c r="J110" s="30" t="s">
        <v>5197</v>
      </c>
      <c r="K110" s="30" t="s">
        <v>5467</v>
      </c>
    </row>
    <row r="111" spans="1:11" ht="12.5" x14ac:dyDescent="0.25">
      <c r="A111" s="30" t="s">
        <v>8815</v>
      </c>
      <c r="B111" s="30" t="s">
        <v>8814</v>
      </c>
      <c r="C111" s="32">
        <v>120.3</v>
      </c>
      <c r="D111" s="30">
        <v>2.81</v>
      </c>
      <c r="E111" s="31">
        <v>2.392E-2</v>
      </c>
      <c r="F111" s="30">
        <v>7399443317</v>
      </c>
      <c r="G111" s="30" t="s">
        <v>5427</v>
      </c>
      <c r="H111" s="30"/>
      <c r="I111" s="30">
        <v>541855</v>
      </c>
      <c r="J111" s="30" t="s">
        <v>5219</v>
      </c>
      <c r="K111" s="30" t="s">
        <v>5965</v>
      </c>
    </row>
    <row r="112" spans="1:11" ht="12.5" x14ac:dyDescent="0.25">
      <c r="A112" s="30" t="s">
        <v>8813</v>
      </c>
      <c r="B112" s="30" t="s">
        <v>8812</v>
      </c>
      <c r="C112" s="32">
        <v>16.760000000000002</v>
      </c>
      <c r="D112" s="30">
        <v>0.42</v>
      </c>
      <c r="E112" s="31">
        <v>2.5700000000000001E-2</v>
      </c>
      <c r="F112" s="30">
        <v>323298808</v>
      </c>
      <c r="G112" s="30" t="s">
        <v>5427</v>
      </c>
      <c r="H112" s="30"/>
      <c r="I112" s="30">
        <v>134566</v>
      </c>
      <c r="J112" s="30" t="s">
        <v>5457</v>
      </c>
      <c r="K112" s="30" t="s">
        <v>6859</v>
      </c>
    </row>
    <row r="113" spans="1:11" ht="12.5" x14ac:dyDescent="0.25">
      <c r="A113" s="30" t="s">
        <v>8811</v>
      </c>
      <c r="B113" s="30" t="s">
        <v>8810</v>
      </c>
      <c r="C113" s="32">
        <v>22.73</v>
      </c>
      <c r="D113" s="30">
        <v>0.32</v>
      </c>
      <c r="E113" s="31">
        <v>1.4279999999999999E-2</v>
      </c>
      <c r="F113" s="30">
        <v>3419592120</v>
      </c>
      <c r="G113" s="30" t="s">
        <v>5427</v>
      </c>
      <c r="H113" s="30"/>
      <c r="I113" s="30">
        <v>1200651</v>
      </c>
      <c r="J113" s="30" t="s">
        <v>5435</v>
      </c>
      <c r="K113" s="30" t="s">
        <v>5579</v>
      </c>
    </row>
    <row r="114" spans="1:11" ht="12.5" x14ac:dyDescent="0.25">
      <c r="A114" s="30" t="s">
        <v>8809</v>
      </c>
      <c r="B114" s="30" t="s">
        <v>8808</v>
      </c>
      <c r="C114" s="32">
        <v>5.44</v>
      </c>
      <c r="D114" s="30">
        <v>0.08</v>
      </c>
      <c r="E114" s="31">
        <v>1.4930000000000001E-2</v>
      </c>
      <c r="F114" s="30">
        <v>306317108</v>
      </c>
      <c r="G114" s="30" t="s">
        <v>5427</v>
      </c>
      <c r="H114" s="30"/>
      <c r="I114" s="30">
        <v>205595</v>
      </c>
      <c r="J114" s="30" t="s">
        <v>5435</v>
      </c>
      <c r="K114" s="30" t="s">
        <v>5434</v>
      </c>
    </row>
    <row r="115" spans="1:11" ht="12.5" x14ac:dyDescent="0.25">
      <c r="A115" s="30" t="s">
        <v>8807</v>
      </c>
      <c r="B115" s="30" t="s">
        <v>8806</v>
      </c>
      <c r="C115" s="32">
        <v>92.83</v>
      </c>
      <c r="D115" s="30">
        <v>1.88</v>
      </c>
      <c r="E115" s="31">
        <v>2.0670000000000001E-2</v>
      </c>
      <c r="F115" s="30">
        <v>4632217000</v>
      </c>
      <c r="G115" s="30" t="s">
        <v>5427</v>
      </c>
      <c r="H115" s="30">
        <v>1992</v>
      </c>
      <c r="I115" s="30">
        <v>179346</v>
      </c>
      <c r="J115" s="30" t="s">
        <v>5219</v>
      </c>
      <c r="K115" s="30" t="s">
        <v>5447</v>
      </c>
    </row>
    <row r="116" spans="1:11" ht="12.5" x14ac:dyDescent="0.25">
      <c r="A116" s="30" t="s">
        <v>8805</v>
      </c>
      <c r="B116" s="30" t="s">
        <v>8804</v>
      </c>
      <c r="C116" s="32">
        <v>108.4</v>
      </c>
      <c r="D116" s="30">
        <v>-0.87</v>
      </c>
      <c r="E116" s="31">
        <v>-7.9600000000000001E-3</v>
      </c>
      <c r="F116" s="30">
        <v>5881939879</v>
      </c>
      <c r="G116" s="30" t="s">
        <v>5427</v>
      </c>
      <c r="H116" s="30"/>
      <c r="I116" s="30">
        <v>861390</v>
      </c>
      <c r="J116" s="30" t="s">
        <v>5457</v>
      </c>
      <c r="K116" s="30" t="s">
        <v>5755</v>
      </c>
    </row>
    <row r="117" spans="1:11" ht="12.5" x14ac:dyDescent="0.25">
      <c r="A117" s="30" t="s">
        <v>8803</v>
      </c>
      <c r="B117" s="30" t="s">
        <v>8802</v>
      </c>
      <c r="C117" s="32">
        <v>43.64</v>
      </c>
      <c r="D117" s="30">
        <v>0.4</v>
      </c>
      <c r="E117" s="31">
        <v>9.2499999999999995E-3</v>
      </c>
      <c r="F117" s="30">
        <v>1203019254</v>
      </c>
      <c r="G117" s="30" t="s">
        <v>5427</v>
      </c>
      <c r="H117" s="30">
        <v>2016</v>
      </c>
      <c r="I117" s="30">
        <v>588394</v>
      </c>
      <c r="J117" s="30" t="s">
        <v>5457</v>
      </c>
      <c r="K117" s="30" t="s">
        <v>5555</v>
      </c>
    </row>
    <row r="118" spans="1:11" ht="12.5" x14ac:dyDescent="0.25">
      <c r="A118" s="30" t="s">
        <v>8801</v>
      </c>
      <c r="B118" s="30" t="s">
        <v>8800</v>
      </c>
      <c r="C118" s="32">
        <v>10.58</v>
      </c>
      <c r="D118" s="30">
        <v>0.08</v>
      </c>
      <c r="E118" s="31">
        <v>7.62E-3</v>
      </c>
      <c r="F118" s="30">
        <v>700106510</v>
      </c>
      <c r="G118" s="30" t="s">
        <v>5427</v>
      </c>
      <c r="H118" s="30">
        <v>2014</v>
      </c>
      <c r="I118" s="30">
        <v>618658</v>
      </c>
      <c r="J118" s="30" t="s">
        <v>5457</v>
      </c>
      <c r="K118" s="30" t="s">
        <v>5505</v>
      </c>
    </row>
    <row r="119" spans="1:11" ht="12.5" x14ac:dyDescent="0.25">
      <c r="A119" s="30" t="s">
        <v>8799</v>
      </c>
      <c r="B119" s="30" t="s">
        <v>8798</v>
      </c>
      <c r="C119" s="32">
        <v>276.51</v>
      </c>
      <c r="D119" s="30">
        <v>4.51</v>
      </c>
      <c r="E119" s="31">
        <v>1.6580000000000001E-2</v>
      </c>
      <c r="F119" s="30">
        <v>8295300000</v>
      </c>
      <c r="G119" s="30" t="s">
        <v>5835</v>
      </c>
      <c r="H119" s="30"/>
      <c r="I119" s="30">
        <v>48126</v>
      </c>
      <c r="J119" s="30" t="s">
        <v>5442</v>
      </c>
      <c r="K119" s="30" t="s">
        <v>5523</v>
      </c>
    </row>
    <row r="120" spans="1:11" ht="12.5" x14ac:dyDescent="0.25">
      <c r="A120" s="30" t="s">
        <v>8797</v>
      </c>
      <c r="B120" s="30" t="s">
        <v>8796</v>
      </c>
      <c r="C120" s="32">
        <v>14.89</v>
      </c>
      <c r="D120" s="30">
        <v>0.08</v>
      </c>
      <c r="E120" s="31">
        <v>5.4000000000000003E-3</v>
      </c>
      <c r="F120" s="30">
        <v>4187952719</v>
      </c>
      <c r="G120" s="30" t="s">
        <v>5775</v>
      </c>
      <c r="H120" s="30"/>
      <c r="I120" s="30">
        <v>2665644</v>
      </c>
      <c r="J120" s="30" t="s">
        <v>5442</v>
      </c>
      <c r="K120" s="30" t="s">
        <v>5910</v>
      </c>
    </row>
    <row r="121" spans="1:11" ht="12.5" x14ac:dyDescent="0.25">
      <c r="A121" s="30" t="s">
        <v>8795</v>
      </c>
      <c r="B121" s="30" t="s">
        <v>8794</v>
      </c>
      <c r="C121" s="32">
        <v>38.54</v>
      </c>
      <c r="D121" s="30">
        <v>0.36</v>
      </c>
      <c r="E121" s="31">
        <v>9.4299999999999991E-3</v>
      </c>
      <c r="F121" s="30">
        <v>1749895211</v>
      </c>
      <c r="G121" s="30" t="s">
        <v>5427</v>
      </c>
      <c r="H121" s="30"/>
      <c r="I121" s="30">
        <v>393074</v>
      </c>
      <c r="J121" s="30" t="s">
        <v>5442</v>
      </c>
      <c r="K121" s="30" t="s">
        <v>5914</v>
      </c>
    </row>
    <row r="122" spans="1:11" ht="12.5" x14ac:dyDescent="0.25">
      <c r="A122" s="30" t="s">
        <v>8793</v>
      </c>
      <c r="B122" s="30" t="s">
        <v>8792</v>
      </c>
      <c r="C122" s="32">
        <v>36.74</v>
      </c>
      <c r="D122" s="30">
        <v>0.35</v>
      </c>
      <c r="E122" s="31">
        <v>9.6200000000000001E-3</v>
      </c>
      <c r="F122" s="30">
        <v>4754804975</v>
      </c>
      <c r="G122" s="30" t="s">
        <v>5427</v>
      </c>
      <c r="H122" s="30"/>
      <c r="I122" s="30">
        <v>1692900</v>
      </c>
      <c r="J122" s="30" t="s">
        <v>5457</v>
      </c>
      <c r="K122" s="30" t="s">
        <v>5472</v>
      </c>
    </row>
    <row r="123" spans="1:11" ht="12.5" x14ac:dyDescent="0.25">
      <c r="A123" s="30" t="s">
        <v>5046</v>
      </c>
      <c r="B123" s="30" t="s">
        <v>8791</v>
      </c>
      <c r="C123" s="32">
        <v>148.91</v>
      </c>
      <c r="D123" s="30">
        <v>18.66</v>
      </c>
      <c r="E123" s="31">
        <v>0.14326</v>
      </c>
      <c r="F123" s="30">
        <v>5936337356</v>
      </c>
      <c r="G123" s="30" t="s">
        <v>5427</v>
      </c>
      <c r="H123" s="30">
        <v>2016</v>
      </c>
      <c r="I123" s="30">
        <v>1484372</v>
      </c>
      <c r="J123" s="30" t="s">
        <v>5219</v>
      </c>
      <c r="K123" s="30" t="s">
        <v>5647</v>
      </c>
    </row>
    <row r="124" spans="1:11" ht="12.5" x14ac:dyDescent="0.25">
      <c r="A124" s="30" t="s">
        <v>8790</v>
      </c>
      <c r="B124" s="30" t="s">
        <v>8789</v>
      </c>
      <c r="C124" s="32">
        <v>118.97</v>
      </c>
      <c r="D124" s="30">
        <v>1.43</v>
      </c>
      <c r="E124" s="31">
        <v>1.217E-2</v>
      </c>
      <c r="F124" s="30">
        <v>16776670427</v>
      </c>
      <c r="G124" s="30" t="s">
        <v>5427</v>
      </c>
      <c r="H124" s="30"/>
      <c r="I124" s="30">
        <v>1098563</v>
      </c>
      <c r="J124" s="30" t="s">
        <v>5426</v>
      </c>
      <c r="K124" s="30" t="s">
        <v>6094</v>
      </c>
    </row>
    <row r="125" spans="1:11" ht="12.5" x14ac:dyDescent="0.25">
      <c r="A125" s="30" t="s">
        <v>8788</v>
      </c>
      <c r="B125" s="30" t="s">
        <v>8787</v>
      </c>
      <c r="C125" s="32">
        <v>117.09</v>
      </c>
      <c r="D125" s="30">
        <v>1.45</v>
      </c>
      <c r="E125" s="31">
        <v>1.2540000000000001E-2</v>
      </c>
      <c r="F125" s="30">
        <v>7644104497</v>
      </c>
      <c r="G125" s="30" t="s">
        <v>5427</v>
      </c>
      <c r="H125" s="30"/>
      <c r="I125" s="30">
        <v>190891</v>
      </c>
      <c r="J125" s="30" t="s">
        <v>5431</v>
      </c>
      <c r="K125" s="30" t="s">
        <v>5500</v>
      </c>
    </row>
    <row r="126" spans="1:11" ht="12.5" x14ac:dyDescent="0.25">
      <c r="A126" s="30" t="s">
        <v>8786</v>
      </c>
      <c r="B126" s="30" t="s">
        <v>8785</v>
      </c>
      <c r="C126" s="32">
        <v>5.18</v>
      </c>
      <c r="D126" s="30">
        <v>0.28000000000000003</v>
      </c>
      <c r="E126" s="31">
        <v>5.7140000000000003E-2</v>
      </c>
      <c r="F126" s="30">
        <v>2361833178</v>
      </c>
      <c r="G126" s="30" t="s">
        <v>5427</v>
      </c>
      <c r="H126" s="30">
        <v>2017</v>
      </c>
      <c r="I126" s="30">
        <v>4302777</v>
      </c>
      <c r="J126" s="30" t="s">
        <v>5732</v>
      </c>
      <c r="K126" s="30" t="s">
        <v>5520</v>
      </c>
    </row>
    <row r="127" spans="1:11" ht="12.5" x14ac:dyDescent="0.25">
      <c r="A127" s="30" t="s">
        <v>8784</v>
      </c>
      <c r="B127" s="30" t="s">
        <v>8783</v>
      </c>
      <c r="C127" s="32">
        <v>39.119999999999997</v>
      </c>
      <c r="D127" s="30">
        <v>0.43</v>
      </c>
      <c r="E127" s="31">
        <v>1.111E-2</v>
      </c>
      <c r="F127" s="30">
        <v>2922757773</v>
      </c>
      <c r="G127" s="30" t="s">
        <v>5427</v>
      </c>
      <c r="H127" s="30"/>
      <c r="I127" s="30">
        <v>240143</v>
      </c>
      <c r="J127" s="30" t="s">
        <v>5435</v>
      </c>
      <c r="K127" s="30" t="s">
        <v>5579</v>
      </c>
    </row>
    <row r="128" spans="1:11" ht="12.5" x14ac:dyDescent="0.25">
      <c r="A128" s="30" t="s">
        <v>8782</v>
      </c>
      <c r="B128" s="30" t="s">
        <v>8781</v>
      </c>
      <c r="C128" s="32">
        <v>6.14</v>
      </c>
      <c r="D128" s="30">
        <v>0.11</v>
      </c>
      <c r="E128" s="31">
        <v>1.8239999999999999E-2</v>
      </c>
      <c r="F128" s="30">
        <v>5900561416</v>
      </c>
      <c r="G128" s="30" t="s">
        <v>5515</v>
      </c>
      <c r="H128" s="30"/>
      <c r="I128" s="30">
        <v>14115681</v>
      </c>
      <c r="J128" s="30"/>
      <c r="K128" s="30"/>
    </row>
    <row r="129" spans="1:11" ht="12.5" x14ac:dyDescent="0.25">
      <c r="A129" s="30" t="s">
        <v>8780</v>
      </c>
      <c r="B129" s="30" t="s">
        <v>8779</v>
      </c>
      <c r="C129" s="32">
        <v>41.1</v>
      </c>
      <c r="D129" s="30">
        <v>1.2</v>
      </c>
      <c r="E129" s="31">
        <v>3.0079999999999999E-2</v>
      </c>
      <c r="F129" s="30">
        <v>3032183736</v>
      </c>
      <c r="G129" s="30" t="s">
        <v>5427</v>
      </c>
      <c r="H129" s="30"/>
      <c r="I129" s="30">
        <v>1925860</v>
      </c>
      <c r="J129" s="30" t="s">
        <v>5426</v>
      </c>
      <c r="K129" s="30" t="s">
        <v>5593</v>
      </c>
    </row>
    <row r="130" spans="1:11" ht="12.5" x14ac:dyDescent="0.25">
      <c r="A130" s="30" t="s">
        <v>8778</v>
      </c>
      <c r="B130" s="30" t="s">
        <v>8777</v>
      </c>
      <c r="C130" s="32">
        <v>178.02</v>
      </c>
      <c r="D130" s="30">
        <v>0.57999999999999996</v>
      </c>
      <c r="E130" s="31">
        <v>3.2699999999999999E-3</v>
      </c>
      <c r="F130" s="30">
        <v>24904526425</v>
      </c>
      <c r="G130" s="30" t="s">
        <v>5427</v>
      </c>
      <c r="H130" s="30"/>
      <c r="I130" s="30">
        <v>762814</v>
      </c>
      <c r="J130" s="30" t="s">
        <v>5197</v>
      </c>
      <c r="K130" s="30" t="s">
        <v>5467</v>
      </c>
    </row>
    <row r="131" spans="1:11" ht="12.5" x14ac:dyDescent="0.25">
      <c r="A131" s="30" t="s">
        <v>8776</v>
      </c>
      <c r="B131" s="30" t="s">
        <v>8775</v>
      </c>
      <c r="C131" s="32">
        <v>22.59</v>
      </c>
      <c r="D131" s="30">
        <v>0</v>
      </c>
      <c r="E131" s="31">
        <v>0</v>
      </c>
      <c r="F131" s="30">
        <v>668248954</v>
      </c>
      <c r="G131" s="30" t="s">
        <v>5427</v>
      </c>
      <c r="H131" s="30">
        <v>1998</v>
      </c>
      <c r="I131" s="30">
        <v>103412</v>
      </c>
      <c r="J131" s="30" t="s">
        <v>5457</v>
      </c>
      <c r="K131" s="30" t="s">
        <v>5805</v>
      </c>
    </row>
    <row r="132" spans="1:11" ht="12.5" x14ac:dyDescent="0.25">
      <c r="A132" s="30" t="s">
        <v>8774</v>
      </c>
      <c r="B132" s="30" t="s">
        <v>8773</v>
      </c>
      <c r="C132" s="32">
        <v>12.75</v>
      </c>
      <c r="D132" s="30">
        <v>0.18</v>
      </c>
      <c r="E132" s="31">
        <v>1.4319999999999999E-2</v>
      </c>
      <c r="F132" s="30">
        <v>441070555</v>
      </c>
      <c r="G132" s="30" t="s">
        <v>5427</v>
      </c>
      <c r="H132" s="30">
        <v>2003</v>
      </c>
      <c r="I132" s="30">
        <v>203207</v>
      </c>
      <c r="J132" s="30" t="s">
        <v>5435</v>
      </c>
      <c r="K132" s="30" t="s">
        <v>5568</v>
      </c>
    </row>
    <row r="133" spans="1:11" ht="12.5" x14ac:dyDescent="0.25">
      <c r="A133" s="30" t="s">
        <v>8772</v>
      </c>
      <c r="B133" s="30" t="s">
        <v>8771</v>
      </c>
      <c r="C133" s="32">
        <v>30.99</v>
      </c>
      <c r="D133" s="30">
        <v>0.35</v>
      </c>
      <c r="E133" s="31">
        <v>1.142E-2</v>
      </c>
      <c r="F133" s="30">
        <v>1440960872</v>
      </c>
      <c r="G133" s="30" t="s">
        <v>5427</v>
      </c>
      <c r="H133" s="30">
        <v>2014</v>
      </c>
      <c r="I133" s="30">
        <v>197300</v>
      </c>
      <c r="J133" s="30" t="s">
        <v>5431</v>
      </c>
      <c r="K133" s="30" t="s">
        <v>5438</v>
      </c>
    </row>
    <row r="134" spans="1:11" ht="12.5" x14ac:dyDescent="0.25">
      <c r="A134" s="30" t="s">
        <v>8770</v>
      </c>
      <c r="B134" s="30" t="s">
        <v>8769</v>
      </c>
      <c r="C134" s="32">
        <v>41.15</v>
      </c>
      <c r="D134" s="30">
        <v>0.63</v>
      </c>
      <c r="E134" s="31">
        <v>1.555E-2</v>
      </c>
      <c r="F134" s="30">
        <v>3742326301</v>
      </c>
      <c r="G134" s="30" t="s">
        <v>5427</v>
      </c>
      <c r="H134" s="30"/>
      <c r="I134" s="30">
        <v>306260</v>
      </c>
      <c r="J134" s="30" t="s">
        <v>5457</v>
      </c>
      <c r="K134" s="30" t="s">
        <v>5555</v>
      </c>
    </row>
    <row r="135" spans="1:11" ht="12.5" x14ac:dyDescent="0.25">
      <c r="A135" s="30" t="s">
        <v>8768</v>
      </c>
      <c r="B135" s="30" t="s">
        <v>8767</v>
      </c>
      <c r="C135" s="32">
        <v>191.66</v>
      </c>
      <c r="D135" s="30">
        <v>2.2200000000000002</v>
      </c>
      <c r="E135" s="31">
        <v>1.172E-2</v>
      </c>
      <c r="F135" s="30">
        <v>15518521223</v>
      </c>
      <c r="G135" s="30" t="s">
        <v>5427</v>
      </c>
      <c r="H135" s="30"/>
      <c r="I135" s="30">
        <v>540165</v>
      </c>
      <c r="J135" s="30" t="s">
        <v>5682</v>
      </c>
      <c r="K135" s="30" t="s">
        <v>5487</v>
      </c>
    </row>
    <row r="136" spans="1:11" ht="12.5" x14ac:dyDescent="0.25">
      <c r="A136" s="30" t="s">
        <v>8766</v>
      </c>
      <c r="B136" s="30" t="s">
        <v>8765</v>
      </c>
      <c r="C136" s="32">
        <v>10.19</v>
      </c>
      <c r="D136" s="30">
        <v>0.04</v>
      </c>
      <c r="E136" s="31">
        <v>3.9399999999999999E-3</v>
      </c>
      <c r="F136" s="30">
        <v>878680409</v>
      </c>
      <c r="G136" s="30" t="s">
        <v>5427</v>
      </c>
      <c r="H136" s="30">
        <v>1993</v>
      </c>
      <c r="I136" s="30">
        <v>204453</v>
      </c>
      <c r="J136" s="30" t="s">
        <v>5435</v>
      </c>
      <c r="K136" s="30" t="s">
        <v>5568</v>
      </c>
    </row>
    <row r="137" spans="1:11" ht="12.5" x14ac:dyDescent="0.25">
      <c r="A137" s="30" t="s">
        <v>8764</v>
      </c>
      <c r="B137" s="30" t="s">
        <v>8763</v>
      </c>
      <c r="C137" s="32">
        <v>80.040000000000006</v>
      </c>
      <c r="D137" s="30">
        <v>2.63</v>
      </c>
      <c r="E137" s="31">
        <v>3.397E-2</v>
      </c>
      <c r="F137" s="30">
        <v>3654850752</v>
      </c>
      <c r="G137" s="30" t="s">
        <v>5427</v>
      </c>
      <c r="H137" s="30"/>
      <c r="I137" s="30">
        <v>854212</v>
      </c>
      <c r="J137" s="30"/>
      <c r="K137" s="30"/>
    </row>
    <row r="138" spans="1:11" ht="12.5" x14ac:dyDescent="0.25">
      <c r="A138" s="30" t="s">
        <v>8762</v>
      </c>
      <c r="B138" s="30" t="s">
        <v>8761</v>
      </c>
      <c r="C138" s="32">
        <v>158.62</v>
      </c>
      <c r="D138" s="30">
        <v>2.13</v>
      </c>
      <c r="E138" s="31">
        <v>1.3610000000000001E-2</v>
      </c>
      <c r="F138" s="30">
        <v>28841537374</v>
      </c>
      <c r="G138" s="30" t="s">
        <v>5427</v>
      </c>
      <c r="H138" s="30">
        <v>2008</v>
      </c>
      <c r="I138" s="30">
        <v>962835</v>
      </c>
      <c r="J138" s="30" t="s">
        <v>5426</v>
      </c>
      <c r="K138" s="30" t="s">
        <v>5490</v>
      </c>
    </row>
    <row r="139" spans="1:11" ht="12.5" x14ac:dyDescent="0.25">
      <c r="A139" s="30" t="s">
        <v>8760</v>
      </c>
      <c r="B139" s="30" t="s">
        <v>8759</v>
      </c>
      <c r="C139" s="32">
        <v>4.4800000000000004</v>
      </c>
      <c r="D139" s="30">
        <v>0.02</v>
      </c>
      <c r="E139" s="31">
        <v>4.4799999999999996E-3</v>
      </c>
      <c r="F139" s="30">
        <v>382627620</v>
      </c>
      <c r="G139" s="30" t="s">
        <v>5427</v>
      </c>
      <c r="H139" s="30">
        <v>2007</v>
      </c>
      <c r="I139" s="30">
        <v>521292</v>
      </c>
      <c r="J139" s="30" t="s">
        <v>5435</v>
      </c>
      <c r="K139" s="30" t="s">
        <v>5568</v>
      </c>
    </row>
    <row r="140" spans="1:11" ht="12.5" x14ac:dyDescent="0.25">
      <c r="A140" s="30" t="s">
        <v>8758</v>
      </c>
      <c r="B140" s="30" t="s">
        <v>8757</v>
      </c>
      <c r="C140" s="32">
        <v>96.98</v>
      </c>
      <c r="D140" s="30">
        <v>2.81</v>
      </c>
      <c r="E140" s="31">
        <v>2.9839999999999998E-2</v>
      </c>
      <c r="F140" s="30">
        <v>3584467791</v>
      </c>
      <c r="G140" s="30" t="s">
        <v>5427</v>
      </c>
      <c r="H140" s="30"/>
      <c r="I140" s="30">
        <v>222021</v>
      </c>
      <c r="J140" s="30" t="s">
        <v>5426</v>
      </c>
      <c r="K140" s="30" t="s">
        <v>5490</v>
      </c>
    </row>
    <row r="141" spans="1:11" ht="12.5" x14ac:dyDescent="0.25">
      <c r="A141" s="30" t="s">
        <v>8756</v>
      </c>
      <c r="B141" s="30" t="s">
        <v>8755</v>
      </c>
      <c r="C141" s="32">
        <v>49.6</v>
      </c>
      <c r="D141" s="30">
        <v>1.48</v>
      </c>
      <c r="E141" s="31">
        <v>3.0759999999999999E-2</v>
      </c>
      <c r="F141" s="30">
        <v>2976035166</v>
      </c>
      <c r="G141" s="30" t="s">
        <v>5427</v>
      </c>
      <c r="H141" s="30">
        <v>2018</v>
      </c>
      <c r="I141" s="30">
        <v>399619</v>
      </c>
      <c r="J141" s="30" t="s">
        <v>5435</v>
      </c>
      <c r="K141" s="30" t="s">
        <v>6556</v>
      </c>
    </row>
    <row r="142" spans="1:11" ht="12.5" x14ac:dyDescent="0.25">
      <c r="A142" s="30" t="s">
        <v>8754</v>
      </c>
      <c r="B142" s="30" t="s">
        <v>8753</v>
      </c>
      <c r="C142" s="32">
        <v>9.35</v>
      </c>
      <c r="D142" s="30">
        <v>0.48</v>
      </c>
      <c r="E142" s="31">
        <v>5.4109999999999998E-2</v>
      </c>
      <c r="F142" s="30">
        <v>1071082041</v>
      </c>
      <c r="G142" s="30" t="s">
        <v>5427</v>
      </c>
      <c r="H142" s="30"/>
      <c r="I142" s="30">
        <v>1503840</v>
      </c>
      <c r="J142" s="30" t="s">
        <v>5442</v>
      </c>
      <c r="K142" s="30" t="s">
        <v>5853</v>
      </c>
    </row>
    <row r="143" spans="1:11" ht="12.5" x14ac:dyDescent="0.25">
      <c r="A143" s="30" t="s">
        <v>8752</v>
      </c>
      <c r="B143" s="30" t="s">
        <v>8751</v>
      </c>
      <c r="C143" s="32">
        <v>173.61</v>
      </c>
      <c r="D143" s="30">
        <v>-1.32</v>
      </c>
      <c r="E143" s="31">
        <v>-7.5500000000000003E-3</v>
      </c>
      <c r="F143" s="30">
        <v>128992230000</v>
      </c>
      <c r="G143" s="30" t="s">
        <v>5427</v>
      </c>
      <c r="H143" s="30"/>
      <c r="I143" s="30">
        <v>3724570</v>
      </c>
      <c r="J143" s="30" t="s">
        <v>5435</v>
      </c>
      <c r="K143" s="30" t="s">
        <v>5598</v>
      </c>
    </row>
    <row r="144" spans="1:11" ht="12.5" x14ac:dyDescent="0.25">
      <c r="A144" s="30" t="s">
        <v>8750</v>
      </c>
      <c r="B144" s="30" t="s">
        <v>8749</v>
      </c>
      <c r="C144" s="32">
        <v>13.55</v>
      </c>
      <c r="D144" s="30">
        <v>-6.5000000000000002E-2</v>
      </c>
      <c r="E144" s="31">
        <v>-4.7699999999999999E-3</v>
      </c>
      <c r="F144" s="30">
        <v>71204017</v>
      </c>
      <c r="G144" s="30" t="s">
        <v>5427</v>
      </c>
      <c r="H144" s="30"/>
      <c r="I144" s="30">
        <v>526</v>
      </c>
      <c r="J144" s="30" t="s">
        <v>5197</v>
      </c>
      <c r="K144" s="30" t="s">
        <v>5576</v>
      </c>
    </row>
    <row r="145" spans="1:11" ht="12.5" x14ac:dyDescent="0.25">
      <c r="A145" s="30" t="s">
        <v>8748</v>
      </c>
      <c r="B145" s="30" t="s">
        <v>8747</v>
      </c>
      <c r="C145" s="32">
        <v>30.35</v>
      </c>
      <c r="D145" s="30">
        <v>0.25</v>
      </c>
      <c r="E145" s="31">
        <v>8.3099999999999997E-3</v>
      </c>
      <c r="F145" s="30">
        <v>6695210000</v>
      </c>
      <c r="G145" s="30" t="s">
        <v>5427</v>
      </c>
      <c r="H145" s="30">
        <v>2014</v>
      </c>
      <c r="I145" s="30">
        <v>2157403</v>
      </c>
      <c r="J145" s="30" t="s">
        <v>5442</v>
      </c>
      <c r="K145" s="30" t="s">
        <v>6204</v>
      </c>
    </row>
    <row r="146" spans="1:11" ht="12.5" x14ac:dyDescent="0.25">
      <c r="A146" s="30" t="s">
        <v>8746</v>
      </c>
      <c r="B146" s="30" t="s">
        <v>8745</v>
      </c>
      <c r="C146" s="32">
        <v>191.82</v>
      </c>
      <c r="D146" s="30">
        <v>3.3</v>
      </c>
      <c r="E146" s="31">
        <v>1.7500000000000002E-2</v>
      </c>
      <c r="F146" s="30">
        <v>6148115469</v>
      </c>
      <c r="G146" s="30" t="s">
        <v>5427</v>
      </c>
      <c r="H146" s="30"/>
      <c r="I146" s="30">
        <v>238554</v>
      </c>
      <c r="J146" s="30" t="s">
        <v>5442</v>
      </c>
      <c r="K146" s="30" t="s">
        <v>5537</v>
      </c>
    </row>
    <row r="147" spans="1:11" ht="12.5" x14ac:dyDescent="0.25">
      <c r="A147" s="30" t="s">
        <v>8744</v>
      </c>
      <c r="B147" s="30" t="s">
        <v>8743</v>
      </c>
      <c r="C147" s="32">
        <v>57.04</v>
      </c>
      <c r="D147" s="30">
        <v>1.55</v>
      </c>
      <c r="E147" s="31">
        <v>2.793E-2</v>
      </c>
      <c r="F147" s="30">
        <v>3941053312</v>
      </c>
      <c r="G147" s="30" t="s">
        <v>5427</v>
      </c>
      <c r="H147" s="30">
        <v>2017</v>
      </c>
      <c r="I147" s="30">
        <v>887429</v>
      </c>
      <c r="J147" s="30" t="s">
        <v>5219</v>
      </c>
      <c r="K147" s="30" t="s">
        <v>5560</v>
      </c>
    </row>
    <row r="148" spans="1:11" ht="12.5" x14ac:dyDescent="0.25">
      <c r="A148" s="30" t="s">
        <v>8742</v>
      </c>
      <c r="B148" s="30" t="s">
        <v>8741</v>
      </c>
      <c r="C148" s="32">
        <v>25</v>
      </c>
      <c r="D148" s="30">
        <v>0.87</v>
      </c>
      <c r="E148" s="31">
        <v>3.6049999999999999E-2</v>
      </c>
      <c r="F148" s="30">
        <v>3777009875</v>
      </c>
      <c r="G148" s="30" t="s">
        <v>5427</v>
      </c>
      <c r="H148" s="30">
        <v>2020</v>
      </c>
      <c r="I148" s="30">
        <v>1838572</v>
      </c>
      <c r="J148" s="30"/>
      <c r="K148" s="30"/>
    </row>
    <row r="149" spans="1:11" ht="12.5" x14ac:dyDescent="0.25">
      <c r="A149" s="30" t="s">
        <v>8740</v>
      </c>
      <c r="B149" s="30" t="s">
        <v>8739</v>
      </c>
      <c r="C149" s="32">
        <v>2495.6799999999998</v>
      </c>
      <c r="D149" s="30">
        <v>56.83</v>
      </c>
      <c r="E149" s="31">
        <v>2.3300000000000001E-2</v>
      </c>
      <c r="F149" s="30">
        <v>46833109801</v>
      </c>
      <c r="G149" s="30" t="s">
        <v>5427</v>
      </c>
      <c r="H149" s="30"/>
      <c r="I149" s="30">
        <v>179588</v>
      </c>
      <c r="J149" s="30"/>
      <c r="K149" s="30"/>
    </row>
    <row r="150" spans="1:11" ht="12.5" x14ac:dyDescent="0.25">
      <c r="A150" s="30" t="s">
        <v>8738</v>
      </c>
      <c r="B150" s="30" t="s">
        <v>8737</v>
      </c>
      <c r="C150" s="32">
        <v>4.17</v>
      </c>
      <c r="D150" s="30">
        <v>0.11</v>
      </c>
      <c r="E150" s="31">
        <v>2.7089999999999999E-2</v>
      </c>
      <c r="F150" s="30">
        <v>267553413</v>
      </c>
      <c r="G150" s="30" t="s">
        <v>5529</v>
      </c>
      <c r="H150" s="30">
        <v>2016</v>
      </c>
      <c r="I150" s="30">
        <v>157943</v>
      </c>
      <c r="J150" s="30" t="s">
        <v>5426</v>
      </c>
      <c r="K150" s="30" t="s">
        <v>6000</v>
      </c>
    </row>
    <row r="151" spans="1:11" ht="12.5" x14ac:dyDescent="0.25">
      <c r="A151" s="30" t="s">
        <v>8736</v>
      </c>
      <c r="B151" s="30" t="s">
        <v>8735</v>
      </c>
      <c r="C151" s="32">
        <v>42.45</v>
      </c>
      <c r="D151" s="30">
        <v>-0.03</v>
      </c>
      <c r="E151" s="31">
        <v>-7.1000000000000002E-4</v>
      </c>
      <c r="F151" s="30">
        <v>1056772629</v>
      </c>
      <c r="G151" s="30" t="s">
        <v>5427</v>
      </c>
      <c r="H151" s="30"/>
      <c r="I151" s="30">
        <v>104921</v>
      </c>
      <c r="J151" s="30" t="s">
        <v>5457</v>
      </c>
      <c r="K151" s="30" t="s">
        <v>5438</v>
      </c>
    </row>
    <row r="152" spans="1:11" ht="12.5" x14ac:dyDescent="0.25">
      <c r="A152" s="30" t="s">
        <v>8734</v>
      </c>
      <c r="B152" s="30" t="s">
        <v>8733</v>
      </c>
      <c r="C152" s="32">
        <v>45.31</v>
      </c>
      <c r="D152" s="30">
        <v>1.05</v>
      </c>
      <c r="E152" s="31">
        <v>2.3720000000000001E-2</v>
      </c>
      <c r="F152" s="30">
        <v>2291274095</v>
      </c>
      <c r="G152" s="30" t="s">
        <v>5427</v>
      </c>
      <c r="H152" s="30"/>
      <c r="I152" s="30">
        <v>228553</v>
      </c>
      <c r="J152" s="30" t="s">
        <v>5457</v>
      </c>
      <c r="K152" s="30" t="s">
        <v>5487</v>
      </c>
    </row>
    <row r="153" spans="1:11" ht="12.5" x14ac:dyDescent="0.25">
      <c r="A153" s="30" t="s">
        <v>8732</v>
      </c>
      <c r="B153" s="30" t="s">
        <v>8731</v>
      </c>
      <c r="C153" s="32">
        <v>214.75</v>
      </c>
      <c r="D153" s="30">
        <v>1.75</v>
      </c>
      <c r="E153" s="31">
        <v>8.2199999999999999E-3</v>
      </c>
      <c r="F153" s="30">
        <v>128471950879</v>
      </c>
      <c r="G153" s="30" t="s">
        <v>5427</v>
      </c>
      <c r="H153" s="30"/>
      <c r="I153" s="30">
        <v>8436775</v>
      </c>
      <c r="J153" s="30" t="s">
        <v>5457</v>
      </c>
      <c r="K153" s="30" t="s">
        <v>5523</v>
      </c>
    </row>
    <row r="154" spans="1:11" ht="12.5" x14ac:dyDescent="0.25">
      <c r="A154" s="30" t="s">
        <v>8730</v>
      </c>
      <c r="B154" s="30" t="s">
        <v>8729</v>
      </c>
      <c r="C154" s="32">
        <v>35.92</v>
      </c>
      <c r="D154" s="30">
        <v>0.44</v>
      </c>
      <c r="E154" s="31">
        <v>1.24E-2</v>
      </c>
      <c r="F154" s="30">
        <v>287244263713</v>
      </c>
      <c r="G154" s="30" t="s">
        <v>5427</v>
      </c>
      <c r="H154" s="30"/>
      <c r="I154" s="30">
        <v>44420122</v>
      </c>
      <c r="J154" s="30" t="s">
        <v>5435</v>
      </c>
      <c r="K154" s="30" t="s">
        <v>5579</v>
      </c>
    </row>
    <row r="155" spans="1:11" ht="12.5" x14ac:dyDescent="0.25">
      <c r="A155" s="30" t="s">
        <v>8728</v>
      </c>
      <c r="B155" s="30" t="s">
        <v>8727</v>
      </c>
      <c r="C155" s="32">
        <v>95.37</v>
      </c>
      <c r="D155" s="30">
        <v>0.73</v>
      </c>
      <c r="E155" s="31">
        <v>7.7099999999999998E-3</v>
      </c>
      <c r="F155" s="30">
        <v>12615150008</v>
      </c>
      <c r="G155" s="30" t="s">
        <v>5427</v>
      </c>
      <c r="H155" s="30">
        <v>2010</v>
      </c>
      <c r="I155" s="30">
        <v>1205742</v>
      </c>
      <c r="J155" s="30" t="s">
        <v>5442</v>
      </c>
      <c r="K155" s="30" t="s">
        <v>5994</v>
      </c>
    </row>
    <row r="156" spans="1:11" ht="12.5" x14ac:dyDescent="0.25">
      <c r="A156" s="30" t="s">
        <v>8726</v>
      </c>
      <c r="B156" s="30" t="s">
        <v>8725</v>
      </c>
      <c r="C156" s="32">
        <v>58.44</v>
      </c>
      <c r="D156" s="30">
        <v>0.2</v>
      </c>
      <c r="E156" s="31">
        <v>3.4299999999999999E-3</v>
      </c>
      <c r="F156" s="30">
        <v>18345493566</v>
      </c>
      <c r="G156" s="30" t="s">
        <v>5427</v>
      </c>
      <c r="H156" s="30"/>
      <c r="I156" s="30">
        <v>2656889</v>
      </c>
      <c r="J156" s="30" t="s">
        <v>5457</v>
      </c>
      <c r="K156" s="30" t="s">
        <v>6129</v>
      </c>
    </row>
    <row r="157" spans="1:11" ht="12.5" x14ac:dyDescent="0.25">
      <c r="A157" s="30" t="s">
        <v>8724</v>
      </c>
      <c r="B157" s="30" t="s">
        <v>8723</v>
      </c>
      <c r="C157" s="32">
        <v>32.51</v>
      </c>
      <c r="D157" s="30">
        <v>-0.14000000000000001</v>
      </c>
      <c r="E157" s="31">
        <v>-4.2900000000000004E-3</v>
      </c>
      <c r="F157" s="30">
        <v>13400686370</v>
      </c>
      <c r="G157" s="30" t="s">
        <v>5515</v>
      </c>
      <c r="H157" s="30">
        <v>2022</v>
      </c>
      <c r="I157" s="30">
        <v>2118660</v>
      </c>
      <c r="J157" s="30"/>
      <c r="K157" s="30"/>
    </row>
    <row r="158" spans="1:11" ht="12.5" x14ac:dyDescent="0.25">
      <c r="A158" s="30" t="s">
        <v>8722</v>
      </c>
      <c r="B158" s="30" t="s">
        <v>8721</v>
      </c>
      <c r="C158" s="32">
        <v>17.579999999999998</v>
      </c>
      <c r="D158" s="30">
        <v>0.16</v>
      </c>
      <c r="E158" s="31">
        <v>9.1800000000000007E-3</v>
      </c>
      <c r="F158" s="30">
        <v>1037604211</v>
      </c>
      <c r="G158" s="30" t="s">
        <v>5427</v>
      </c>
      <c r="H158" s="30"/>
      <c r="I158" s="30">
        <v>434476</v>
      </c>
      <c r="J158" s="30" t="s">
        <v>5435</v>
      </c>
      <c r="K158" s="30" t="s">
        <v>5579</v>
      </c>
    </row>
    <row r="159" spans="1:11" ht="12.5" x14ac:dyDescent="0.25">
      <c r="A159" s="30" t="s">
        <v>8720</v>
      </c>
      <c r="B159" s="30" t="s">
        <v>8719</v>
      </c>
      <c r="C159" s="32">
        <v>46.28</v>
      </c>
      <c r="D159" s="30">
        <v>0.59</v>
      </c>
      <c r="E159" s="31">
        <v>1.291E-2</v>
      </c>
      <c r="F159" s="30">
        <v>23330708727</v>
      </c>
      <c r="G159" s="30" t="s">
        <v>5427</v>
      </c>
      <c r="H159" s="30"/>
      <c r="I159" s="30">
        <v>7610570</v>
      </c>
      <c r="J159" s="30" t="s">
        <v>5431</v>
      </c>
      <c r="K159" s="30" t="s">
        <v>5500</v>
      </c>
    </row>
    <row r="160" spans="1:11" ht="12.5" x14ac:dyDescent="0.25">
      <c r="A160" s="30" t="s">
        <v>8718</v>
      </c>
      <c r="B160" s="30" t="s">
        <v>8717</v>
      </c>
      <c r="C160" s="32">
        <v>4.49</v>
      </c>
      <c r="D160" s="30">
        <v>0.24</v>
      </c>
      <c r="E160" s="31">
        <v>5.6469999999999999E-2</v>
      </c>
      <c r="F160" s="30">
        <v>2605755453</v>
      </c>
      <c r="G160" s="30" t="s">
        <v>5515</v>
      </c>
      <c r="H160" s="30"/>
      <c r="I160" s="30">
        <v>8560692</v>
      </c>
      <c r="J160" s="30"/>
      <c r="K160" s="30"/>
    </row>
    <row r="161" spans="1:11" ht="12.5" x14ac:dyDescent="0.25">
      <c r="A161" s="30" t="s">
        <v>8716</v>
      </c>
      <c r="B161" s="30" t="s">
        <v>8715</v>
      </c>
      <c r="C161" s="32">
        <v>8.76</v>
      </c>
      <c r="D161" s="30">
        <v>0</v>
      </c>
      <c r="E161" s="31">
        <v>0</v>
      </c>
      <c r="F161" s="30">
        <v>953366901</v>
      </c>
      <c r="G161" s="30" t="s">
        <v>5427</v>
      </c>
      <c r="H161" s="30"/>
      <c r="I161" s="30">
        <v>863800</v>
      </c>
      <c r="J161" s="30" t="s">
        <v>5435</v>
      </c>
      <c r="K161" s="30" t="s">
        <v>5434</v>
      </c>
    </row>
    <row r="162" spans="1:11" ht="12.5" x14ac:dyDescent="0.25">
      <c r="A162" s="30" t="s">
        <v>8714</v>
      </c>
      <c r="B162" s="30" t="s">
        <v>8713</v>
      </c>
      <c r="C162" s="32">
        <v>13.06</v>
      </c>
      <c r="D162" s="30">
        <v>1.48</v>
      </c>
      <c r="E162" s="31">
        <v>0.12781000000000001</v>
      </c>
      <c r="F162" s="30">
        <v>8098936249</v>
      </c>
      <c r="G162" s="30" t="s">
        <v>5427</v>
      </c>
      <c r="H162" s="30"/>
      <c r="I162" s="30">
        <v>97857</v>
      </c>
      <c r="J162" s="30" t="s">
        <v>5431</v>
      </c>
      <c r="K162" s="30" t="s">
        <v>5980</v>
      </c>
    </row>
    <row r="163" spans="1:11" ht="12.5" x14ac:dyDescent="0.25">
      <c r="A163" s="30" t="s">
        <v>8712</v>
      </c>
      <c r="B163" s="30" t="s">
        <v>8711</v>
      </c>
      <c r="C163" s="32">
        <v>18.3</v>
      </c>
      <c r="D163" s="30">
        <v>0.26</v>
      </c>
      <c r="E163" s="31">
        <v>1.4409999999999999E-2</v>
      </c>
      <c r="F163" s="30">
        <v>1115236697</v>
      </c>
      <c r="G163" s="30" t="s">
        <v>5427</v>
      </c>
      <c r="H163" s="30">
        <v>2010</v>
      </c>
      <c r="I163" s="30">
        <v>259535</v>
      </c>
      <c r="J163" s="30" t="s">
        <v>5435</v>
      </c>
      <c r="K163" s="30" t="s">
        <v>5563</v>
      </c>
    </row>
    <row r="164" spans="1:11" ht="12.5" x14ac:dyDescent="0.25">
      <c r="A164" s="30" t="s">
        <v>8710</v>
      </c>
      <c r="B164" s="30" t="s">
        <v>8709</v>
      </c>
      <c r="C164" s="32">
        <v>7.39</v>
      </c>
      <c r="D164" s="30">
        <v>0.33</v>
      </c>
      <c r="E164" s="31">
        <v>4.6739999999999997E-2</v>
      </c>
      <c r="F164" s="30">
        <v>44562561408</v>
      </c>
      <c r="G164" s="30" t="s">
        <v>5605</v>
      </c>
      <c r="H164" s="30"/>
      <c r="I164" s="30">
        <v>1714633</v>
      </c>
      <c r="J164" s="30" t="s">
        <v>5435</v>
      </c>
      <c r="K164" s="30" t="s">
        <v>5582</v>
      </c>
    </row>
    <row r="165" spans="1:11" ht="12.5" x14ac:dyDescent="0.25">
      <c r="A165" s="30" t="s">
        <v>8708</v>
      </c>
      <c r="B165" s="30" t="s">
        <v>8707</v>
      </c>
      <c r="C165" s="32">
        <v>24.33</v>
      </c>
      <c r="D165" s="30">
        <v>-0.23</v>
      </c>
      <c r="E165" s="31">
        <v>-9.3600000000000003E-3</v>
      </c>
      <c r="F165" s="30">
        <v>358878303</v>
      </c>
      <c r="G165" s="30" t="s">
        <v>5427</v>
      </c>
      <c r="H165" s="30">
        <v>2004</v>
      </c>
      <c r="I165" s="30">
        <v>228267</v>
      </c>
      <c r="J165" s="30" t="s">
        <v>5442</v>
      </c>
      <c r="K165" s="30" t="s">
        <v>5641</v>
      </c>
    </row>
    <row r="166" spans="1:11" ht="12.5" x14ac:dyDescent="0.25">
      <c r="A166" s="30" t="s">
        <v>8706</v>
      </c>
      <c r="B166" s="30" t="s">
        <v>8705</v>
      </c>
      <c r="C166" s="32">
        <v>47.98</v>
      </c>
      <c r="D166" s="30">
        <v>1.97</v>
      </c>
      <c r="E166" s="31">
        <v>4.2819999999999997E-2</v>
      </c>
      <c r="F166" s="30">
        <v>10959333228</v>
      </c>
      <c r="G166" s="30" t="s">
        <v>5427</v>
      </c>
      <c r="H166" s="30"/>
      <c r="I166" s="30">
        <v>3312560</v>
      </c>
      <c r="J166" s="30" t="s">
        <v>5682</v>
      </c>
      <c r="K166" s="30" t="s">
        <v>5746</v>
      </c>
    </row>
    <row r="167" spans="1:11" ht="12.5" x14ac:dyDescent="0.25">
      <c r="A167" s="30" t="s">
        <v>8704</v>
      </c>
      <c r="B167" s="30" t="s">
        <v>8703</v>
      </c>
      <c r="C167" s="32">
        <v>89.65</v>
      </c>
      <c r="D167" s="30">
        <v>0.93</v>
      </c>
      <c r="E167" s="31">
        <v>1.048E-2</v>
      </c>
      <c r="F167" s="30">
        <v>19836358301</v>
      </c>
      <c r="G167" s="30" t="s">
        <v>5427</v>
      </c>
      <c r="H167" s="30"/>
      <c r="I167" s="30">
        <v>2689077</v>
      </c>
      <c r="J167" s="30" t="s">
        <v>5442</v>
      </c>
      <c r="K167" s="30" t="s">
        <v>8702</v>
      </c>
    </row>
    <row r="168" spans="1:11" ht="12.5" x14ac:dyDescent="0.25">
      <c r="A168" s="30" t="s">
        <v>8701</v>
      </c>
      <c r="B168" s="30" t="s">
        <v>8700</v>
      </c>
      <c r="C168" s="32">
        <v>86.18</v>
      </c>
      <c r="D168" s="30">
        <v>1.85</v>
      </c>
      <c r="E168" s="31">
        <v>2.1940000000000001E-2</v>
      </c>
      <c r="F168" s="30">
        <v>6248611463</v>
      </c>
      <c r="G168" s="30" t="s">
        <v>5427</v>
      </c>
      <c r="H168" s="30"/>
      <c r="I168" s="30">
        <v>945480</v>
      </c>
      <c r="J168" s="30" t="s">
        <v>5442</v>
      </c>
      <c r="K168" s="30" t="s">
        <v>5576</v>
      </c>
    </row>
    <row r="169" spans="1:11" ht="12.5" x14ac:dyDescent="0.25">
      <c r="A169" s="30" t="s">
        <v>8699</v>
      </c>
      <c r="B169" s="30" t="s">
        <v>8698</v>
      </c>
      <c r="C169" s="32">
        <v>15.27</v>
      </c>
      <c r="D169" s="30">
        <v>0.16</v>
      </c>
      <c r="E169" s="31">
        <v>1.059E-2</v>
      </c>
      <c r="F169" s="30">
        <v>1693929899</v>
      </c>
      <c r="G169" s="30" t="s">
        <v>5427</v>
      </c>
      <c r="H169" s="30">
        <v>2020</v>
      </c>
      <c r="I169" s="30">
        <v>272778</v>
      </c>
      <c r="J169" s="30" t="s">
        <v>5435</v>
      </c>
      <c r="K169" s="30" t="s">
        <v>5985</v>
      </c>
    </row>
    <row r="170" spans="1:11" ht="12.5" x14ac:dyDescent="0.25">
      <c r="A170" s="30" t="s">
        <v>8697</v>
      </c>
      <c r="B170" s="30" t="s">
        <v>8696</v>
      </c>
      <c r="C170" s="32">
        <v>76.88</v>
      </c>
      <c r="D170" s="30">
        <v>1.91</v>
      </c>
      <c r="E170" s="31">
        <v>2.5479999999999999E-2</v>
      </c>
      <c r="F170" s="30">
        <v>3032739868</v>
      </c>
      <c r="G170" s="30" t="s">
        <v>5427</v>
      </c>
      <c r="H170" s="30">
        <v>2013</v>
      </c>
      <c r="I170" s="30">
        <v>230807</v>
      </c>
      <c r="J170" s="30"/>
      <c r="K170" s="30"/>
    </row>
    <row r="171" spans="1:11" ht="12.5" x14ac:dyDescent="0.25">
      <c r="A171" s="30" t="s">
        <v>8695</v>
      </c>
      <c r="B171" s="30" t="s">
        <v>8694</v>
      </c>
      <c r="C171" s="32">
        <v>47.6</v>
      </c>
      <c r="D171" s="30">
        <v>0.3</v>
      </c>
      <c r="E171" s="31">
        <v>6.3400000000000001E-3</v>
      </c>
      <c r="F171" s="30">
        <v>43406440000</v>
      </c>
      <c r="G171" s="30" t="s">
        <v>5515</v>
      </c>
      <c r="H171" s="30"/>
      <c r="I171" s="30">
        <v>1263149</v>
      </c>
      <c r="J171" s="30"/>
      <c r="K171" s="30"/>
    </row>
    <row r="172" spans="1:11" ht="12.5" x14ac:dyDescent="0.25">
      <c r="A172" s="30" t="s">
        <v>8693</v>
      </c>
      <c r="B172" s="30" t="s">
        <v>8692</v>
      </c>
      <c r="C172" s="32">
        <v>65.760000000000005</v>
      </c>
      <c r="D172" s="30">
        <v>0.16</v>
      </c>
      <c r="E172" s="31">
        <v>2.4399999999999999E-3</v>
      </c>
      <c r="F172" s="30">
        <v>3054526091</v>
      </c>
      <c r="G172" s="30" t="s">
        <v>5427</v>
      </c>
      <c r="H172" s="30"/>
      <c r="I172" s="30">
        <v>237672</v>
      </c>
      <c r="J172" s="30" t="s">
        <v>5219</v>
      </c>
      <c r="K172" s="30" t="s">
        <v>6786</v>
      </c>
    </row>
    <row r="173" spans="1:11" ht="12.5" x14ac:dyDescent="0.25">
      <c r="A173" s="30" t="s">
        <v>8691</v>
      </c>
      <c r="B173" s="30" t="s">
        <v>8690</v>
      </c>
      <c r="C173" s="32">
        <v>9.35</v>
      </c>
      <c r="D173" s="30">
        <v>7.0000000000000007E-2</v>
      </c>
      <c r="E173" s="31">
        <v>7.5399999999999998E-3</v>
      </c>
      <c r="F173" s="30">
        <v>37099179654</v>
      </c>
      <c r="G173" s="30" t="s">
        <v>5775</v>
      </c>
      <c r="H173" s="30"/>
      <c r="I173" s="30">
        <v>6898230</v>
      </c>
      <c r="J173" s="30" t="s">
        <v>5435</v>
      </c>
      <c r="K173" s="30" t="s">
        <v>5582</v>
      </c>
    </row>
    <row r="174" spans="1:11" ht="12.5" x14ac:dyDescent="0.25">
      <c r="A174" s="30" t="s">
        <v>8689</v>
      </c>
      <c r="B174" s="30" t="s">
        <v>8688</v>
      </c>
      <c r="C174" s="32">
        <v>13.45</v>
      </c>
      <c r="D174" s="30">
        <v>0.09</v>
      </c>
      <c r="E174" s="31">
        <v>6.7400000000000003E-3</v>
      </c>
      <c r="F174" s="30">
        <v>868362464</v>
      </c>
      <c r="G174" s="30" t="s">
        <v>5427</v>
      </c>
      <c r="H174" s="30">
        <v>2018</v>
      </c>
      <c r="I174" s="30">
        <v>115581</v>
      </c>
      <c r="J174" s="30" t="s">
        <v>5435</v>
      </c>
      <c r="K174" s="30" t="s">
        <v>5985</v>
      </c>
    </row>
    <row r="175" spans="1:11" ht="12.5" x14ac:dyDescent="0.25">
      <c r="A175" s="30" t="s">
        <v>8687</v>
      </c>
      <c r="B175" s="30" t="s">
        <v>8686</v>
      </c>
      <c r="C175" s="32">
        <v>10.53</v>
      </c>
      <c r="D175" s="30">
        <v>-0.01</v>
      </c>
      <c r="E175" s="31">
        <v>-9.5E-4</v>
      </c>
      <c r="F175" s="30">
        <v>929967417</v>
      </c>
      <c r="G175" s="30" t="s">
        <v>5427</v>
      </c>
      <c r="H175" s="30">
        <v>2011</v>
      </c>
      <c r="I175" s="30">
        <v>165154</v>
      </c>
      <c r="J175" s="30" t="s">
        <v>5435</v>
      </c>
      <c r="K175" s="30" t="s">
        <v>5985</v>
      </c>
    </row>
    <row r="176" spans="1:11" ht="12.5" x14ac:dyDescent="0.25">
      <c r="A176" s="30" t="s">
        <v>8685</v>
      </c>
      <c r="B176" s="30" t="s">
        <v>8684</v>
      </c>
      <c r="C176" s="32">
        <v>82.32</v>
      </c>
      <c r="D176" s="30">
        <v>1.23</v>
      </c>
      <c r="E176" s="31">
        <v>1.5169999999999999E-2</v>
      </c>
      <c r="F176" s="30">
        <v>3523760696</v>
      </c>
      <c r="G176" s="30" t="s">
        <v>5427</v>
      </c>
      <c r="H176" s="30"/>
      <c r="I176" s="30">
        <v>253145</v>
      </c>
      <c r="J176" s="30" t="s">
        <v>5732</v>
      </c>
      <c r="K176" s="30" t="s">
        <v>5520</v>
      </c>
    </row>
    <row r="177" spans="1:11" ht="12.5" x14ac:dyDescent="0.25">
      <c r="A177" s="30" t="s">
        <v>8683</v>
      </c>
      <c r="B177" s="30" t="s">
        <v>8682</v>
      </c>
      <c r="C177" s="32">
        <v>9.35</v>
      </c>
      <c r="D177" s="30">
        <v>0.05</v>
      </c>
      <c r="E177" s="31">
        <v>5.3800000000000002E-3</v>
      </c>
      <c r="F177" s="30">
        <v>1739132108</v>
      </c>
      <c r="G177" s="30" t="s">
        <v>5427</v>
      </c>
      <c r="H177" s="30">
        <v>2005</v>
      </c>
      <c r="I177" s="30">
        <v>313857</v>
      </c>
      <c r="J177" s="30" t="s">
        <v>5435</v>
      </c>
      <c r="K177" s="30" t="s">
        <v>5563</v>
      </c>
    </row>
    <row r="178" spans="1:11" ht="12.5" x14ac:dyDescent="0.25">
      <c r="A178" s="30" t="s">
        <v>8681</v>
      </c>
      <c r="B178" s="30" t="s">
        <v>8680</v>
      </c>
      <c r="C178" s="32">
        <v>6.47</v>
      </c>
      <c r="D178" s="30">
        <v>-0.09</v>
      </c>
      <c r="E178" s="31">
        <v>-1.372E-2</v>
      </c>
      <c r="F178" s="30">
        <v>1110056651</v>
      </c>
      <c r="G178" s="30" t="s">
        <v>5427</v>
      </c>
      <c r="H178" s="30"/>
      <c r="I178" s="30">
        <v>2529660</v>
      </c>
      <c r="J178" s="30" t="s">
        <v>5197</v>
      </c>
      <c r="K178" s="30" t="s">
        <v>5467</v>
      </c>
    </row>
    <row r="179" spans="1:11" ht="12.5" x14ac:dyDescent="0.25">
      <c r="A179" s="30" t="s">
        <v>8679</v>
      </c>
      <c r="B179" s="30" t="s">
        <v>8678</v>
      </c>
      <c r="C179" s="32">
        <v>254.17</v>
      </c>
      <c r="D179" s="30">
        <v>1.95</v>
      </c>
      <c r="E179" s="31">
        <v>7.7299999999999999E-3</v>
      </c>
      <c r="F179" s="30">
        <v>72252390952</v>
      </c>
      <c r="G179" s="30" t="s">
        <v>5427</v>
      </c>
      <c r="H179" s="30"/>
      <c r="I179" s="30">
        <v>1096395</v>
      </c>
      <c r="J179" s="30" t="s">
        <v>5431</v>
      </c>
      <c r="K179" s="30" t="s">
        <v>5500</v>
      </c>
    </row>
    <row r="180" spans="1:11" ht="12.5" x14ac:dyDescent="0.25">
      <c r="A180" s="30" t="s">
        <v>8677</v>
      </c>
      <c r="B180" s="30" t="s">
        <v>8676</v>
      </c>
      <c r="C180" s="32">
        <v>32.01</v>
      </c>
      <c r="D180" s="30">
        <v>0.81</v>
      </c>
      <c r="E180" s="31">
        <v>2.596E-2</v>
      </c>
      <c r="F180" s="30">
        <v>16014603000</v>
      </c>
      <c r="G180" s="30" t="s">
        <v>5427</v>
      </c>
      <c r="H180" s="30"/>
      <c r="I180" s="30">
        <v>5737580</v>
      </c>
      <c r="J180" s="30" t="s">
        <v>5435</v>
      </c>
      <c r="K180" s="30" t="s">
        <v>5434</v>
      </c>
    </row>
    <row r="181" spans="1:11" ht="12.5" x14ac:dyDescent="0.25">
      <c r="A181" s="30" t="s">
        <v>8675</v>
      </c>
      <c r="B181" s="30" t="s">
        <v>8674</v>
      </c>
      <c r="C181" s="32">
        <v>28.68</v>
      </c>
      <c r="D181" s="30">
        <v>-0.47</v>
      </c>
      <c r="E181" s="31">
        <v>-1.6119999999999999E-2</v>
      </c>
      <c r="F181" s="30">
        <v>7895232336</v>
      </c>
      <c r="G181" s="30" t="s">
        <v>5515</v>
      </c>
      <c r="H181" s="30"/>
      <c r="I181" s="30">
        <v>290980</v>
      </c>
      <c r="J181" s="30" t="s">
        <v>5426</v>
      </c>
      <c r="K181" s="30" t="s">
        <v>6000</v>
      </c>
    </row>
    <row r="182" spans="1:11" ht="12.5" x14ac:dyDescent="0.25">
      <c r="A182" s="30" t="s">
        <v>8673</v>
      </c>
      <c r="B182" s="30" t="s">
        <v>8672</v>
      </c>
      <c r="C182" s="32">
        <v>61.69</v>
      </c>
      <c r="D182" s="30">
        <v>-0.04</v>
      </c>
      <c r="E182" s="31">
        <v>-6.4999999999999997E-4</v>
      </c>
      <c r="F182" s="30">
        <v>7515131691</v>
      </c>
      <c r="G182" s="30" t="s">
        <v>5427</v>
      </c>
      <c r="H182" s="30">
        <v>2012</v>
      </c>
      <c r="I182" s="30">
        <v>1151018</v>
      </c>
      <c r="J182" s="30" t="s">
        <v>5457</v>
      </c>
      <c r="K182" s="30" t="s">
        <v>5838</v>
      </c>
    </row>
    <row r="183" spans="1:11" ht="12.5" x14ac:dyDescent="0.25">
      <c r="A183" s="30" t="s">
        <v>8671</v>
      </c>
      <c r="B183" s="30" t="s">
        <v>8670</v>
      </c>
      <c r="C183" s="32">
        <v>78.47</v>
      </c>
      <c r="D183" s="30">
        <v>1.69</v>
      </c>
      <c r="E183" s="31">
        <v>2.2009999999999998E-2</v>
      </c>
      <c r="F183" s="30">
        <v>4531643834</v>
      </c>
      <c r="G183" s="30" t="s">
        <v>5427</v>
      </c>
      <c r="H183" s="30">
        <v>2013</v>
      </c>
      <c r="I183" s="30">
        <v>298440</v>
      </c>
      <c r="J183" s="30" t="s">
        <v>5442</v>
      </c>
      <c r="K183" s="30" t="s">
        <v>5914</v>
      </c>
    </row>
    <row r="184" spans="1:11" ht="12.5" x14ac:dyDescent="0.25">
      <c r="A184" s="30" t="s">
        <v>8669</v>
      </c>
      <c r="B184" s="30" t="s">
        <v>8668</v>
      </c>
      <c r="C184" s="32">
        <v>38.07</v>
      </c>
      <c r="D184" s="30">
        <v>-2.96</v>
      </c>
      <c r="E184" s="31">
        <v>-7.2139999999999996E-2</v>
      </c>
      <c r="F184" s="30">
        <v>1899693000</v>
      </c>
      <c r="G184" s="30" t="s">
        <v>5427</v>
      </c>
      <c r="H184" s="30"/>
      <c r="I184" s="30">
        <v>3398046</v>
      </c>
      <c r="J184" s="30" t="s">
        <v>5435</v>
      </c>
      <c r="K184" s="30" t="s">
        <v>6009</v>
      </c>
    </row>
    <row r="185" spans="1:11" ht="12.5" x14ac:dyDescent="0.25">
      <c r="A185" s="30" t="s">
        <v>8667</v>
      </c>
      <c r="B185" s="30" t="s">
        <v>8666</v>
      </c>
      <c r="C185" s="32">
        <v>10.62</v>
      </c>
      <c r="D185" s="30">
        <v>0.02</v>
      </c>
      <c r="E185" s="31">
        <v>1.89E-3</v>
      </c>
      <c r="F185" s="30">
        <v>478336238</v>
      </c>
      <c r="G185" s="30" t="s">
        <v>5427</v>
      </c>
      <c r="H185" s="30"/>
      <c r="I185" s="30">
        <v>101530</v>
      </c>
      <c r="J185" s="30" t="s">
        <v>5435</v>
      </c>
      <c r="K185" s="30" t="s">
        <v>5563</v>
      </c>
    </row>
    <row r="186" spans="1:11" ht="12.5" x14ac:dyDescent="0.25">
      <c r="A186" s="30" t="s">
        <v>8665</v>
      </c>
      <c r="B186" s="30" t="s">
        <v>8664</v>
      </c>
      <c r="C186" s="32">
        <v>42.74</v>
      </c>
      <c r="D186" s="30">
        <v>-7.0000000000000007E-2</v>
      </c>
      <c r="E186" s="31">
        <v>-1.64E-3</v>
      </c>
      <c r="F186" s="30">
        <v>1021280207</v>
      </c>
      <c r="G186" s="30" t="s">
        <v>5427</v>
      </c>
      <c r="H186" s="30">
        <v>1993</v>
      </c>
      <c r="I186" s="30">
        <v>40480</v>
      </c>
      <c r="J186" s="30" t="s">
        <v>5197</v>
      </c>
      <c r="K186" s="30" t="s">
        <v>5467</v>
      </c>
    </row>
    <row r="187" spans="1:11" ht="12.5" x14ac:dyDescent="0.25">
      <c r="A187" s="30" t="s">
        <v>8663</v>
      </c>
      <c r="B187" s="30" t="s">
        <v>8662</v>
      </c>
      <c r="C187" s="32">
        <v>11.525</v>
      </c>
      <c r="D187" s="30">
        <v>5.5E-2</v>
      </c>
      <c r="E187" s="31">
        <v>4.7999999999999996E-3</v>
      </c>
      <c r="F187" s="30">
        <v>358714934</v>
      </c>
      <c r="G187" s="30" t="s">
        <v>5427</v>
      </c>
      <c r="H187" s="30">
        <v>2001</v>
      </c>
      <c r="I187" s="30">
        <v>41136</v>
      </c>
      <c r="J187" s="30" t="s">
        <v>5435</v>
      </c>
      <c r="K187" s="30" t="s">
        <v>5563</v>
      </c>
    </row>
    <row r="188" spans="1:11" ht="12.5" x14ac:dyDescent="0.25">
      <c r="A188" s="30" t="s">
        <v>8661</v>
      </c>
      <c r="B188" s="30" t="s">
        <v>8660</v>
      </c>
      <c r="C188" s="32">
        <v>100.12</v>
      </c>
      <c r="D188" s="30">
        <v>1.02</v>
      </c>
      <c r="E188" s="31">
        <v>1.0290000000000001E-2</v>
      </c>
      <c r="F188" s="30">
        <v>14997992320</v>
      </c>
      <c r="G188" s="30" t="s">
        <v>5427</v>
      </c>
      <c r="H188" s="30">
        <v>2001</v>
      </c>
      <c r="I188" s="30">
        <v>847721</v>
      </c>
      <c r="J188" s="30"/>
      <c r="K188" s="30"/>
    </row>
    <row r="189" spans="1:11" ht="12.5" x14ac:dyDescent="0.25">
      <c r="A189" s="30" t="s">
        <v>8659</v>
      </c>
      <c r="B189" s="30" t="s">
        <v>8658</v>
      </c>
      <c r="C189" s="32">
        <v>13.77</v>
      </c>
      <c r="D189" s="30">
        <v>7.0000000000000007E-2</v>
      </c>
      <c r="E189" s="31">
        <v>5.11E-3</v>
      </c>
      <c r="F189" s="30">
        <v>276285590</v>
      </c>
      <c r="G189" s="30" t="s">
        <v>5427</v>
      </c>
      <c r="H189" s="30">
        <v>2012</v>
      </c>
      <c r="I189" s="30">
        <v>63374</v>
      </c>
      <c r="J189" s="30" t="s">
        <v>5435</v>
      </c>
      <c r="K189" s="30" t="s">
        <v>5434</v>
      </c>
    </row>
    <row r="190" spans="1:11" ht="12.5" x14ac:dyDescent="0.25">
      <c r="A190" s="30" t="s">
        <v>8657</v>
      </c>
      <c r="B190" s="30" t="s">
        <v>8656</v>
      </c>
      <c r="C190" s="32">
        <v>13.06</v>
      </c>
      <c r="D190" s="30">
        <v>-0.15</v>
      </c>
      <c r="E190" s="31">
        <v>-1.136E-2</v>
      </c>
      <c r="F190" s="30">
        <v>372175600</v>
      </c>
      <c r="G190" s="30" t="s">
        <v>5427</v>
      </c>
      <c r="H190" s="30">
        <v>2004</v>
      </c>
      <c r="I190" s="30">
        <v>92460</v>
      </c>
      <c r="J190" s="30" t="s">
        <v>5435</v>
      </c>
      <c r="K190" s="30" t="s">
        <v>5568</v>
      </c>
    </row>
    <row r="191" spans="1:11" ht="12.5" x14ac:dyDescent="0.25">
      <c r="A191" s="30" t="s">
        <v>8655</v>
      </c>
      <c r="B191" s="30" t="s">
        <v>8654</v>
      </c>
      <c r="C191" s="32">
        <v>14.51</v>
      </c>
      <c r="D191" s="30">
        <v>0.49</v>
      </c>
      <c r="E191" s="31">
        <v>3.4950000000000002E-2</v>
      </c>
      <c r="F191" s="30">
        <v>1039904769</v>
      </c>
      <c r="G191" s="30" t="s">
        <v>5427</v>
      </c>
      <c r="H191" s="30"/>
      <c r="I191" s="30">
        <v>1984912</v>
      </c>
      <c r="J191" s="30" t="s">
        <v>5541</v>
      </c>
      <c r="K191" s="30" t="s">
        <v>5938</v>
      </c>
    </row>
    <row r="192" spans="1:11" ht="12.5" x14ac:dyDescent="0.25">
      <c r="A192" s="30" t="s">
        <v>8653</v>
      </c>
      <c r="B192" s="30" t="s">
        <v>8652</v>
      </c>
      <c r="C192" s="32">
        <v>14.78</v>
      </c>
      <c r="D192" s="30">
        <v>0.3</v>
      </c>
      <c r="E192" s="31">
        <v>2.0719999999999999E-2</v>
      </c>
      <c r="F192" s="30">
        <v>155187443</v>
      </c>
      <c r="G192" s="30" t="s">
        <v>5427</v>
      </c>
      <c r="H192" s="30"/>
      <c r="I192" s="30">
        <v>16822</v>
      </c>
      <c r="J192" s="30" t="s">
        <v>5442</v>
      </c>
      <c r="K192" s="30" t="s">
        <v>5746</v>
      </c>
    </row>
    <row r="193" spans="1:11" ht="12.5" x14ac:dyDescent="0.25">
      <c r="A193" s="30" t="s">
        <v>8651</v>
      </c>
      <c r="B193" s="30" t="s">
        <v>8650</v>
      </c>
      <c r="C193" s="32">
        <v>11.61</v>
      </c>
      <c r="D193" s="30">
        <v>-7.0000000000000007E-2</v>
      </c>
      <c r="E193" s="31">
        <v>-5.9899999999999997E-3</v>
      </c>
      <c r="F193" s="30">
        <v>259723351</v>
      </c>
      <c r="G193" s="30" t="s">
        <v>5427</v>
      </c>
      <c r="H193" s="30">
        <v>2004</v>
      </c>
      <c r="I193" s="30">
        <v>168097</v>
      </c>
      <c r="J193" s="30" t="s">
        <v>5435</v>
      </c>
      <c r="K193" s="30" t="s">
        <v>5568</v>
      </c>
    </row>
    <row r="194" spans="1:11" ht="12.5" x14ac:dyDescent="0.25">
      <c r="A194" s="30" t="s">
        <v>8649</v>
      </c>
      <c r="B194" s="30" t="s">
        <v>8648</v>
      </c>
      <c r="C194" s="32">
        <v>5.52</v>
      </c>
      <c r="D194" s="30">
        <v>0.01</v>
      </c>
      <c r="E194" s="31">
        <v>1.81E-3</v>
      </c>
      <c r="F194" s="30">
        <v>573239100</v>
      </c>
      <c r="G194" s="30" t="s">
        <v>5427</v>
      </c>
      <c r="H194" s="30">
        <v>2007</v>
      </c>
      <c r="I194" s="30">
        <v>322613</v>
      </c>
      <c r="J194" s="30" t="s">
        <v>5435</v>
      </c>
      <c r="K194" s="30" t="s">
        <v>5568</v>
      </c>
    </row>
    <row r="195" spans="1:11" ht="12.5" x14ac:dyDescent="0.25">
      <c r="A195" s="30" t="s">
        <v>8647</v>
      </c>
      <c r="B195" s="30" t="s">
        <v>8646</v>
      </c>
      <c r="C195" s="32">
        <v>165.15</v>
      </c>
      <c r="D195" s="30">
        <v>2.08</v>
      </c>
      <c r="E195" s="31">
        <v>1.2760000000000001E-2</v>
      </c>
      <c r="F195" s="30">
        <v>512453844</v>
      </c>
      <c r="G195" s="30" t="s">
        <v>5427</v>
      </c>
      <c r="H195" s="30">
        <v>2018</v>
      </c>
      <c r="I195" s="30">
        <v>2194</v>
      </c>
      <c r="J195" s="30" t="s">
        <v>5442</v>
      </c>
      <c r="K195" s="30" t="s">
        <v>5441</v>
      </c>
    </row>
    <row r="196" spans="1:11" ht="12.5" x14ac:dyDescent="0.25">
      <c r="A196" s="30" t="s">
        <v>8645</v>
      </c>
      <c r="B196" s="30" t="s">
        <v>8644</v>
      </c>
      <c r="C196" s="32">
        <v>7.83</v>
      </c>
      <c r="D196" s="30">
        <v>0.13</v>
      </c>
      <c r="E196" s="31">
        <v>1.6879999999999999E-2</v>
      </c>
      <c r="F196" s="30">
        <v>2833427466</v>
      </c>
      <c r="G196" s="30" t="s">
        <v>5515</v>
      </c>
      <c r="H196" s="30"/>
      <c r="I196" s="30">
        <v>6182032</v>
      </c>
      <c r="J196" s="30" t="s">
        <v>5431</v>
      </c>
      <c r="K196" s="30" t="s">
        <v>8643</v>
      </c>
    </row>
    <row r="197" spans="1:11" ht="12.5" x14ac:dyDescent="0.25">
      <c r="A197" s="30" t="s">
        <v>8642</v>
      </c>
      <c r="B197" s="30" t="s">
        <v>8641</v>
      </c>
      <c r="C197" s="32">
        <v>28.66</v>
      </c>
      <c r="D197" s="30">
        <v>0.67</v>
      </c>
      <c r="E197" s="31">
        <v>2.3939999999999999E-2</v>
      </c>
      <c r="F197" s="30">
        <v>1008150637</v>
      </c>
      <c r="G197" s="30" t="s">
        <v>5427</v>
      </c>
      <c r="H197" s="30"/>
      <c r="I197" s="30">
        <v>184102</v>
      </c>
      <c r="J197" s="30" t="s">
        <v>5219</v>
      </c>
      <c r="K197" s="30" t="s">
        <v>5647</v>
      </c>
    </row>
    <row r="198" spans="1:11" ht="12.5" x14ac:dyDescent="0.25">
      <c r="A198" s="30" t="s">
        <v>8640</v>
      </c>
      <c r="B198" s="30" t="s">
        <v>8639</v>
      </c>
      <c r="C198" s="32">
        <v>11.53</v>
      </c>
      <c r="D198" s="30">
        <v>0.1</v>
      </c>
      <c r="E198" s="31">
        <v>8.7500000000000008E-3</v>
      </c>
      <c r="F198" s="30">
        <v>622743394</v>
      </c>
      <c r="G198" s="30" t="s">
        <v>5427</v>
      </c>
      <c r="H198" s="30">
        <v>2001</v>
      </c>
      <c r="I198" s="30">
        <v>229284</v>
      </c>
      <c r="J198" s="30" t="s">
        <v>5435</v>
      </c>
      <c r="K198" s="30" t="s">
        <v>5563</v>
      </c>
    </row>
    <row r="199" spans="1:11" ht="12.5" x14ac:dyDescent="0.25">
      <c r="A199" s="30" t="s">
        <v>8638</v>
      </c>
      <c r="B199" s="30" t="s">
        <v>8637</v>
      </c>
      <c r="C199" s="32">
        <v>30.13</v>
      </c>
      <c r="D199" s="30">
        <v>-0.92</v>
      </c>
      <c r="E199" s="31">
        <v>-2.963E-2</v>
      </c>
      <c r="F199" s="30">
        <v>1337130291</v>
      </c>
      <c r="G199" s="30" t="s">
        <v>5427</v>
      </c>
      <c r="H199" s="30"/>
      <c r="I199" s="30">
        <v>474286</v>
      </c>
      <c r="J199" s="30" t="s">
        <v>5435</v>
      </c>
      <c r="K199" s="30" t="s">
        <v>6556</v>
      </c>
    </row>
    <row r="200" spans="1:11" ht="12.5" x14ac:dyDescent="0.25">
      <c r="A200" s="30" t="s">
        <v>8636</v>
      </c>
      <c r="B200" s="30" t="s">
        <v>8635</v>
      </c>
      <c r="C200" s="32">
        <v>70.099999999999994</v>
      </c>
      <c r="D200" s="30">
        <v>-0.05</v>
      </c>
      <c r="E200" s="31">
        <v>-7.1000000000000002E-4</v>
      </c>
      <c r="F200" s="30">
        <v>177397588647</v>
      </c>
      <c r="G200" s="30" t="s">
        <v>6338</v>
      </c>
      <c r="H200" s="30"/>
      <c r="I200" s="30">
        <v>4551178</v>
      </c>
      <c r="J200" s="30" t="s">
        <v>6250</v>
      </c>
      <c r="K200" s="30" t="s">
        <v>6249</v>
      </c>
    </row>
    <row r="201" spans="1:11" ht="12.5" x14ac:dyDescent="0.25">
      <c r="A201" s="30" t="s">
        <v>8634</v>
      </c>
      <c r="B201" s="30" t="s">
        <v>8633</v>
      </c>
      <c r="C201" s="32">
        <v>5.29</v>
      </c>
      <c r="D201" s="30">
        <v>-0.01</v>
      </c>
      <c r="E201" s="31">
        <v>-1.89E-3</v>
      </c>
      <c r="F201" s="30">
        <v>378004097</v>
      </c>
      <c r="G201" s="30" t="s">
        <v>5427</v>
      </c>
      <c r="H201" s="30">
        <v>2013</v>
      </c>
      <c r="I201" s="30">
        <v>825883</v>
      </c>
      <c r="J201" s="30" t="s">
        <v>5197</v>
      </c>
      <c r="K201" s="30" t="s">
        <v>5467</v>
      </c>
    </row>
    <row r="202" spans="1:11" ht="12.5" x14ac:dyDescent="0.25">
      <c r="A202" s="30" t="s">
        <v>8632</v>
      </c>
      <c r="B202" s="30" t="s">
        <v>8631</v>
      </c>
      <c r="C202" s="32">
        <v>17.41</v>
      </c>
      <c r="D202" s="30">
        <v>1.05</v>
      </c>
      <c r="E202" s="31">
        <v>6.4180000000000001E-2</v>
      </c>
      <c r="F202" s="30">
        <v>504173840</v>
      </c>
      <c r="G202" s="30" t="s">
        <v>5427</v>
      </c>
      <c r="H202" s="30"/>
      <c r="I202" s="30">
        <v>1286922</v>
      </c>
      <c r="J202" s="30" t="s">
        <v>5442</v>
      </c>
      <c r="K202" s="30" t="s">
        <v>5534</v>
      </c>
    </row>
    <row r="203" spans="1:11" ht="12.5" x14ac:dyDescent="0.25">
      <c r="A203" s="30" t="s">
        <v>8630</v>
      </c>
      <c r="B203" s="30" t="s">
        <v>8629</v>
      </c>
      <c r="C203" s="32">
        <v>473.42</v>
      </c>
      <c r="D203" s="30">
        <v>5.96</v>
      </c>
      <c r="E203" s="31">
        <v>1.2749999999999999E-2</v>
      </c>
      <c r="F203" s="30">
        <v>14119339625</v>
      </c>
      <c r="G203" s="30" t="s">
        <v>5427</v>
      </c>
      <c r="H203" s="30">
        <v>1980</v>
      </c>
      <c r="I203" s="30">
        <v>164129</v>
      </c>
      <c r="J203" s="30" t="s">
        <v>5457</v>
      </c>
      <c r="K203" s="30" t="s">
        <v>5921</v>
      </c>
    </row>
    <row r="204" spans="1:11" ht="12.5" x14ac:dyDescent="0.25">
      <c r="A204" s="30" t="s">
        <v>8628</v>
      </c>
      <c r="B204" s="30" t="s">
        <v>8627</v>
      </c>
      <c r="C204" s="32">
        <v>74.459999999999994</v>
      </c>
      <c r="D204" s="30">
        <v>1.99</v>
      </c>
      <c r="E204" s="31">
        <v>2.7459999999999998E-2</v>
      </c>
      <c r="F204" s="30">
        <v>10009975670</v>
      </c>
      <c r="G204" s="30" t="s">
        <v>5427</v>
      </c>
      <c r="H204" s="30">
        <v>2018</v>
      </c>
      <c r="I204" s="30">
        <v>1614533</v>
      </c>
      <c r="J204" s="30" t="s">
        <v>5442</v>
      </c>
      <c r="K204" s="30" t="s">
        <v>5534</v>
      </c>
    </row>
    <row r="205" spans="1:11" ht="12.5" x14ac:dyDescent="0.25">
      <c r="A205" s="30" t="s">
        <v>8626</v>
      </c>
      <c r="B205" s="30" t="s">
        <v>8625</v>
      </c>
      <c r="C205" s="32">
        <v>50.8</v>
      </c>
      <c r="D205" s="30">
        <v>0.23</v>
      </c>
      <c r="E205" s="31">
        <v>4.5500000000000002E-3</v>
      </c>
      <c r="F205" s="30">
        <v>41069006000</v>
      </c>
      <c r="G205" s="30" t="s">
        <v>5427</v>
      </c>
      <c r="H205" s="30"/>
      <c r="I205" s="30">
        <v>6485444</v>
      </c>
      <c r="J205" s="30" t="s">
        <v>5435</v>
      </c>
      <c r="K205" s="30" t="s">
        <v>5434</v>
      </c>
    </row>
    <row r="206" spans="1:11" ht="12.5" x14ac:dyDescent="0.25">
      <c r="A206" s="30" t="s">
        <v>8624</v>
      </c>
      <c r="B206" s="30" t="s">
        <v>8623</v>
      </c>
      <c r="C206" s="32">
        <v>2.91</v>
      </c>
      <c r="D206" s="30">
        <v>0.03</v>
      </c>
      <c r="E206" s="31">
        <v>1.042E-2</v>
      </c>
      <c r="F206" s="30">
        <v>543604049</v>
      </c>
      <c r="G206" s="30" t="s">
        <v>5427</v>
      </c>
      <c r="H206" s="30">
        <v>2005</v>
      </c>
      <c r="I206" s="30">
        <v>1713276</v>
      </c>
      <c r="J206" s="30" t="s">
        <v>5431</v>
      </c>
      <c r="K206" s="30" t="s">
        <v>5785</v>
      </c>
    </row>
    <row r="207" spans="1:11" ht="12.5" x14ac:dyDescent="0.25">
      <c r="A207" s="30" t="s">
        <v>5047</v>
      </c>
      <c r="B207" s="30" t="s">
        <v>8622</v>
      </c>
      <c r="C207" s="32">
        <v>44.11</v>
      </c>
      <c r="D207" s="30">
        <v>0.11</v>
      </c>
      <c r="E207" s="31">
        <v>2.5000000000000001E-3</v>
      </c>
      <c r="F207" s="30">
        <v>2209552209</v>
      </c>
      <c r="G207" s="30" t="s">
        <v>5427</v>
      </c>
      <c r="H207" s="30"/>
      <c r="I207" s="30">
        <v>560981</v>
      </c>
      <c r="J207" s="30" t="s">
        <v>5442</v>
      </c>
      <c r="K207" s="30" t="s">
        <v>7318</v>
      </c>
    </row>
    <row r="208" spans="1:11" ht="12.5" x14ac:dyDescent="0.25">
      <c r="A208" s="30" t="s">
        <v>8621</v>
      </c>
      <c r="B208" s="30" t="s">
        <v>8620</v>
      </c>
      <c r="C208" s="32">
        <v>72.47</v>
      </c>
      <c r="D208" s="30">
        <v>0.09</v>
      </c>
      <c r="E208" s="31">
        <v>1.24E-3</v>
      </c>
      <c r="F208" s="30">
        <v>4716221430</v>
      </c>
      <c r="G208" s="30" t="s">
        <v>5427</v>
      </c>
      <c r="H208" s="30"/>
      <c r="I208" s="30">
        <v>471809</v>
      </c>
      <c r="J208" s="30" t="s">
        <v>5426</v>
      </c>
      <c r="K208" s="30" t="s">
        <v>6000</v>
      </c>
    </row>
    <row r="209" spans="1:11" ht="12.5" x14ac:dyDescent="0.25">
      <c r="A209" s="30" t="s">
        <v>8619</v>
      </c>
      <c r="B209" s="30" t="s">
        <v>8618</v>
      </c>
      <c r="C209" s="32">
        <v>1.64</v>
      </c>
      <c r="D209" s="30">
        <v>7.0000000000000007E-2</v>
      </c>
      <c r="E209" s="31">
        <v>4.4589999999999998E-2</v>
      </c>
      <c r="F209" s="30">
        <v>128892335</v>
      </c>
      <c r="G209" s="30" t="s">
        <v>5427</v>
      </c>
      <c r="H209" s="30"/>
      <c r="I209" s="30">
        <v>2892299</v>
      </c>
      <c r="J209" s="30" t="s">
        <v>5219</v>
      </c>
      <c r="K209" s="30" t="s">
        <v>5560</v>
      </c>
    </row>
    <row r="210" spans="1:11" ht="12.5" x14ac:dyDescent="0.25">
      <c r="A210" s="30" t="s">
        <v>8617</v>
      </c>
      <c r="B210" s="30" t="s">
        <v>8616</v>
      </c>
      <c r="C210" s="32">
        <v>12.55</v>
      </c>
      <c r="D210" s="30">
        <v>0.21</v>
      </c>
      <c r="E210" s="31">
        <v>1.702E-2</v>
      </c>
      <c r="F210" s="30">
        <v>220764302</v>
      </c>
      <c r="G210" s="30" t="s">
        <v>5427</v>
      </c>
      <c r="H210" s="30">
        <v>1993</v>
      </c>
      <c r="I210" s="30">
        <v>106041</v>
      </c>
      <c r="J210" s="30" t="s">
        <v>5435</v>
      </c>
      <c r="K210" s="30" t="s">
        <v>5568</v>
      </c>
    </row>
    <row r="211" spans="1:11" ht="12.5" x14ac:dyDescent="0.25">
      <c r="A211" s="30" t="s">
        <v>8615</v>
      </c>
      <c r="B211" s="30" t="s">
        <v>8614</v>
      </c>
      <c r="C211" s="32">
        <v>13.18</v>
      </c>
      <c r="D211" s="30">
        <v>0.04</v>
      </c>
      <c r="E211" s="31">
        <v>3.0400000000000002E-3</v>
      </c>
      <c r="F211" s="30">
        <v>280790384</v>
      </c>
      <c r="G211" s="30" t="s">
        <v>5427</v>
      </c>
      <c r="H211" s="30"/>
      <c r="I211" s="30">
        <v>93384</v>
      </c>
      <c r="J211" s="30" t="s">
        <v>5435</v>
      </c>
      <c r="K211" s="30" t="s">
        <v>5568</v>
      </c>
    </row>
    <row r="212" spans="1:11" ht="12.5" x14ac:dyDescent="0.25">
      <c r="A212" s="30" t="s">
        <v>8613</v>
      </c>
      <c r="B212" s="30" t="s">
        <v>8612</v>
      </c>
      <c r="C212" s="32">
        <v>38.26</v>
      </c>
      <c r="D212" s="30">
        <v>0.62</v>
      </c>
      <c r="E212" s="31">
        <v>1.6469999999999999E-2</v>
      </c>
      <c r="F212" s="30">
        <v>2895309699</v>
      </c>
      <c r="G212" s="30" t="s">
        <v>5427</v>
      </c>
      <c r="H212" s="30">
        <v>2011</v>
      </c>
      <c r="I212" s="30">
        <v>741898</v>
      </c>
      <c r="J212" s="30" t="s">
        <v>5435</v>
      </c>
      <c r="K212" s="30" t="s">
        <v>6556</v>
      </c>
    </row>
    <row r="213" spans="1:11" ht="12.5" x14ac:dyDescent="0.25">
      <c r="A213" s="30" t="s">
        <v>8611</v>
      </c>
      <c r="B213" s="30" t="s">
        <v>8610</v>
      </c>
      <c r="C213" s="32">
        <v>204.35</v>
      </c>
      <c r="D213" s="30">
        <v>4.29</v>
      </c>
      <c r="E213" s="31">
        <v>2.1440000000000001E-2</v>
      </c>
      <c r="F213" s="30">
        <v>6533546044</v>
      </c>
      <c r="G213" s="30" t="s">
        <v>5427</v>
      </c>
      <c r="H213" s="30">
        <v>2015</v>
      </c>
      <c r="I213" s="30">
        <v>342480</v>
      </c>
      <c r="J213" s="30" t="s">
        <v>5457</v>
      </c>
      <c r="K213" s="30" t="s">
        <v>5903</v>
      </c>
    </row>
    <row r="214" spans="1:11" ht="12.5" x14ac:dyDescent="0.25">
      <c r="A214" s="30" t="s">
        <v>8609</v>
      </c>
      <c r="B214" s="30" t="s">
        <v>8608</v>
      </c>
      <c r="C214" s="32">
        <v>81.540000000000006</v>
      </c>
      <c r="D214" s="30">
        <v>1.84</v>
      </c>
      <c r="E214" s="31">
        <v>2.3089999999999999E-2</v>
      </c>
      <c r="F214" s="30">
        <v>12000706904</v>
      </c>
      <c r="G214" s="30" t="s">
        <v>5427</v>
      </c>
      <c r="H214" s="30">
        <v>2005</v>
      </c>
      <c r="I214" s="30">
        <v>1780123</v>
      </c>
      <c r="J214" s="30" t="s">
        <v>5442</v>
      </c>
      <c r="K214" s="30" t="s">
        <v>7167</v>
      </c>
    </row>
    <row r="215" spans="1:11" ht="12.5" x14ac:dyDescent="0.25">
      <c r="A215" s="30" t="s">
        <v>8607</v>
      </c>
      <c r="B215" s="30" t="s">
        <v>8606</v>
      </c>
      <c r="C215" s="32">
        <v>11.06</v>
      </c>
      <c r="D215" s="30">
        <v>7.0000000000000007E-2</v>
      </c>
      <c r="E215" s="31">
        <v>6.3699999999999998E-3</v>
      </c>
      <c r="F215" s="30">
        <v>540354704</v>
      </c>
      <c r="G215" s="30" t="s">
        <v>5427</v>
      </c>
      <c r="H215" s="30">
        <v>2002</v>
      </c>
      <c r="I215" s="30">
        <v>288843</v>
      </c>
      <c r="J215" s="30" t="s">
        <v>5435</v>
      </c>
      <c r="K215" s="30" t="s">
        <v>5985</v>
      </c>
    </row>
    <row r="216" spans="1:11" ht="12.5" x14ac:dyDescent="0.25">
      <c r="A216" s="30" t="s">
        <v>8605</v>
      </c>
      <c r="B216" s="30" t="s">
        <v>8604</v>
      </c>
      <c r="C216" s="32">
        <v>762.63</v>
      </c>
      <c r="D216" s="30">
        <v>3.42</v>
      </c>
      <c r="E216" s="31">
        <v>4.4999999999999997E-3</v>
      </c>
      <c r="F216" s="30">
        <v>114208793494</v>
      </c>
      <c r="G216" s="30" t="s">
        <v>5427</v>
      </c>
      <c r="H216" s="30">
        <v>1999</v>
      </c>
      <c r="I216" s="30">
        <v>702181</v>
      </c>
      <c r="J216" s="30" t="s">
        <v>5435</v>
      </c>
      <c r="K216" s="30" t="s">
        <v>6221</v>
      </c>
    </row>
    <row r="217" spans="1:11" ht="12.5" x14ac:dyDescent="0.25">
      <c r="A217" s="30" t="s">
        <v>8603</v>
      </c>
      <c r="B217" s="30" t="s">
        <v>8602</v>
      </c>
      <c r="C217" s="32">
        <v>13.93</v>
      </c>
      <c r="D217" s="30">
        <v>0</v>
      </c>
      <c r="E217" s="31">
        <v>0</v>
      </c>
      <c r="F217" s="30">
        <v>497457754</v>
      </c>
      <c r="G217" s="30" t="s">
        <v>5427</v>
      </c>
      <c r="H217" s="30">
        <v>2003</v>
      </c>
      <c r="I217" s="30">
        <v>104406</v>
      </c>
      <c r="J217" s="30" t="s">
        <v>5435</v>
      </c>
      <c r="K217" s="30" t="s">
        <v>5568</v>
      </c>
    </row>
    <row r="218" spans="1:11" ht="12.5" x14ac:dyDescent="0.25">
      <c r="A218" s="30" t="s">
        <v>8601</v>
      </c>
      <c r="B218" s="30" t="s">
        <v>8600</v>
      </c>
      <c r="C218" s="32">
        <v>43.68</v>
      </c>
      <c r="D218" s="30">
        <v>0.12</v>
      </c>
      <c r="E218" s="31">
        <v>2.7499999999999998E-3</v>
      </c>
      <c r="F218" s="30">
        <v>582386226</v>
      </c>
      <c r="G218" s="30" t="s">
        <v>5427</v>
      </c>
      <c r="H218" s="30">
        <v>2005</v>
      </c>
      <c r="I218" s="30">
        <v>22616</v>
      </c>
      <c r="J218" s="30" t="s">
        <v>5435</v>
      </c>
      <c r="K218" s="30" t="s">
        <v>5568</v>
      </c>
    </row>
    <row r="219" spans="1:11" ht="12.5" x14ac:dyDescent="0.25">
      <c r="A219" s="30" t="s">
        <v>8599</v>
      </c>
      <c r="B219" s="30" t="s">
        <v>8598</v>
      </c>
      <c r="C219" s="32">
        <v>119.03</v>
      </c>
      <c r="D219" s="30">
        <v>3.13</v>
      </c>
      <c r="E219" s="31">
        <v>2.7009999999999999E-2</v>
      </c>
      <c r="F219" s="30">
        <v>3483906805</v>
      </c>
      <c r="G219" s="30" t="s">
        <v>5427</v>
      </c>
      <c r="H219" s="30">
        <v>1971</v>
      </c>
      <c r="I219" s="30">
        <v>132339</v>
      </c>
      <c r="J219" s="30" t="s">
        <v>5457</v>
      </c>
      <c r="K219" s="30" t="s">
        <v>5644</v>
      </c>
    </row>
    <row r="220" spans="1:11" ht="12.5" x14ac:dyDescent="0.25">
      <c r="A220" s="30" t="s">
        <v>8597</v>
      </c>
      <c r="B220" s="30" t="s">
        <v>8596</v>
      </c>
      <c r="C220" s="32">
        <v>100.68</v>
      </c>
      <c r="D220" s="30">
        <v>0.04</v>
      </c>
      <c r="E220" s="31">
        <v>4.0000000000000002E-4</v>
      </c>
      <c r="F220" s="30">
        <v>70808139796</v>
      </c>
      <c r="G220" s="30" t="s">
        <v>5515</v>
      </c>
      <c r="H220" s="30"/>
      <c r="I220" s="30">
        <v>577891</v>
      </c>
      <c r="J220" s="30"/>
      <c r="K220" s="30"/>
    </row>
    <row r="221" spans="1:11" ht="12.5" x14ac:dyDescent="0.25">
      <c r="A221" s="30" t="s">
        <v>8595</v>
      </c>
      <c r="B221" s="30" t="s">
        <v>8594</v>
      </c>
      <c r="C221" s="32">
        <v>71.23</v>
      </c>
      <c r="D221" s="30">
        <v>-1.42</v>
      </c>
      <c r="E221" s="31">
        <v>-1.9550000000000001E-2</v>
      </c>
      <c r="F221" s="30">
        <v>151446401517</v>
      </c>
      <c r="G221" s="30" t="s">
        <v>5427</v>
      </c>
      <c r="H221" s="30"/>
      <c r="I221" s="30">
        <v>10725621</v>
      </c>
      <c r="J221" s="30" t="s">
        <v>5431</v>
      </c>
      <c r="K221" s="30" t="s">
        <v>5430</v>
      </c>
    </row>
    <row r="222" spans="1:11" ht="12.5" x14ac:dyDescent="0.25">
      <c r="A222" s="30" t="s">
        <v>8593</v>
      </c>
      <c r="B222" s="30" t="s">
        <v>8592</v>
      </c>
      <c r="C222" s="32">
        <v>37.049999999999997</v>
      </c>
      <c r="D222" s="30">
        <v>-0.15</v>
      </c>
      <c r="E222" s="31">
        <v>-4.0299999999999997E-3</v>
      </c>
      <c r="F222" s="30">
        <v>75067988566</v>
      </c>
      <c r="G222" s="30" t="s">
        <v>5515</v>
      </c>
      <c r="H222" s="30">
        <v>1925</v>
      </c>
      <c r="I222" s="30">
        <v>6325759</v>
      </c>
      <c r="J222" s="30" t="s">
        <v>5442</v>
      </c>
      <c r="K222" s="30" t="s">
        <v>5914</v>
      </c>
    </row>
    <row r="223" spans="1:11" ht="12.5" x14ac:dyDescent="0.25">
      <c r="A223" s="30" t="s">
        <v>8591</v>
      </c>
      <c r="B223" s="30" t="s">
        <v>8590</v>
      </c>
      <c r="C223" s="32">
        <v>2.2999999999999998</v>
      </c>
      <c r="D223" s="30">
        <v>-0.01</v>
      </c>
      <c r="E223" s="31">
        <v>-4.3299999999999996E-3</v>
      </c>
      <c r="F223" s="30">
        <v>120977235</v>
      </c>
      <c r="G223" s="30" t="s">
        <v>5427</v>
      </c>
      <c r="H223" s="30">
        <v>2015</v>
      </c>
      <c r="I223" s="30">
        <v>171223</v>
      </c>
      <c r="J223" s="30" t="s">
        <v>5442</v>
      </c>
      <c r="K223" s="30" t="s">
        <v>5508</v>
      </c>
    </row>
    <row r="224" spans="1:11" ht="12.5" x14ac:dyDescent="0.25">
      <c r="A224" s="30" t="s">
        <v>8589</v>
      </c>
      <c r="B224" s="30" t="s">
        <v>8588</v>
      </c>
      <c r="C224" s="32">
        <v>18.04</v>
      </c>
      <c r="D224" s="30">
        <v>-7.0000000000000007E-2</v>
      </c>
      <c r="E224" s="31">
        <v>-3.8700000000000002E-3</v>
      </c>
      <c r="F224" s="30">
        <v>3357513680</v>
      </c>
      <c r="G224" s="30" t="s">
        <v>5427</v>
      </c>
      <c r="H224" s="30">
        <v>2020</v>
      </c>
      <c r="I224" s="30">
        <v>654100</v>
      </c>
      <c r="J224" s="30" t="s">
        <v>5197</v>
      </c>
      <c r="K224" s="30" t="s">
        <v>5467</v>
      </c>
    </row>
    <row r="225" spans="1:11" ht="12.5" x14ac:dyDescent="0.25">
      <c r="A225" s="30" t="s">
        <v>8587</v>
      </c>
      <c r="B225" s="30" t="s">
        <v>8586</v>
      </c>
      <c r="C225" s="32">
        <v>54.44</v>
      </c>
      <c r="D225" s="30">
        <v>0.31</v>
      </c>
      <c r="E225" s="31">
        <v>5.7299999999999999E-3</v>
      </c>
      <c r="F225" s="30">
        <v>64858509440</v>
      </c>
      <c r="G225" s="30" t="s">
        <v>5515</v>
      </c>
      <c r="H225" s="30"/>
      <c r="I225" s="30">
        <v>1537154</v>
      </c>
      <c r="J225" s="30"/>
      <c r="K225" s="30"/>
    </row>
    <row r="226" spans="1:11" ht="12.5" x14ac:dyDescent="0.25">
      <c r="A226" s="30" t="s">
        <v>8585</v>
      </c>
      <c r="B226" s="30" t="s">
        <v>8584</v>
      </c>
      <c r="C226" s="32">
        <v>11.23</v>
      </c>
      <c r="D226" s="30">
        <v>0.06</v>
      </c>
      <c r="E226" s="31">
        <v>5.3699999999999998E-3</v>
      </c>
      <c r="F226" s="30">
        <v>276680798</v>
      </c>
      <c r="G226" s="30" t="s">
        <v>5427</v>
      </c>
      <c r="H226" s="30"/>
      <c r="I226" s="30">
        <v>38875</v>
      </c>
      <c r="J226" s="30" t="s">
        <v>5435</v>
      </c>
      <c r="K226" s="30" t="s">
        <v>5568</v>
      </c>
    </row>
    <row r="227" spans="1:11" ht="12.5" x14ac:dyDescent="0.25">
      <c r="A227" s="30" t="s">
        <v>8583</v>
      </c>
      <c r="B227" s="30" t="s">
        <v>8582</v>
      </c>
      <c r="C227" s="32">
        <v>9.86</v>
      </c>
      <c r="D227" s="30">
        <v>0</v>
      </c>
      <c r="E227" s="31">
        <v>0</v>
      </c>
      <c r="F227" s="30">
        <v>222707288</v>
      </c>
      <c r="G227" s="30" t="s">
        <v>5427</v>
      </c>
      <c r="H227" s="30">
        <v>2020</v>
      </c>
      <c r="I227" s="30">
        <v>13357</v>
      </c>
      <c r="J227" s="30" t="s">
        <v>5435</v>
      </c>
      <c r="K227" s="30" t="s">
        <v>5482</v>
      </c>
    </row>
    <row r="228" spans="1:11" ht="12.5" x14ac:dyDescent="0.25">
      <c r="A228" s="30" t="s">
        <v>8581</v>
      </c>
      <c r="B228" s="30" t="s">
        <v>8580</v>
      </c>
      <c r="C228" s="32">
        <v>26.87</v>
      </c>
      <c r="D228" s="30">
        <v>0.42</v>
      </c>
      <c r="E228" s="31">
        <v>1.5879999999999998E-2</v>
      </c>
      <c r="F228" s="30">
        <v>797994960</v>
      </c>
      <c r="G228" s="30" t="s">
        <v>5427</v>
      </c>
      <c r="H228" s="30">
        <v>2022</v>
      </c>
      <c r="I228" s="30">
        <v>363554</v>
      </c>
      <c r="J228" s="30" t="s">
        <v>5442</v>
      </c>
      <c r="K228" s="30" t="s">
        <v>5856</v>
      </c>
    </row>
    <row r="229" spans="1:11" ht="12.5" x14ac:dyDescent="0.25">
      <c r="A229" s="30" t="s">
        <v>8579</v>
      </c>
      <c r="B229" s="30" t="s">
        <v>8578</v>
      </c>
      <c r="C229" s="32">
        <v>0.66210000000000002</v>
      </c>
      <c r="D229" s="30">
        <v>4.0899999999999999E-2</v>
      </c>
      <c r="E229" s="31">
        <v>6.5839999999999996E-2</v>
      </c>
      <c r="F229" s="30">
        <v>216834745</v>
      </c>
      <c r="G229" s="30" t="s">
        <v>5427</v>
      </c>
      <c r="H229" s="30">
        <v>2021</v>
      </c>
      <c r="I229" s="30">
        <v>639594</v>
      </c>
      <c r="J229" s="30" t="s">
        <v>5457</v>
      </c>
      <c r="K229" s="30" t="s">
        <v>5644</v>
      </c>
    </row>
    <row r="230" spans="1:11" ht="12.5" x14ac:dyDescent="0.25">
      <c r="A230" s="30" t="s">
        <v>8577</v>
      </c>
      <c r="B230" s="30" t="s">
        <v>8576</v>
      </c>
      <c r="C230" s="32">
        <v>10.53</v>
      </c>
      <c r="D230" s="30">
        <v>0.09</v>
      </c>
      <c r="E230" s="31">
        <v>8.6199999999999992E-3</v>
      </c>
      <c r="F230" s="30">
        <v>669042873</v>
      </c>
      <c r="G230" s="30" t="s">
        <v>5427</v>
      </c>
      <c r="H230" s="30">
        <v>2005</v>
      </c>
      <c r="I230" s="30">
        <v>251591</v>
      </c>
      <c r="J230" s="30" t="s">
        <v>5435</v>
      </c>
      <c r="K230" s="30" t="s">
        <v>5568</v>
      </c>
    </row>
    <row r="231" spans="1:11" ht="12.5" x14ac:dyDescent="0.25">
      <c r="A231" s="30" t="s">
        <v>8575</v>
      </c>
      <c r="B231" s="30" t="s">
        <v>8574</v>
      </c>
      <c r="C231" s="32">
        <v>76.88</v>
      </c>
      <c r="D231" s="30">
        <v>0.39</v>
      </c>
      <c r="E231" s="31">
        <v>5.1000000000000004E-3</v>
      </c>
      <c r="F231" s="30">
        <v>3062572460</v>
      </c>
      <c r="G231" s="30" t="s">
        <v>5427</v>
      </c>
      <c r="H231" s="30"/>
      <c r="I231" s="30">
        <v>241627</v>
      </c>
      <c r="J231" s="30" t="s">
        <v>5435</v>
      </c>
      <c r="K231" s="30" t="s">
        <v>5579</v>
      </c>
    </row>
    <row r="232" spans="1:11" ht="12.5" x14ac:dyDescent="0.25">
      <c r="A232" s="30" t="s">
        <v>8573</v>
      </c>
      <c r="B232" s="30" t="s">
        <v>8572</v>
      </c>
      <c r="C232" s="32">
        <v>86.12</v>
      </c>
      <c r="D232" s="30">
        <v>2.63</v>
      </c>
      <c r="E232" s="31">
        <v>3.15E-2</v>
      </c>
      <c r="F232" s="30">
        <v>2567674173</v>
      </c>
      <c r="G232" s="30" t="s">
        <v>5427</v>
      </c>
      <c r="H232" s="30">
        <v>2014</v>
      </c>
      <c r="I232" s="30">
        <v>590313</v>
      </c>
      <c r="J232" s="30" t="s">
        <v>5442</v>
      </c>
      <c r="K232" s="30" t="s">
        <v>7318</v>
      </c>
    </row>
    <row r="233" spans="1:11" ht="12.5" x14ac:dyDescent="0.25">
      <c r="A233" s="30" t="s">
        <v>8571</v>
      </c>
      <c r="B233" s="30" t="s">
        <v>8570</v>
      </c>
      <c r="C233" s="32">
        <v>13.9</v>
      </c>
      <c r="D233" s="30">
        <v>0.15</v>
      </c>
      <c r="E233" s="31">
        <v>1.091E-2</v>
      </c>
      <c r="F233" s="30">
        <v>2304271749</v>
      </c>
      <c r="G233" s="30" t="s">
        <v>5427</v>
      </c>
      <c r="H233" s="30">
        <v>2021</v>
      </c>
      <c r="I233" s="30">
        <v>452528</v>
      </c>
      <c r="J233" s="30" t="s">
        <v>5442</v>
      </c>
      <c r="K233" s="30" t="s">
        <v>5450</v>
      </c>
    </row>
    <row r="234" spans="1:11" ht="12.5" x14ac:dyDescent="0.25">
      <c r="A234" s="30" t="s">
        <v>8569</v>
      </c>
      <c r="B234" s="30" t="s">
        <v>8568</v>
      </c>
      <c r="C234" s="32">
        <v>33</v>
      </c>
      <c r="D234" s="30">
        <v>1.01</v>
      </c>
      <c r="E234" s="31">
        <v>3.1570000000000001E-2</v>
      </c>
      <c r="F234" s="30">
        <v>4716188697</v>
      </c>
      <c r="G234" s="30" t="s">
        <v>5427</v>
      </c>
      <c r="H234" s="30">
        <v>2015</v>
      </c>
      <c r="I234" s="30">
        <v>1824206</v>
      </c>
      <c r="J234" s="30" t="s">
        <v>5219</v>
      </c>
      <c r="K234" s="30" t="s">
        <v>5560</v>
      </c>
    </row>
    <row r="235" spans="1:11" ht="12.5" x14ac:dyDescent="0.25">
      <c r="A235" s="30" t="s">
        <v>8567</v>
      </c>
      <c r="B235" s="30" t="s">
        <v>8566</v>
      </c>
      <c r="C235" s="32">
        <v>36.44</v>
      </c>
      <c r="D235" s="30">
        <v>0.21</v>
      </c>
      <c r="E235" s="31">
        <v>5.7999999999999996E-3</v>
      </c>
      <c r="F235" s="30">
        <v>109867480937</v>
      </c>
      <c r="G235" s="30" t="s">
        <v>5775</v>
      </c>
      <c r="H235" s="30"/>
      <c r="I235" s="30">
        <v>10630423</v>
      </c>
      <c r="J235" s="30" t="s">
        <v>5464</v>
      </c>
      <c r="K235" s="30" t="s">
        <v>5674</v>
      </c>
    </row>
    <row r="236" spans="1:11" ht="12.5" x14ac:dyDescent="0.25">
      <c r="A236" s="30" t="s">
        <v>8565</v>
      </c>
      <c r="B236" s="30" t="s">
        <v>8564</v>
      </c>
      <c r="C236" s="32">
        <v>12.19</v>
      </c>
      <c r="D236" s="30">
        <v>-0.06</v>
      </c>
      <c r="E236" s="31">
        <v>-4.8999999999999998E-3</v>
      </c>
      <c r="F236" s="30">
        <v>260866000</v>
      </c>
      <c r="G236" s="30" t="s">
        <v>5427</v>
      </c>
      <c r="H236" s="30"/>
      <c r="I236" s="30">
        <v>218634</v>
      </c>
      <c r="J236" s="30" t="s">
        <v>5464</v>
      </c>
      <c r="K236" s="30" t="s">
        <v>5674</v>
      </c>
    </row>
    <row r="237" spans="1:11" ht="12.5" x14ac:dyDescent="0.25">
      <c r="A237" s="30" t="s">
        <v>8563</v>
      </c>
      <c r="B237" s="30" t="s">
        <v>8562</v>
      </c>
      <c r="C237" s="32">
        <v>153.38</v>
      </c>
      <c r="D237" s="30">
        <v>3.02</v>
      </c>
      <c r="E237" s="31">
        <v>2.009E-2</v>
      </c>
      <c r="F237" s="30">
        <v>18045973442</v>
      </c>
      <c r="G237" s="30" t="s">
        <v>5427</v>
      </c>
      <c r="H237" s="30"/>
      <c r="I237" s="30">
        <v>749185</v>
      </c>
      <c r="J237" s="30" t="s">
        <v>5442</v>
      </c>
      <c r="K237" s="30" t="s">
        <v>5482</v>
      </c>
    </row>
    <row r="238" spans="1:11" ht="12.5" x14ac:dyDescent="0.25">
      <c r="A238" s="30" t="s">
        <v>8561</v>
      </c>
      <c r="B238" s="30" t="s">
        <v>8560</v>
      </c>
      <c r="C238" s="32">
        <v>28.94</v>
      </c>
      <c r="D238" s="30">
        <v>0.57999999999999996</v>
      </c>
      <c r="E238" s="31">
        <v>2.0449999999999999E-2</v>
      </c>
      <c r="F238" s="30">
        <v>3890280510</v>
      </c>
      <c r="G238" s="30" t="s">
        <v>5427</v>
      </c>
      <c r="H238" s="30">
        <v>2022</v>
      </c>
      <c r="I238" s="30">
        <v>1031857</v>
      </c>
      <c r="J238" s="30" t="s">
        <v>5541</v>
      </c>
      <c r="K238" s="30" t="s">
        <v>5997</v>
      </c>
    </row>
    <row r="239" spans="1:11" ht="12.5" x14ac:dyDescent="0.25">
      <c r="A239" s="30" t="s">
        <v>8559</v>
      </c>
      <c r="B239" s="30" t="s">
        <v>8558</v>
      </c>
      <c r="C239" s="32">
        <v>55.22</v>
      </c>
      <c r="D239" s="30">
        <v>1.75</v>
      </c>
      <c r="E239" s="31">
        <v>3.2730000000000002E-2</v>
      </c>
      <c r="F239" s="30">
        <v>2746608011</v>
      </c>
      <c r="G239" s="30" t="s">
        <v>5427</v>
      </c>
      <c r="H239" s="30"/>
      <c r="I239" s="30">
        <v>234531</v>
      </c>
      <c r="J239" s="30" t="s">
        <v>5219</v>
      </c>
      <c r="K239" s="30" t="s">
        <v>6786</v>
      </c>
    </row>
    <row r="240" spans="1:11" ht="12.5" x14ac:dyDescent="0.25">
      <c r="A240" s="30" t="s">
        <v>8557</v>
      </c>
      <c r="B240" s="30" t="s">
        <v>8555</v>
      </c>
      <c r="C240" s="32">
        <v>470605.995</v>
      </c>
      <c r="D240" s="30">
        <v>-2393.9050000000002</v>
      </c>
      <c r="E240" s="31">
        <v>-5.0600000000000003E-3</v>
      </c>
      <c r="F240" s="30">
        <v>692202122290</v>
      </c>
      <c r="G240" s="30" t="s">
        <v>5427</v>
      </c>
      <c r="H240" s="30"/>
      <c r="I240" s="30">
        <v>4419</v>
      </c>
      <c r="J240" s="30"/>
      <c r="K240" s="30"/>
    </row>
    <row r="241" spans="1:11" ht="12.5" x14ac:dyDescent="0.25">
      <c r="A241" s="30" t="s">
        <v>8556</v>
      </c>
      <c r="B241" s="30" t="s">
        <v>8555</v>
      </c>
      <c r="C241" s="32">
        <v>310.57</v>
      </c>
      <c r="D241" s="30">
        <v>-0.95</v>
      </c>
      <c r="E241" s="31">
        <v>-3.0500000000000002E-3</v>
      </c>
      <c r="F241" s="30">
        <v>685214122491</v>
      </c>
      <c r="G241" s="30" t="s">
        <v>5427</v>
      </c>
      <c r="H241" s="30"/>
      <c r="I241" s="30">
        <v>3518177</v>
      </c>
      <c r="J241" s="30"/>
      <c r="K241" s="30"/>
    </row>
    <row r="242" spans="1:11" ht="12.5" x14ac:dyDescent="0.25">
      <c r="A242" s="30" t="s">
        <v>8554</v>
      </c>
      <c r="B242" s="30" t="s">
        <v>8553</v>
      </c>
      <c r="C242" s="32">
        <v>4.4800000000000004</v>
      </c>
      <c r="D242" s="30">
        <v>0.1</v>
      </c>
      <c r="E242" s="31">
        <v>2.283E-2</v>
      </c>
      <c r="F242" s="30">
        <v>595490896</v>
      </c>
      <c r="G242" s="30" t="s">
        <v>5427</v>
      </c>
      <c r="H242" s="30">
        <v>2019</v>
      </c>
      <c r="I242" s="30">
        <v>1320728</v>
      </c>
      <c r="J242" s="30" t="s">
        <v>5197</v>
      </c>
      <c r="K242" s="30" t="s">
        <v>5467</v>
      </c>
    </row>
    <row r="243" spans="1:11" ht="12.5" x14ac:dyDescent="0.25">
      <c r="A243" s="30" t="s">
        <v>8552</v>
      </c>
      <c r="B243" s="30" t="s">
        <v>8551</v>
      </c>
      <c r="C243" s="32">
        <v>58.4</v>
      </c>
      <c r="D243" s="30">
        <v>-0.16</v>
      </c>
      <c r="E243" s="31">
        <v>-2.7299999999999998E-3</v>
      </c>
      <c r="F243" s="30">
        <v>16538880000</v>
      </c>
      <c r="G243" s="30" t="s">
        <v>5427</v>
      </c>
      <c r="H243" s="30"/>
      <c r="I243" s="30">
        <v>1467987</v>
      </c>
      <c r="J243" s="30" t="s">
        <v>5435</v>
      </c>
      <c r="K243" s="30" t="s">
        <v>6066</v>
      </c>
    </row>
    <row r="244" spans="1:11" ht="12.5" x14ac:dyDescent="0.25">
      <c r="A244" s="30" t="s">
        <v>8550</v>
      </c>
      <c r="B244" s="30" t="s">
        <v>8549</v>
      </c>
      <c r="C244" s="32">
        <v>21.16</v>
      </c>
      <c r="D244" s="30">
        <v>0.21</v>
      </c>
      <c r="E244" s="31">
        <v>1.0019999999999999E-2</v>
      </c>
      <c r="F244" s="30">
        <v>400775669</v>
      </c>
      <c r="G244" s="30" t="s">
        <v>5427</v>
      </c>
      <c r="H244" s="30"/>
      <c r="I244" s="30">
        <v>83490</v>
      </c>
      <c r="J244" s="30" t="s">
        <v>5197</v>
      </c>
      <c r="K244" s="30" t="s">
        <v>5467</v>
      </c>
    </row>
    <row r="245" spans="1:11" ht="12.5" x14ac:dyDescent="0.25">
      <c r="A245" s="30" t="s">
        <v>8548</v>
      </c>
      <c r="B245" s="30" t="s">
        <v>8547</v>
      </c>
      <c r="C245" s="32">
        <v>8.3000000000000007</v>
      </c>
      <c r="D245" s="30">
        <v>0.06</v>
      </c>
      <c r="E245" s="31">
        <v>7.28E-3</v>
      </c>
      <c r="F245" s="30">
        <v>352994792</v>
      </c>
      <c r="G245" s="30" t="s">
        <v>5427</v>
      </c>
      <c r="H245" s="30"/>
      <c r="I245" s="30">
        <v>113429</v>
      </c>
      <c r="J245" s="30" t="s">
        <v>5435</v>
      </c>
      <c r="K245" s="30" t="s">
        <v>5568</v>
      </c>
    </row>
    <row r="246" spans="1:11" ht="12.5" x14ac:dyDescent="0.25">
      <c r="A246" s="30" t="s">
        <v>8546</v>
      </c>
      <c r="B246" s="30" t="s">
        <v>8545</v>
      </c>
      <c r="C246" s="32">
        <v>23.8</v>
      </c>
      <c r="D246" s="30">
        <v>0.35</v>
      </c>
      <c r="E246" s="31">
        <v>1.4930000000000001E-2</v>
      </c>
      <c r="F246" s="30">
        <v>986125749</v>
      </c>
      <c r="G246" s="30" t="s">
        <v>5775</v>
      </c>
      <c r="H246" s="30">
        <v>2014</v>
      </c>
      <c r="I246" s="30">
        <v>284354</v>
      </c>
      <c r="J246" s="30" t="s">
        <v>5435</v>
      </c>
      <c r="K246" s="30" t="s">
        <v>5985</v>
      </c>
    </row>
    <row r="247" spans="1:11" ht="12.5" x14ac:dyDescent="0.25">
      <c r="A247" s="30" t="s">
        <v>8544</v>
      </c>
      <c r="B247" s="30" t="s">
        <v>8543</v>
      </c>
      <c r="C247" s="32">
        <v>13.162000000000001</v>
      </c>
      <c r="D247" s="30">
        <v>1.2E-2</v>
      </c>
      <c r="E247" s="31">
        <v>9.1E-4</v>
      </c>
      <c r="F247" s="30">
        <v>177999150</v>
      </c>
      <c r="G247" s="30" t="s">
        <v>5427</v>
      </c>
      <c r="H247" s="30">
        <v>2010</v>
      </c>
      <c r="I247" s="30">
        <v>51191</v>
      </c>
      <c r="J247" s="30" t="s">
        <v>5435</v>
      </c>
      <c r="K247" s="30" t="s">
        <v>5568</v>
      </c>
    </row>
    <row r="248" spans="1:11" ht="12.5" x14ac:dyDescent="0.25">
      <c r="A248" s="30" t="s">
        <v>8542</v>
      </c>
      <c r="B248" s="30" t="s">
        <v>8541</v>
      </c>
      <c r="C248" s="32">
        <v>16.02</v>
      </c>
      <c r="D248" s="30">
        <v>-0.26</v>
      </c>
      <c r="E248" s="31">
        <v>-1.5970000000000002E-2</v>
      </c>
      <c r="F248" s="30">
        <v>3354698971</v>
      </c>
      <c r="G248" s="30" t="s">
        <v>5427</v>
      </c>
      <c r="H248" s="30">
        <v>2015</v>
      </c>
      <c r="I248" s="30">
        <v>1421823</v>
      </c>
      <c r="J248" s="30" t="s">
        <v>5464</v>
      </c>
      <c r="K248" s="30" t="s">
        <v>5463</v>
      </c>
    </row>
    <row r="249" spans="1:11" ht="12.5" x14ac:dyDescent="0.25">
      <c r="A249" s="30" t="s">
        <v>8540</v>
      </c>
      <c r="B249" s="30" t="s">
        <v>8539</v>
      </c>
      <c r="C249" s="32">
        <v>6.34</v>
      </c>
      <c r="D249" s="30">
        <v>0.04</v>
      </c>
      <c r="E249" s="31">
        <v>6.3499999999999997E-3</v>
      </c>
      <c r="F249" s="30">
        <v>8598717437</v>
      </c>
      <c r="G249" s="30" t="s">
        <v>5835</v>
      </c>
      <c r="H249" s="30">
        <v>2012</v>
      </c>
      <c r="I249" s="30">
        <v>6371</v>
      </c>
      <c r="J249" s="30" t="s">
        <v>5435</v>
      </c>
      <c r="K249" s="30" t="s">
        <v>5582</v>
      </c>
    </row>
    <row r="250" spans="1:11" ht="12.5" x14ac:dyDescent="0.25">
      <c r="A250" s="30" t="s">
        <v>8538</v>
      </c>
      <c r="B250" s="30" t="s">
        <v>8537</v>
      </c>
      <c r="C250" s="32">
        <v>33.799999999999997</v>
      </c>
      <c r="D250" s="30">
        <v>0.63</v>
      </c>
      <c r="E250" s="31">
        <v>1.899E-2</v>
      </c>
      <c r="F250" s="30">
        <v>1084939068</v>
      </c>
      <c r="G250" s="30" t="s">
        <v>5427</v>
      </c>
      <c r="H250" s="30">
        <v>2014</v>
      </c>
      <c r="I250" s="30">
        <v>185452</v>
      </c>
      <c r="J250" s="30" t="s">
        <v>5435</v>
      </c>
      <c r="K250" s="30" t="s">
        <v>5563</v>
      </c>
    </row>
    <row r="251" spans="1:11" ht="12.5" x14ac:dyDescent="0.25">
      <c r="A251" s="30" t="s">
        <v>8536</v>
      </c>
      <c r="B251" s="30" t="s">
        <v>8535</v>
      </c>
      <c r="C251" s="32">
        <v>47.54</v>
      </c>
      <c r="D251" s="30">
        <v>1.29</v>
      </c>
      <c r="E251" s="31">
        <v>2.7890000000000002E-2</v>
      </c>
      <c r="F251" s="30">
        <v>68092078346</v>
      </c>
      <c r="G251" s="30" t="s">
        <v>5427</v>
      </c>
      <c r="H251" s="30"/>
      <c r="I251" s="30">
        <v>15305020</v>
      </c>
      <c r="J251" s="30" t="s">
        <v>5431</v>
      </c>
      <c r="K251" s="30" t="s">
        <v>5500</v>
      </c>
    </row>
    <row r="252" spans="1:11" ht="12.5" x14ac:dyDescent="0.25">
      <c r="A252" s="30" t="s">
        <v>8534</v>
      </c>
      <c r="B252" s="30" t="s">
        <v>8533</v>
      </c>
      <c r="C252" s="32">
        <v>10.210000000000001</v>
      </c>
      <c r="D252" s="30">
        <v>0.06</v>
      </c>
      <c r="E252" s="31">
        <v>5.9100000000000003E-3</v>
      </c>
      <c r="F252" s="30">
        <v>137200540</v>
      </c>
      <c r="G252" s="30" t="s">
        <v>5427</v>
      </c>
      <c r="H252" s="30">
        <v>2006</v>
      </c>
      <c r="I252" s="30">
        <v>49823</v>
      </c>
      <c r="J252" s="30" t="s">
        <v>5435</v>
      </c>
      <c r="K252" s="30" t="s">
        <v>5568</v>
      </c>
    </row>
    <row r="253" spans="1:11" ht="12.5" x14ac:dyDescent="0.25">
      <c r="A253" s="30" t="s">
        <v>8532</v>
      </c>
      <c r="B253" s="30" t="s">
        <v>8531</v>
      </c>
      <c r="C253" s="32">
        <v>38.729999999999997</v>
      </c>
      <c r="D253" s="30">
        <v>0.24</v>
      </c>
      <c r="E253" s="31">
        <v>6.2399999999999999E-3</v>
      </c>
      <c r="F253" s="30">
        <v>86595137740</v>
      </c>
      <c r="G253" s="30" t="s">
        <v>5775</v>
      </c>
      <c r="H253" s="30">
        <v>1998</v>
      </c>
      <c r="I253" s="30">
        <v>3163763</v>
      </c>
      <c r="J253" s="30" t="s">
        <v>5431</v>
      </c>
      <c r="K253" s="30" t="s">
        <v>5685</v>
      </c>
    </row>
    <row r="254" spans="1:11" ht="12.5" x14ac:dyDescent="0.25">
      <c r="A254" s="30" t="s">
        <v>8530</v>
      </c>
      <c r="B254" s="30" t="s">
        <v>8529</v>
      </c>
      <c r="C254" s="32">
        <v>38.200000000000003</v>
      </c>
      <c r="D254" s="30">
        <v>0.81</v>
      </c>
      <c r="E254" s="31">
        <v>2.1659999999999999E-2</v>
      </c>
      <c r="F254" s="30">
        <v>732184481</v>
      </c>
      <c r="G254" s="30" t="s">
        <v>5427</v>
      </c>
      <c r="H254" s="30">
        <v>1994</v>
      </c>
      <c r="I254" s="30">
        <v>73507</v>
      </c>
      <c r="J254" s="30" t="s">
        <v>5435</v>
      </c>
      <c r="K254" s="30" t="s">
        <v>5434</v>
      </c>
    </row>
    <row r="255" spans="1:11" ht="12.5" x14ac:dyDescent="0.25">
      <c r="A255" s="30" t="s">
        <v>8528</v>
      </c>
      <c r="B255" s="30" t="s">
        <v>8527</v>
      </c>
      <c r="C255" s="32">
        <v>22.19</v>
      </c>
      <c r="D255" s="30">
        <v>-0.03</v>
      </c>
      <c r="E255" s="31">
        <v>-1.3500000000000001E-3</v>
      </c>
      <c r="F255" s="30">
        <v>1564518620</v>
      </c>
      <c r="G255" s="30" t="s">
        <v>5427</v>
      </c>
      <c r="H255" s="30">
        <v>2012</v>
      </c>
      <c r="I255" s="30">
        <v>140869</v>
      </c>
      <c r="J255" s="30" t="s">
        <v>5435</v>
      </c>
      <c r="K255" s="30" t="s">
        <v>5434</v>
      </c>
    </row>
    <row r="256" spans="1:11" ht="12.5" x14ac:dyDescent="0.25">
      <c r="A256" s="30" t="s">
        <v>8526</v>
      </c>
      <c r="B256" s="30" t="s">
        <v>8525</v>
      </c>
      <c r="C256" s="32">
        <v>27.68</v>
      </c>
      <c r="D256" s="30">
        <v>-0.21</v>
      </c>
      <c r="E256" s="31">
        <v>-7.5300000000000002E-3</v>
      </c>
      <c r="F256" s="30">
        <v>3983152000</v>
      </c>
      <c r="G256" s="30" t="s">
        <v>5427</v>
      </c>
      <c r="H256" s="30">
        <v>2017</v>
      </c>
      <c r="I256" s="30">
        <v>3757542</v>
      </c>
      <c r="J256" s="30" t="s">
        <v>5464</v>
      </c>
      <c r="K256" s="30" t="s">
        <v>6756</v>
      </c>
    </row>
    <row r="257" spans="1:11" ht="12.5" x14ac:dyDescent="0.25">
      <c r="A257" s="30" t="s">
        <v>8524</v>
      </c>
      <c r="B257" s="30" t="s">
        <v>8523</v>
      </c>
      <c r="C257" s="32">
        <v>11.38</v>
      </c>
      <c r="D257" s="30">
        <v>0.06</v>
      </c>
      <c r="E257" s="31">
        <v>5.3E-3</v>
      </c>
      <c r="F257" s="30">
        <v>1064110832</v>
      </c>
      <c r="G257" s="30" t="s">
        <v>5427</v>
      </c>
      <c r="H257" s="30">
        <v>2006</v>
      </c>
      <c r="I257" s="30">
        <v>490101</v>
      </c>
      <c r="J257" s="30" t="s">
        <v>5435</v>
      </c>
      <c r="K257" s="30" t="s">
        <v>5563</v>
      </c>
    </row>
    <row r="258" spans="1:11" ht="12.5" x14ac:dyDescent="0.25">
      <c r="A258" s="30" t="s">
        <v>8522</v>
      </c>
      <c r="B258" s="30" t="s">
        <v>8521</v>
      </c>
      <c r="C258" s="32">
        <v>60.27</v>
      </c>
      <c r="D258" s="30">
        <v>-0.02</v>
      </c>
      <c r="E258" s="31">
        <v>-3.3E-4</v>
      </c>
      <c r="F258" s="30">
        <v>121699744571</v>
      </c>
      <c r="G258" s="30" t="s">
        <v>8520</v>
      </c>
      <c r="H258" s="30"/>
      <c r="I258" s="30">
        <v>3548499</v>
      </c>
      <c r="J258" s="30" t="s">
        <v>5541</v>
      </c>
      <c r="K258" s="30" t="s">
        <v>5997</v>
      </c>
    </row>
    <row r="259" spans="1:11" ht="12.5" x14ac:dyDescent="0.25">
      <c r="A259" s="30" t="s">
        <v>8519</v>
      </c>
      <c r="B259" s="30" t="s">
        <v>8518</v>
      </c>
      <c r="C259" s="32">
        <v>22.41</v>
      </c>
      <c r="D259" s="30">
        <v>0.17</v>
      </c>
      <c r="E259" s="31">
        <v>7.6400000000000001E-3</v>
      </c>
      <c r="F259" s="30">
        <v>495293898</v>
      </c>
      <c r="G259" s="30" t="s">
        <v>5427</v>
      </c>
      <c r="H259" s="30">
        <v>2011</v>
      </c>
      <c r="I259" s="30">
        <v>70724</v>
      </c>
      <c r="J259" s="30" t="s">
        <v>5435</v>
      </c>
      <c r="K259" s="30" t="s">
        <v>5568</v>
      </c>
    </row>
    <row r="260" spans="1:11" ht="12.5" x14ac:dyDescent="0.25">
      <c r="A260" s="30" t="s">
        <v>8517</v>
      </c>
      <c r="B260" s="30" t="s">
        <v>8516</v>
      </c>
      <c r="C260" s="32">
        <v>8.15</v>
      </c>
      <c r="D260" s="30">
        <v>0.2</v>
      </c>
      <c r="E260" s="31">
        <v>2.5159999999999998E-2</v>
      </c>
      <c r="F260" s="30">
        <v>761837436</v>
      </c>
      <c r="G260" s="30" t="s">
        <v>5427</v>
      </c>
      <c r="H260" s="30">
        <v>2018</v>
      </c>
      <c r="I260" s="30">
        <v>439399</v>
      </c>
      <c r="J260" s="30" t="s">
        <v>5442</v>
      </c>
      <c r="K260" s="30" t="s">
        <v>5482</v>
      </c>
    </row>
    <row r="261" spans="1:11" ht="12.5" x14ac:dyDescent="0.25">
      <c r="A261" s="30" t="s">
        <v>8515</v>
      </c>
      <c r="B261" s="30" t="s">
        <v>8514</v>
      </c>
      <c r="C261" s="32">
        <v>33.08</v>
      </c>
      <c r="D261" s="30">
        <v>0.64</v>
      </c>
      <c r="E261" s="31">
        <v>1.9730000000000001E-2</v>
      </c>
      <c r="F261" s="30">
        <v>654134803</v>
      </c>
      <c r="G261" s="30" t="s">
        <v>5427</v>
      </c>
      <c r="H261" s="30">
        <v>2017</v>
      </c>
      <c r="I261" s="30">
        <v>94084</v>
      </c>
      <c r="J261" s="30" t="s">
        <v>5442</v>
      </c>
      <c r="K261" s="30" t="s">
        <v>5704</v>
      </c>
    </row>
    <row r="262" spans="1:11" ht="12.5" x14ac:dyDescent="0.25">
      <c r="A262" s="30" t="s">
        <v>8513</v>
      </c>
      <c r="B262" s="30" t="s">
        <v>8512</v>
      </c>
      <c r="C262" s="32">
        <v>6.36</v>
      </c>
      <c r="D262" s="30">
        <v>-0.28000000000000003</v>
      </c>
      <c r="E262" s="31">
        <v>-4.2169999999999999E-2</v>
      </c>
      <c r="F262" s="30">
        <v>563709912</v>
      </c>
      <c r="G262" s="30" t="s">
        <v>5427</v>
      </c>
      <c r="H262" s="30">
        <v>2015</v>
      </c>
      <c r="I262" s="30">
        <v>392074</v>
      </c>
      <c r="J262" s="30" t="s">
        <v>5219</v>
      </c>
      <c r="K262" s="30" t="s">
        <v>5644</v>
      </c>
    </row>
    <row r="263" spans="1:11" ht="12.5" x14ac:dyDescent="0.25">
      <c r="A263" s="30" t="s">
        <v>8511</v>
      </c>
      <c r="B263" s="30" t="s">
        <v>8510</v>
      </c>
      <c r="C263" s="32">
        <v>48.28</v>
      </c>
      <c r="D263" s="30">
        <v>1</v>
      </c>
      <c r="E263" s="31">
        <v>2.1149999999999999E-2</v>
      </c>
      <c r="F263" s="30">
        <v>11304951740</v>
      </c>
      <c r="G263" s="30" t="s">
        <v>5427</v>
      </c>
      <c r="H263" s="30"/>
      <c r="I263" s="30">
        <v>1992786</v>
      </c>
      <c r="J263" s="30" t="s">
        <v>5442</v>
      </c>
      <c r="K263" s="30" t="s">
        <v>5853</v>
      </c>
    </row>
    <row r="264" spans="1:11" ht="12.5" x14ac:dyDescent="0.25">
      <c r="A264" s="30" t="s">
        <v>8509</v>
      </c>
      <c r="B264" s="30" t="s">
        <v>8508</v>
      </c>
      <c r="C264" s="32">
        <v>8.58</v>
      </c>
      <c r="D264" s="30">
        <v>7.0000000000000007E-2</v>
      </c>
      <c r="E264" s="31">
        <v>8.2299999999999995E-3</v>
      </c>
      <c r="F264" s="30">
        <v>144073953</v>
      </c>
      <c r="G264" s="30" t="s">
        <v>5427</v>
      </c>
      <c r="H264" s="30">
        <v>2012</v>
      </c>
      <c r="I264" s="30">
        <v>126059</v>
      </c>
      <c r="J264" s="30" t="s">
        <v>5435</v>
      </c>
      <c r="K264" s="30" t="s">
        <v>5985</v>
      </c>
    </row>
    <row r="265" spans="1:11" ht="12.5" x14ac:dyDescent="0.25">
      <c r="A265" s="30" t="s">
        <v>8507</v>
      </c>
      <c r="B265" s="30" t="s">
        <v>8506</v>
      </c>
      <c r="C265" s="32">
        <v>60.55</v>
      </c>
      <c r="D265" s="30">
        <v>-0.31</v>
      </c>
      <c r="E265" s="31">
        <v>-5.0899999999999999E-3</v>
      </c>
      <c r="F265" s="30">
        <v>5523509538</v>
      </c>
      <c r="G265" s="30" t="s">
        <v>5427</v>
      </c>
      <c r="H265" s="30"/>
      <c r="I265" s="30">
        <v>480606</v>
      </c>
      <c r="J265" s="30"/>
      <c r="K265" s="30"/>
    </row>
    <row r="266" spans="1:11" ht="12.5" x14ac:dyDescent="0.25">
      <c r="A266" s="30" t="s">
        <v>8505</v>
      </c>
      <c r="B266" s="30" t="s">
        <v>8504</v>
      </c>
      <c r="C266" s="32">
        <v>97.21</v>
      </c>
      <c r="D266" s="30">
        <v>1.25</v>
      </c>
      <c r="E266" s="31">
        <v>1.303E-2</v>
      </c>
      <c r="F266" s="30">
        <v>72193371815</v>
      </c>
      <c r="G266" s="30" t="s">
        <v>5427</v>
      </c>
      <c r="H266" s="30">
        <v>2007</v>
      </c>
      <c r="I266" s="30">
        <v>6404292</v>
      </c>
      <c r="J266" s="30" t="s">
        <v>5435</v>
      </c>
      <c r="K266" s="30" t="s">
        <v>5434</v>
      </c>
    </row>
    <row r="267" spans="1:11" ht="12.5" x14ac:dyDescent="0.25">
      <c r="A267" s="30" t="s">
        <v>8503</v>
      </c>
      <c r="B267" s="30" t="s">
        <v>8502</v>
      </c>
      <c r="C267" s="32">
        <v>90.29</v>
      </c>
      <c r="D267" s="30">
        <v>3.47</v>
      </c>
      <c r="E267" s="31">
        <v>3.9969999999999999E-2</v>
      </c>
      <c r="F267" s="30">
        <v>815812496</v>
      </c>
      <c r="G267" s="30" t="s">
        <v>5427</v>
      </c>
      <c r="H267" s="30">
        <v>2004</v>
      </c>
      <c r="I267" s="30">
        <v>88226</v>
      </c>
      <c r="J267" s="30" t="s">
        <v>5442</v>
      </c>
      <c r="K267" s="30" t="s">
        <v>5505</v>
      </c>
    </row>
    <row r="268" spans="1:11" ht="12.5" x14ac:dyDescent="0.25">
      <c r="A268" s="30" t="s">
        <v>8501</v>
      </c>
      <c r="B268" s="30" t="s">
        <v>8500</v>
      </c>
      <c r="C268" s="32">
        <v>24.3</v>
      </c>
      <c r="D268" s="30">
        <v>0.46</v>
      </c>
      <c r="E268" s="31">
        <v>1.9300000000000001E-2</v>
      </c>
      <c r="F268" s="30">
        <v>4152847887</v>
      </c>
      <c r="G268" s="30" t="s">
        <v>5427</v>
      </c>
      <c r="H268" s="30"/>
      <c r="I268" s="30">
        <v>1603353</v>
      </c>
      <c r="J268" s="30" t="s">
        <v>5197</v>
      </c>
      <c r="K268" s="30" t="s">
        <v>5467</v>
      </c>
    </row>
    <row r="269" spans="1:11" ht="12.5" x14ac:dyDescent="0.25">
      <c r="A269" s="30" t="s">
        <v>8499</v>
      </c>
      <c r="B269" s="30" t="s">
        <v>8498</v>
      </c>
      <c r="C269" s="32">
        <v>13.43</v>
      </c>
      <c r="D269" s="30">
        <v>0.12</v>
      </c>
      <c r="E269" s="31">
        <v>9.0200000000000002E-3</v>
      </c>
      <c r="F269" s="30">
        <v>1397886221</v>
      </c>
      <c r="G269" s="30" t="s">
        <v>5427</v>
      </c>
      <c r="H269" s="30"/>
      <c r="I269" s="30">
        <v>185757</v>
      </c>
      <c r="J269" s="30" t="s">
        <v>5435</v>
      </c>
      <c r="K269" s="30" t="s">
        <v>5434</v>
      </c>
    </row>
    <row r="270" spans="1:11" ht="12.5" x14ac:dyDescent="0.25">
      <c r="A270" s="30" t="s">
        <v>8497</v>
      </c>
      <c r="B270" s="30" t="s">
        <v>8496</v>
      </c>
      <c r="C270" s="32">
        <v>74.39</v>
      </c>
      <c r="D270" s="30">
        <v>-0.15</v>
      </c>
      <c r="E270" s="31">
        <v>-2.0100000000000001E-3</v>
      </c>
      <c r="F270" s="30">
        <v>11660983026</v>
      </c>
      <c r="G270" s="30" t="s">
        <v>5427</v>
      </c>
      <c r="H270" s="30">
        <v>1997</v>
      </c>
      <c r="I270" s="30">
        <v>2691001</v>
      </c>
      <c r="J270" s="30" t="s">
        <v>5197</v>
      </c>
      <c r="K270" s="30" t="s">
        <v>5467</v>
      </c>
    </row>
    <row r="271" spans="1:11" ht="12.5" x14ac:dyDescent="0.25">
      <c r="A271" s="30" t="s">
        <v>8495</v>
      </c>
      <c r="B271" s="30" t="s">
        <v>8494</v>
      </c>
      <c r="C271" s="32">
        <v>24.95</v>
      </c>
      <c r="D271" s="30">
        <v>0.15</v>
      </c>
      <c r="E271" s="31">
        <v>6.0499999999999998E-3</v>
      </c>
      <c r="F271" s="30">
        <v>935444736</v>
      </c>
      <c r="G271" s="30" t="s">
        <v>5427</v>
      </c>
      <c r="H271" s="30">
        <v>2017</v>
      </c>
      <c r="I271" s="30">
        <v>141379</v>
      </c>
      <c r="J271" s="30" t="s">
        <v>5435</v>
      </c>
      <c r="K271" s="30" t="s">
        <v>5579</v>
      </c>
    </row>
    <row r="272" spans="1:11" ht="12.5" x14ac:dyDescent="0.25">
      <c r="A272" s="30" t="s">
        <v>8493</v>
      </c>
      <c r="B272" s="30" t="s">
        <v>8492</v>
      </c>
      <c r="C272" s="32">
        <v>62.35</v>
      </c>
      <c r="D272" s="30">
        <v>0.04</v>
      </c>
      <c r="E272" s="31">
        <v>6.4000000000000005E-4</v>
      </c>
      <c r="F272" s="30">
        <v>6507786487</v>
      </c>
      <c r="G272" s="30" t="s">
        <v>5427</v>
      </c>
      <c r="H272" s="30">
        <v>1993</v>
      </c>
      <c r="I272" s="30">
        <v>794477</v>
      </c>
      <c r="J272" s="30" t="s">
        <v>5442</v>
      </c>
      <c r="K272" s="30" t="s">
        <v>5450</v>
      </c>
    </row>
    <row r="273" spans="1:11" ht="12.5" x14ac:dyDescent="0.25">
      <c r="A273" s="30" t="s">
        <v>8491</v>
      </c>
      <c r="B273" s="30" t="s">
        <v>8490</v>
      </c>
      <c r="C273" s="32">
        <v>11.83</v>
      </c>
      <c r="D273" s="30">
        <v>0.01</v>
      </c>
      <c r="E273" s="31">
        <v>8.4999999999999995E-4</v>
      </c>
      <c r="F273" s="30">
        <v>312492656</v>
      </c>
      <c r="G273" s="30" t="s">
        <v>5427</v>
      </c>
      <c r="H273" s="30">
        <v>2002</v>
      </c>
      <c r="I273" s="30">
        <v>79542</v>
      </c>
      <c r="J273" s="30" t="s">
        <v>5435</v>
      </c>
      <c r="K273" s="30" t="s">
        <v>5434</v>
      </c>
    </row>
    <row r="274" spans="1:11" ht="12.5" x14ac:dyDescent="0.25">
      <c r="A274" s="30" t="s">
        <v>8489</v>
      </c>
      <c r="B274" s="30" t="s">
        <v>8488</v>
      </c>
      <c r="C274" s="32">
        <v>16.579999999999998</v>
      </c>
      <c r="D274" s="30">
        <v>0.21</v>
      </c>
      <c r="E274" s="31">
        <v>1.2829999999999999E-2</v>
      </c>
      <c r="F274" s="30">
        <v>519740539</v>
      </c>
      <c r="G274" s="30" t="s">
        <v>5427</v>
      </c>
      <c r="H274" s="30">
        <v>1994</v>
      </c>
      <c r="I274" s="30">
        <v>377494</v>
      </c>
      <c r="J274" s="30" t="s">
        <v>5442</v>
      </c>
      <c r="K274" s="30" t="s">
        <v>5576</v>
      </c>
    </row>
    <row r="275" spans="1:11" ht="12.5" x14ac:dyDescent="0.25">
      <c r="A275" s="30" t="s">
        <v>8487</v>
      </c>
      <c r="B275" s="30" t="s">
        <v>8486</v>
      </c>
      <c r="C275" s="32">
        <v>52.15</v>
      </c>
      <c r="D275" s="30">
        <v>-7.0000000000000007E-2</v>
      </c>
      <c r="E275" s="31">
        <v>-1.34E-3</v>
      </c>
      <c r="F275" s="30">
        <v>101006876858</v>
      </c>
      <c r="G275" s="30" t="s">
        <v>5427</v>
      </c>
      <c r="H275" s="30"/>
      <c r="I275" s="30">
        <v>22103146</v>
      </c>
      <c r="J275" s="30" t="s">
        <v>5435</v>
      </c>
      <c r="K275" s="30" t="s">
        <v>5579</v>
      </c>
    </row>
    <row r="276" spans="1:11" ht="12.5" x14ac:dyDescent="0.25">
      <c r="A276" s="30" t="s">
        <v>8485</v>
      </c>
      <c r="B276" s="30" t="s">
        <v>8484</v>
      </c>
      <c r="C276" s="32">
        <v>819.8</v>
      </c>
      <c r="D276" s="30">
        <v>29.92</v>
      </c>
      <c r="E276" s="31">
        <v>3.7879999999999997E-2</v>
      </c>
      <c r="F276" s="30">
        <v>4762556777</v>
      </c>
      <c r="G276" s="30" t="s">
        <v>5427</v>
      </c>
      <c r="H276" s="30">
        <v>2015</v>
      </c>
      <c r="I276" s="30">
        <v>64576</v>
      </c>
      <c r="J276" s="30" t="s">
        <v>5442</v>
      </c>
      <c r="K276" s="30" t="s">
        <v>5520</v>
      </c>
    </row>
    <row r="277" spans="1:11" ht="12.5" x14ac:dyDescent="0.25">
      <c r="A277" s="30" t="s">
        <v>8483</v>
      </c>
      <c r="B277" s="30" t="s">
        <v>8482</v>
      </c>
      <c r="C277" s="32">
        <v>305.39</v>
      </c>
      <c r="D277" s="30">
        <v>-2.7</v>
      </c>
      <c r="E277" s="31">
        <v>-8.7600000000000004E-3</v>
      </c>
      <c r="F277" s="30">
        <v>7179144461</v>
      </c>
      <c r="G277" s="30" t="s">
        <v>5427</v>
      </c>
      <c r="H277" s="30"/>
      <c r="I277" s="30">
        <v>282721</v>
      </c>
      <c r="J277" s="30" t="s">
        <v>5219</v>
      </c>
      <c r="K277" s="30" t="s">
        <v>5447</v>
      </c>
    </row>
    <row r="278" spans="1:11" ht="12.5" x14ac:dyDescent="0.25">
      <c r="A278" s="30" t="s">
        <v>8481</v>
      </c>
      <c r="B278" s="30" t="s">
        <v>8480</v>
      </c>
      <c r="C278" s="32">
        <v>26.58</v>
      </c>
      <c r="D278" s="30">
        <v>1</v>
      </c>
      <c r="E278" s="31">
        <v>3.909E-2</v>
      </c>
      <c r="F278" s="30">
        <v>4849380764</v>
      </c>
      <c r="G278" s="30" t="s">
        <v>5427</v>
      </c>
      <c r="H278" s="30"/>
      <c r="I278" s="30">
        <v>2598322</v>
      </c>
      <c r="J278" s="30" t="s">
        <v>5435</v>
      </c>
      <c r="K278" s="30" t="s">
        <v>5579</v>
      </c>
    </row>
    <row r="279" spans="1:11" ht="12.5" x14ac:dyDescent="0.25">
      <c r="A279" s="30" t="s">
        <v>8479</v>
      </c>
      <c r="B279" s="30" t="s">
        <v>8478</v>
      </c>
      <c r="C279" s="32">
        <v>22.71</v>
      </c>
      <c r="D279" s="30">
        <v>0.11</v>
      </c>
      <c r="E279" s="31">
        <v>4.8700000000000002E-3</v>
      </c>
      <c r="F279" s="30">
        <v>7218429707</v>
      </c>
      <c r="G279" s="30" t="s">
        <v>5515</v>
      </c>
      <c r="H279" s="30"/>
      <c r="I279" s="30">
        <v>397903</v>
      </c>
      <c r="J279" s="30"/>
      <c r="K279" s="30"/>
    </row>
    <row r="280" spans="1:11" ht="12.5" x14ac:dyDescent="0.25">
      <c r="A280" s="30" t="s">
        <v>8477</v>
      </c>
      <c r="B280" s="30" t="s">
        <v>8476</v>
      </c>
      <c r="C280" s="32">
        <v>16.649999999999999</v>
      </c>
      <c r="D280" s="30">
        <v>0.35</v>
      </c>
      <c r="E280" s="31">
        <v>2.147E-2</v>
      </c>
      <c r="F280" s="30">
        <v>364326392</v>
      </c>
      <c r="G280" s="30" t="s">
        <v>5427</v>
      </c>
      <c r="H280" s="30">
        <v>2006</v>
      </c>
      <c r="I280" s="30">
        <v>13473</v>
      </c>
      <c r="J280" s="30" t="s">
        <v>5435</v>
      </c>
      <c r="K280" s="30" t="s">
        <v>5434</v>
      </c>
    </row>
    <row r="281" spans="1:11" ht="12.5" x14ac:dyDescent="0.25">
      <c r="A281" s="30" t="s">
        <v>8475</v>
      </c>
      <c r="B281" s="30" t="s">
        <v>8474</v>
      </c>
      <c r="C281" s="32">
        <v>36.909999999999997</v>
      </c>
      <c r="D281" s="30">
        <v>-0.28000000000000003</v>
      </c>
      <c r="E281" s="31">
        <v>-7.5300000000000002E-3</v>
      </c>
      <c r="F281" s="30">
        <v>17592136512</v>
      </c>
      <c r="G281" s="30" t="s">
        <v>5427</v>
      </c>
      <c r="H281" s="30"/>
      <c r="I281" s="30">
        <v>4216494</v>
      </c>
      <c r="J281" s="30" t="s">
        <v>5541</v>
      </c>
      <c r="K281" s="30" t="s">
        <v>5938</v>
      </c>
    </row>
    <row r="282" spans="1:11" ht="12.5" x14ac:dyDescent="0.25">
      <c r="A282" s="30" t="s">
        <v>8473</v>
      </c>
      <c r="B282" s="30" t="s">
        <v>8472</v>
      </c>
      <c r="C282" s="32">
        <v>75.72</v>
      </c>
      <c r="D282" s="30">
        <v>-1.53</v>
      </c>
      <c r="E282" s="31">
        <v>-1.9810000000000001E-2</v>
      </c>
      <c r="F282" s="30">
        <v>19848790493</v>
      </c>
      <c r="G282" s="30" t="s">
        <v>5427</v>
      </c>
      <c r="H282" s="30"/>
      <c r="I282" s="30">
        <v>3328012</v>
      </c>
      <c r="J282" s="30" t="s">
        <v>5431</v>
      </c>
      <c r="K282" s="30" t="s">
        <v>6734</v>
      </c>
    </row>
    <row r="283" spans="1:11" ht="12.5" x14ac:dyDescent="0.25">
      <c r="A283" s="30" t="s">
        <v>8471</v>
      </c>
      <c r="B283" s="30" t="s">
        <v>8470</v>
      </c>
      <c r="C283" s="32">
        <v>22.44</v>
      </c>
      <c r="D283" s="30">
        <v>0.24</v>
      </c>
      <c r="E283" s="31">
        <v>1.081E-2</v>
      </c>
      <c r="F283" s="30">
        <v>22788137818</v>
      </c>
      <c r="G283" s="30" t="s">
        <v>5927</v>
      </c>
      <c r="H283" s="30"/>
      <c r="I283" s="30">
        <v>736546</v>
      </c>
      <c r="J283" s="30" t="s">
        <v>5442</v>
      </c>
      <c r="K283" s="30" t="s">
        <v>5644</v>
      </c>
    </row>
    <row r="284" spans="1:11" ht="12.5" x14ac:dyDescent="0.25">
      <c r="A284" s="30" t="s">
        <v>8469</v>
      </c>
      <c r="B284" s="30" t="s">
        <v>8468</v>
      </c>
      <c r="C284" s="32">
        <v>26.09</v>
      </c>
      <c r="D284" s="30">
        <v>7.0000000000000007E-2</v>
      </c>
      <c r="E284" s="31">
        <v>2.6900000000000001E-3</v>
      </c>
      <c r="F284" s="30">
        <v>929222614</v>
      </c>
      <c r="G284" s="30" t="s">
        <v>5427</v>
      </c>
      <c r="H284" s="30"/>
      <c r="I284" s="30">
        <v>709071</v>
      </c>
      <c r="J284" s="30" t="s">
        <v>5442</v>
      </c>
      <c r="K284" s="30" t="s">
        <v>5477</v>
      </c>
    </row>
    <row r="285" spans="1:11" ht="12.5" x14ac:dyDescent="0.25">
      <c r="A285" s="30" t="s">
        <v>8467</v>
      </c>
      <c r="B285" s="30" t="s">
        <v>8466</v>
      </c>
      <c r="C285" s="32">
        <v>53.78</v>
      </c>
      <c r="D285" s="30">
        <v>1.1399999999999999</v>
      </c>
      <c r="E285" s="31">
        <v>2.1659999999999999E-2</v>
      </c>
      <c r="F285" s="30">
        <v>3519432469</v>
      </c>
      <c r="G285" s="30" t="s">
        <v>5427</v>
      </c>
      <c r="H285" s="30">
        <v>2010</v>
      </c>
      <c r="I285" s="30">
        <v>680892</v>
      </c>
      <c r="J285" s="30" t="s">
        <v>5219</v>
      </c>
      <c r="K285" s="30" t="s">
        <v>5560</v>
      </c>
    </row>
    <row r="286" spans="1:11" ht="12.5" x14ac:dyDescent="0.25">
      <c r="A286" s="30" t="s">
        <v>8465</v>
      </c>
      <c r="B286" s="30" t="s">
        <v>8464</v>
      </c>
      <c r="C286" s="32">
        <v>22.7</v>
      </c>
      <c r="D286" s="30">
        <v>0.14000000000000001</v>
      </c>
      <c r="E286" s="31">
        <v>6.2100000000000002E-3</v>
      </c>
      <c r="F286" s="30">
        <v>860987619</v>
      </c>
      <c r="G286" s="30" t="s">
        <v>5427</v>
      </c>
      <c r="H286" s="30">
        <v>2012</v>
      </c>
      <c r="I286" s="30">
        <v>101502</v>
      </c>
      <c r="J286" s="30"/>
      <c r="K286" s="30"/>
    </row>
    <row r="287" spans="1:11" ht="12.5" x14ac:dyDescent="0.25">
      <c r="A287" s="30" t="s">
        <v>8463</v>
      </c>
      <c r="B287" s="30" t="s">
        <v>8462</v>
      </c>
      <c r="C287" s="32">
        <v>249.54</v>
      </c>
      <c r="D287" s="30">
        <v>-2.75</v>
      </c>
      <c r="E287" s="31">
        <v>-1.09E-2</v>
      </c>
      <c r="F287" s="30">
        <v>129862950447</v>
      </c>
      <c r="G287" s="30" t="s">
        <v>5427</v>
      </c>
      <c r="H287" s="30"/>
      <c r="I287" s="30">
        <v>6019876</v>
      </c>
      <c r="J287" s="30" t="s">
        <v>5457</v>
      </c>
      <c r="K287" s="30" t="s">
        <v>5460</v>
      </c>
    </row>
    <row r="288" spans="1:11" ht="12.5" x14ac:dyDescent="0.25">
      <c r="A288" s="30" t="s">
        <v>8461</v>
      </c>
      <c r="B288" s="30" t="s">
        <v>8460</v>
      </c>
      <c r="C288" s="32">
        <v>10.14</v>
      </c>
      <c r="D288" s="30">
        <v>0.2</v>
      </c>
      <c r="E288" s="31">
        <v>2.0119999999999999E-2</v>
      </c>
      <c r="F288" s="30">
        <v>211848196</v>
      </c>
      <c r="G288" s="30" t="s">
        <v>5427</v>
      </c>
      <c r="H288" s="30"/>
      <c r="I288" s="30">
        <v>70121</v>
      </c>
      <c r="J288" s="30"/>
      <c r="K288" s="30"/>
    </row>
    <row r="289" spans="1:11" ht="12.5" x14ac:dyDescent="0.25">
      <c r="A289" s="30" t="s">
        <v>8459</v>
      </c>
      <c r="B289" s="30" t="s">
        <v>8458</v>
      </c>
      <c r="C289" s="32">
        <v>213.44</v>
      </c>
      <c r="D289" s="30">
        <v>-14.05</v>
      </c>
      <c r="E289" s="31">
        <v>-6.1760000000000002E-2</v>
      </c>
      <c r="F289" s="30">
        <v>88588330483</v>
      </c>
      <c r="G289" s="30" t="s">
        <v>5799</v>
      </c>
      <c r="H289" s="30"/>
      <c r="I289" s="30">
        <v>3968310</v>
      </c>
      <c r="J289" s="30" t="s">
        <v>5435</v>
      </c>
      <c r="K289" s="30" t="s">
        <v>5493</v>
      </c>
    </row>
    <row r="290" spans="1:11" ht="12.5" x14ac:dyDescent="0.25">
      <c r="A290" s="30" t="s">
        <v>8457</v>
      </c>
      <c r="B290" s="30" t="s">
        <v>8456</v>
      </c>
      <c r="C290" s="32">
        <v>9.06</v>
      </c>
      <c r="D290" s="30">
        <v>0.06</v>
      </c>
      <c r="E290" s="31">
        <v>6.6699999999999997E-3</v>
      </c>
      <c r="F290" s="30">
        <v>165468189</v>
      </c>
      <c r="G290" s="30" t="s">
        <v>5427</v>
      </c>
      <c r="H290" s="30">
        <v>2017</v>
      </c>
      <c r="I290" s="30">
        <v>24037</v>
      </c>
      <c r="J290" s="30" t="s">
        <v>5435</v>
      </c>
      <c r="K290" s="30" t="s">
        <v>5568</v>
      </c>
    </row>
    <row r="291" spans="1:11" ht="12.5" x14ac:dyDescent="0.25">
      <c r="A291" s="30" t="s">
        <v>8455</v>
      </c>
      <c r="B291" s="30" t="s">
        <v>8454</v>
      </c>
      <c r="C291" s="32">
        <v>26.21</v>
      </c>
      <c r="D291" s="30">
        <v>-0.44</v>
      </c>
      <c r="E291" s="31">
        <v>-1.651E-2</v>
      </c>
      <c r="F291" s="30">
        <v>834373805</v>
      </c>
      <c r="G291" s="30" t="s">
        <v>5427</v>
      </c>
      <c r="H291" s="30">
        <v>2021</v>
      </c>
      <c r="I291" s="30">
        <v>98010</v>
      </c>
      <c r="J291" s="30" t="s">
        <v>5197</v>
      </c>
      <c r="K291" s="30" t="s">
        <v>5467</v>
      </c>
    </row>
    <row r="292" spans="1:11" ht="12.5" x14ac:dyDescent="0.25">
      <c r="A292" s="30" t="s">
        <v>8453</v>
      </c>
      <c r="B292" s="30" t="s">
        <v>8452</v>
      </c>
      <c r="C292" s="32">
        <v>85.17</v>
      </c>
      <c r="D292" s="30">
        <v>-0.34</v>
      </c>
      <c r="E292" s="31">
        <v>-3.98E-3</v>
      </c>
      <c r="F292" s="30">
        <v>26909336981</v>
      </c>
      <c r="G292" s="30" t="s">
        <v>5427</v>
      </c>
      <c r="H292" s="30"/>
      <c r="I292" s="30">
        <v>1590516</v>
      </c>
      <c r="J292" s="30" t="s">
        <v>5435</v>
      </c>
      <c r="K292" s="30" t="s">
        <v>5197</v>
      </c>
    </row>
    <row r="293" spans="1:11" ht="12.5" x14ac:dyDescent="0.25">
      <c r="A293" s="30" t="s">
        <v>8451</v>
      </c>
      <c r="B293" s="30" t="s">
        <v>8450</v>
      </c>
      <c r="C293" s="32">
        <v>76.69</v>
      </c>
      <c r="D293" s="30">
        <v>1.36</v>
      </c>
      <c r="E293" s="31">
        <v>1.805E-2</v>
      </c>
      <c r="F293" s="30">
        <v>4319345377</v>
      </c>
      <c r="G293" s="30" t="s">
        <v>5427</v>
      </c>
      <c r="H293" s="30"/>
      <c r="I293" s="30">
        <v>261551</v>
      </c>
      <c r="J293" s="30" t="s">
        <v>5457</v>
      </c>
      <c r="K293" s="30" t="s">
        <v>5755</v>
      </c>
    </row>
    <row r="294" spans="1:11" ht="12.5" x14ac:dyDescent="0.25">
      <c r="A294" s="30" t="s">
        <v>8449</v>
      </c>
      <c r="B294" s="30" t="s">
        <v>8448</v>
      </c>
      <c r="C294" s="32">
        <v>58.39</v>
      </c>
      <c r="D294" s="30">
        <v>0.68</v>
      </c>
      <c r="E294" s="31">
        <v>1.1780000000000001E-2</v>
      </c>
      <c r="F294" s="30">
        <v>3137703430</v>
      </c>
      <c r="G294" s="30" t="s">
        <v>5427</v>
      </c>
      <c r="H294" s="30"/>
      <c r="I294" s="30">
        <v>326111</v>
      </c>
      <c r="J294" s="30" t="s">
        <v>5435</v>
      </c>
      <c r="K294" s="30" t="s">
        <v>5579</v>
      </c>
    </row>
    <row r="295" spans="1:11" ht="12.5" x14ac:dyDescent="0.25">
      <c r="A295" s="30" t="s">
        <v>8447</v>
      </c>
      <c r="B295" s="30" t="s">
        <v>8446</v>
      </c>
      <c r="C295" s="32">
        <v>47.92</v>
      </c>
      <c r="D295" s="30">
        <v>0.33</v>
      </c>
      <c r="E295" s="31">
        <v>6.9300000000000004E-3</v>
      </c>
      <c r="F295" s="30">
        <v>2435903415</v>
      </c>
      <c r="G295" s="30" t="s">
        <v>5427</v>
      </c>
      <c r="H295" s="30"/>
      <c r="I295" s="30">
        <v>137430</v>
      </c>
      <c r="J295" s="30" t="s">
        <v>5442</v>
      </c>
      <c r="K295" s="30" t="s">
        <v>5482</v>
      </c>
    </row>
    <row r="296" spans="1:11" ht="12.5" x14ac:dyDescent="0.25">
      <c r="A296" s="30" t="s">
        <v>8445</v>
      </c>
      <c r="B296" s="30" t="s">
        <v>8444</v>
      </c>
      <c r="C296" s="32">
        <v>36.33</v>
      </c>
      <c r="D296" s="30">
        <v>-0.06</v>
      </c>
      <c r="E296" s="31">
        <v>-1.65E-3</v>
      </c>
      <c r="F296" s="30">
        <v>5482840186</v>
      </c>
      <c r="G296" s="30" t="s">
        <v>5427</v>
      </c>
      <c r="H296" s="30">
        <v>2015</v>
      </c>
      <c r="I296" s="30">
        <v>928624</v>
      </c>
      <c r="J296" s="30" t="s">
        <v>5457</v>
      </c>
      <c r="K296" s="30" t="s">
        <v>5438</v>
      </c>
    </row>
    <row r="297" spans="1:11" ht="12.5" x14ac:dyDescent="0.25">
      <c r="A297" s="30" t="s">
        <v>8443</v>
      </c>
      <c r="B297" s="30" t="s">
        <v>8442</v>
      </c>
      <c r="C297" s="32">
        <v>149.11000000000001</v>
      </c>
      <c r="D297" s="30">
        <v>1</v>
      </c>
      <c r="E297" s="31">
        <v>6.7499999999999999E-3</v>
      </c>
      <c r="F297" s="30">
        <v>64571787429</v>
      </c>
      <c r="G297" s="30" t="s">
        <v>5427</v>
      </c>
      <c r="H297" s="30"/>
      <c r="I297" s="30">
        <v>1801693</v>
      </c>
      <c r="J297" s="30" t="s">
        <v>5197</v>
      </c>
      <c r="K297" s="30" t="s">
        <v>5467</v>
      </c>
    </row>
    <row r="298" spans="1:11" ht="12.5" x14ac:dyDescent="0.25">
      <c r="A298" s="30" t="s">
        <v>8441</v>
      </c>
      <c r="B298" s="30" t="s">
        <v>8440</v>
      </c>
      <c r="C298" s="32">
        <v>28.66</v>
      </c>
      <c r="D298" s="30">
        <v>0.65</v>
      </c>
      <c r="E298" s="31">
        <v>2.3210000000000001E-2</v>
      </c>
      <c r="F298" s="30">
        <v>12395452522</v>
      </c>
      <c r="G298" s="30" t="s">
        <v>5515</v>
      </c>
      <c r="H298" s="30">
        <v>1996</v>
      </c>
      <c r="I298" s="30">
        <v>6862687</v>
      </c>
      <c r="J298" s="30"/>
      <c r="K298" s="30"/>
    </row>
    <row r="299" spans="1:11" ht="12.5" x14ac:dyDescent="0.25">
      <c r="A299" s="30" t="s">
        <v>8439</v>
      </c>
      <c r="B299" s="30" t="s">
        <v>8438</v>
      </c>
      <c r="C299" s="32">
        <v>89.01</v>
      </c>
      <c r="D299" s="30">
        <v>0.85</v>
      </c>
      <c r="E299" s="31">
        <v>9.6399999999999993E-3</v>
      </c>
      <c r="F299" s="30">
        <v>10676408503</v>
      </c>
      <c r="G299" s="30" t="s">
        <v>5427</v>
      </c>
      <c r="H299" s="30"/>
      <c r="I299" s="30">
        <v>1167260</v>
      </c>
      <c r="J299" s="30" t="s">
        <v>5457</v>
      </c>
      <c r="K299" s="30" t="s">
        <v>6129</v>
      </c>
    </row>
    <row r="300" spans="1:11" ht="12.5" x14ac:dyDescent="0.25">
      <c r="A300" s="30" t="s">
        <v>8437</v>
      </c>
      <c r="B300" s="30" t="s">
        <v>8436</v>
      </c>
      <c r="C300" s="32">
        <v>11.34</v>
      </c>
      <c r="D300" s="30">
        <v>0.52</v>
      </c>
      <c r="E300" s="31">
        <v>4.8059999999999999E-2</v>
      </c>
      <c r="F300" s="30">
        <v>14737641017</v>
      </c>
      <c r="G300" s="30" t="s">
        <v>5427</v>
      </c>
      <c r="H300" s="30">
        <v>1987</v>
      </c>
      <c r="I300" s="30">
        <v>47112588</v>
      </c>
      <c r="J300" s="30"/>
      <c r="K300" s="30"/>
    </row>
    <row r="301" spans="1:11" ht="12.5" x14ac:dyDescent="0.25">
      <c r="A301" s="30" t="s">
        <v>8435</v>
      </c>
      <c r="B301" s="30" t="s">
        <v>8434</v>
      </c>
      <c r="C301" s="32">
        <v>1.93</v>
      </c>
      <c r="D301" s="30">
        <v>0.02</v>
      </c>
      <c r="E301" s="31">
        <v>1.047E-2</v>
      </c>
      <c r="F301" s="30">
        <v>918786947</v>
      </c>
      <c r="G301" s="30" t="s">
        <v>5427</v>
      </c>
      <c r="H301" s="30">
        <v>2005</v>
      </c>
      <c r="I301" s="30">
        <v>2012846</v>
      </c>
      <c r="J301" s="30" t="s">
        <v>5442</v>
      </c>
      <c r="K301" s="30" t="s">
        <v>5856</v>
      </c>
    </row>
    <row r="302" spans="1:11" ht="12.5" x14ac:dyDescent="0.25">
      <c r="A302" s="30" t="s">
        <v>8433</v>
      </c>
      <c r="B302" s="30" t="s">
        <v>8432</v>
      </c>
      <c r="C302" s="32">
        <v>33.69</v>
      </c>
      <c r="D302" s="30">
        <v>0.21</v>
      </c>
      <c r="E302" s="31">
        <v>6.2700000000000004E-3</v>
      </c>
      <c r="F302" s="30">
        <v>286798557</v>
      </c>
      <c r="G302" s="30" t="s">
        <v>5427</v>
      </c>
      <c r="H302" s="30">
        <v>1986</v>
      </c>
      <c r="I302" s="30">
        <v>51317</v>
      </c>
      <c r="J302" s="30" t="s">
        <v>5219</v>
      </c>
      <c r="K302" s="30" t="s">
        <v>5812</v>
      </c>
    </row>
    <row r="303" spans="1:11" ht="12.5" x14ac:dyDescent="0.25">
      <c r="A303" s="30" t="s">
        <v>8431</v>
      </c>
      <c r="B303" s="30" t="s">
        <v>8430</v>
      </c>
      <c r="C303" s="32">
        <v>63.28</v>
      </c>
      <c r="D303" s="30">
        <v>2.08</v>
      </c>
      <c r="E303" s="31">
        <v>3.3989999999999999E-2</v>
      </c>
      <c r="F303" s="30">
        <v>2010553359</v>
      </c>
      <c r="G303" s="30" t="s">
        <v>5427</v>
      </c>
      <c r="H303" s="30">
        <v>2014</v>
      </c>
      <c r="I303" s="30">
        <v>523446</v>
      </c>
      <c r="J303" s="30" t="s">
        <v>5442</v>
      </c>
      <c r="K303" s="30" t="s">
        <v>5576</v>
      </c>
    </row>
    <row r="304" spans="1:11" ht="12.5" x14ac:dyDescent="0.25">
      <c r="A304" s="30" t="s">
        <v>8429</v>
      </c>
      <c r="B304" s="30" t="s">
        <v>8428</v>
      </c>
      <c r="C304" s="32">
        <v>75.760000000000005</v>
      </c>
      <c r="D304" s="30">
        <v>3.48</v>
      </c>
      <c r="E304" s="31">
        <v>4.8149999999999998E-2</v>
      </c>
      <c r="F304" s="30">
        <v>11636347124</v>
      </c>
      <c r="G304" s="30" t="s">
        <v>5427</v>
      </c>
      <c r="H304" s="30">
        <v>2018</v>
      </c>
      <c r="I304" s="30">
        <v>1500682</v>
      </c>
      <c r="J304" s="30" t="s">
        <v>5219</v>
      </c>
      <c r="K304" s="30" t="s">
        <v>5447</v>
      </c>
    </row>
    <row r="305" spans="1:11" ht="12.5" x14ac:dyDescent="0.25">
      <c r="A305" s="30" t="s">
        <v>8427</v>
      </c>
      <c r="B305" s="30" t="s">
        <v>8426</v>
      </c>
      <c r="C305" s="32">
        <v>3.98</v>
      </c>
      <c r="D305" s="30">
        <v>0.09</v>
      </c>
      <c r="E305" s="31">
        <v>2.3140000000000001E-2</v>
      </c>
      <c r="F305" s="30">
        <v>1176908937</v>
      </c>
      <c r="G305" s="30" t="s">
        <v>5427</v>
      </c>
      <c r="H305" s="30"/>
      <c r="I305" s="30">
        <v>4361829</v>
      </c>
      <c r="J305" s="30" t="s">
        <v>6250</v>
      </c>
      <c r="K305" s="30" t="s">
        <v>6859</v>
      </c>
    </row>
    <row r="306" spans="1:11" ht="12.5" x14ac:dyDescent="0.25">
      <c r="A306" s="30" t="s">
        <v>8425</v>
      </c>
      <c r="B306" s="30" t="s">
        <v>8424</v>
      </c>
      <c r="C306" s="32">
        <v>124.98</v>
      </c>
      <c r="D306" s="30">
        <v>1.78</v>
      </c>
      <c r="E306" s="31">
        <v>1.4449999999999999E-2</v>
      </c>
      <c r="F306" s="30">
        <v>13551340314</v>
      </c>
      <c r="G306" s="30" t="s">
        <v>5427</v>
      </c>
      <c r="H306" s="30">
        <v>2005</v>
      </c>
      <c r="I306" s="30">
        <v>1009916</v>
      </c>
      <c r="J306" s="30" t="s">
        <v>5457</v>
      </c>
      <c r="K306" s="30" t="s">
        <v>5555</v>
      </c>
    </row>
    <row r="307" spans="1:11" ht="12.5" x14ac:dyDescent="0.25">
      <c r="A307" s="30" t="s">
        <v>8423</v>
      </c>
      <c r="B307" s="30" t="s">
        <v>8422</v>
      </c>
      <c r="C307" s="32">
        <v>9.5500000000000007</v>
      </c>
      <c r="D307" s="30">
        <v>-0.2</v>
      </c>
      <c r="E307" s="31">
        <v>-2.051E-2</v>
      </c>
      <c r="F307" s="30">
        <v>59401210</v>
      </c>
      <c r="G307" s="30" t="s">
        <v>5427</v>
      </c>
      <c r="H307" s="30"/>
      <c r="I307" s="30">
        <v>55654</v>
      </c>
      <c r="J307" s="30" t="s">
        <v>5435</v>
      </c>
      <c r="K307" s="30" t="s">
        <v>5563</v>
      </c>
    </row>
    <row r="308" spans="1:11" ht="12.5" x14ac:dyDescent="0.25">
      <c r="A308" s="30" t="s">
        <v>8421</v>
      </c>
      <c r="B308" s="30" t="s">
        <v>8420</v>
      </c>
      <c r="C308" s="32">
        <v>35.93</v>
      </c>
      <c r="D308" s="30">
        <v>-0.03</v>
      </c>
      <c r="E308" s="31">
        <v>-8.3000000000000001E-4</v>
      </c>
      <c r="F308" s="30">
        <v>506001903</v>
      </c>
      <c r="G308" s="30" t="s">
        <v>5427</v>
      </c>
      <c r="H308" s="30">
        <v>2010</v>
      </c>
      <c r="I308" s="30">
        <v>34137</v>
      </c>
      <c r="J308" s="30" t="s">
        <v>5435</v>
      </c>
      <c r="K308" s="30" t="s">
        <v>5568</v>
      </c>
    </row>
    <row r="309" spans="1:11" ht="12.5" x14ac:dyDescent="0.25">
      <c r="A309" s="30" t="s">
        <v>8419</v>
      </c>
      <c r="B309" s="30" t="s">
        <v>8418</v>
      </c>
      <c r="C309" s="32">
        <v>18.579999999999998</v>
      </c>
      <c r="D309" s="30">
        <v>-7.0000000000000007E-2</v>
      </c>
      <c r="E309" s="31">
        <v>-3.7499999999999999E-3</v>
      </c>
      <c r="F309" s="30">
        <v>91598378</v>
      </c>
      <c r="G309" s="30" t="s">
        <v>5427</v>
      </c>
      <c r="H309" s="30">
        <v>2013</v>
      </c>
      <c r="I309" s="30">
        <v>4584</v>
      </c>
      <c r="J309" s="30" t="s">
        <v>5435</v>
      </c>
      <c r="K309" s="30" t="s">
        <v>5563</v>
      </c>
    </row>
    <row r="310" spans="1:11" ht="12.5" x14ac:dyDescent="0.25">
      <c r="A310" s="30" t="s">
        <v>8417</v>
      </c>
      <c r="B310" s="30" t="s">
        <v>8416</v>
      </c>
      <c r="C310" s="32">
        <v>26.9</v>
      </c>
      <c r="D310" s="30">
        <v>0</v>
      </c>
      <c r="E310" s="31">
        <v>0</v>
      </c>
      <c r="F310" s="30">
        <v>2815148995</v>
      </c>
      <c r="G310" s="30" t="s">
        <v>5427</v>
      </c>
      <c r="H310" s="30"/>
      <c r="I310" s="30">
        <v>598389</v>
      </c>
      <c r="J310" s="30" t="s">
        <v>5464</v>
      </c>
      <c r="K310" s="30" t="s">
        <v>5588</v>
      </c>
    </row>
    <row r="311" spans="1:11" ht="12.5" x14ac:dyDescent="0.25">
      <c r="A311" s="30" t="s">
        <v>8415</v>
      </c>
      <c r="B311" s="30" t="s">
        <v>8414</v>
      </c>
      <c r="C311" s="32">
        <v>85.28</v>
      </c>
      <c r="D311" s="30">
        <v>0.57999999999999996</v>
      </c>
      <c r="E311" s="31">
        <v>6.8500000000000002E-3</v>
      </c>
      <c r="F311" s="30">
        <v>16731037405</v>
      </c>
      <c r="G311" s="30" t="s">
        <v>5427</v>
      </c>
      <c r="H311" s="30">
        <v>2005</v>
      </c>
      <c r="I311" s="30">
        <v>2421512</v>
      </c>
      <c r="J311" s="30" t="s">
        <v>5457</v>
      </c>
      <c r="K311" s="30" t="s">
        <v>5805</v>
      </c>
    </row>
    <row r="312" spans="1:11" ht="12.5" x14ac:dyDescent="0.25">
      <c r="A312" s="30" t="s">
        <v>8413</v>
      </c>
      <c r="B312" s="30" t="s">
        <v>8412</v>
      </c>
      <c r="C312" s="32">
        <v>43.66</v>
      </c>
      <c r="D312" s="30">
        <v>0.34</v>
      </c>
      <c r="E312" s="31">
        <v>7.8499999999999993E-3</v>
      </c>
      <c r="F312" s="30">
        <v>21493039018</v>
      </c>
      <c r="G312" s="30" t="s">
        <v>5427</v>
      </c>
      <c r="H312" s="30">
        <v>2014</v>
      </c>
      <c r="I312" s="30">
        <v>3586488</v>
      </c>
      <c r="J312" s="30" t="s">
        <v>5435</v>
      </c>
      <c r="K312" s="30" t="s">
        <v>5579</v>
      </c>
    </row>
    <row r="313" spans="1:11" ht="12.5" x14ac:dyDescent="0.25">
      <c r="A313" s="30" t="s">
        <v>8411</v>
      </c>
      <c r="B313" s="30" t="s">
        <v>8410</v>
      </c>
      <c r="C313" s="32">
        <v>129.22999999999999</v>
      </c>
      <c r="D313" s="30">
        <v>-1.05</v>
      </c>
      <c r="E313" s="31">
        <v>-8.0599999999999995E-3</v>
      </c>
      <c r="F313" s="30">
        <v>8316596650</v>
      </c>
      <c r="G313" s="30" t="s">
        <v>5427</v>
      </c>
      <c r="H313" s="30"/>
      <c r="I313" s="30">
        <v>443416</v>
      </c>
      <c r="J313" s="30" t="s">
        <v>5435</v>
      </c>
      <c r="K313" s="30" t="s">
        <v>5579</v>
      </c>
    </row>
    <row r="314" spans="1:11" ht="12.5" x14ac:dyDescent="0.25">
      <c r="A314" s="30" t="s">
        <v>8409</v>
      </c>
      <c r="B314" s="30" t="s">
        <v>8408</v>
      </c>
      <c r="C314" s="32">
        <v>42.51</v>
      </c>
      <c r="D314" s="30">
        <v>-0.37</v>
      </c>
      <c r="E314" s="31">
        <v>-8.6300000000000005E-3</v>
      </c>
      <c r="F314" s="30">
        <v>1075467207</v>
      </c>
      <c r="G314" s="30" t="s">
        <v>5427</v>
      </c>
      <c r="H314" s="30">
        <v>2015</v>
      </c>
      <c r="I314" s="30">
        <v>137791</v>
      </c>
      <c r="J314" s="30" t="s">
        <v>5197</v>
      </c>
      <c r="K314" s="30" t="s">
        <v>5467</v>
      </c>
    </row>
    <row r="315" spans="1:11" ht="12.5" x14ac:dyDescent="0.25">
      <c r="A315" s="30" t="s">
        <v>8407</v>
      </c>
      <c r="B315" s="30" t="s">
        <v>8406</v>
      </c>
      <c r="C315" s="32">
        <v>81.400000000000006</v>
      </c>
      <c r="D315" s="30">
        <v>0.54</v>
      </c>
      <c r="E315" s="31">
        <v>6.6800000000000002E-3</v>
      </c>
      <c r="F315" s="30">
        <v>19850883446</v>
      </c>
      <c r="G315" s="30" t="s">
        <v>5427</v>
      </c>
      <c r="H315" s="30"/>
      <c r="I315" s="30">
        <v>2051798</v>
      </c>
      <c r="J315" s="30" t="s">
        <v>5442</v>
      </c>
      <c r="K315" s="30" t="s">
        <v>6240</v>
      </c>
    </row>
    <row r="316" spans="1:11" ht="12.5" x14ac:dyDescent="0.25">
      <c r="A316" s="30" t="s">
        <v>8405</v>
      </c>
      <c r="B316" s="30" t="s">
        <v>8404</v>
      </c>
      <c r="C316" s="32">
        <v>511.5</v>
      </c>
      <c r="D316" s="30">
        <v>6.36</v>
      </c>
      <c r="E316" s="31">
        <v>1.259E-2</v>
      </c>
      <c r="F316" s="30">
        <v>7606161008</v>
      </c>
      <c r="G316" s="30" t="s">
        <v>5427</v>
      </c>
      <c r="H316" s="30"/>
      <c r="I316" s="30">
        <v>63922</v>
      </c>
      <c r="J316" s="30" t="s">
        <v>5431</v>
      </c>
      <c r="K316" s="30" t="s">
        <v>5980</v>
      </c>
    </row>
    <row r="317" spans="1:11" ht="12.5" x14ac:dyDescent="0.25">
      <c r="A317" s="30" t="s">
        <v>8403</v>
      </c>
      <c r="B317" s="30" t="s">
        <v>8402</v>
      </c>
      <c r="C317" s="32">
        <v>123.86</v>
      </c>
      <c r="D317" s="30">
        <v>0.97</v>
      </c>
      <c r="E317" s="31">
        <v>7.8899999999999994E-3</v>
      </c>
      <c r="F317" s="30">
        <v>6601639284</v>
      </c>
      <c r="G317" s="30" t="s">
        <v>5427</v>
      </c>
      <c r="H317" s="30"/>
      <c r="I317" s="30">
        <v>305591</v>
      </c>
      <c r="J317" s="30" t="s">
        <v>5442</v>
      </c>
      <c r="K317" s="30" t="s">
        <v>5704</v>
      </c>
    </row>
    <row r="318" spans="1:11" ht="12.5" x14ac:dyDescent="0.25">
      <c r="A318" s="30" t="s">
        <v>8401</v>
      </c>
      <c r="B318" s="30" t="s">
        <v>8400</v>
      </c>
      <c r="C318" s="32">
        <v>15.47</v>
      </c>
      <c r="D318" s="30">
        <v>0.09</v>
      </c>
      <c r="E318" s="31">
        <v>5.8500000000000002E-3</v>
      </c>
      <c r="F318" s="30">
        <v>158700465</v>
      </c>
      <c r="G318" s="30" t="s">
        <v>5427</v>
      </c>
      <c r="H318" s="30"/>
      <c r="I318" s="30">
        <v>34230</v>
      </c>
      <c r="J318" s="30" t="s">
        <v>5435</v>
      </c>
      <c r="K318" s="30" t="s">
        <v>5434</v>
      </c>
    </row>
    <row r="319" spans="1:11" ht="12.5" x14ac:dyDescent="0.25">
      <c r="A319" s="30" t="s">
        <v>8399</v>
      </c>
      <c r="B319" s="30" t="s">
        <v>8398</v>
      </c>
      <c r="C319" s="32">
        <v>12.46</v>
      </c>
      <c r="D319" s="30">
        <v>0.32</v>
      </c>
      <c r="E319" s="31">
        <v>2.6360000000000001E-2</v>
      </c>
      <c r="F319" s="30">
        <v>4257385979</v>
      </c>
      <c r="G319" s="30" t="s">
        <v>5427</v>
      </c>
      <c r="H319" s="30">
        <v>2019</v>
      </c>
      <c r="I319" s="30">
        <v>9910632</v>
      </c>
      <c r="J319" s="30" t="s">
        <v>5682</v>
      </c>
      <c r="K319" s="30" t="s">
        <v>5746</v>
      </c>
    </row>
    <row r="320" spans="1:11" ht="12.5" x14ac:dyDescent="0.25">
      <c r="A320" s="30" t="s">
        <v>8397</v>
      </c>
      <c r="B320" s="30" t="s">
        <v>8396</v>
      </c>
      <c r="C320" s="32">
        <v>5.33</v>
      </c>
      <c r="D320" s="30">
        <v>0.06</v>
      </c>
      <c r="E320" s="31">
        <v>1.1390000000000001E-2</v>
      </c>
      <c r="F320" s="30">
        <v>666619465</v>
      </c>
      <c r="G320" s="30" t="s">
        <v>5427</v>
      </c>
      <c r="H320" s="30"/>
      <c r="I320" s="30">
        <v>1593852</v>
      </c>
      <c r="J320" s="30" t="s">
        <v>5442</v>
      </c>
      <c r="K320" s="30" t="s">
        <v>7318</v>
      </c>
    </row>
    <row r="321" spans="1:11" ht="12.5" x14ac:dyDescent="0.25">
      <c r="A321" s="30" t="s">
        <v>8395</v>
      </c>
      <c r="B321" s="30" t="s">
        <v>8394</v>
      </c>
      <c r="C321" s="32">
        <v>37.590000000000003</v>
      </c>
      <c r="D321" s="30">
        <v>0.54</v>
      </c>
      <c r="E321" s="31">
        <v>1.457E-2</v>
      </c>
      <c r="F321" s="30">
        <v>29160243273</v>
      </c>
      <c r="G321" s="30" t="s">
        <v>5771</v>
      </c>
      <c r="H321" s="30"/>
      <c r="I321" s="30">
        <v>161359</v>
      </c>
      <c r="J321" s="30" t="s">
        <v>5732</v>
      </c>
      <c r="K321" s="30" t="s">
        <v>5520</v>
      </c>
    </row>
    <row r="322" spans="1:11" ht="12.5" x14ac:dyDescent="0.25">
      <c r="A322" s="30" t="s">
        <v>8393</v>
      </c>
      <c r="B322" s="30" t="s">
        <v>8392</v>
      </c>
      <c r="C322" s="32">
        <v>313.27999999999997</v>
      </c>
      <c r="D322" s="30">
        <v>-3.39</v>
      </c>
      <c r="E322" s="31">
        <v>-1.0710000000000001E-2</v>
      </c>
      <c r="F322" s="30">
        <v>95781915173</v>
      </c>
      <c r="G322" s="30" t="s">
        <v>5427</v>
      </c>
      <c r="H322" s="30"/>
      <c r="I322" s="30">
        <v>1253660</v>
      </c>
      <c r="J322" s="30" t="s">
        <v>5431</v>
      </c>
      <c r="K322" s="30" t="s">
        <v>5610</v>
      </c>
    </row>
    <row r="323" spans="1:11" ht="12.5" x14ac:dyDescent="0.25">
      <c r="A323" s="30" t="s">
        <v>8391</v>
      </c>
      <c r="B323" s="30" t="s">
        <v>8390</v>
      </c>
      <c r="C323" s="32">
        <v>2.38</v>
      </c>
      <c r="D323" s="30">
        <v>-0.02</v>
      </c>
      <c r="E323" s="31">
        <v>-8.3300000000000006E-3</v>
      </c>
      <c r="F323" s="30">
        <v>119013437</v>
      </c>
      <c r="G323" s="30" t="s">
        <v>5427</v>
      </c>
      <c r="H323" s="30">
        <v>1994</v>
      </c>
      <c r="I323" s="30">
        <v>76837</v>
      </c>
      <c r="J323" s="30" t="s">
        <v>5435</v>
      </c>
      <c r="K323" s="30" t="s">
        <v>6352</v>
      </c>
    </row>
    <row r="324" spans="1:11" ht="12.5" x14ac:dyDescent="0.25">
      <c r="A324" s="30" t="s">
        <v>8389</v>
      </c>
      <c r="B324" s="30" t="s">
        <v>8388</v>
      </c>
      <c r="C324" s="32">
        <v>52.03</v>
      </c>
      <c r="D324" s="30">
        <v>0.01</v>
      </c>
      <c r="E324" s="31">
        <v>1.9000000000000001E-4</v>
      </c>
      <c r="F324" s="30">
        <v>7722032918</v>
      </c>
      <c r="G324" s="30" t="s">
        <v>5427</v>
      </c>
      <c r="H324" s="30">
        <v>1997</v>
      </c>
      <c r="I324" s="30">
        <v>1844145</v>
      </c>
      <c r="J324" s="30" t="s">
        <v>5426</v>
      </c>
      <c r="K324" s="30" t="s">
        <v>5520</v>
      </c>
    </row>
    <row r="325" spans="1:11" ht="12.5" x14ac:dyDescent="0.25">
      <c r="A325" s="30" t="s">
        <v>8387</v>
      </c>
      <c r="B325" s="30" t="s">
        <v>8386</v>
      </c>
      <c r="C325" s="32">
        <v>18.75</v>
      </c>
      <c r="D325" s="30">
        <v>0.21</v>
      </c>
      <c r="E325" s="31">
        <v>1.133E-2</v>
      </c>
      <c r="F325" s="30">
        <v>827476894</v>
      </c>
      <c r="G325" s="30" t="s">
        <v>5427</v>
      </c>
      <c r="H325" s="30">
        <v>2004</v>
      </c>
      <c r="I325" s="30">
        <v>113686</v>
      </c>
      <c r="J325" s="30" t="s">
        <v>5435</v>
      </c>
      <c r="K325" s="30" t="s">
        <v>5563</v>
      </c>
    </row>
    <row r="326" spans="1:11" ht="12.5" x14ac:dyDescent="0.25">
      <c r="A326" s="30" t="s">
        <v>8385</v>
      </c>
      <c r="B326" s="30" t="s">
        <v>8384</v>
      </c>
      <c r="C326" s="32">
        <v>7.54</v>
      </c>
      <c r="D326" s="30">
        <v>0.25</v>
      </c>
      <c r="E326" s="31">
        <v>3.4290000000000001E-2</v>
      </c>
      <c r="F326" s="30">
        <v>1747427769</v>
      </c>
      <c r="G326" s="30" t="s">
        <v>5427</v>
      </c>
      <c r="H326" s="30">
        <v>2007</v>
      </c>
      <c r="I326" s="30">
        <v>2275810</v>
      </c>
      <c r="J326" s="30" t="s">
        <v>5197</v>
      </c>
      <c r="K326" s="30" t="s">
        <v>5467</v>
      </c>
    </row>
    <row r="327" spans="1:11" ht="12.5" x14ac:dyDescent="0.25">
      <c r="A327" s="30" t="s">
        <v>8383</v>
      </c>
      <c r="B327" s="30" t="s">
        <v>8382</v>
      </c>
      <c r="C327" s="32">
        <v>27.46</v>
      </c>
      <c r="D327" s="30">
        <v>-0.19</v>
      </c>
      <c r="E327" s="31">
        <v>-6.8700000000000002E-3</v>
      </c>
      <c r="F327" s="30">
        <v>559177591</v>
      </c>
      <c r="G327" s="30" t="s">
        <v>5427</v>
      </c>
      <c r="H327" s="30"/>
      <c r="I327" s="30">
        <v>112155</v>
      </c>
      <c r="J327" s="30" t="s">
        <v>5457</v>
      </c>
      <c r="K327" s="30" t="s">
        <v>5456</v>
      </c>
    </row>
    <row r="328" spans="1:11" ht="12.5" x14ac:dyDescent="0.25">
      <c r="A328" s="30" t="s">
        <v>8381</v>
      </c>
      <c r="B328" s="30" t="s">
        <v>8380</v>
      </c>
      <c r="C328" s="32">
        <v>64.41</v>
      </c>
      <c r="D328" s="30">
        <v>-2.14</v>
      </c>
      <c r="E328" s="31">
        <v>-3.2160000000000001E-2</v>
      </c>
      <c r="F328" s="30">
        <v>5481986564</v>
      </c>
      <c r="G328" s="30" t="s">
        <v>5427</v>
      </c>
      <c r="H328" s="30">
        <v>2017</v>
      </c>
      <c r="I328" s="30">
        <v>443313</v>
      </c>
      <c r="J328" s="30" t="s">
        <v>5464</v>
      </c>
      <c r="K328" s="30" t="s">
        <v>5463</v>
      </c>
    </row>
    <row r="329" spans="1:11" ht="12.5" x14ac:dyDescent="0.25">
      <c r="A329" s="30" t="s">
        <v>8379</v>
      </c>
      <c r="B329" s="30" t="s">
        <v>8378</v>
      </c>
      <c r="C329" s="32">
        <v>74.989999999999995</v>
      </c>
      <c r="D329" s="30">
        <v>0.46</v>
      </c>
      <c r="E329" s="31">
        <v>6.1700000000000001E-3</v>
      </c>
      <c r="F329" s="30">
        <v>62632713608</v>
      </c>
      <c r="G329" s="30" t="s">
        <v>5427</v>
      </c>
      <c r="H329" s="30"/>
      <c r="I329" s="30">
        <v>3720092</v>
      </c>
      <c r="J329" s="30" t="s">
        <v>5442</v>
      </c>
      <c r="K329" s="30" t="s">
        <v>6240</v>
      </c>
    </row>
    <row r="330" spans="1:11" ht="12.5" x14ac:dyDescent="0.25">
      <c r="A330" s="30" t="s">
        <v>8377</v>
      </c>
      <c r="B330" s="30" t="s">
        <v>8376</v>
      </c>
      <c r="C330" s="32">
        <v>25.79</v>
      </c>
      <c r="D330" s="30">
        <v>0.19</v>
      </c>
      <c r="E330" s="31">
        <v>7.4200000000000004E-3</v>
      </c>
      <c r="F330" s="30">
        <v>1195916059</v>
      </c>
      <c r="G330" s="30" t="s">
        <v>6073</v>
      </c>
      <c r="H330" s="30">
        <v>1995</v>
      </c>
      <c r="I330" s="30">
        <v>555918</v>
      </c>
      <c r="J330" s="30" t="s">
        <v>5464</v>
      </c>
      <c r="K330" s="30" t="s">
        <v>5588</v>
      </c>
    </row>
    <row r="331" spans="1:11" ht="12.5" x14ac:dyDescent="0.25">
      <c r="A331" s="30" t="s">
        <v>8375</v>
      </c>
      <c r="B331" s="30" t="s">
        <v>8374</v>
      </c>
      <c r="C331" s="32">
        <v>14.04</v>
      </c>
      <c r="D331" s="30">
        <v>-0.17</v>
      </c>
      <c r="E331" s="31">
        <v>-1.196E-2</v>
      </c>
      <c r="F331" s="30">
        <v>685257497</v>
      </c>
      <c r="G331" s="30" t="s">
        <v>5427</v>
      </c>
      <c r="H331" s="30">
        <v>2010</v>
      </c>
      <c r="I331" s="30">
        <v>230420</v>
      </c>
      <c r="J331" s="30" t="s">
        <v>5197</v>
      </c>
      <c r="K331" s="30" t="s">
        <v>5467</v>
      </c>
    </row>
    <row r="332" spans="1:11" ht="12.5" x14ac:dyDescent="0.25">
      <c r="A332" s="30" t="s">
        <v>8373</v>
      </c>
      <c r="B332" s="30" t="s">
        <v>8372</v>
      </c>
      <c r="C332" s="32">
        <v>21.89</v>
      </c>
      <c r="D332" s="30">
        <v>0.54</v>
      </c>
      <c r="E332" s="31">
        <v>2.529E-2</v>
      </c>
      <c r="F332" s="30">
        <v>11279971353</v>
      </c>
      <c r="G332" s="30" t="s">
        <v>5427</v>
      </c>
      <c r="H332" s="30"/>
      <c r="I332" s="30">
        <v>9619981</v>
      </c>
      <c r="J332" s="30"/>
      <c r="K332" s="30"/>
    </row>
    <row r="333" spans="1:11" ht="12.5" x14ac:dyDescent="0.25">
      <c r="A333" s="30" t="s">
        <v>8371</v>
      </c>
      <c r="B333" s="30" t="s">
        <v>8370</v>
      </c>
      <c r="C333" s="32">
        <v>130.59</v>
      </c>
      <c r="D333" s="30">
        <v>0.28999999999999998</v>
      </c>
      <c r="E333" s="31">
        <v>2.2300000000000002E-3</v>
      </c>
      <c r="F333" s="30">
        <v>7061562315</v>
      </c>
      <c r="G333" s="30" t="s">
        <v>5427</v>
      </c>
      <c r="H333" s="30"/>
      <c r="I333" s="30">
        <v>227161</v>
      </c>
      <c r="J333" s="30"/>
      <c r="K333" s="30"/>
    </row>
    <row r="334" spans="1:11" ht="12.5" x14ac:dyDescent="0.25">
      <c r="A334" s="30" t="s">
        <v>8369</v>
      </c>
      <c r="B334" s="30" t="s">
        <v>8368</v>
      </c>
      <c r="C334" s="32">
        <v>7.1</v>
      </c>
      <c r="D334" s="30">
        <v>0.06</v>
      </c>
      <c r="E334" s="31">
        <v>8.5199999999999998E-3</v>
      </c>
      <c r="F334" s="30">
        <v>114048919</v>
      </c>
      <c r="G334" s="30" t="s">
        <v>5427</v>
      </c>
      <c r="H334" s="30">
        <v>2017</v>
      </c>
      <c r="I334" s="30">
        <v>42804</v>
      </c>
      <c r="J334" s="30" t="s">
        <v>5197</v>
      </c>
      <c r="K334" s="30" t="s">
        <v>5467</v>
      </c>
    </row>
    <row r="335" spans="1:11" ht="12.5" x14ac:dyDescent="0.25">
      <c r="A335" s="30" t="s">
        <v>8367</v>
      </c>
      <c r="B335" s="30" t="s">
        <v>8366</v>
      </c>
      <c r="C335" s="32">
        <v>13.47</v>
      </c>
      <c r="D335" s="30">
        <v>0.14000000000000001</v>
      </c>
      <c r="E335" s="31">
        <v>1.0500000000000001E-2</v>
      </c>
      <c r="F335" s="30">
        <v>1637952000</v>
      </c>
      <c r="G335" s="30" t="s">
        <v>5515</v>
      </c>
      <c r="H335" s="30">
        <v>1998</v>
      </c>
      <c r="I335" s="30">
        <v>482108</v>
      </c>
      <c r="J335" s="30"/>
      <c r="K335" s="30"/>
    </row>
    <row r="336" spans="1:11" ht="12.5" x14ac:dyDescent="0.25">
      <c r="A336" s="30" t="s">
        <v>8365</v>
      </c>
      <c r="B336" s="30" t="s">
        <v>8364</v>
      </c>
      <c r="C336" s="32">
        <v>38.75</v>
      </c>
      <c r="D336" s="30">
        <v>0.14000000000000001</v>
      </c>
      <c r="E336" s="31">
        <v>3.63E-3</v>
      </c>
      <c r="F336" s="30">
        <v>649522424</v>
      </c>
      <c r="G336" s="30" t="s">
        <v>5427</v>
      </c>
      <c r="H336" s="30"/>
      <c r="I336" s="30">
        <v>91221</v>
      </c>
      <c r="J336" s="30" t="s">
        <v>6250</v>
      </c>
      <c r="K336" s="30" t="s">
        <v>6167</v>
      </c>
    </row>
    <row r="337" spans="1:11" ht="12.5" x14ac:dyDescent="0.25">
      <c r="A337" s="30" t="s">
        <v>8363</v>
      </c>
      <c r="B337" s="30" t="s">
        <v>8362</v>
      </c>
      <c r="C337" s="32">
        <v>144.41</v>
      </c>
      <c r="D337" s="30">
        <v>-0.28000000000000003</v>
      </c>
      <c r="E337" s="31">
        <v>-1.9400000000000001E-3</v>
      </c>
      <c r="F337" s="30">
        <v>17817998535</v>
      </c>
      <c r="G337" s="30" t="s">
        <v>5427</v>
      </c>
      <c r="H337" s="30"/>
      <c r="I337" s="30">
        <v>1273437</v>
      </c>
      <c r="J337" s="30" t="s">
        <v>5442</v>
      </c>
      <c r="K337" s="30" t="s">
        <v>5755</v>
      </c>
    </row>
    <row r="338" spans="1:11" ht="12.5" x14ac:dyDescent="0.25">
      <c r="A338" s="30" t="s">
        <v>8361</v>
      </c>
      <c r="B338" s="30" t="s">
        <v>8360</v>
      </c>
      <c r="C338" s="32">
        <v>45.97</v>
      </c>
      <c r="D338" s="30">
        <v>0.35</v>
      </c>
      <c r="E338" s="31">
        <v>7.6699999999999997E-3</v>
      </c>
      <c r="F338" s="30">
        <v>41655707685</v>
      </c>
      <c r="G338" s="30" t="s">
        <v>5515</v>
      </c>
      <c r="H338" s="30"/>
      <c r="I338" s="30">
        <v>1150359</v>
      </c>
      <c r="J338" s="30"/>
      <c r="K338" s="30"/>
    </row>
    <row r="339" spans="1:11" ht="12.5" x14ac:dyDescent="0.25">
      <c r="A339" s="30" t="s">
        <v>8359</v>
      </c>
      <c r="B339" s="30" t="s">
        <v>8358</v>
      </c>
      <c r="C339" s="32">
        <v>74.349999999999994</v>
      </c>
      <c r="D339" s="30">
        <v>1.04</v>
      </c>
      <c r="E339" s="31">
        <v>1.4189999999999999E-2</v>
      </c>
      <c r="F339" s="30">
        <v>9737386190</v>
      </c>
      <c r="G339" s="30" t="s">
        <v>5427</v>
      </c>
      <c r="H339" s="30"/>
      <c r="I339" s="30">
        <v>1123958</v>
      </c>
      <c r="J339" s="30" t="s">
        <v>5435</v>
      </c>
      <c r="K339" s="30" t="s">
        <v>5579</v>
      </c>
    </row>
    <row r="340" spans="1:11" ht="12.5" x14ac:dyDescent="0.25">
      <c r="A340" s="30" t="s">
        <v>8357</v>
      </c>
      <c r="B340" s="30" t="s">
        <v>8356</v>
      </c>
      <c r="C340" s="32">
        <v>56.01</v>
      </c>
      <c r="D340" s="30">
        <v>1.74</v>
      </c>
      <c r="E340" s="31">
        <v>3.2059999999999998E-2</v>
      </c>
      <c r="F340" s="30">
        <v>6560040579</v>
      </c>
      <c r="G340" s="30" t="s">
        <v>5427</v>
      </c>
      <c r="H340" s="30"/>
      <c r="I340" s="30">
        <v>1049995</v>
      </c>
      <c r="J340" s="30" t="s">
        <v>5457</v>
      </c>
      <c r="K340" s="30" t="s">
        <v>5472</v>
      </c>
    </row>
    <row r="341" spans="1:11" ht="12.5" x14ac:dyDescent="0.25">
      <c r="A341" s="30" t="s">
        <v>8355</v>
      </c>
      <c r="B341" s="30" t="s">
        <v>8354</v>
      </c>
      <c r="C341" s="32">
        <v>1652.56</v>
      </c>
      <c r="D341" s="30">
        <v>6.18</v>
      </c>
      <c r="E341" s="31">
        <v>3.7499999999999999E-3</v>
      </c>
      <c r="F341" s="30">
        <v>45810800847</v>
      </c>
      <c r="G341" s="30" t="s">
        <v>5427</v>
      </c>
      <c r="H341" s="30">
        <v>2006</v>
      </c>
      <c r="I341" s="30">
        <v>278205</v>
      </c>
      <c r="J341" s="30" t="s">
        <v>5442</v>
      </c>
      <c r="K341" s="30" t="s">
        <v>5441</v>
      </c>
    </row>
    <row r="342" spans="1:11" ht="12.5" x14ac:dyDescent="0.25">
      <c r="A342" s="30" t="s">
        <v>8353</v>
      </c>
      <c r="B342" s="30" t="s">
        <v>8352</v>
      </c>
      <c r="C342" s="32">
        <v>250.91</v>
      </c>
      <c r="D342" s="30">
        <v>1.37</v>
      </c>
      <c r="E342" s="31">
        <v>5.4900000000000001E-3</v>
      </c>
      <c r="F342" s="30">
        <v>35383945940</v>
      </c>
      <c r="G342" s="30" t="s">
        <v>5427</v>
      </c>
      <c r="H342" s="30"/>
      <c r="I342" s="30">
        <v>772082</v>
      </c>
      <c r="J342" s="30" t="s">
        <v>5457</v>
      </c>
      <c r="K342" s="30" t="s">
        <v>5460</v>
      </c>
    </row>
    <row r="343" spans="1:11" ht="12.5" x14ac:dyDescent="0.25">
      <c r="A343" s="30" t="s">
        <v>8351</v>
      </c>
      <c r="B343" s="30" t="s">
        <v>8350</v>
      </c>
      <c r="C343" s="32">
        <v>45.67</v>
      </c>
      <c r="D343" s="30">
        <v>-0.99</v>
      </c>
      <c r="E343" s="31">
        <v>-2.1219999999999999E-2</v>
      </c>
      <c r="F343" s="30">
        <v>1873546259</v>
      </c>
      <c r="G343" s="30" t="s">
        <v>5427</v>
      </c>
      <c r="H343" s="30">
        <v>2003</v>
      </c>
      <c r="I343" s="30">
        <v>501012</v>
      </c>
      <c r="J343" s="30" t="s">
        <v>6250</v>
      </c>
      <c r="K343" s="30" t="s">
        <v>6914</v>
      </c>
    </row>
    <row r="344" spans="1:11" ht="12.5" x14ac:dyDescent="0.25">
      <c r="A344" s="30" t="s">
        <v>8349</v>
      </c>
      <c r="B344" s="30" t="s">
        <v>8348</v>
      </c>
      <c r="C344" s="32">
        <v>10.56</v>
      </c>
      <c r="D344" s="30">
        <v>0.41</v>
      </c>
      <c r="E344" s="31">
        <v>4.0390000000000002E-2</v>
      </c>
      <c r="F344" s="30">
        <v>1285403444</v>
      </c>
      <c r="G344" s="30" t="s">
        <v>5911</v>
      </c>
      <c r="H344" s="30">
        <v>2010</v>
      </c>
      <c r="I344" s="30">
        <v>723368</v>
      </c>
      <c r="J344" s="30" t="s">
        <v>5442</v>
      </c>
      <c r="K344" s="30" t="s">
        <v>5910</v>
      </c>
    </row>
    <row r="345" spans="1:11" ht="12.5" x14ac:dyDescent="0.25">
      <c r="A345" s="30" t="s">
        <v>8347</v>
      </c>
      <c r="B345" s="30" t="s">
        <v>8346</v>
      </c>
      <c r="C345" s="32">
        <v>63.72</v>
      </c>
      <c r="D345" s="30">
        <v>0.53</v>
      </c>
      <c r="E345" s="31">
        <v>8.3899999999999999E-3</v>
      </c>
      <c r="F345" s="30">
        <v>18494832079</v>
      </c>
      <c r="G345" s="30" t="s">
        <v>5427</v>
      </c>
      <c r="H345" s="30"/>
      <c r="I345" s="30">
        <v>2488564</v>
      </c>
      <c r="J345" s="30" t="s">
        <v>5426</v>
      </c>
      <c r="K345" s="30" t="s">
        <v>5593</v>
      </c>
    </row>
    <row r="346" spans="1:11" ht="12.5" x14ac:dyDescent="0.25">
      <c r="A346" s="30" t="s">
        <v>8345</v>
      </c>
      <c r="B346" s="30" t="s">
        <v>7072</v>
      </c>
      <c r="C346" s="32">
        <v>3.38</v>
      </c>
      <c r="D346" s="30">
        <v>0.02</v>
      </c>
      <c r="E346" s="31">
        <v>5.9500000000000004E-3</v>
      </c>
      <c r="F346" s="30">
        <v>95739561</v>
      </c>
      <c r="G346" s="30" t="s">
        <v>5427</v>
      </c>
      <c r="H346" s="30">
        <v>1987</v>
      </c>
      <c r="I346" s="30">
        <v>136355</v>
      </c>
      <c r="J346" s="30" t="s">
        <v>5435</v>
      </c>
      <c r="K346" s="30" t="s">
        <v>5434</v>
      </c>
    </row>
    <row r="347" spans="1:11" ht="12.5" x14ac:dyDescent="0.25">
      <c r="A347" s="30" t="s">
        <v>8344</v>
      </c>
      <c r="B347" s="30" t="s">
        <v>8343</v>
      </c>
      <c r="C347" s="32">
        <v>42.66</v>
      </c>
      <c r="D347" s="30">
        <v>-0.9</v>
      </c>
      <c r="E347" s="31">
        <v>-2.0660000000000001E-2</v>
      </c>
      <c r="F347" s="30">
        <v>11556311505</v>
      </c>
      <c r="G347" s="30" t="s">
        <v>5427</v>
      </c>
      <c r="H347" s="30"/>
      <c r="I347" s="30">
        <v>245233</v>
      </c>
      <c r="J347" s="30" t="s">
        <v>5435</v>
      </c>
      <c r="K347" s="30" t="s">
        <v>5493</v>
      </c>
    </row>
    <row r="348" spans="1:11" ht="12.5" x14ac:dyDescent="0.25">
      <c r="A348" s="30" t="s">
        <v>8342</v>
      </c>
      <c r="B348" s="30" t="s">
        <v>8341</v>
      </c>
      <c r="C348" s="32">
        <v>75.14</v>
      </c>
      <c r="D348" s="30">
        <v>-1.1000000000000001</v>
      </c>
      <c r="E348" s="31">
        <v>-1.443E-2</v>
      </c>
      <c r="F348" s="30">
        <v>42548753332</v>
      </c>
      <c r="G348" s="30" t="s">
        <v>5427</v>
      </c>
      <c r="H348" s="30"/>
      <c r="I348" s="30">
        <v>3918851</v>
      </c>
      <c r="J348" s="30" t="s">
        <v>5431</v>
      </c>
      <c r="K348" s="30" t="s">
        <v>5610</v>
      </c>
    </row>
    <row r="349" spans="1:11" ht="12.5" x14ac:dyDescent="0.25">
      <c r="A349" s="30" t="s">
        <v>8340</v>
      </c>
      <c r="B349" s="30" t="s">
        <v>8339</v>
      </c>
      <c r="C349" s="32">
        <v>119.42</v>
      </c>
      <c r="D349" s="30">
        <v>0.33</v>
      </c>
      <c r="E349" s="31">
        <v>2.7699999999999999E-3</v>
      </c>
      <c r="F349" s="30">
        <v>80161149933</v>
      </c>
      <c r="G349" s="30" t="s">
        <v>5515</v>
      </c>
      <c r="H349" s="30"/>
      <c r="I349" s="30">
        <v>1586373</v>
      </c>
      <c r="J349" s="30"/>
      <c r="K349" s="30"/>
    </row>
    <row r="350" spans="1:11" ht="12.5" x14ac:dyDescent="0.25">
      <c r="A350" s="30" t="s">
        <v>8338</v>
      </c>
      <c r="B350" s="30" t="s">
        <v>8337</v>
      </c>
      <c r="C350" s="32">
        <v>12.38</v>
      </c>
      <c r="D350" s="30">
        <v>0.44</v>
      </c>
      <c r="E350" s="31">
        <v>3.6850000000000001E-2</v>
      </c>
      <c r="F350" s="30">
        <v>1490861166</v>
      </c>
      <c r="G350" s="30" t="s">
        <v>5427</v>
      </c>
      <c r="H350" s="30">
        <v>2007</v>
      </c>
      <c r="I350" s="30">
        <v>3518122</v>
      </c>
      <c r="J350" s="30" t="s">
        <v>5442</v>
      </c>
      <c r="K350" s="30" t="s">
        <v>5450</v>
      </c>
    </row>
    <row r="351" spans="1:11" ht="12.5" x14ac:dyDescent="0.25">
      <c r="A351" s="30" t="s">
        <v>8336</v>
      </c>
      <c r="B351" s="30" t="s">
        <v>8335</v>
      </c>
      <c r="C351" s="32">
        <v>99.29</v>
      </c>
      <c r="D351" s="30">
        <v>3.53</v>
      </c>
      <c r="E351" s="31">
        <v>3.6859999999999997E-2</v>
      </c>
      <c r="F351" s="30">
        <v>3026598687</v>
      </c>
      <c r="G351" s="30" t="s">
        <v>5427</v>
      </c>
      <c r="H351" s="30">
        <v>1987</v>
      </c>
      <c r="I351" s="30">
        <v>515635</v>
      </c>
      <c r="J351" s="30" t="s">
        <v>5431</v>
      </c>
      <c r="K351" s="30" t="s">
        <v>6537</v>
      </c>
    </row>
    <row r="352" spans="1:11" ht="12.5" x14ac:dyDescent="0.25">
      <c r="A352" s="30" t="s">
        <v>8334</v>
      </c>
      <c r="B352" s="30" t="s">
        <v>8333</v>
      </c>
      <c r="C352" s="32">
        <v>26.11</v>
      </c>
      <c r="D352" s="30">
        <v>0.35</v>
      </c>
      <c r="E352" s="31">
        <v>1.359E-2</v>
      </c>
      <c r="F352" s="30">
        <v>2987070685</v>
      </c>
      <c r="G352" s="30" t="s">
        <v>5427</v>
      </c>
      <c r="H352" s="30"/>
      <c r="I352" s="30">
        <v>945373</v>
      </c>
      <c r="J352" s="30" t="s">
        <v>5435</v>
      </c>
      <c r="K352" s="30" t="s">
        <v>6352</v>
      </c>
    </row>
    <row r="353" spans="1:11" ht="12.5" x14ac:dyDescent="0.25">
      <c r="A353" s="30" t="s">
        <v>8332</v>
      </c>
      <c r="B353" s="30" t="s">
        <v>8331</v>
      </c>
      <c r="C353" s="32">
        <v>30.1</v>
      </c>
      <c r="D353" s="30">
        <v>-0.02</v>
      </c>
      <c r="E353" s="31">
        <v>-6.6E-4</v>
      </c>
      <c r="F353" s="30">
        <v>18949022493</v>
      </c>
      <c r="G353" s="30" t="s">
        <v>5427</v>
      </c>
      <c r="H353" s="30"/>
      <c r="I353" s="30">
        <v>5287843</v>
      </c>
      <c r="J353" s="30" t="s">
        <v>5426</v>
      </c>
      <c r="K353" s="30" t="s">
        <v>6000</v>
      </c>
    </row>
    <row r="354" spans="1:11" ht="12.5" x14ac:dyDescent="0.25">
      <c r="A354" s="30" t="s">
        <v>8330</v>
      </c>
      <c r="B354" s="30" t="s">
        <v>8329</v>
      </c>
      <c r="C354" s="32">
        <v>59.2</v>
      </c>
      <c r="D354" s="30">
        <v>-2.2400000000000002</v>
      </c>
      <c r="E354" s="31">
        <v>-3.6459999999999999E-2</v>
      </c>
      <c r="F354" s="30">
        <v>65536235200</v>
      </c>
      <c r="G354" s="30" t="s">
        <v>5515</v>
      </c>
      <c r="H354" s="30"/>
      <c r="I354" s="30">
        <v>2905561</v>
      </c>
      <c r="J354" s="30"/>
      <c r="K354" s="30"/>
    </row>
    <row r="355" spans="1:11" ht="12.5" x14ac:dyDescent="0.25">
      <c r="A355" s="30" t="s">
        <v>8328</v>
      </c>
      <c r="B355" s="30" t="s">
        <v>8327</v>
      </c>
      <c r="C355" s="32">
        <v>75.02</v>
      </c>
      <c r="D355" s="30">
        <v>1.55</v>
      </c>
      <c r="E355" s="31">
        <v>2.1100000000000001E-2</v>
      </c>
      <c r="F355" s="30">
        <v>3653949627</v>
      </c>
      <c r="G355" s="30" t="s">
        <v>5427</v>
      </c>
      <c r="H355" s="30">
        <v>2004</v>
      </c>
      <c r="I355" s="30">
        <v>107940</v>
      </c>
      <c r="J355" s="30" t="s">
        <v>5435</v>
      </c>
      <c r="K355" s="30" t="s">
        <v>5434</v>
      </c>
    </row>
    <row r="356" spans="1:11" ht="12.5" x14ac:dyDescent="0.25">
      <c r="A356" s="30" t="s">
        <v>8326</v>
      </c>
      <c r="B356" s="30" t="s">
        <v>8325</v>
      </c>
      <c r="C356" s="32">
        <v>16.25</v>
      </c>
      <c r="D356" s="30">
        <v>-0.48</v>
      </c>
      <c r="E356" s="31">
        <v>-2.869E-2</v>
      </c>
      <c r="F356" s="30">
        <v>2764556080</v>
      </c>
      <c r="G356" s="30" t="s">
        <v>5427</v>
      </c>
      <c r="H356" s="30">
        <v>1999</v>
      </c>
      <c r="I356" s="30">
        <v>3394536</v>
      </c>
      <c r="J356" s="30" t="s">
        <v>5464</v>
      </c>
      <c r="K356" s="30" t="s">
        <v>5463</v>
      </c>
    </row>
    <row r="357" spans="1:11" ht="12.5" x14ac:dyDescent="0.25">
      <c r="A357" s="30" t="s">
        <v>8324</v>
      </c>
      <c r="B357" s="30" t="s">
        <v>8323</v>
      </c>
      <c r="C357" s="32">
        <v>22.4</v>
      </c>
      <c r="D357" s="30">
        <v>0.08</v>
      </c>
      <c r="E357" s="31">
        <v>3.5799999999999998E-3</v>
      </c>
      <c r="F357" s="30">
        <v>1617341130</v>
      </c>
      <c r="G357" s="30" t="s">
        <v>5427</v>
      </c>
      <c r="H357" s="30">
        <v>2006</v>
      </c>
      <c r="I357" s="30">
        <v>207171</v>
      </c>
      <c r="J357" s="30" t="s">
        <v>5457</v>
      </c>
      <c r="K357" s="30" t="s">
        <v>5571</v>
      </c>
    </row>
    <row r="358" spans="1:11" ht="12.5" x14ac:dyDescent="0.25">
      <c r="A358" s="30" t="s">
        <v>8322</v>
      </c>
      <c r="B358" s="30" t="s">
        <v>8321</v>
      </c>
      <c r="C358" s="32">
        <v>116.33</v>
      </c>
      <c r="D358" s="30">
        <v>-2.67</v>
      </c>
      <c r="E358" s="31">
        <v>-2.2440000000000002E-2</v>
      </c>
      <c r="F358" s="30">
        <v>44356629000</v>
      </c>
      <c r="G358" s="30" t="s">
        <v>5427</v>
      </c>
      <c r="H358" s="30">
        <v>1994</v>
      </c>
      <c r="I358" s="30">
        <v>6732269</v>
      </c>
      <c r="J358" s="30" t="s">
        <v>5435</v>
      </c>
      <c r="K358" s="30" t="s">
        <v>5563</v>
      </c>
    </row>
    <row r="359" spans="1:11" ht="12.5" x14ac:dyDescent="0.25">
      <c r="A359" s="30" t="s">
        <v>8320</v>
      </c>
      <c r="B359" s="30" t="s">
        <v>8319</v>
      </c>
      <c r="C359" s="32">
        <v>31.69</v>
      </c>
      <c r="D359" s="30">
        <v>0.28000000000000003</v>
      </c>
      <c r="E359" s="31">
        <v>8.9099999999999995E-3</v>
      </c>
      <c r="F359" s="30">
        <v>8537263405</v>
      </c>
      <c r="G359" s="30" t="s">
        <v>5427</v>
      </c>
      <c r="H359" s="30">
        <v>2018</v>
      </c>
      <c r="I359" s="30">
        <v>1295907</v>
      </c>
      <c r="J359" s="30" t="s">
        <v>5197</v>
      </c>
      <c r="K359" s="30" t="s">
        <v>5467</v>
      </c>
    </row>
    <row r="360" spans="1:11" ht="12.5" x14ac:dyDescent="0.25">
      <c r="A360" s="30" t="s">
        <v>8318</v>
      </c>
      <c r="B360" s="30" t="s">
        <v>8317</v>
      </c>
      <c r="C360" s="32">
        <v>356.58</v>
      </c>
      <c r="D360" s="30">
        <v>7.65</v>
      </c>
      <c r="E360" s="31">
        <v>2.1919999999999999E-2</v>
      </c>
      <c r="F360" s="30">
        <v>17598786247</v>
      </c>
      <c r="G360" s="30" t="s">
        <v>5427</v>
      </c>
      <c r="H360" s="30"/>
      <c r="I360" s="30">
        <v>302283</v>
      </c>
      <c r="J360" s="30" t="s">
        <v>5431</v>
      </c>
      <c r="K360" s="30" t="s">
        <v>8316</v>
      </c>
    </row>
    <row r="361" spans="1:11" ht="12.5" x14ac:dyDescent="0.25">
      <c r="A361" s="30" t="s">
        <v>8315</v>
      </c>
      <c r="B361" s="30" t="s">
        <v>8314</v>
      </c>
      <c r="C361" s="32">
        <v>117.7</v>
      </c>
      <c r="D361" s="30">
        <v>-4.17</v>
      </c>
      <c r="E361" s="31">
        <v>-3.422E-2</v>
      </c>
      <c r="F361" s="30">
        <v>146662564468</v>
      </c>
      <c r="G361" s="30" t="s">
        <v>5427</v>
      </c>
      <c r="H361" s="30"/>
      <c r="I361" s="30">
        <v>7278597</v>
      </c>
      <c r="J361" s="30" t="s">
        <v>5464</v>
      </c>
      <c r="K361" s="30" t="s">
        <v>5674</v>
      </c>
    </row>
    <row r="362" spans="1:11" ht="12.5" x14ac:dyDescent="0.25">
      <c r="A362" s="30" t="s">
        <v>8313</v>
      </c>
      <c r="B362" s="30" t="s">
        <v>8312</v>
      </c>
      <c r="C362" s="32">
        <v>10.25</v>
      </c>
      <c r="D362" s="30">
        <v>0.28999999999999998</v>
      </c>
      <c r="E362" s="31">
        <v>2.912E-2</v>
      </c>
      <c r="F362" s="30">
        <v>8713653125</v>
      </c>
      <c r="G362" s="30" t="s">
        <v>5427</v>
      </c>
      <c r="H362" s="30">
        <v>2013</v>
      </c>
      <c r="I362" s="30">
        <v>6256017</v>
      </c>
      <c r="J362" s="30" t="s">
        <v>5442</v>
      </c>
      <c r="K362" s="30" t="s">
        <v>6240</v>
      </c>
    </row>
    <row r="363" spans="1:11" ht="12.5" x14ac:dyDescent="0.25">
      <c r="A363" s="30" t="s">
        <v>8311</v>
      </c>
      <c r="B363" s="30" t="s">
        <v>8310</v>
      </c>
      <c r="C363" s="32">
        <v>77.95</v>
      </c>
      <c r="D363" s="30">
        <v>-0.95</v>
      </c>
      <c r="E363" s="31">
        <v>-1.204E-2</v>
      </c>
      <c r="F363" s="30">
        <v>72503132126</v>
      </c>
      <c r="G363" s="30" t="s">
        <v>5515</v>
      </c>
      <c r="H363" s="30"/>
      <c r="I363" s="30">
        <v>3708513</v>
      </c>
      <c r="J363" s="30"/>
      <c r="K363" s="30"/>
    </row>
    <row r="364" spans="1:11" ht="12.5" x14ac:dyDescent="0.25">
      <c r="A364" s="30" t="s">
        <v>8309</v>
      </c>
      <c r="B364" s="30" t="s">
        <v>8308</v>
      </c>
      <c r="C364" s="32">
        <v>51.67</v>
      </c>
      <c r="D364" s="30">
        <v>-0.26</v>
      </c>
      <c r="E364" s="31">
        <v>-5.0099999999999997E-3</v>
      </c>
      <c r="F364" s="30">
        <v>15473489032</v>
      </c>
      <c r="G364" s="30" t="s">
        <v>5427</v>
      </c>
      <c r="H364" s="30"/>
      <c r="I364" s="30">
        <v>2281949</v>
      </c>
      <c r="J364" s="30" t="s">
        <v>5541</v>
      </c>
      <c r="K364" s="30" t="s">
        <v>5938</v>
      </c>
    </row>
    <row r="365" spans="1:11" ht="12.5" x14ac:dyDescent="0.25">
      <c r="A365" s="30" t="s">
        <v>8307</v>
      </c>
      <c r="B365" s="30" t="s">
        <v>8306</v>
      </c>
      <c r="C365" s="32">
        <v>41.64</v>
      </c>
      <c r="D365" s="30">
        <v>-0.91</v>
      </c>
      <c r="E365" s="31">
        <v>-2.1389999999999999E-2</v>
      </c>
      <c r="F365" s="30">
        <v>2565378814</v>
      </c>
      <c r="G365" s="30" t="s">
        <v>5427</v>
      </c>
      <c r="H365" s="30"/>
      <c r="I365" s="30">
        <v>1355664</v>
      </c>
      <c r="J365" s="30" t="s">
        <v>5464</v>
      </c>
      <c r="K365" s="30" t="s">
        <v>5463</v>
      </c>
    </row>
    <row r="366" spans="1:11" ht="12.5" x14ac:dyDescent="0.25">
      <c r="A366" s="30" t="s">
        <v>8305</v>
      </c>
      <c r="B366" s="30" t="s">
        <v>8304</v>
      </c>
      <c r="C366" s="32">
        <v>23.3</v>
      </c>
      <c r="D366" s="30">
        <v>0.7</v>
      </c>
      <c r="E366" s="31">
        <v>3.0970000000000001E-2</v>
      </c>
      <c r="F366" s="30">
        <v>629684131</v>
      </c>
      <c r="G366" s="30" t="s">
        <v>5427</v>
      </c>
      <c r="H366" s="30"/>
      <c r="I366" s="30">
        <v>270932</v>
      </c>
      <c r="J366" s="30" t="s">
        <v>5435</v>
      </c>
      <c r="K366" s="30" t="s">
        <v>5579</v>
      </c>
    </row>
    <row r="367" spans="1:11" ht="12.5" x14ac:dyDescent="0.25">
      <c r="A367" s="30" t="s">
        <v>8303</v>
      </c>
      <c r="B367" s="30" t="s">
        <v>8302</v>
      </c>
      <c r="C367" s="32">
        <v>7.23</v>
      </c>
      <c r="D367" s="30">
        <v>-0.23</v>
      </c>
      <c r="E367" s="31">
        <v>-3.083E-2</v>
      </c>
      <c r="F367" s="30">
        <v>3999079594</v>
      </c>
      <c r="G367" s="30" t="s">
        <v>5515</v>
      </c>
      <c r="H367" s="30"/>
      <c r="I367" s="30">
        <v>8567857</v>
      </c>
      <c r="J367" s="30"/>
      <c r="K367" s="30"/>
    </row>
    <row r="368" spans="1:11" ht="12.5" x14ac:dyDescent="0.25">
      <c r="A368" s="30" t="s">
        <v>8301</v>
      </c>
      <c r="B368" s="30" t="s">
        <v>8300</v>
      </c>
      <c r="C368" s="32">
        <v>125.53</v>
      </c>
      <c r="D368" s="30">
        <v>-0.55000000000000004</v>
      </c>
      <c r="E368" s="31">
        <v>-4.3600000000000002E-3</v>
      </c>
      <c r="F368" s="30">
        <v>2227031998</v>
      </c>
      <c r="G368" s="30" t="s">
        <v>5427</v>
      </c>
      <c r="H368" s="30"/>
      <c r="I368" s="30">
        <v>61825</v>
      </c>
      <c r="J368" s="30" t="s">
        <v>5426</v>
      </c>
      <c r="K368" s="30" t="s">
        <v>5463</v>
      </c>
    </row>
    <row r="369" spans="1:11" ht="12.5" x14ac:dyDescent="0.25">
      <c r="A369" s="30" t="s">
        <v>8299</v>
      </c>
      <c r="B369" s="30" t="s">
        <v>8298</v>
      </c>
      <c r="C369" s="32">
        <v>68.38</v>
      </c>
      <c r="D369" s="30">
        <v>1.89</v>
      </c>
      <c r="E369" s="31">
        <v>2.843E-2</v>
      </c>
      <c r="F369" s="30">
        <v>8806875323</v>
      </c>
      <c r="G369" s="30" t="s">
        <v>6387</v>
      </c>
      <c r="H369" s="30">
        <v>2011</v>
      </c>
      <c r="I369" s="30">
        <v>1580209</v>
      </c>
      <c r="J369" s="30" t="s">
        <v>5442</v>
      </c>
      <c r="K369" s="30" t="s">
        <v>5692</v>
      </c>
    </row>
    <row r="370" spans="1:11" ht="12.5" x14ac:dyDescent="0.25">
      <c r="A370" s="30" t="s">
        <v>8297</v>
      </c>
      <c r="B370" s="30" t="s">
        <v>8296</v>
      </c>
      <c r="C370" s="32">
        <v>17.34</v>
      </c>
      <c r="D370" s="30">
        <v>0.63</v>
      </c>
      <c r="E370" s="31">
        <v>3.7699999999999997E-2</v>
      </c>
      <c r="F370" s="30">
        <v>296653223</v>
      </c>
      <c r="G370" s="30" t="s">
        <v>5427</v>
      </c>
      <c r="H370" s="30"/>
      <c r="I370" s="30">
        <v>347782</v>
      </c>
      <c r="J370" s="30" t="s">
        <v>5442</v>
      </c>
      <c r="K370" s="30" t="s">
        <v>5853</v>
      </c>
    </row>
    <row r="371" spans="1:11" ht="12.5" x14ac:dyDescent="0.25">
      <c r="A371" s="30" t="s">
        <v>8295</v>
      </c>
      <c r="B371" s="30" t="s">
        <v>8294</v>
      </c>
      <c r="C371" s="32">
        <v>123.75</v>
      </c>
      <c r="D371" s="30">
        <v>0.54</v>
      </c>
      <c r="E371" s="31">
        <v>4.3800000000000002E-3</v>
      </c>
      <c r="F371" s="30">
        <v>13182844331</v>
      </c>
      <c r="G371" s="30" t="s">
        <v>5427</v>
      </c>
      <c r="H371" s="30">
        <v>1993</v>
      </c>
      <c r="I371" s="30">
        <v>915370</v>
      </c>
      <c r="J371" s="30" t="s">
        <v>5197</v>
      </c>
      <c r="K371" s="30" t="s">
        <v>5467</v>
      </c>
    </row>
    <row r="372" spans="1:11" ht="12.5" x14ac:dyDescent="0.25">
      <c r="A372" s="30" t="s">
        <v>8293</v>
      </c>
      <c r="B372" s="30" t="s">
        <v>8292</v>
      </c>
      <c r="C372" s="32">
        <v>117.06</v>
      </c>
      <c r="D372" s="30">
        <v>1.1499999999999999</v>
      </c>
      <c r="E372" s="31">
        <v>9.92E-3</v>
      </c>
      <c r="F372" s="30">
        <v>6572266625</v>
      </c>
      <c r="G372" s="30" t="s">
        <v>5427</v>
      </c>
      <c r="H372" s="30"/>
      <c r="I372" s="30">
        <v>548485</v>
      </c>
      <c r="J372" s="30" t="s">
        <v>5457</v>
      </c>
      <c r="K372" s="30" t="s">
        <v>5487</v>
      </c>
    </row>
    <row r="373" spans="1:11" ht="12.5" x14ac:dyDescent="0.25">
      <c r="A373" s="30" t="s">
        <v>8291</v>
      </c>
      <c r="B373" s="30" t="s">
        <v>8290</v>
      </c>
      <c r="C373" s="32">
        <v>48.05</v>
      </c>
      <c r="D373" s="30">
        <v>0.97</v>
      </c>
      <c r="E373" s="31">
        <v>2.06E-2</v>
      </c>
      <c r="F373" s="30">
        <v>35762564819</v>
      </c>
      <c r="G373" s="30" t="s">
        <v>5512</v>
      </c>
      <c r="H373" s="30"/>
      <c r="I373" s="30">
        <v>969170</v>
      </c>
      <c r="J373" s="30" t="s">
        <v>5457</v>
      </c>
      <c r="K373" s="30" t="s">
        <v>6035</v>
      </c>
    </row>
    <row r="374" spans="1:11" ht="12.5" x14ac:dyDescent="0.25">
      <c r="A374" s="30" t="s">
        <v>8289</v>
      </c>
      <c r="B374" s="30" t="s">
        <v>8288</v>
      </c>
      <c r="C374" s="32">
        <v>84.97</v>
      </c>
      <c r="D374" s="30">
        <v>1.6</v>
      </c>
      <c r="E374" s="31">
        <v>1.9189999999999999E-2</v>
      </c>
      <c r="F374" s="30">
        <v>3242590302</v>
      </c>
      <c r="G374" s="30" t="s">
        <v>5427</v>
      </c>
      <c r="H374" s="30">
        <v>2003</v>
      </c>
      <c r="I374" s="30">
        <v>454739</v>
      </c>
      <c r="J374" s="30" t="s">
        <v>5442</v>
      </c>
      <c r="K374" s="30" t="s">
        <v>5534</v>
      </c>
    </row>
    <row r="375" spans="1:11" ht="12.5" x14ac:dyDescent="0.25">
      <c r="A375" s="30" t="s">
        <v>8287</v>
      </c>
      <c r="B375" s="30" t="s">
        <v>8286</v>
      </c>
      <c r="C375" s="32">
        <v>11.94</v>
      </c>
      <c r="D375" s="30">
        <v>-0.21</v>
      </c>
      <c r="E375" s="31">
        <v>-1.728E-2</v>
      </c>
      <c r="F375" s="30">
        <v>2791066675</v>
      </c>
      <c r="G375" s="30" t="s">
        <v>5427</v>
      </c>
      <c r="H375" s="30"/>
      <c r="I375" s="30">
        <v>6322884</v>
      </c>
      <c r="J375" s="30" t="s">
        <v>5464</v>
      </c>
      <c r="K375" s="30" t="s">
        <v>5463</v>
      </c>
    </row>
    <row r="376" spans="1:11" ht="12.5" x14ac:dyDescent="0.25">
      <c r="A376" s="30" t="s">
        <v>8285</v>
      </c>
      <c r="B376" s="30" t="s">
        <v>8284</v>
      </c>
      <c r="C376" s="32">
        <v>248.21</v>
      </c>
      <c r="D376" s="30">
        <v>4.96</v>
      </c>
      <c r="E376" s="31">
        <v>2.0389999999999998E-2</v>
      </c>
      <c r="F376" s="30">
        <v>12628591206</v>
      </c>
      <c r="G376" s="30" t="s">
        <v>5427</v>
      </c>
      <c r="H376" s="30">
        <v>2000</v>
      </c>
      <c r="I376" s="30">
        <v>304661</v>
      </c>
      <c r="J376" s="30" t="s">
        <v>5442</v>
      </c>
      <c r="K376" s="30" t="s">
        <v>5447</v>
      </c>
    </row>
    <row r="377" spans="1:11" ht="12.5" x14ac:dyDescent="0.25">
      <c r="A377" s="30" t="s">
        <v>8283</v>
      </c>
      <c r="B377" s="30" t="s">
        <v>8282</v>
      </c>
      <c r="C377" s="32">
        <v>171.82</v>
      </c>
      <c r="D377" s="30">
        <v>3.85</v>
      </c>
      <c r="E377" s="31">
        <v>2.2919999999999999E-2</v>
      </c>
      <c r="F377" s="30">
        <v>171820000000</v>
      </c>
      <c r="G377" s="30" t="s">
        <v>5427</v>
      </c>
      <c r="H377" s="30">
        <v>2004</v>
      </c>
      <c r="I377" s="30">
        <v>8846011</v>
      </c>
      <c r="J377" s="30" t="s">
        <v>5219</v>
      </c>
      <c r="K377" s="30" t="s">
        <v>5560</v>
      </c>
    </row>
    <row r="378" spans="1:11" ht="12.5" x14ac:dyDescent="0.25">
      <c r="A378" s="30" t="s">
        <v>8281</v>
      </c>
      <c r="B378" s="30" t="s">
        <v>8280</v>
      </c>
      <c r="C378" s="32">
        <v>49.82</v>
      </c>
      <c r="D378" s="30">
        <v>1.53</v>
      </c>
      <c r="E378" s="31">
        <v>3.168E-2</v>
      </c>
      <c r="F378" s="30">
        <v>2416728792</v>
      </c>
      <c r="G378" s="30" t="s">
        <v>5427</v>
      </c>
      <c r="H378" s="30"/>
      <c r="I378" s="30">
        <v>385376</v>
      </c>
      <c r="J378" s="30" t="s">
        <v>5457</v>
      </c>
      <c r="K378" s="30" t="s">
        <v>5472</v>
      </c>
    </row>
    <row r="379" spans="1:11" ht="12.5" x14ac:dyDescent="0.25">
      <c r="A379" s="30" t="s">
        <v>8279</v>
      </c>
      <c r="B379" s="30" t="s">
        <v>8278</v>
      </c>
      <c r="C379" s="32">
        <v>26.704999999999998</v>
      </c>
      <c r="D379" s="30">
        <v>-0.06</v>
      </c>
      <c r="E379" s="31">
        <v>-2.2399999999999998E-3</v>
      </c>
      <c r="F379" s="30">
        <v>160230000</v>
      </c>
      <c r="G379" s="30" t="s">
        <v>5427</v>
      </c>
      <c r="H379" s="30">
        <v>1992</v>
      </c>
      <c r="I379" s="30">
        <v>45185</v>
      </c>
      <c r="J379" s="30" t="s">
        <v>5464</v>
      </c>
      <c r="K379" s="30" t="s">
        <v>5463</v>
      </c>
    </row>
    <row r="380" spans="1:11" ht="12.5" x14ac:dyDescent="0.25">
      <c r="A380" s="30" t="s">
        <v>8277</v>
      </c>
      <c r="B380" s="30" t="s">
        <v>8276</v>
      </c>
      <c r="C380" s="32">
        <v>3.63</v>
      </c>
      <c r="D380" s="30">
        <v>0.12</v>
      </c>
      <c r="E380" s="31">
        <v>3.4189999999999998E-2</v>
      </c>
      <c r="F380" s="30">
        <v>14380465577</v>
      </c>
      <c r="G380" s="30" t="s">
        <v>5799</v>
      </c>
      <c r="H380" s="30"/>
      <c r="I380" s="30">
        <v>26268596</v>
      </c>
      <c r="J380" s="30" t="s">
        <v>5435</v>
      </c>
      <c r="K380" s="30" t="s">
        <v>6221</v>
      </c>
    </row>
    <row r="381" spans="1:11" ht="12.5" x14ac:dyDescent="0.25">
      <c r="A381" s="30" t="s">
        <v>8275</v>
      </c>
      <c r="B381" s="30" t="s">
        <v>8274</v>
      </c>
      <c r="C381" s="32">
        <v>255.56</v>
      </c>
      <c r="D381" s="30">
        <v>4.7</v>
      </c>
      <c r="E381" s="31">
        <v>1.874E-2</v>
      </c>
      <c r="F381" s="30">
        <v>13216532015</v>
      </c>
      <c r="G381" s="30" t="s">
        <v>5427</v>
      </c>
      <c r="H381" s="30"/>
      <c r="I381" s="30">
        <v>210448</v>
      </c>
      <c r="J381" s="30"/>
      <c r="K381" s="30"/>
    </row>
    <row r="382" spans="1:11" ht="12.5" x14ac:dyDescent="0.25">
      <c r="A382" s="30" t="s">
        <v>8273</v>
      </c>
      <c r="B382" s="30" t="s">
        <v>8272</v>
      </c>
      <c r="C382" s="32">
        <v>69.209999999999994</v>
      </c>
      <c r="D382" s="30">
        <v>1.59</v>
      </c>
      <c r="E382" s="31">
        <v>2.351E-2</v>
      </c>
      <c r="F382" s="30">
        <v>1042924659</v>
      </c>
      <c r="G382" s="30" t="s">
        <v>5427</v>
      </c>
      <c r="H382" s="30"/>
      <c r="I382" s="30">
        <v>87330</v>
      </c>
      <c r="J382" s="30" t="s">
        <v>5197</v>
      </c>
      <c r="K382" s="30" t="s">
        <v>5467</v>
      </c>
    </row>
    <row r="383" spans="1:11" ht="12.5" x14ac:dyDescent="0.25">
      <c r="A383" s="30" t="s">
        <v>8271</v>
      </c>
      <c r="B383" s="30" t="s">
        <v>8270</v>
      </c>
      <c r="C383" s="32">
        <v>14.97</v>
      </c>
      <c r="D383" s="30">
        <v>0.44</v>
      </c>
      <c r="E383" s="31">
        <v>3.0280000000000001E-2</v>
      </c>
      <c r="F383" s="30">
        <v>2160194832</v>
      </c>
      <c r="G383" s="30" t="s">
        <v>6073</v>
      </c>
      <c r="H383" s="30">
        <v>2013</v>
      </c>
      <c r="I383" s="30">
        <v>2659980</v>
      </c>
      <c r="J383" s="30" t="s">
        <v>5457</v>
      </c>
      <c r="K383" s="30" t="s">
        <v>8269</v>
      </c>
    </row>
    <row r="384" spans="1:11" ht="12.5" x14ac:dyDescent="0.25">
      <c r="A384" s="30" t="s">
        <v>8268</v>
      </c>
      <c r="B384" s="30" t="s">
        <v>8267</v>
      </c>
      <c r="C384" s="32">
        <v>32.409999999999997</v>
      </c>
      <c r="D384" s="30">
        <v>-0.01</v>
      </c>
      <c r="E384" s="31">
        <v>-3.1E-4</v>
      </c>
      <c r="F384" s="30">
        <v>476906927</v>
      </c>
      <c r="G384" s="30" t="s">
        <v>5427</v>
      </c>
      <c r="H384" s="30"/>
      <c r="I384" s="30">
        <v>76341</v>
      </c>
      <c r="J384" s="30" t="s">
        <v>5442</v>
      </c>
      <c r="K384" s="30" t="s">
        <v>5914</v>
      </c>
    </row>
    <row r="385" spans="1:11" ht="12.5" x14ac:dyDescent="0.25">
      <c r="A385" s="30" t="s">
        <v>8266</v>
      </c>
      <c r="B385" s="30" t="s">
        <v>8265</v>
      </c>
      <c r="C385" s="32">
        <v>54.72</v>
      </c>
      <c r="D385" s="30">
        <v>1.17</v>
      </c>
      <c r="E385" s="31">
        <v>2.1850000000000001E-2</v>
      </c>
      <c r="F385" s="30">
        <v>9847607590</v>
      </c>
      <c r="G385" s="30" t="s">
        <v>5427</v>
      </c>
      <c r="H385" s="30">
        <v>2014</v>
      </c>
      <c r="I385" s="30">
        <v>2030210</v>
      </c>
      <c r="J385" s="30" t="s">
        <v>5431</v>
      </c>
      <c r="K385" s="30" t="s">
        <v>5430</v>
      </c>
    </row>
    <row r="386" spans="1:11" ht="12.5" x14ac:dyDescent="0.25">
      <c r="A386" s="30" t="s">
        <v>8264</v>
      </c>
      <c r="B386" s="30" t="s">
        <v>8263</v>
      </c>
      <c r="C386" s="32">
        <v>19.68</v>
      </c>
      <c r="D386" s="30">
        <v>0.04</v>
      </c>
      <c r="E386" s="31">
        <v>2.0400000000000001E-3</v>
      </c>
      <c r="F386" s="30">
        <v>449510683</v>
      </c>
      <c r="G386" s="30" t="s">
        <v>5427</v>
      </c>
      <c r="H386" s="30">
        <v>1992</v>
      </c>
      <c r="I386" s="30">
        <v>135912</v>
      </c>
      <c r="J386" s="30" t="s">
        <v>5197</v>
      </c>
      <c r="K386" s="30" t="s">
        <v>5467</v>
      </c>
    </row>
    <row r="387" spans="1:11" ht="12.5" x14ac:dyDescent="0.25">
      <c r="A387" s="30" t="s">
        <v>8262</v>
      </c>
      <c r="B387" s="30" t="s">
        <v>8261</v>
      </c>
      <c r="C387" s="32">
        <v>30.76</v>
      </c>
      <c r="D387" s="30">
        <v>-7.0000000000000007E-2</v>
      </c>
      <c r="E387" s="31">
        <v>-2.2699999999999999E-3</v>
      </c>
      <c r="F387" s="30">
        <v>215373645</v>
      </c>
      <c r="G387" s="30" t="s">
        <v>5427</v>
      </c>
      <c r="H387" s="30">
        <v>2012</v>
      </c>
      <c r="I387" s="30">
        <v>11461</v>
      </c>
      <c r="J387" s="30" t="s">
        <v>5435</v>
      </c>
      <c r="K387" s="30" t="s">
        <v>5434</v>
      </c>
    </row>
    <row r="388" spans="1:11" ht="12.5" x14ac:dyDescent="0.25">
      <c r="A388" s="30" t="s">
        <v>8260</v>
      </c>
      <c r="B388" s="30" t="s">
        <v>8259</v>
      </c>
      <c r="C388" s="32">
        <v>24.54</v>
      </c>
      <c r="D388" s="30">
        <v>-0.49</v>
      </c>
      <c r="E388" s="31">
        <v>-1.958E-2</v>
      </c>
      <c r="F388" s="30">
        <v>19348988794</v>
      </c>
      <c r="G388" s="30" t="s">
        <v>5427</v>
      </c>
      <c r="H388" s="30"/>
      <c r="I388" s="30">
        <v>7670852</v>
      </c>
      <c r="J388" s="30" t="s">
        <v>5464</v>
      </c>
      <c r="K388" s="30" t="s">
        <v>5463</v>
      </c>
    </row>
    <row r="389" spans="1:11" ht="12.5" x14ac:dyDescent="0.25">
      <c r="A389" s="30" t="s">
        <v>8258</v>
      </c>
      <c r="B389" s="30" t="s">
        <v>8257</v>
      </c>
      <c r="C389" s="32">
        <v>20.63</v>
      </c>
      <c r="D389" s="30">
        <v>-0.09</v>
      </c>
      <c r="E389" s="31">
        <v>-4.3400000000000001E-3</v>
      </c>
      <c r="F389" s="30">
        <v>2001702947</v>
      </c>
      <c r="G389" s="30" t="s">
        <v>5427</v>
      </c>
      <c r="H389" s="30">
        <v>2022</v>
      </c>
      <c r="I389" s="30">
        <v>521886</v>
      </c>
      <c r="J389" s="30" t="s">
        <v>5197</v>
      </c>
      <c r="K389" s="30" t="s">
        <v>5467</v>
      </c>
    </row>
    <row r="390" spans="1:11" ht="12.5" x14ac:dyDescent="0.25">
      <c r="A390" s="30" t="s">
        <v>8256</v>
      </c>
      <c r="B390" s="30" t="s">
        <v>8255</v>
      </c>
      <c r="C390" s="32">
        <v>46.16</v>
      </c>
      <c r="D390" s="30">
        <v>1.65</v>
      </c>
      <c r="E390" s="31">
        <v>3.7069999999999999E-2</v>
      </c>
      <c r="F390" s="30">
        <v>1471575630</v>
      </c>
      <c r="G390" s="30" t="s">
        <v>5427</v>
      </c>
      <c r="H390" s="30"/>
      <c r="I390" s="30">
        <v>135520</v>
      </c>
      <c r="J390" s="30" t="s">
        <v>5219</v>
      </c>
      <c r="K390" s="30" t="s">
        <v>5644</v>
      </c>
    </row>
    <row r="391" spans="1:11" ht="12.5" x14ac:dyDescent="0.25">
      <c r="A391" s="30" t="s">
        <v>8254</v>
      </c>
      <c r="B391" s="30" t="s">
        <v>8253</v>
      </c>
      <c r="C391" s="32">
        <v>45.51</v>
      </c>
      <c r="D391" s="30">
        <v>-0.28000000000000003</v>
      </c>
      <c r="E391" s="31">
        <v>-6.11E-3</v>
      </c>
      <c r="F391" s="30">
        <v>10220393960</v>
      </c>
      <c r="G391" s="30" t="s">
        <v>5427</v>
      </c>
      <c r="H391" s="30"/>
      <c r="I391" s="30">
        <v>2060910</v>
      </c>
      <c r="J391" s="30" t="s">
        <v>5197</v>
      </c>
      <c r="K391" s="30" t="s">
        <v>5467</v>
      </c>
    </row>
    <row r="392" spans="1:11" ht="12.5" x14ac:dyDescent="0.25">
      <c r="A392" s="30" t="s">
        <v>8252</v>
      </c>
      <c r="B392" s="30" t="s">
        <v>8251</v>
      </c>
      <c r="C392" s="32">
        <v>30.65</v>
      </c>
      <c r="D392" s="30">
        <v>0.28000000000000003</v>
      </c>
      <c r="E392" s="31">
        <v>9.2200000000000008E-3</v>
      </c>
      <c r="F392" s="30">
        <v>992253813</v>
      </c>
      <c r="G392" s="30" t="s">
        <v>5427</v>
      </c>
      <c r="H392" s="30"/>
      <c r="I392" s="30">
        <v>610585</v>
      </c>
      <c r="J392" s="30" t="s">
        <v>5435</v>
      </c>
      <c r="K392" s="30" t="s">
        <v>5579</v>
      </c>
    </row>
    <row r="393" spans="1:11" ht="12.5" x14ac:dyDescent="0.25">
      <c r="A393" s="30" t="s">
        <v>8250</v>
      </c>
      <c r="B393" s="30" t="s">
        <v>8249</v>
      </c>
      <c r="C393" s="32">
        <v>10.210000000000001</v>
      </c>
      <c r="D393" s="30">
        <v>0.48</v>
      </c>
      <c r="E393" s="31">
        <v>4.9329999999999999E-2</v>
      </c>
      <c r="F393" s="30">
        <v>13274389530</v>
      </c>
      <c r="G393" s="30" t="s">
        <v>5427</v>
      </c>
      <c r="H393" s="30"/>
      <c r="I393" s="30">
        <v>2693309</v>
      </c>
      <c r="J393" s="30"/>
      <c r="K393" s="30"/>
    </row>
    <row r="394" spans="1:11" ht="12.5" x14ac:dyDescent="0.25">
      <c r="A394" s="30" t="s">
        <v>8248</v>
      </c>
      <c r="B394" s="30" t="s">
        <v>8247</v>
      </c>
      <c r="C394" s="32">
        <v>5.2</v>
      </c>
      <c r="D394" s="30">
        <v>0</v>
      </c>
      <c r="E394" s="31">
        <v>0</v>
      </c>
      <c r="F394" s="30">
        <v>63927562</v>
      </c>
      <c r="G394" s="30" t="s">
        <v>5427</v>
      </c>
      <c r="H394" s="30"/>
      <c r="I394" s="30">
        <v>10158</v>
      </c>
      <c r="J394" s="30" t="s">
        <v>5442</v>
      </c>
      <c r="K394" s="30" t="s">
        <v>8246</v>
      </c>
    </row>
    <row r="395" spans="1:11" ht="12.5" x14ac:dyDescent="0.25">
      <c r="A395" s="30" t="s">
        <v>8245</v>
      </c>
      <c r="B395" s="30" t="s">
        <v>8244</v>
      </c>
      <c r="C395" s="32">
        <v>27.18</v>
      </c>
      <c r="D395" s="30">
        <v>-0.24</v>
      </c>
      <c r="E395" s="31">
        <v>-8.7500000000000008E-3</v>
      </c>
      <c r="F395" s="30">
        <v>4115983758</v>
      </c>
      <c r="G395" s="30" t="s">
        <v>5427</v>
      </c>
      <c r="H395" s="30"/>
      <c r="I395" s="30">
        <v>1748857</v>
      </c>
      <c r="J395" s="30" t="s">
        <v>5197</v>
      </c>
      <c r="K395" s="30" t="s">
        <v>5467</v>
      </c>
    </row>
    <row r="396" spans="1:11" ht="12.5" x14ac:dyDescent="0.25">
      <c r="A396" s="30" t="s">
        <v>8243</v>
      </c>
      <c r="B396" s="30" t="s">
        <v>8242</v>
      </c>
      <c r="C396" s="32">
        <v>19.25</v>
      </c>
      <c r="D396" s="30">
        <v>-0.73</v>
      </c>
      <c r="E396" s="31">
        <v>-3.6540000000000003E-2</v>
      </c>
      <c r="F396" s="30">
        <v>36938574750</v>
      </c>
      <c r="G396" s="30" t="s">
        <v>5515</v>
      </c>
      <c r="H396" s="30"/>
      <c r="I396" s="30">
        <v>6009116</v>
      </c>
      <c r="J396" s="30"/>
      <c r="K396" s="30"/>
    </row>
    <row r="397" spans="1:11" ht="12.5" x14ac:dyDescent="0.25">
      <c r="A397" s="30" t="s">
        <v>8241</v>
      </c>
      <c r="B397" s="30" t="s">
        <v>8240</v>
      </c>
      <c r="C397" s="32">
        <v>32.590000000000003</v>
      </c>
      <c r="D397" s="30">
        <v>-0.61</v>
      </c>
      <c r="E397" s="31">
        <v>-1.8370000000000001E-2</v>
      </c>
      <c r="F397" s="30">
        <v>3276292221</v>
      </c>
      <c r="G397" s="30" t="s">
        <v>5427</v>
      </c>
      <c r="H397" s="30">
        <v>2007</v>
      </c>
      <c r="I397" s="30">
        <v>722312</v>
      </c>
      <c r="J397" s="30" t="s">
        <v>5464</v>
      </c>
      <c r="K397" s="30" t="s">
        <v>5674</v>
      </c>
    </row>
    <row r="398" spans="1:11" ht="12.5" x14ac:dyDescent="0.25">
      <c r="A398" s="30" t="s">
        <v>8239</v>
      </c>
      <c r="B398" s="30" t="s">
        <v>8238</v>
      </c>
      <c r="C398" s="32">
        <v>13.56</v>
      </c>
      <c r="D398" s="30">
        <v>3.39</v>
      </c>
      <c r="E398" s="31">
        <v>0.33333000000000002</v>
      </c>
      <c r="F398" s="30">
        <v>1436651422</v>
      </c>
      <c r="G398" s="30" t="s">
        <v>5427</v>
      </c>
      <c r="H398" s="30">
        <v>2017</v>
      </c>
      <c r="I398" s="30">
        <v>81765675</v>
      </c>
      <c r="J398" s="30" t="s">
        <v>5442</v>
      </c>
      <c r="K398" s="30" t="s">
        <v>5508</v>
      </c>
    </row>
    <row r="399" spans="1:11" ht="12.5" x14ac:dyDescent="0.25">
      <c r="A399" s="30" t="s">
        <v>8237</v>
      </c>
      <c r="B399" s="30" t="s">
        <v>8236</v>
      </c>
      <c r="C399" s="32">
        <v>87.49</v>
      </c>
      <c r="D399" s="30">
        <v>-0.73</v>
      </c>
      <c r="E399" s="31">
        <v>-8.2699999999999996E-3</v>
      </c>
      <c r="F399" s="30">
        <v>114958965131</v>
      </c>
      <c r="G399" s="30" t="s">
        <v>5427</v>
      </c>
      <c r="H399" s="30"/>
      <c r="I399" s="30">
        <v>7401675</v>
      </c>
      <c r="J399" s="30" t="s">
        <v>5431</v>
      </c>
      <c r="K399" s="30" t="s">
        <v>6530</v>
      </c>
    </row>
    <row r="400" spans="1:11" ht="12.5" x14ac:dyDescent="0.25">
      <c r="A400" s="30" t="s">
        <v>8235</v>
      </c>
      <c r="B400" s="30" t="s">
        <v>8234</v>
      </c>
      <c r="C400" s="32">
        <v>171.36</v>
      </c>
      <c r="D400" s="30">
        <v>-2.66</v>
      </c>
      <c r="E400" s="31">
        <v>-1.529E-2</v>
      </c>
      <c r="F400" s="30">
        <v>331348301243</v>
      </c>
      <c r="G400" s="30" t="s">
        <v>5427</v>
      </c>
      <c r="H400" s="30"/>
      <c r="I400" s="30">
        <v>11517217</v>
      </c>
      <c r="J400" s="30" t="s">
        <v>5464</v>
      </c>
      <c r="K400" s="30" t="s">
        <v>5674</v>
      </c>
    </row>
    <row r="401" spans="1:11" ht="12.5" x14ac:dyDescent="0.25">
      <c r="A401" s="30" t="s">
        <v>8233</v>
      </c>
      <c r="B401" s="30" t="s">
        <v>8232</v>
      </c>
      <c r="C401" s="32">
        <v>166.22</v>
      </c>
      <c r="D401" s="30">
        <v>0.42</v>
      </c>
      <c r="E401" s="31">
        <v>2.5300000000000001E-3</v>
      </c>
      <c r="F401" s="30">
        <v>6367501572</v>
      </c>
      <c r="G401" s="30" t="s">
        <v>5427</v>
      </c>
      <c r="H401" s="30"/>
      <c r="I401" s="30">
        <v>259198</v>
      </c>
      <c r="J401" s="30"/>
      <c r="K401" s="30"/>
    </row>
    <row r="402" spans="1:11" ht="12.5" x14ac:dyDescent="0.25">
      <c r="A402" s="30" t="s">
        <v>8231</v>
      </c>
      <c r="B402" s="30" t="s">
        <v>8230</v>
      </c>
      <c r="C402" s="32">
        <v>33.81</v>
      </c>
      <c r="D402" s="30">
        <v>0.02</v>
      </c>
      <c r="E402" s="31">
        <v>5.9000000000000003E-4</v>
      </c>
      <c r="F402" s="30">
        <v>3949156696</v>
      </c>
      <c r="G402" s="30" t="s">
        <v>5427</v>
      </c>
      <c r="H402" s="30">
        <v>2015</v>
      </c>
      <c r="I402" s="30">
        <v>602585</v>
      </c>
      <c r="J402" s="30" t="s">
        <v>5426</v>
      </c>
      <c r="K402" s="30" t="s">
        <v>6000</v>
      </c>
    </row>
    <row r="403" spans="1:11" ht="12.5" x14ac:dyDescent="0.25">
      <c r="A403" s="30" t="s">
        <v>8229</v>
      </c>
      <c r="B403" s="30" t="s">
        <v>8228</v>
      </c>
      <c r="C403" s="32">
        <v>25.65</v>
      </c>
      <c r="D403" s="30">
        <v>0.24</v>
      </c>
      <c r="E403" s="31">
        <v>9.4500000000000001E-3</v>
      </c>
      <c r="F403" s="30">
        <v>1080691648</v>
      </c>
      <c r="G403" s="30" t="s">
        <v>5427</v>
      </c>
      <c r="H403" s="30">
        <v>2016</v>
      </c>
      <c r="I403" s="30">
        <v>1252938</v>
      </c>
      <c r="J403" s="30" t="s">
        <v>5442</v>
      </c>
      <c r="K403" s="30" t="s">
        <v>5508</v>
      </c>
    </row>
    <row r="404" spans="1:11" ht="12.5" x14ac:dyDescent="0.25">
      <c r="A404" s="30" t="s">
        <v>8227</v>
      </c>
      <c r="B404" s="30" t="s">
        <v>8226</v>
      </c>
      <c r="C404" s="32">
        <v>62.63</v>
      </c>
      <c r="D404" s="30">
        <v>1.46</v>
      </c>
      <c r="E404" s="31">
        <v>2.3869999999999999E-2</v>
      </c>
      <c r="F404" s="30">
        <v>3433627120</v>
      </c>
      <c r="G404" s="30" t="s">
        <v>5427</v>
      </c>
      <c r="H404" s="30"/>
      <c r="I404" s="30">
        <v>251567</v>
      </c>
      <c r="J404" s="30" t="s">
        <v>5426</v>
      </c>
      <c r="K404" s="30" t="s">
        <v>5490</v>
      </c>
    </row>
    <row r="405" spans="1:11" ht="12.5" x14ac:dyDescent="0.25">
      <c r="A405" s="30" t="s">
        <v>8225</v>
      </c>
      <c r="B405" s="30" t="s">
        <v>8224</v>
      </c>
      <c r="C405" s="32">
        <v>5.51</v>
      </c>
      <c r="D405" s="30">
        <v>0.17</v>
      </c>
      <c r="E405" s="31">
        <v>3.184E-2</v>
      </c>
      <c r="F405" s="30">
        <v>7982770620</v>
      </c>
      <c r="G405" s="30" t="s">
        <v>5835</v>
      </c>
      <c r="H405" s="30"/>
      <c r="I405" s="30">
        <v>5064092</v>
      </c>
      <c r="J405" s="30" t="s">
        <v>5457</v>
      </c>
      <c r="K405" s="30" t="s">
        <v>6035</v>
      </c>
    </row>
    <row r="406" spans="1:11" ht="12.5" x14ac:dyDescent="0.25">
      <c r="A406" s="30" t="s">
        <v>8223</v>
      </c>
      <c r="B406" s="30" t="s">
        <v>8222</v>
      </c>
      <c r="C406" s="32">
        <v>3.75</v>
      </c>
      <c r="D406" s="30">
        <v>0.01</v>
      </c>
      <c r="E406" s="31">
        <v>2.6700000000000001E-3</v>
      </c>
      <c r="F406" s="30">
        <v>118221649</v>
      </c>
      <c r="G406" s="30" t="s">
        <v>5427</v>
      </c>
      <c r="H406" s="30">
        <v>1989</v>
      </c>
      <c r="I406" s="30">
        <v>65298</v>
      </c>
      <c r="J406" s="30" t="s">
        <v>5435</v>
      </c>
      <c r="K406" s="30" t="s">
        <v>5434</v>
      </c>
    </row>
    <row r="407" spans="1:11" ht="12.5" x14ac:dyDescent="0.25">
      <c r="A407" s="30" t="s">
        <v>8221</v>
      </c>
      <c r="B407" s="30" t="s">
        <v>8220</v>
      </c>
      <c r="C407" s="32">
        <v>7.66</v>
      </c>
      <c r="D407" s="30">
        <v>0.08</v>
      </c>
      <c r="E407" s="31">
        <v>1.055E-2</v>
      </c>
      <c r="F407" s="30">
        <v>69784477</v>
      </c>
      <c r="G407" s="30" t="s">
        <v>5427</v>
      </c>
      <c r="H407" s="30">
        <v>1989</v>
      </c>
      <c r="I407" s="30">
        <v>11873</v>
      </c>
      <c r="J407" s="30" t="s">
        <v>5435</v>
      </c>
      <c r="K407" s="30" t="s">
        <v>5434</v>
      </c>
    </row>
    <row r="408" spans="1:11" ht="12.5" x14ac:dyDescent="0.25">
      <c r="A408" s="30" t="s">
        <v>8219</v>
      </c>
      <c r="B408" s="30" t="s">
        <v>8218</v>
      </c>
      <c r="C408" s="32">
        <v>10.61</v>
      </c>
      <c r="D408" s="30">
        <v>-0.03</v>
      </c>
      <c r="E408" s="31">
        <v>-2.82E-3</v>
      </c>
      <c r="F408" s="30">
        <v>1219950161</v>
      </c>
      <c r="G408" s="30" t="s">
        <v>5427</v>
      </c>
      <c r="H408" s="30"/>
      <c r="I408" s="30">
        <v>1070248</v>
      </c>
      <c r="J408" s="30"/>
      <c r="K408" s="30"/>
    </row>
    <row r="409" spans="1:11" ht="12.5" x14ac:dyDescent="0.25">
      <c r="A409" s="30" t="s">
        <v>8217</v>
      </c>
      <c r="B409" s="30" t="s">
        <v>8216</v>
      </c>
      <c r="C409" s="32">
        <v>9.36</v>
      </c>
      <c r="D409" s="30">
        <v>0.22</v>
      </c>
      <c r="E409" s="31">
        <v>2.4070000000000001E-2</v>
      </c>
      <c r="F409" s="30">
        <v>382430880</v>
      </c>
      <c r="G409" s="30" t="s">
        <v>5752</v>
      </c>
      <c r="H409" s="30">
        <v>1994</v>
      </c>
      <c r="I409" s="30">
        <v>20943</v>
      </c>
      <c r="J409" s="30" t="s">
        <v>5457</v>
      </c>
      <c r="K409" s="30" t="s">
        <v>5460</v>
      </c>
    </row>
    <row r="410" spans="1:11" ht="12.5" x14ac:dyDescent="0.25">
      <c r="A410" s="30" t="s">
        <v>8215</v>
      </c>
      <c r="B410" s="30" t="s">
        <v>8214</v>
      </c>
      <c r="C410" s="32">
        <v>5.47</v>
      </c>
      <c r="D410" s="30">
        <v>0.25</v>
      </c>
      <c r="E410" s="31">
        <v>4.7890000000000002E-2</v>
      </c>
      <c r="F410" s="30">
        <v>736881089</v>
      </c>
      <c r="G410" s="30" t="s">
        <v>5427</v>
      </c>
      <c r="H410" s="30">
        <v>2000</v>
      </c>
      <c r="I410" s="30">
        <v>5073517</v>
      </c>
      <c r="J410" s="30" t="s">
        <v>5431</v>
      </c>
      <c r="K410" s="30" t="s">
        <v>5785</v>
      </c>
    </row>
    <row r="411" spans="1:11" ht="12.5" x14ac:dyDescent="0.25">
      <c r="A411" s="30" t="s">
        <v>8213</v>
      </c>
      <c r="B411" s="30" t="s">
        <v>8212</v>
      </c>
      <c r="C411" s="32">
        <v>63.1</v>
      </c>
      <c r="D411" s="30">
        <v>-0.54</v>
      </c>
      <c r="E411" s="31">
        <v>-8.4899999999999993E-3</v>
      </c>
      <c r="F411" s="30">
        <v>52579665436</v>
      </c>
      <c r="G411" s="30" t="s">
        <v>5427</v>
      </c>
      <c r="H411" s="30"/>
      <c r="I411" s="30">
        <v>5232495</v>
      </c>
      <c r="J411" s="30" t="s">
        <v>5426</v>
      </c>
      <c r="K411" s="30" t="s">
        <v>6000</v>
      </c>
    </row>
    <row r="412" spans="1:11" ht="12.5" x14ac:dyDescent="0.25">
      <c r="A412" s="30" t="s">
        <v>8211</v>
      </c>
      <c r="B412" s="30" t="s">
        <v>8210</v>
      </c>
      <c r="C412" s="32">
        <v>61.29</v>
      </c>
      <c r="D412" s="30">
        <v>2.11</v>
      </c>
      <c r="E412" s="31">
        <v>3.5650000000000001E-2</v>
      </c>
      <c r="F412" s="30">
        <v>1241101294</v>
      </c>
      <c r="G412" s="30" t="s">
        <v>5911</v>
      </c>
      <c r="H412" s="30">
        <v>2006</v>
      </c>
      <c r="I412" s="30">
        <v>206903</v>
      </c>
      <c r="J412" s="30" t="s">
        <v>5442</v>
      </c>
      <c r="K412" s="30" t="s">
        <v>5910</v>
      </c>
    </row>
    <row r="413" spans="1:11" ht="12.5" x14ac:dyDescent="0.25">
      <c r="A413" s="30" t="s">
        <v>8209</v>
      </c>
      <c r="B413" s="30" t="s">
        <v>8208</v>
      </c>
      <c r="C413" s="32">
        <v>39.89</v>
      </c>
      <c r="D413" s="30">
        <v>0.79</v>
      </c>
      <c r="E413" s="31">
        <v>2.0199999999999999E-2</v>
      </c>
      <c r="F413" s="30">
        <v>25577003760</v>
      </c>
      <c r="G413" s="30" t="s">
        <v>5427</v>
      </c>
      <c r="H413" s="30"/>
      <c r="I413" s="30">
        <v>10730444</v>
      </c>
      <c r="J413" s="30" t="s">
        <v>5442</v>
      </c>
      <c r="K413" s="30" t="s">
        <v>5749</v>
      </c>
    </row>
    <row r="414" spans="1:11" ht="12.5" x14ac:dyDescent="0.25">
      <c r="A414" s="30" t="s">
        <v>8207</v>
      </c>
      <c r="B414" s="30" t="s">
        <v>8206</v>
      </c>
      <c r="C414" s="32">
        <v>18.79</v>
      </c>
      <c r="D414" s="30">
        <v>0.65</v>
      </c>
      <c r="E414" s="31">
        <v>3.5830000000000001E-2</v>
      </c>
      <c r="F414" s="30">
        <v>2693611607</v>
      </c>
      <c r="G414" s="30" t="s">
        <v>5427</v>
      </c>
      <c r="H414" s="30"/>
      <c r="I414" s="30">
        <v>1189629</v>
      </c>
      <c r="J414" s="30" t="s">
        <v>5442</v>
      </c>
      <c r="K414" s="30" t="s">
        <v>5853</v>
      </c>
    </row>
    <row r="415" spans="1:11" ht="12.5" x14ac:dyDescent="0.25">
      <c r="A415" s="30" t="s">
        <v>8205</v>
      </c>
      <c r="B415" s="30" t="s">
        <v>8204</v>
      </c>
      <c r="C415" s="32">
        <v>67.459999999999994</v>
      </c>
      <c r="D415" s="30">
        <v>1.17</v>
      </c>
      <c r="E415" s="31">
        <v>1.7649999999999999E-2</v>
      </c>
      <c r="F415" s="30">
        <v>10811909858</v>
      </c>
      <c r="G415" s="30" t="s">
        <v>5427</v>
      </c>
      <c r="H415" s="30">
        <v>1997</v>
      </c>
      <c r="I415" s="30">
        <v>1278256</v>
      </c>
      <c r="J415" s="30" t="s">
        <v>5541</v>
      </c>
      <c r="K415" s="30" t="s">
        <v>5774</v>
      </c>
    </row>
    <row r="416" spans="1:11" ht="12.5" x14ac:dyDescent="0.25">
      <c r="A416" s="30" t="s">
        <v>8203</v>
      </c>
      <c r="B416" s="30" t="s">
        <v>8202</v>
      </c>
      <c r="C416" s="32">
        <v>90.22</v>
      </c>
      <c r="D416" s="30">
        <v>2.35</v>
      </c>
      <c r="E416" s="31">
        <v>2.674E-2</v>
      </c>
      <c r="F416" s="30">
        <v>5134463055</v>
      </c>
      <c r="G416" s="30" t="s">
        <v>5775</v>
      </c>
      <c r="H416" s="30">
        <v>2018</v>
      </c>
      <c r="I416" s="30">
        <v>190704</v>
      </c>
      <c r="J416" s="30" t="s">
        <v>5219</v>
      </c>
      <c r="K416" s="30" t="s">
        <v>5447</v>
      </c>
    </row>
    <row r="417" spans="1:11" ht="12.5" x14ac:dyDescent="0.25">
      <c r="A417" s="30" t="s">
        <v>8201</v>
      </c>
      <c r="B417" s="30" t="s">
        <v>8200</v>
      </c>
      <c r="C417" s="32">
        <v>13.49</v>
      </c>
      <c r="D417" s="30">
        <v>0.11</v>
      </c>
      <c r="E417" s="31">
        <v>8.2199999999999999E-3</v>
      </c>
      <c r="F417" s="30">
        <v>27481828000</v>
      </c>
      <c r="G417" s="30" t="s">
        <v>6263</v>
      </c>
      <c r="H417" s="30"/>
      <c r="I417" s="30">
        <v>4228325</v>
      </c>
      <c r="J417" s="30" t="s">
        <v>5435</v>
      </c>
      <c r="K417" s="30" t="s">
        <v>5582</v>
      </c>
    </row>
    <row r="418" spans="1:11" ht="12.5" x14ac:dyDescent="0.25">
      <c r="A418" s="30" t="s">
        <v>8199</v>
      </c>
      <c r="B418" s="30" t="s">
        <v>8198</v>
      </c>
      <c r="C418" s="32">
        <v>2.4900000000000002</v>
      </c>
      <c r="D418" s="30">
        <v>0.1</v>
      </c>
      <c r="E418" s="31">
        <v>4.1840000000000002E-2</v>
      </c>
      <c r="F418" s="30">
        <v>196904377</v>
      </c>
      <c r="G418" s="30" t="s">
        <v>5427</v>
      </c>
      <c r="H418" s="30"/>
      <c r="I418" s="30">
        <v>1620229</v>
      </c>
      <c r="J418" s="30" t="s">
        <v>5219</v>
      </c>
      <c r="K418" s="30" t="s">
        <v>5447</v>
      </c>
    </row>
    <row r="419" spans="1:11" ht="12.5" x14ac:dyDescent="0.25">
      <c r="A419" s="30" t="s">
        <v>8197</v>
      </c>
      <c r="B419" s="30" t="s">
        <v>8196</v>
      </c>
      <c r="C419" s="32">
        <v>10.42</v>
      </c>
      <c r="D419" s="30">
        <v>0.11</v>
      </c>
      <c r="E419" s="31">
        <v>1.0670000000000001E-2</v>
      </c>
      <c r="F419" s="30">
        <v>663050014</v>
      </c>
      <c r="G419" s="30" t="s">
        <v>5427</v>
      </c>
      <c r="H419" s="30"/>
      <c r="I419" s="30">
        <v>1525986</v>
      </c>
      <c r="J419" s="30" t="s">
        <v>5442</v>
      </c>
      <c r="K419" s="30" t="s">
        <v>7318</v>
      </c>
    </row>
    <row r="420" spans="1:11" ht="12.5" x14ac:dyDescent="0.25">
      <c r="A420" s="30" t="s">
        <v>8195</v>
      </c>
      <c r="B420" s="30" t="s">
        <v>8194</v>
      </c>
      <c r="C420" s="32">
        <v>15.41</v>
      </c>
      <c r="D420" s="30">
        <v>0.03</v>
      </c>
      <c r="E420" s="31">
        <v>1.9499999999999999E-3</v>
      </c>
      <c r="F420" s="30">
        <v>245702541</v>
      </c>
      <c r="G420" s="30" t="s">
        <v>5427</v>
      </c>
      <c r="H420" s="30">
        <v>2012</v>
      </c>
      <c r="I420" s="30">
        <v>115022</v>
      </c>
      <c r="J420" s="30"/>
      <c r="K420" s="30"/>
    </row>
    <row r="421" spans="1:11" ht="12.5" x14ac:dyDescent="0.25">
      <c r="A421" s="30" t="s">
        <v>8193</v>
      </c>
      <c r="B421" s="30" t="s">
        <v>8192</v>
      </c>
      <c r="C421" s="32">
        <v>15.19</v>
      </c>
      <c r="D421" s="30">
        <v>0.39</v>
      </c>
      <c r="E421" s="31">
        <v>2.6349999999999998E-2</v>
      </c>
      <c r="F421" s="30">
        <v>2428809759</v>
      </c>
      <c r="G421" s="30" t="s">
        <v>5427</v>
      </c>
      <c r="H421" s="30">
        <v>2014</v>
      </c>
      <c r="I421" s="30">
        <v>1967225</v>
      </c>
      <c r="J421" s="30" t="s">
        <v>5197</v>
      </c>
      <c r="K421" s="30" t="s">
        <v>6091</v>
      </c>
    </row>
    <row r="422" spans="1:11" ht="12.5" x14ac:dyDescent="0.25">
      <c r="A422" s="30" t="s">
        <v>8191</v>
      </c>
      <c r="B422" s="30" t="s">
        <v>8190</v>
      </c>
      <c r="C422" s="32">
        <v>63.18</v>
      </c>
      <c r="D422" s="30">
        <v>0.83</v>
      </c>
      <c r="E422" s="31">
        <v>1.3310000000000001E-2</v>
      </c>
      <c r="F422" s="30">
        <v>7688179606</v>
      </c>
      <c r="G422" s="30" t="s">
        <v>5427</v>
      </c>
      <c r="H422" s="30"/>
      <c r="I422" s="30">
        <v>383031</v>
      </c>
      <c r="J422" s="30" t="s">
        <v>5457</v>
      </c>
      <c r="K422" s="30" t="s">
        <v>8189</v>
      </c>
    </row>
    <row r="423" spans="1:11" ht="12.5" x14ac:dyDescent="0.25">
      <c r="A423" s="30" t="s">
        <v>8188</v>
      </c>
      <c r="B423" s="30" t="s">
        <v>8187</v>
      </c>
      <c r="C423" s="32">
        <v>56.54</v>
      </c>
      <c r="D423" s="30">
        <v>-1.24</v>
      </c>
      <c r="E423" s="31">
        <v>-2.146E-2</v>
      </c>
      <c r="F423" s="30">
        <v>684267887</v>
      </c>
      <c r="G423" s="30" t="s">
        <v>5427</v>
      </c>
      <c r="H423" s="30"/>
      <c r="I423" s="30">
        <v>44310</v>
      </c>
      <c r="J423" s="30" t="s">
        <v>5457</v>
      </c>
      <c r="K423" s="30" t="s">
        <v>5701</v>
      </c>
    </row>
    <row r="424" spans="1:11" ht="12.5" x14ac:dyDescent="0.25">
      <c r="A424" s="30" t="s">
        <v>8186</v>
      </c>
      <c r="B424" s="30" t="s">
        <v>8185</v>
      </c>
      <c r="C424" s="32">
        <v>42.04</v>
      </c>
      <c r="D424" s="30">
        <v>0</v>
      </c>
      <c r="E424" s="31">
        <v>0</v>
      </c>
      <c r="F424" s="30">
        <v>8760991298</v>
      </c>
      <c r="G424" s="30" t="s">
        <v>5427</v>
      </c>
      <c r="H424" s="30"/>
      <c r="I424" s="30">
        <v>896479</v>
      </c>
      <c r="J424" s="30" t="s">
        <v>5426</v>
      </c>
      <c r="K424" s="30" t="s">
        <v>5546</v>
      </c>
    </row>
    <row r="425" spans="1:11" ht="12.5" x14ac:dyDescent="0.25">
      <c r="A425" s="30" t="s">
        <v>8184</v>
      </c>
      <c r="B425" s="30" t="s">
        <v>8183</v>
      </c>
      <c r="C425" s="32">
        <v>11.01</v>
      </c>
      <c r="D425" s="30">
        <v>0.15</v>
      </c>
      <c r="E425" s="31">
        <v>1.3809999999999999E-2</v>
      </c>
      <c r="F425" s="30">
        <v>1444091033</v>
      </c>
      <c r="G425" s="30" t="s">
        <v>5427</v>
      </c>
      <c r="H425" s="30"/>
      <c r="I425" s="30">
        <v>1340589</v>
      </c>
      <c r="J425" s="30" t="s">
        <v>5219</v>
      </c>
      <c r="K425" s="30" t="s">
        <v>7345</v>
      </c>
    </row>
    <row r="426" spans="1:11" ht="12.5" x14ac:dyDescent="0.25">
      <c r="A426" s="30" t="s">
        <v>8182</v>
      </c>
      <c r="B426" s="30" t="s">
        <v>8181</v>
      </c>
      <c r="C426" s="32">
        <v>8.3800000000000008</v>
      </c>
      <c r="D426" s="30">
        <v>0.02</v>
      </c>
      <c r="E426" s="31">
        <v>2.3900000000000002E-3</v>
      </c>
      <c r="F426" s="30">
        <v>63781504</v>
      </c>
      <c r="G426" s="30" t="s">
        <v>5427</v>
      </c>
      <c r="H426" s="30">
        <v>1993</v>
      </c>
      <c r="I426" s="30">
        <v>31854</v>
      </c>
      <c r="J426" s="30" t="s">
        <v>5435</v>
      </c>
      <c r="K426" s="30" t="s">
        <v>5985</v>
      </c>
    </row>
    <row r="427" spans="1:11" ht="12.5" x14ac:dyDescent="0.25">
      <c r="A427" s="30" t="s">
        <v>8180</v>
      </c>
      <c r="B427" s="30" t="s">
        <v>8179</v>
      </c>
      <c r="C427" s="32">
        <v>394.56</v>
      </c>
      <c r="D427" s="30">
        <v>1.25</v>
      </c>
      <c r="E427" s="31">
        <v>3.1800000000000001E-3</v>
      </c>
      <c r="F427" s="30">
        <v>6756806068</v>
      </c>
      <c r="G427" s="30" t="s">
        <v>5427</v>
      </c>
      <c r="H427" s="30"/>
      <c r="I427" s="30">
        <v>127337</v>
      </c>
      <c r="J427" s="30" t="s">
        <v>5442</v>
      </c>
      <c r="K427" s="30" t="s">
        <v>5534</v>
      </c>
    </row>
    <row r="428" spans="1:11" ht="12.5" x14ac:dyDescent="0.25">
      <c r="A428" s="30" t="s">
        <v>8178</v>
      </c>
      <c r="B428" s="30" t="s">
        <v>8177</v>
      </c>
      <c r="C428" s="32">
        <v>426.99</v>
      </c>
      <c r="D428" s="30">
        <v>4.1500000000000004</v>
      </c>
      <c r="E428" s="31">
        <v>9.8099999999999993E-3</v>
      </c>
      <c r="F428" s="30">
        <v>126883090487</v>
      </c>
      <c r="G428" s="30" t="s">
        <v>5427</v>
      </c>
      <c r="H428" s="30"/>
      <c r="I428" s="30">
        <v>1112081</v>
      </c>
      <c r="J428" s="30" t="s">
        <v>5457</v>
      </c>
      <c r="K428" s="30" t="s">
        <v>5644</v>
      </c>
    </row>
    <row r="429" spans="1:11" ht="12.5" x14ac:dyDescent="0.25">
      <c r="A429" s="30" t="s">
        <v>8176</v>
      </c>
      <c r="B429" s="30" t="s">
        <v>8175</v>
      </c>
      <c r="C429" s="32">
        <v>16.399999999999999</v>
      </c>
      <c r="D429" s="30">
        <v>0.16</v>
      </c>
      <c r="E429" s="31">
        <v>9.8499999999999994E-3</v>
      </c>
      <c r="F429" s="30">
        <v>1489349944</v>
      </c>
      <c r="G429" s="30" t="s">
        <v>5427</v>
      </c>
      <c r="H429" s="30">
        <v>2015</v>
      </c>
      <c r="I429" s="30">
        <v>863621</v>
      </c>
      <c r="J429" s="30" t="s">
        <v>5197</v>
      </c>
      <c r="K429" s="30" t="s">
        <v>5467</v>
      </c>
    </row>
    <row r="430" spans="1:11" ht="12.5" x14ac:dyDescent="0.25">
      <c r="A430" s="30" t="s">
        <v>8174</v>
      </c>
      <c r="B430" s="30" t="s">
        <v>8173</v>
      </c>
      <c r="C430" s="32">
        <v>428.39</v>
      </c>
      <c r="D430" s="30">
        <v>0.91</v>
      </c>
      <c r="E430" s="31">
        <v>2.1299999999999999E-3</v>
      </c>
      <c r="F430" s="30">
        <v>11338110738</v>
      </c>
      <c r="G430" s="30" t="s">
        <v>5427</v>
      </c>
      <c r="H430" s="30">
        <v>1993</v>
      </c>
      <c r="I430" s="30">
        <v>398675</v>
      </c>
      <c r="J430" s="30" t="s">
        <v>5442</v>
      </c>
      <c r="K430" s="30" t="s">
        <v>5477</v>
      </c>
    </row>
    <row r="431" spans="1:11" ht="12.5" x14ac:dyDescent="0.25">
      <c r="A431" s="30" t="s">
        <v>8172</v>
      </c>
      <c r="B431" s="30" t="s">
        <v>8171</v>
      </c>
      <c r="C431" s="32">
        <v>17.03</v>
      </c>
      <c r="D431" s="30">
        <v>0.28000000000000003</v>
      </c>
      <c r="E431" s="31">
        <v>1.6719999999999999E-2</v>
      </c>
      <c r="F431" s="30">
        <v>2993685052</v>
      </c>
      <c r="G431" s="30" t="s">
        <v>5427</v>
      </c>
      <c r="H431" s="30">
        <v>2006</v>
      </c>
      <c r="I431" s="30">
        <v>2975696</v>
      </c>
      <c r="J431" s="30" t="s">
        <v>5197</v>
      </c>
      <c r="K431" s="30" t="s">
        <v>5467</v>
      </c>
    </row>
    <row r="432" spans="1:11" ht="12.5" x14ac:dyDescent="0.25">
      <c r="A432" s="30" t="s">
        <v>8170</v>
      </c>
      <c r="B432" s="30" t="s">
        <v>8169</v>
      </c>
      <c r="C432" s="32">
        <v>177.86</v>
      </c>
      <c r="D432" s="30">
        <v>1.01</v>
      </c>
      <c r="E432" s="31">
        <v>5.7099999999999998E-3</v>
      </c>
      <c r="F432" s="30">
        <v>100665956215</v>
      </c>
      <c r="G432" s="30" t="s">
        <v>5775</v>
      </c>
      <c r="H432" s="30"/>
      <c r="I432" s="30">
        <v>442587</v>
      </c>
      <c r="J432" s="30" t="s">
        <v>5541</v>
      </c>
      <c r="K432" s="30" t="s">
        <v>5997</v>
      </c>
    </row>
    <row r="433" spans="1:11" ht="12.5" x14ac:dyDescent="0.25">
      <c r="A433" s="30" t="s">
        <v>8168</v>
      </c>
      <c r="B433" s="30" t="s">
        <v>8167</v>
      </c>
      <c r="C433" s="32">
        <v>8.58</v>
      </c>
      <c r="D433" s="30">
        <v>0.06</v>
      </c>
      <c r="E433" s="31">
        <v>7.0400000000000003E-3</v>
      </c>
      <c r="F433" s="30">
        <v>91444825</v>
      </c>
      <c r="G433" s="30" t="s">
        <v>5427</v>
      </c>
      <c r="H433" s="30">
        <v>2007</v>
      </c>
      <c r="I433" s="30">
        <v>33840</v>
      </c>
      <c r="J433" s="30" t="s">
        <v>5435</v>
      </c>
      <c r="K433" s="30" t="s">
        <v>5563</v>
      </c>
    </row>
    <row r="434" spans="1:11" ht="12.5" x14ac:dyDescent="0.25">
      <c r="A434" s="30" t="s">
        <v>8166</v>
      </c>
      <c r="B434" s="30" t="s">
        <v>8165</v>
      </c>
      <c r="C434" s="32">
        <v>12.82</v>
      </c>
      <c r="D434" s="30">
        <v>0.18</v>
      </c>
      <c r="E434" s="31">
        <v>1.4239999999999999E-2</v>
      </c>
      <c r="F434" s="30">
        <v>1189183367</v>
      </c>
      <c r="G434" s="30" t="s">
        <v>5427</v>
      </c>
      <c r="H434" s="30">
        <v>2022</v>
      </c>
      <c r="I434" s="30">
        <v>265472</v>
      </c>
      <c r="J434" s="30"/>
      <c r="K434" s="30"/>
    </row>
    <row r="435" spans="1:11" ht="12.5" x14ac:dyDescent="0.25">
      <c r="A435" s="30" t="s">
        <v>8164</v>
      </c>
      <c r="B435" s="30" t="s">
        <v>8163</v>
      </c>
      <c r="C435" s="32">
        <v>115.83</v>
      </c>
      <c r="D435" s="30">
        <v>-0.9</v>
      </c>
      <c r="E435" s="31">
        <v>-7.7099999999999998E-3</v>
      </c>
      <c r="F435" s="30">
        <v>30926610000</v>
      </c>
      <c r="G435" s="30" t="s">
        <v>5427</v>
      </c>
      <c r="H435" s="30"/>
      <c r="I435" s="30">
        <v>3899136</v>
      </c>
      <c r="J435" s="30" t="s">
        <v>5435</v>
      </c>
      <c r="K435" s="30" t="s">
        <v>5598</v>
      </c>
    </row>
    <row r="436" spans="1:11" ht="12.5" x14ac:dyDescent="0.25">
      <c r="A436" s="30" t="s">
        <v>8162</v>
      </c>
      <c r="B436" s="30" t="s">
        <v>8161</v>
      </c>
      <c r="C436" s="32">
        <v>235.61</v>
      </c>
      <c r="D436" s="30">
        <v>2.0099999999999998</v>
      </c>
      <c r="E436" s="31">
        <v>8.6E-3</v>
      </c>
      <c r="F436" s="30">
        <v>52676458392</v>
      </c>
      <c r="G436" s="30" t="s">
        <v>5427</v>
      </c>
      <c r="H436" s="30">
        <v>2009</v>
      </c>
      <c r="I436" s="30">
        <v>1166162</v>
      </c>
      <c r="J436" s="30" t="s">
        <v>5442</v>
      </c>
      <c r="K436" s="30" t="s">
        <v>5534</v>
      </c>
    </row>
    <row r="437" spans="1:11" ht="12.5" x14ac:dyDescent="0.25">
      <c r="A437" s="30" t="s">
        <v>8160</v>
      </c>
      <c r="B437" s="30" t="s">
        <v>8159</v>
      </c>
      <c r="C437" s="32">
        <v>148.63999999999999</v>
      </c>
      <c r="D437" s="30">
        <v>0.16</v>
      </c>
      <c r="E437" s="31">
        <v>1.08E-3</v>
      </c>
      <c r="F437" s="30">
        <v>16928232946</v>
      </c>
      <c r="G437" s="30" t="s">
        <v>5427</v>
      </c>
      <c r="H437" s="30"/>
      <c r="I437" s="30">
        <v>1519879</v>
      </c>
      <c r="J437" s="30" t="s">
        <v>5431</v>
      </c>
      <c r="K437" s="30" t="s">
        <v>5610</v>
      </c>
    </row>
    <row r="438" spans="1:11" ht="12.5" x14ac:dyDescent="0.25">
      <c r="A438" s="30" t="s">
        <v>8158</v>
      </c>
      <c r="B438" s="30" t="s">
        <v>8157</v>
      </c>
      <c r="C438" s="32">
        <v>2.34</v>
      </c>
      <c r="D438" s="30">
        <v>0.03</v>
      </c>
      <c r="E438" s="31">
        <v>1.299E-2</v>
      </c>
      <c r="F438" s="30">
        <v>170203490</v>
      </c>
      <c r="G438" s="30" t="s">
        <v>5427</v>
      </c>
      <c r="H438" s="30">
        <v>1998</v>
      </c>
      <c r="I438" s="30">
        <v>184343</v>
      </c>
      <c r="J438" s="30" t="s">
        <v>5435</v>
      </c>
      <c r="K438" s="30" t="s">
        <v>5563</v>
      </c>
    </row>
    <row r="439" spans="1:11" ht="12.5" x14ac:dyDescent="0.25">
      <c r="A439" s="30" t="s">
        <v>8156</v>
      </c>
      <c r="B439" s="30" t="s">
        <v>8155</v>
      </c>
      <c r="C439" s="32">
        <v>99.9</v>
      </c>
      <c r="D439" s="30">
        <v>1.21</v>
      </c>
      <c r="E439" s="31">
        <v>1.226E-2</v>
      </c>
      <c r="F439" s="30">
        <v>34304995565</v>
      </c>
      <c r="G439" s="30" t="s">
        <v>5427</v>
      </c>
      <c r="H439" s="30"/>
      <c r="I439" s="30">
        <v>2903486</v>
      </c>
      <c r="J439" s="30"/>
      <c r="K439" s="30"/>
    </row>
    <row r="440" spans="1:11" ht="12.5" x14ac:dyDescent="0.25">
      <c r="A440" s="30" t="s">
        <v>8154</v>
      </c>
      <c r="B440" s="30" t="s">
        <v>8153</v>
      </c>
      <c r="C440" s="32">
        <v>267.5</v>
      </c>
      <c r="D440" s="30">
        <v>3.12</v>
      </c>
      <c r="E440" s="31">
        <v>1.18E-2</v>
      </c>
      <c r="F440" s="30">
        <v>194820250000</v>
      </c>
      <c r="G440" s="30" t="s">
        <v>5427</v>
      </c>
      <c r="H440" s="30"/>
      <c r="I440" s="30">
        <v>3632844</v>
      </c>
      <c r="J440" s="30" t="s">
        <v>5431</v>
      </c>
      <c r="K440" s="30" t="s">
        <v>5610</v>
      </c>
    </row>
    <row r="441" spans="1:11" ht="12.5" x14ac:dyDescent="0.25">
      <c r="A441" s="30" t="s">
        <v>8152</v>
      </c>
      <c r="B441" s="30" t="s">
        <v>8151</v>
      </c>
      <c r="C441" s="32">
        <v>8.6</v>
      </c>
      <c r="D441" s="30">
        <v>0.03</v>
      </c>
      <c r="E441" s="31">
        <v>3.5000000000000001E-3</v>
      </c>
      <c r="F441" s="30">
        <v>1398818715</v>
      </c>
      <c r="G441" s="30" t="s">
        <v>8150</v>
      </c>
      <c r="H441" s="30">
        <v>2005</v>
      </c>
      <c r="I441" s="30">
        <v>1994241</v>
      </c>
      <c r="J441" s="30" t="s">
        <v>5442</v>
      </c>
      <c r="K441" s="30" t="s">
        <v>5910</v>
      </c>
    </row>
    <row r="442" spans="1:11" ht="12.5" x14ac:dyDescent="0.25">
      <c r="A442" s="30" t="s">
        <v>8149</v>
      </c>
      <c r="B442" s="30" t="s">
        <v>8148</v>
      </c>
      <c r="C442" s="32">
        <v>5.96</v>
      </c>
      <c r="D442" s="30">
        <v>0.02</v>
      </c>
      <c r="E442" s="31">
        <v>3.3700000000000002E-3</v>
      </c>
      <c r="F442" s="30">
        <v>284772424</v>
      </c>
      <c r="G442" s="30" t="s">
        <v>5427</v>
      </c>
      <c r="H442" s="30">
        <v>2007</v>
      </c>
      <c r="I442" s="30">
        <v>202732</v>
      </c>
      <c r="J442" s="30" t="s">
        <v>5219</v>
      </c>
      <c r="K442" s="30" t="s">
        <v>5560</v>
      </c>
    </row>
    <row r="443" spans="1:11" ht="12.5" x14ac:dyDescent="0.25">
      <c r="A443" s="30" t="s">
        <v>8147</v>
      </c>
      <c r="B443" s="30" t="s">
        <v>8146</v>
      </c>
      <c r="C443" s="32">
        <v>76.760000000000005</v>
      </c>
      <c r="D443" s="30">
        <v>-0.55000000000000004</v>
      </c>
      <c r="E443" s="31">
        <v>-7.11E-3</v>
      </c>
      <c r="F443" s="30">
        <v>1203480202</v>
      </c>
      <c r="G443" s="30" t="s">
        <v>5427</v>
      </c>
      <c r="H443" s="30"/>
      <c r="I443" s="30">
        <v>255538</v>
      </c>
      <c r="J443" s="30" t="s">
        <v>5442</v>
      </c>
      <c r="K443" s="30" t="s">
        <v>5441</v>
      </c>
    </row>
    <row r="444" spans="1:11" ht="12.5" x14ac:dyDescent="0.25">
      <c r="A444" s="30" t="s">
        <v>8145</v>
      </c>
      <c r="B444" s="30" t="s">
        <v>8144</v>
      </c>
      <c r="C444" s="32">
        <v>54.65</v>
      </c>
      <c r="D444" s="30">
        <v>-2.25</v>
      </c>
      <c r="E444" s="31">
        <v>-3.9539999999999999E-2</v>
      </c>
      <c r="F444" s="30">
        <v>10969923792</v>
      </c>
      <c r="G444" s="30" t="s">
        <v>5427</v>
      </c>
      <c r="H444" s="30">
        <v>1960</v>
      </c>
      <c r="I444" s="30">
        <v>2336496</v>
      </c>
      <c r="J444" s="30" t="s">
        <v>5464</v>
      </c>
      <c r="K444" s="30" t="s">
        <v>5674</v>
      </c>
    </row>
    <row r="445" spans="1:11" ht="12.5" x14ac:dyDescent="0.25">
      <c r="A445" s="30" t="s">
        <v>8143</v>
      </c>
      <c r="B445" s="30" t="s">
        <v>8142</v>
      </c>
      <c r="C445" s="32">
        <v>109.39</v>
      </c>
      <c r="D445" s="30">
        <v>0.9</v>
      </c>
      <c r="E445" s="31">
        <v>8.3000000000000001E-3</v>
      </c>
      <c r="F445" s="30">
        <v>199831994413</v>
      </c>
      <c r="G445" s="30" t="s">
        <v>5427</v>
      </c>
      <c r="H445" s="30"/>
      <c r="I445" s="30">
        <v>9947529</v>
      </c>
      <c r="J445" s="30" t="s">
        <v>5442</v>
      </c>
      <c r="K445" s="30" t="s">
        <v>5450</v>
      </c>
    </row>
    <row r="446" spans="1:11" ht="12.5" x14ac:dyDescent="0.25">
      <c r="A446" s="30" t="s">
        <v>8141</v>
      </c>
      <c r="B446" s="30" t="s">
        <v>8140</v>
      </c>
      <c r="C446" s="32">
        <v>26.42</v>
      </c>
      <c r="D446" s="30">
        <v>-0.34</v>
      </c>
      <c r="E446" s="31">
        <v>-1.2710000000000001E-2</v>
      </c>
      <c r="F446" s="30">
        <v>1841270989</v>
      </c>
      <c r="G446" s="30" t="s">
        <v>5427</v>
      </c>
      <c r="H446" s="30">
        <v>2017</v>
      </c>
      <c r="I446" s="30">
        <v>1667159</v>
      </c>
      <c r="J446" s="30" t="s">
        <v>5464</v>
      </c>
      <c r="K446" s="30" t="s">
        <v>5674</v>
      </c>
    </row>
    <row r="447" spans="1:11" ht="12.5" x14ac:dyDescent="0.25">
      <c r="A447" s="30" t="s">
        <v>8139</v>
      </c>
      <c r="B447" s="30" t="s">
        <v>8138</v>
      </c>
      <c r="C447" s="32">
        <v>48.22</v>
      </c>
      <c r="D447" s="30">
        <v>-2.37</v>
      </c>
      <c r="E447" s="31">
        <v>-4.6850000000000003E-2</v>
      </c>
      <c r="F447" s="30">
        <v>2097192871</v>
      </c>
      <c r="G447" s="30" t="s">
        <v>5427</v>
      </c>
      <c r="H447" s="30">
        <v>2012</v>
      </c>
      <c r="I447" s="30">
        <v>41177</v>
      </c>
      <c r="J447" s="30" t="s">
        <v>5464</v>
      </c>
      <c r="K447" s="30" t="s">
        <v>5463</v>
      </c>
    </row>
    <row r="448" spans="1:11" ht="12.5" x14ac:dyDescent="0.25">
      <c r="A448" s="30" t="s">
        <v>8137</v>
      </c>
      <c r="B448" s="30" t="s">
        <v>8136</v>
      </c>
      <c r="C448" s="32">
        <v>134.52000000000001</v>
      </c>
      <c r="D448" s="30">
        <v>3.76</v>
      </c>
      <c r="E448" s="31">
        <v>2.8750000000000001E-2</v>
      </c>
      <c r="F448" s="30">
        <v>11220514442</v>
      </c>
      <c r="G448" s="30" t="s">
        <v>5427</v>
      </c>
      <c r="H448" s="30">
        <v>2002</v>
      </c>
      <c r="I448" s="30">
        <v>1236478</v>
      </c>
      <c r="J448" s="30" t="s">
        <v>5442</v>
      </c>
      <c r="K448" s="30" t="s">
        <v>5508</v>
      </c>
    </row>
    <row r="449" spans="1:11" ht="12.5" x14ac:dyDescent="0.25">
      <c r="A449" s="30" t="s">
        <v>8135</v>
      </c>
      <c r="B449" s="30" t="s">
        <v>8134</v>
      </c>
      <c r="C449" s="32">
        <v>80.42</v>
      </c>
      <c r="D449" s="30">
        <v>0.86</v>
      </c>
      <c r="E449" s="31">
        <v>1.081E-2</v>
      </c>
      <c r="F449" s="30">
        <v>7681769467</v>
      </c>
      <c r="G449" s="30" t="s">
        <v>5427</v>
      </c>
      <c r="H449" s="30">
        <v>2005</v>
      </c>
      <c r="I449" s="30">
        <v>495943</v>
      </c>
      <c r="J449" s="30" t="s">
        <v>5219</v>
      </c>
      <c r="K449" s="30" t="s">
        <v>5447</v>
      </c>
    </row>
    <row r="450" spans="1:11" ht="12.5" x14ac:dyDescent="0.25">
      <c r="A450" s="30" t="s">
        <v>8133</v>
      </c>
      <c r="B450" s="30" t="s">
        <v>8132</v>
      </c>
      <c r="C450" s="32">
        <v>2.99</v>
      </c>
      <c r="D450" s="30">
        <v>0.01</v>
      </c>
      <c r="E450" s="31">
        <v>3.3600000000000001E-3</v>
      </c>
      <c r="F450" s="30">
        <v>110038719</v>
      </c>
      <c r="G450" s="30" t="s">
        <v>5911</v>
      </c>
      <c r="H450" s="30"/>
      <c r="I450" s="30">
        <v>39847</v>
      </c>
      <c r="J450" s="30"/>
      <c r="K450" s="30"/>
    </row>
    <row r="451" spans="1:11" ht="12.5" x14ac:dyDescent="0.25">
      <c r="A451" s="30" t="s">
        <v>8131</v>
      </c>
      <c r="B451" s="30" t="s">
        <v>8130</v>
      </c>
      <c r="C451" s="32">
        <v>116.15</v>
      </c>
      <c r="D451" s="30">
        <v>1.53</v>
      </c>
      <c r="E451" s="31">
        <v>1.3350000000000001E-2</v>
      </c>
      <c r="F451" s="30">
        <v>33395712241</v>
      </c>
      <c r="G451" s="30" t="s">
        <v>5427</v>
      </c>
      <c r="H451" s="30">
        <v>2004</v>
      </c>
      <c r="I451" s="30">
        <v>2307480</v>
      </c>
      <c r="J451" s="30" t="s">
        <v>5197</v>
      </c>
      <c r="K451" s="30" t="s">
        <v>5467</v>
      </c>
    </row>
    <row r="452" spans="1:11" ht="12.5" x14ac:dyDescent="0.25">
      <c r="A452" s="30" t="s">
        <v>8129</v>
      </c>
      <c r="B452" s="30" t="s">
        <v>8128</v>
      </c>
      <c r="C452" s="32">
        <v>20.25</v>
      </c>
      <c r="D452" s="30">
        <v>0.26</v>
      </c>
      <c r="E452" s="31">
        <v>1.3010000000000001E-2</v>
      </c>
      <c r="F452" s="30">
        <v>873506207</v>
      </c>
      <c r="G452" s="30" t="s">
        <v>5427</v>
      </c>
      <c r="H452" s="30"/>
      <c r="I452" s="30">
        <v>332526</v>
      </c>
      <c r="J452" s="30" t="s">
        <v>5442</v>
      </c>
      <c r="K452" s="30" t="s">
        <v>5856</v>
      </c>
    </row>
    <row r="453" spans="1:11" ht="12.5" x14ac:dyDescent="0.25">
      <c r="A453" s="30" t="s">
        <v>8127</v>
      </c>
      <c r="B453" s="30" t="s">
        <v>8126</v>
      </c>
      <c r="C453" s="32">
        <v>11.11</v>
      </c>
      <c r="D453" s="30">
        <v>0.03</v>
      </c>
      <c r="E453" s="31">
        <v>2.7100000000000002E-3</v>
      </c>
      <c r="F453" s="30">
        <v>126997243</v>
      </c>
      <c r="G453" s="30" t="s">
        <v>5427</v>
      </c>
      <c r="H453" s="30">
        <v>2010</v>
      </c>
      <c r="I453" s="30">
        <v>59458</v>
      </c>
      <c r="J453" s="30" t="s">
        <v>5435</v>
      </c>
      <c r="K453" s="30" t="s">
        <v>5568</v>
      </c>
    </row>
    <row r="454" spans="1:11" ht="12.5" x14ac:dyDescent="0.25">
      <c r="A454" s="30" t="s">
        <v>8125</v>
      </c>
      <c r="B454" s="30" t="s">
        <v>8124</v>
      </c>
      <c r="C454" s="32">
        <v>1.44</v>
      </c>
      <c r="D454" s="30">
        <v>0.06</v>
      </c>
      <c r="E454" s="31">
        <v>4.3479999999999998E-2</v>
      </c>
      <c r="F454" s="30">
        <v>57493907</v>
      </c>
      <c r="G454" s="30" t="s">
        <v>5427</v>
      </c>
      <c r="H454" s="30">
        <v>2018</v>
      </c>
      <c r="I454" s="30">
        <v>82310</v>
      </c>
      <c r="J454" s="30" t="s">
        <v>5442</v>
      </c>
      <c r="K454" s="30" t="s">
        <v>5856</v>
      </c>
    </row>
    <row r="455" spans="1:11" ht="12.5" x14ac:dyDescent="0.25">
      <c r="A455" s="30" t="s">
        <v>8123</v>
      </c>
      <c r="B455" s="30" t="s">
        <v>8122</v>
      </c>
      <c r="C455" s="32">
        <v>2</v>
      </c>
      <c r="D455" s="30">
        <v>0.05</v>
      </c>
      <c r="E455" s="31">
        <v>2.564E-2</v>
      </c>
      <c r="F455" s="30">
        <v>4106879252</v>
      </c>
      <c r="G455" s="30" t="s">
        <v>5427</v>
      </c>
      <c r="H455" s="30">
        <v>2021</v>
      </c>
      <c r="I455" s="30">
        <v>24270575</v>
      </c>
      <c r="J455" s="30" t="s">
        <v>5431</v>
      </c>
      <c r="K455" s="30" t="s">
        <v>6409</v>
      </c>
    </row>
    <row r="456" spans="1:11" ht="12.5" x14ac:dyDescent="0.25">
      <c r="A456" s="30" t="s">
        <v>8121</v>
      </c>
      <c r="B456" s="30" t="s">
        <v>8120</v>
      </c>
      <c r="C456" s="32">
        <v>14.96</v>
      </c>
      <c r="D456" s="30">
        <v>0.31</v>
      </c>
      <c r="E456" s="31">
        <v>2.1160000000000002E-2</v>
      </c>
      <c r="F456" s="30">
        <v>6518541430</v>
      </c>
      <c r="G456" s="30" t="s">
        <v>5427</v>
      </c>
      <c r="H456" s="30">
        <v>2020</v>
      </c>
      <c r="I456" s="30">
        <v>1817412</v>
      </c>
      <c r="J456" s="30" t="s">
        <v>5219</v>
      </c>
      <c r="K456" s="30" t="s">
        <v>5453</v>
      </c>
    </row>
    <row r="457" spans="1:11" ht="12.5" x14ac:dyDescent="0.25">
      <c r="A457" s="30" t="s">
        <v>8119</v>
      </c>
      <c r="B457" s="30" t="s">
        <v>8118</v>
      </c>
      <c r="C457" s="32">
        <v>11.55</v>
      </c>
      <c r="D457" s="30">
        <v>0.01</v>
      </c>
      <c r="E457" s="31">
        <v>8.7000000000000001E-4</v>
      </c>
      <c r="F457" s="30">
        <v>4098573714</v>
      </c>
      <c r="G457" s="30" t="s">
        <v>5427</v>
      </c>
      <c r="H457" s="30">
        <v>1987</v>
      </c>
      <c r="I457" s="30">
        <v>794218</v>
      </c>
      <c r="J457" s="30" t="s">
        <v>5435</v>
      </c>
      <c r="K457" s="30" t="s">
        <v>5434</v>
      </c>
    </row>
    <row r="458" spans="1:11" ht="12.5" x14ac:dyDescent="0.25">
      <c r="A458" s="30" t="s">
        <v>8117</v>
      </c>
      <c r="B458" s="30" t="s">
        <v>8116</v>
      </c>
      <c r="C458" s="32">
        <v>12.2</v>
      </c>
      <c r="D458" s="30">
        <v>0.74</v>
      </c>
      <c r="E458" s="31">
        <v>6.4570000000000002E-2</v>
      </c>
      <c r="F458" s="30">
        <v>1236849371</v>
      </c>
      <c r="G458" s="30" t="s">
        <v>5427</v>
      </c>
      <c r="H458" s="30">
        <v>2022</v>
      </c>
      <c r="I458" s="30">
        <v>2497439</v>
      </c>
      <c r="J458" s="30" t="s">
        <v>5464</v>
      </c>
      <c r="K458" s="30" t="s">
        <v>5463</v>
      </c>
    </row>
    <row r="459" spans="1:11" ht="12.5" x14ac:dyDescent="0.25">
      <c r="A459" s="30" t="s">
        <v>8115</v>
      </c>
      <c r="B459" s="30" t="s">
        <v>8114</v>
      </c>
      <c r="C459" s="32">
        <v>15.82</v>
      </c>
      <c r="D459" s="30">
        <v>-0.04</v>
      </c>
      <c r="E459" s="31">
        <v>-2.5200000000000001E-3</v>
      </c>
      <c r="F459" s="30">
        <v>3611086805</v>
      </c>
      <c r="G459" s="30" t="s">
        <v>5427</v>
      </c>
      <c r="H459" s="30">
        <v>2013</v>
      </c>
      <c r="I459" s="30">
        <v>1269032</v>
      </c>
      <c r="J459" s="30" t="s">
        <v>5197</v>
      </c>
      <c r="K459" s="30" t="s">
        <v>5467</v>
      </c>
    </row>
    <row r="460" spans="1:11" ht="12.5" x14ac:dyDescent="0.25">
      <c r="A460" s="30" t="s">
        <v>8113</v>
      </c>
      <c r="B460" s="30" t="s">
        <v>8112</v>
      </c>
      <c r="C460" s="32">
        <v>31.47</v>
      </c>
      <c r="D460" s="30">
        <v>2.12</v>
      </c>
      <c r="E460" s="31">
        <v>7.2230000000000003E-2</v>
      </c>
      <c r="F460" s="30">
        <v>3030469674</v>
      </c>
      <c r="G460" s="30" t="s">
        <v>5427</v>
      </c>
      <c r="H460" s="30">
        <v>2021</v>
      </c>
      <c r="I460" s="30">
        <v>1246213</v>
      </c>
      <c r="J460" s="30" t="s">
        <v>5219</v>
      </c>
      <c r="K460" s="30" t="s">
        <v>5812</v>
      </c>
    </row>
    <row r="461" spans="1:11" ht="12.5" x14ac:dyDescent="0.25">
      <c r="A461" s="30" t="s">
        <v>8111</v>
      </c>
      <c r="B461" s="30" t="s">
        <v>8110</v>
      </c>
      <c r="C461" s="32">
        <v>93.07</v>
      </c>
      <c r="D461" s="30">
        <v>1.85</v>
      </c>
      <c r="E461" s="31">
        <v>2.0279999999999999E-2</v>
      </c>
      <c r="F461" s="30">
        <v>2073231136</v>
      </c>
      <c r="G461" s="30" t="s">
        <v>5515</v>
      </c>
      <c r="H461" s="30"/>
      <c r="I461" s="30">
        <v>107797</v>
      </c>
      <c r="J461" s="30"/>
      <c r="K461" s="30"/>
    </row>
    <row r="462" spans="1:11" ht="12.5" x14ac:dyDescent="0.25">
      <c r="A462" s="30" t="s">
        <v>8109</v>
      </c>
      <c r="B462" s="30" t="s">
        <v>8108</v>
      </c>
      <c r="C462" s="32">
        <v>156.6</v>
      </c>
      <c r="D462" s="30">
        <v>4.7699999999999996</v>
      </c>
      <c r="E462" s="31">
        <v>3.1419999999999997E-2</v>
      </c>
      <c r="F462" s="30">
        <v>21979428570</v>
      </c>
      <c r="G462" s="30" t="s">
        <v>5427</v>
      </c>
      <c r="H462" s="30"/>
      <c r="I462" s="30">
        <v>1593786</v>
      </c>
      <c r="J462" s="30" t="s">
        <v>5457</v>
      </c>
      <c r="K462" s="30" t="s">
        <v>5644</v>
      </c>
    </row>
    <row r="463" spans="1:11" ht="12.5" x14ac:dyDescent="0.25">
      <c r="A463" s="30" t="s">
        <v>8107</v>
      </c>
      <c r="B463" s="30" t="s">
        <v>8106</v>
      </c>
      <c r="C463" s="32">
        <v>14.15</v>
      </c>
      <c r="D463" s="30">
        <v>0.11</v>
      </c>
      <c r="E463" s="31">
        <v>7.8300000000000002E-3</v>
      </c>
      <c r="F463" s="30">
        <v>539328354</v>
      </c>
      <c r="G463" s="30" t="s">
        <v>5427</v>
      </c>
      <c r="H463" s="30">
        <v>2011</v>
      </c>
      <c r="I463" s="30">
        <v>80767</v>
      </c>
      <c r="J463" s="30" t="s">
        <v>5435</v>
      </c>
      <c r="K463" s="30" t="s">
        <v>5568</v>
      </c>
    </row>
    <row r="464" spans="1:11" ht="12.5" x14ac:dyDescent="0.25">
      <c r="A464" s="30" t="s">
        <v>8105</v>
      </c>
      <c r="B464" s="30" t="s">
        <v>8104</v>
      </c>
      <c r="C464" s="32">
        <v>359.79</v>
      </c>
      <c r="D464" s="30">
        <v>6.79</v>
      </c>
      <c r="E464" s="31">
        <v>1.924E-2</v>
      </c>
      <c r="F464" s="30">
        <v>12736342570</v>
      </c>
      <c r="G464" s="30" t="s">
        <v>5427</v>
      </c>
      <c r="H464" s="30">
        <v>2004</v>
      </c>
      <c r="I464" s="30">
        <v>756901</v>
      </c>
      <c r="J464" s="30" t="s">
        <v>5442</v>
      </c>
      <c r="K464" s="30" t="s">
        <v>5735</v>
      </c>
    </row>
    <row r="465" spans="1:11" ht="12.5" x14ac:dyDescent="0.25">
      <c r="A465" s="30" t="s">
        <v>8103</v>
      </c>
      <c r="B465" s="30" t="s">
        <v>8102</v>
      </c>
      <c r="C465" s="32">
        <v>9.7200000000000006</v>
      </c>
      <c r="D465" s="30">
        <v>0.09</v>
      </c>
      <c r="E465" s="31">
        <v>9.3500000000000007E-3</v>
      </c>
      <c r="F465" s="30">
        <v>2035123348</v>
      </c>
      <c r="G465" s="30" t="s">
        <v>5427</v>
      </c>
      <c r="H465" s="30">
        <v>2005</v>
      </c>
      <c r="I465" s="30">
        <v>1579955</v>
      </c>
      <c r="J465" s="30" t="s">
        <v>5197</v>
      </c>
      <c r="K465" s="30" t="s">
        <v>5467</v>
      </c>
    </row>
    <row r="466" spans="1:11" ht="12.5" x14ac:dyDescent="0.25">
      <c r="A466" s="30" t="s">
        <v>8101</v>
      </c>
      <c r="B466" s="30" t="s">
        <v>8100</v>
      </c>
      <c r="C466" s="32">
        <v>147.06</v>
      </c>
      <c r="D466" s="30">
        <v>-0.91</v>
      </c>
      <c r="E466" s="31">
        <v>-6.1500000000000001E-3</v>
      </c>
      <c r="F466" s="30">
        <v>17897980830</v>
      </c>
      <c r="G466" s="30" t="s">
        <v>5427</v>
      </c>
      <c r="H466" s="30"/>
      <c r="I466" s="30">
        <v>1210681</v>
      </c>
      <c r="J466" s="30" t="s">
        <v>5442</v>
      </c>
      <c r="K466" s="30" t="s">
        <v>5441</v>
      </c>
    </row>
    <row r="467" spans="1:11" ht="12.5" x14ac:dyDescent="0.25">
      <c r="A467" s="30" t="s">
        <v>8099</v>
      </c>
      <c r="B467" s="30" t="s">
        <v>8098</v>
      </c>
      <c r="C467" s="32">
        <v>30.71</v>
      </c>
      <c r="D467" s="30">
        <v>0</v>
      </c>
      <c r="E467" s="31">
        <v>0</v>
      </c>
      <c r="F467" s="30">
        <v>1041674785</v>
      </c>
      <c r="G467" s="30" t="s">
        <v>5427</v>
      </c>
      <c r="H467" s="30">
        <v>1997</v>
      </c>
      <c r="I467" s="30">
        <v>344720</v>
      </c>
      <c r="J467" s="30" t="s">
        <v>5457</v>
      </c>
      <c r="K467" s="30" t="s">
        <v>5634</v>
      </c>
    </row>
    <row r="468" spans="1:11" ht="12.5" x14ac:dyDescent="0.25">
      <c r="A468" s="30" t="s">
        <v>8097</v>
      </c>
      <c r="B468" s="30" t="s">
        <v>8096</v>
      </c>
      <c r="C468" s="32">
        <v>6.06</v>
      </c>
      <c r="D468" s="30">
        <v>0.02</v>
      </c>
      <c r="E468" s="31">
        <v>3.31E-3</v>
      </c>
      <c r="F468" s="30">
        <v>299537867</v>
      </c>
      <c r="G468" s="30" t="s">
        <v>5427</v>
      </c>
      <c r="H468" s="30">
        <v>1989</v>
      </c>
      <c r="I468" s="30">
        <v>120929</v>
      </c>
      <c r="J468" s="30" t="s">
        <v>5435</v>
      </c>
      <c r="K468" s="30" t="s">
        <v>5434</v>
      </c>
    </row>
    <row r="469" spans="1:11" ht="12.5" x14ac:dyDescent="0.25">
      <c r="A469" s="30" t="s">
        <v>8095</v>
      </c>
      <c r="B469" s="30" t="s">
        <v>8094</v>
      </c>
      <c r="C469" s="32">
        <v>9.9</v>
      </c>
      <c r="D469" s="30">
        <v>0.09</v>
      </c>
      <c r="E469" s="31">
        <v>9.1699999999999993E-3</v>
      </c>
      <c r="F469" s="30">
        <v>461442089</v>
      </c>
      <c r="G469" s="30" t="s">
        <v>5427</v>
      </c>
      <c r="H469" s="30">
        <v>1998</v>
      </c>
      <c r="I469" s="30">
        <v>113121</v>
      </c>
      <c r="J469" s="30" t="s">
        <v>5435</v>
      </c>
      <c r="K469" s="30" t="s">
        <v>5563</v>
      </c>
    </row>
    <row r="470" spans="1:11" ht="12.5" x14ac:dyDescent="0.25">
      <c r="A470" s="30" t="s">
        <v>8093</v>
      </c>
      <c r="B470" s="30" t="s">
        <v>8092</v>
      </c>
      <c r="C470" s="32">
        <v>4.09</v>
      </c>
      <c r="D470" s="30">
        <v>7.0000000000000007E-2</v>
      </c>
      <c r="E470" s="31">
        <v>1.7409999999999998E-2</v>
      </c>
      <c r="F470" s="30">
        <v>352557342</v>
      </c>
      <c r="G470" s="30" t="s">
        <v>5911</v>
      </c>
      <c r="H470" s="30">
        <v>2005</v>
      </c>
      <c r="I470" s="30">
        <v>658070</v>
      </c>
      <c r="J470" s="30" t="s">
        <v>5442</v>
      </c>
      <c r="K470" s="30" t="s">
        <v>5910</v>
      </c>
    </row>
    <row r="471" spans="1:11" ht="12.5" x14ac:dyDescent="0.25">
      <c r="A471" s="30" t="s">
        <v>8091</v>
      </c>
      <c r="B471" s="30" t="s">
        <v>8090</v>
      </c>
      <c r="C471" s="32">
        <v>44.54</v>
      </c>
      <c r="D471" s="30">
        <v>6.11</v>
      </c>
      <c r="E471" s="31">
        <v>0.15898999999999999</v>
      </c>
      <c r="F471" s="30">
        <v>12820972308</v>
      </c>
      <c r="G471" s="30" t="s">
        <v>5427</v>
      </c>
      <c r="H471" s="30">
        <v>2019</v>
      </c>
      <c r="I471" s="30">
        <v>9763255</v>
      </c>
      <c r="J471" s="30" t="s">
        <v>5219</v>
      </c>
      <c r="K471" s="30" t="s">
        <v>5447</v>
      </c>
    </row>
    <row r="472" spans="1:11" ht="12.5" x14ac:dyDescent="0.25">
      <c r="A472" s="30" t="s">
        <v>8089</v>
      </c>
      <c r="B472" s="30" t="s">
        <v>8088</v>
      </c>
      <c r="C472" s="32">
        <v>116.19</v>
      </c>
      <c r="D472" s="30">
        <v>-0.18</v>
      </c>
      <c r="E472" s="31">
        <v>-1.5499999999999999E-3</v>
      </c>
      <c r="F472" s="30">
        <v>22510881934</v>
      </c>
      <c r="G472" s="30" t="s">
        <v>5427</v>
      </c>
      <c r="H472" s="30"/>
      <c r="I472" s="30">
        <v>1491218</v>
      </c>
      <c r="J472" s="30" t="s">
        <v>5426</v>
      </c>
      <c r="K472" s="30" t="s">
        <v>6000</v>
      </c>
    </row>
    <row r="473" spans="1:11" ht="12.5" x14ac:dyDescent="0.25">
      <c r="A473" s="30" t="s">
        <v>8087</v>
      </c>
      <c r="B473" s="30" t="s">
        <v>8086</v>
      </c>
      <c r="C473" s="32">
        <v>11.31</v>
      </c>
      <c r="D473" s="30">
        <v>4.99E-2</v>
      </c>
      <c r="E473" s="31">
        <v>4.4299999999999999E-3</v>
      </c>
      <c r="F473" s="30">
        <v>79504403</v>
      </c>
      <c r="G473" s="30" t="s">
        <v>5427</v>
      </c>
      <c r="H473" s="30">
        <v>1991</v>
      </c>
      <c r="I473" s="30">
        <v>4786</v>
      </c>
      <c r="J473" s="30" t="s">
        <v>5435</v>
      </c>
      <c r="K473" s="30" t="s">
        <v>5434</v>
      </c>
    </row>
    <row r="474" spans="1:11" ht="12.5" x14ac:dyDescent="0.25">
      <c r="A474" s="30" t="s">
        <v>8085</v>
      </c>
      <c r="B474" s="30" t="s">
        <v>8084</v>
      </c>
      <c r="C474" s="32">
        <v>102.54</v>
      </c>
      <c r="D474" s="30">
        <v>0.09</v>
      </c>
      <c r="E474" s="31">
        <v>8.8000000000000003E-4</v>
      </c>
      <c r="F474" s="30">
        <v>78962236641</v>
      </c>
      <c r="G474" s="30" t="s">
        <v>5427</v>
      </c>
      <c r="H474" s="30"/>
      <c r="I474" s="30">
        <v>3054311</v>
      </c>
      <c r="J474" s="30" t="s">
        <v>5426</v>
      </c>
      <c r="K474" s="30" t="s">
        <v>5593</v>
      </c>
    </row>
    <row r="475" spans="1:11" ht="12.5" x14ac:dyDescent="0.25">
      <c r="A475" s="30" t="s">
        <v>8083</v>
      </c>
      <c r="B475" s="30" t="s">
        <v>8082</v>
      </c>
      <c r="C475" s="32">
        <v>84.81</v>
      </c>
      <c r="D475" s="30">
        <v>2.42</v>
      </c>
      <c r="E475" s="31">
        <v>2.937E-2</v>
      </c>
      <c r="F475" s="30">
        <v>7641381000</v>
      </c>
      <c r="G475" s="30" t="s">
        <v>5427</v>
      </c>
      <c r="H475" s="30"/>
      <c r="I475" s="30">
        <v>740680</v>
      </c>
      <c r="J475" s="30" t="s">
        <v>5431</v>
      </c>
      <c r="K475" s="30" t="s">
        <v>5980</v>
      </c>
    </row>
    <row r="476" spans="1:11" ht="12.5" x14ac:dyDescent="0.25">
      <c r="A476" s="30" t="s">
        <v>8081</v>
      </c>
      <c r="B476" s="30" t="s">
        <v>8080</v>
      </c>
      <c r="C476" s="32">
        <v>61.89</v>
      </c>
      <c r="D476" s="30">
        <v>-1.35</v>
      </c>
      <c r="E476" s="31">
        <v>-2.1350000000000001E-2</v>
      </c>
      <c r="F476" s="30">
        <v>40457493000</v>
      </c>
      <c r="G476" s="30" t="s">
        <v>5427</v>
      </c>
      <c r="H476" s="30">
        <v>1985</v>
      </c>
      <c r="I476" s="30">
        <v>9638549</v>
      </c>
      <c r="J476" s="30" t="s">
        <v>5464</v>
      </c>
      <c r="K476" s="30" t="s">
        <v>5463</v>
      </c>
    </row>
    <row r="477" spans="1:11" ht="12.5" x14ac:dyDescent="0.25">
      <c r="A477" s="30" t="s">
        <v>8079</v>
      </c>
      <c r="B477" s="30" t="s">
        <v>8078</v>
      </c>
      <c r="C477" s="32">
        <v>14.78</v>
      </c>
      <c r="D477" s="30">
        <v>0.37</v>
      </c>
      <c r="E477" s="31">
        <v>2.5680000000000001E-2</v>
      </c>
      <c r="F477" s="30">
        <v>792756264</v>
      </c>
      <c r="G477" s="30" t="s">
        <v>5427</v>
      </c>
      <c r="H477" s="30"/>
      <c r="I477" s="30">
        <v>1703377</v>
      </c>
      <c r="J477" s="30" t="s">
        <v>5197</v>
      </c>
      <c r="K477" s="30" t="s">
        <v>5467</v>
      </c>
    </row>
    <row r="478" spans="1:11" ht="12.5" x14ac:dyDescent="0.25">
      <c r="A478" s="30" t="s">
        <v>8077</v>
      </c>
      <c r="B478" s="30" t="s">
        <v>8076</v>
      </c>
      <c r="C478" s="32">
        <v>95.4</v>
      </c>
      <c r="D478" s="30">
        <v>0.03</v>
      </c>
      <c r="E478" s="31">
        <v>3.1E-4</v>
      </c>
      <c r="F478" s="30">
        <v>2819705269</v>
      </c>
      <c r="G478" s="30" t="s">
        <v>5427</v>
      </c>
      <c r="H478" s="30"/>
      <c r="I478" s="30">
        <v>315649</v>
      </c>
      <c r="J478" s="30" t="s">
        <v>5457</v>
      </c>
      <c r="K478" s="30" t="s">
        <v>6933</v>
      </c>
    </row>
    <row r="479" spans="1:11" ht="12.5" x14ac:dyDescent="0.25">
      <c r="A479" s="30" t="s">
        <v>8075</v>
      </c>
      <c r="B479" s="30" t="s">
        <v>8074</v>
      </c>
      <c r="C479" s="32">
        <v>30.5</v>
      </c>
      <c r="D479" s="30">
        <v>-0.4</v>
      </c>
      <c r="E479" s="31">
        <v>-1.294E-2</v>
      </c>
      <c r="F479" s="30">
        <v>51017199666</v>
      </c>
      <c r="G479" s="30" t="s">
        <v>6741</v>
      </c>
      <c r="H479" s="30"/>
      <c r="I479" s="30">
        <v>276291</v>
      </c>
      <c r="J479" s="30" t="s">
        <v>5464</v>
      </c>
      <c r="K479" s="30" t="s">
        <v>5463</v>
      </c>
    </row>
    <row r="480" spans="1:11" ht="12.5" x14ac:dyDescent="0.25">
      <c r="A480" s="30" t="s">
        <v>8073</v>
      </c>
      <c r="B480" s="30" t="s">
        <v>8072</v>
      </c>
      <c r="C480" s="32">
        <v>6.57</v>
      </c>
      <c r="D480" s="30">
        <v>0.03</v>
      </c>
      <c r="E480" s="31">
        <v>4.5900000000000003E-3</v>
      </c>
      <c r="F480" s="30">
        <v>1685844537</v>
      </c>
      <c r="G480" s="30" t="s">
        <v>5427</v>
      </c>
      <c r="H480" s="30">
        <v>2018</v>
      </c>
      <c r="I480" s="30">
        <v>1822208</v>
      </c>
      <c r="J480" s="30" t="s">
        <v>5442</v>
      </c>
      <c r="K480" s="30" t="s">
        <v>5634</v>
      </c>
    </row>
    <row r="481" spans="1:11" ht="12.5" x14ac:dyDescent="0.25">
      <c r="A481" s="30" t="s">
        <v>8071</v>
      </c>
      <c r="B481" s="30" t="s">
        <v>8070</v>
      </c>
      <c r="C481" s="32">
        <v>8</v>
      </c>
      <c r="D481" s="30">
        <v>0.09</v>
      </c>
      <c r="E481" s="31">
        <v>1.1379999999999999E-2</v>
      </c>
      <c r="F481" s="30">
        <v>105962384</v>
      </c>
      <c r="G481" s="30" t="s">
        <v>5427</v>
      </c>
      <c r="H481" s="30">
        <v>2013</v>
      </c>
      <c r="I481" s="30">
        <v>175258</v>
      </c>
      <c r="J481" s="30" t="s">
        <v>5197</v>
      </c>
      <c r="K481" s="30" t="s">
        <v>5467</v>
      </c>
    </row>
    <row r="482" spans="1:11" ht="12.5" x14ac:dyDescent="0.25">
      <c r="A482" s="30" t="s">
        <v>8069</v>
      </c>
      <c r="B482" s="30" t="s">
        <v>8068</v>
      </c>
      <c r="C482" s="32">
        <v>39.28</v>
      </c>
      <c r="D482" s="30">
        <v>-0.18</v>
      </c>
      <c r="E482" s="31">
        <v>-4.5599999999999998E-3</v>
      </c>
      <c r="F482" s="30">
        <v>1729562348</v>
      </c>
      <c r="G482" s="30" t="s">
        <v>5427</v>
      </c>
      <c r="H482" s="30"/>
      <c r="I482" s="30">
        <v>3685685</v>
      </c>
      <c r="J482" s="30" t="s">
        <v>5442</v>
      </c>
      <c r="K482" s="30" t="s">
        <v>5441</v>
      </c>
    </row>
    <row r="483" spans="1:11" ht="12.5" x14ac:dyDescent="0.25">
      <c r="A483" s="30" t="s">
        <v>8067</v>
      </c>
      <c r="B483" s="30" t="s">
        <v>8066</v>
      </c>
      <c r="C483" s="32">
        <v>8.99</v>
      </c>
      <c r="D483" s="30">
        <v>0.1</v>
      </c>
      <c r="E483" s="31">
        <v>1.125E-2</v>
      </c>
      <c r="F483" s="30">
        <v>887224511</v>
      </c>
      <c r="G483" s="30" t="s">
        <v>5427</v>
      </c>
      <c r="H483" s="30">
        <v>2018</v>
      </c>
      <c r="I483" s="30">
        <v>1457783</v>
      </c>
      <c r="J483" s="30" t="s">
        <v>5219</v>
      </c>
      <c r="K483" s="30" t="s">
        <v>5447</v>
      </c>
    </row>
    <row r="484" spans="1:11" ht="12.5" x14ac:dyDescent="0.25">
      <c r="A484" s="30" t="s">
        <v>8065</v>
      </c>
      <c r="B484" s="30" t="s">
        <v>8064</v>
      </c>
      <c r="C484" s="32">
        <v>21.46</v>
      </c>
      <c r="D484" s="30">
        <v>0.22</v>
      </c>
      <c r="E484" s="31">
        <v>1.0359999999999999E-2</v>
      </c>
      <c r="F484" s="30">
        <v>554448972</v>
      </c>
      <c r="G484" s="30" t="s">
        <v>5427</v>
      </c>
      <c r="H484" s="30"/>
      <c r="I484" s="30">
        <v>136941</v>
      </c>
      <c r="J484" s="30" t="s">
        <v>5442</v>
      </c>
      <c r="K484" s="30" t="s">
        <v>5487</v>
      </c>
    </row>
    <row r="485" spans="1:11" ht="12.5" x14ac:dyDescent="0.25">
      <c r="A485" s="30" t="s">
        <v>8063</v>
      </c>
      <c r="B485" s="30" t="s">
        <v>8062</v>
      </c>
      <c r="C485" s="32">
        <v>13.65</v>
      </c>
      <c r="D485" s="30">
        <v>0.46</v>
      </c>
      <c r="E485" s="31">
        <v>3.4869999999999998E-2</v>
      </c>
      <c r="F485" s="30">
        <v>680974176</v>
      </c>
      <c r="G485" s="30" t="s">
        <v>5427</v>
      </c>
      <c r="H485" s="30">
        <v>2006</v>
      </c>
      <c r="I485" s="30">
        <v>732787</v>
      </c>
      <c r="J485" s="30" t="s">
        <v>5431</v>
      </c>
      <c r="K485" s="30" t="s">
        <v>5430</v>
      </c>
    </row>
    <row r="486" spans="1:11" ht="12.5" x14ac:dyDescent="0.25">
      <c r="A486" s="30" t="s">
        <v>8061</v>
      </c>
      <c r="B486" s="30" t="s">
        <v>8060</v>
      </c>
      <c r="C486" s="32">
        <v>10.77</v>
      </c>
      <c r="D486" s="30">
        <v>-0.03</v>
      </c>
      <c r="E486" s="31">
        <v>-2.7799999999999999E-3</v>
      </c>
      <c r="F486" s="30">
        <v>506172585</v>
      </c>
      <c r="G486" s="30" t="s">
        <v>5427</v>
      </c>
      <c r="H486" s="30">
        <v>2014</v>
      </c>
      <c r="I486" s="30">
        <v>579078</v>
      </c>
      <c r="J486" s="30" t="s">
        <v>5435</v>
      </c>
      <c r="K486" s="30" t="s">
        <v>5568</v>
      </c>
    </row>
    <row r="487" spans="1:11" ht="12.5" x14ac:dyDescent="0.25">
      <c r="A487" s="30" t="s">
        <v>8059</v>
      </c>
      <c r="B487" s="30" t="s">
        <v>8058</v>
      </c>
      <c r="C487" s="32">
        <v>155.72999999999999</v>
      </c>
      <c r="D487" s="30">
        <v>0.9</v>
      </c>
      <c r="E487" s="31">
        <v>5.8100000000000001E-3</v>
      </c>
      <c r="F487" s="30">
        <v>44356273784</v>
      </c>
      <c r="G487" s="30" t="s">
        <v>5427</v>
      </c>
      <c r="H487" s="30"/>
      <c r="I487" s="30">
        <v>834130</v>
      </c>
      <c r="J487" s="30" t="s">
        <v>5442</v>
      </c>
      <c r="K487" s="30" t="s">
        <v>6240</v>
      </c>
    </row>
    <row r="488" spans="1:11" ht="12.5" x14ac:dyDescent="0.25">
      <c r="A488" s="30" t="s">
        <v>8057</v>
      </c>
      <c r="B488" s="30" t="s">
        <v>8056</v>
      </c>
      <c r="C488" s="32">
        <v>10.63</v>
      </c>
      <c r="D488" s="30">
        <v>0.14000000000000001</v>
      </c>
      <c r="E488" s="31">
        <v>1.3350000000000001E-2</v>
      </c>
      <c r="F488" s="30">
        <v>1384591006</v>
      </c>
      <c r="G488" s="30" t="s">
        <v>5427</v>
      </c>
      <c r="H488" s="30">
        <v>2017</v>
      </c>
      <c r="I488" s="30">
        <v>732551</v>
      </c>
      <c r="J488" s="30" t="s">
        <v>5457</v>
      </c>
      <c r="K488" s="30" t="s">
        <v>5555</v>
      </c>
    </row>
    <row r="489" spans="1:11" ht="12.5" x14ac:dyDescent="0.25">
      <c r="A489" s="30" t="s">
        <v>8055</v>
      </c>
      <c r="B489" s="30" t="s">
        <v>8054</v>
      </c>
      <c r="C489" s="32">
        <v>95.45</v>
      </c>
      <c r="D489" s="30">
        <v>0.14000000000000001</v>
      </c>
      <c r="E489" s="31">
        <v>1.47E-3</v>
      </c>
      <c r="F489" s="30">
        <v>33871658842</v>
      </c>
      <c r="G489" s="30" t="s">
        <v>5427</v>
      </c>
      <c r="H489" s="30"/>
      <c r="I489" s="30">
        <v>1557615</v>
      </c>
      <c r="J489" s="30" t="s">
        <v>5426</v>
      </c>
      <c r="K489" s="30" t="s">
        <v>5593</v>
      </c>
    </row>
    <row r="490" spans="1:11" ht="12.5" x14ac:dyDescent="0.25">
      <c r="A490" s="30" t="s">
        <v>8053</v>
      </c>
      <c r="B490" s="30" t="s">
        <v>8052</v>
      </c>
      <c r="C490" s="32">
        <v>4.6900000000000004</v>
      </c>
      <c r="D490" s="30">
        <v>0.03</v>
      </c>
      <c r="E490" s="31">
        <v>6.4400000000000004E-3</v>
      </c>
      <c r="F490" s="30">
        <v>309481642</v>
      </c>
      <c r="G490" s="30" t="s">
        <v>5427</v>
      </c>
      <c r="H490" s="30">
        <v>2007</v>
      </c>
      <c r="I490" s="30">
        <v>159555</v>
      </c>
      <c r="J490" s="30" t="s">
        <v>5435</v>
      </c>
      <c r="K490" s="30" t="s">
        <v>5563</v>
      </c>
    </row>
    <row r="491" spans="1:11" ht="12.5" x14ac:dyDescent="0.25">
      <c r="A491" s="30" t="s">
        <v>8051</v>
      </c>
      <c r="B491" s="30" t="s">
        <v>8050</v>
      </c>
      <c r="C491" s="32">
        <v>5.39</v>
      </c>
      <c r="D491" s="30">
        <v>0.15</v>
      </c>
      <c r="E491" s="31">
        <v>2.8629999999999999E-2</v>
      </c>
      <c r="F491" s="30">
        <v>91941698</v>
      </c>
      <c r="G491" s="30" t="s">
        <v>5427</v>
      </c>
      <c r="H491" s="30">
        <v>2010</v>
      </c>
      <c r="I491" s="30">
        <v>78553</v>
      </c>
      <c r="J491" s="30" t="s">
        <v>5435</v>
      </c>
      <c r="K491" s="30" t="s">
        <v>5434</v>
      </c>
    </row>
    <row r="492" spans="1:11" ht="12.5" x14ac:dyDescent="0.25">
      <c r="A492" s="30" t="s">
        <v>8049</v>
      </c>
      <c r="B492" s="30" t="s">
        <v>8048</v>
      </c>
      <c r="C492" s="32">
        <v>6.24</v>
      </c>
      <c r="D492" s="30">
        <v>0.06</v>
      </c>
      <c r="E492" s="31">
        <v>9.7099999999999999E-3</v>
      </c>
      <c r="F492" s="30">
        <v>62292216</v>
      </c>
      <c r="G492" s="30" t="s">
        <v>5427</v>
      </c>
      <c r="H492" s="30">
        <v>2012</v>
      </c>
      <c r="I492" s="30">
        <v>105646</v>
      </c>
      <c r="J492" s="30" t="s">
        <v>5435</v>
      </c>
      <c r="K492" s="30" t="s">
        <v>5563</v>
      </c>
    </row>
    <row r="493" spans="1:11" ht="12.5" x14ac:dyDescent="0.25">
      <c r="A493" s="30" t="s">
        <v>8047</v>
      </c>
      <c r="B493" s="30" t="s">
        <v>8046</v>
      </c>
      <c r="C493" s="32">
        <v>8.57</v>
      </c>
      <c r="D493" s="30">
        <v>-3.2800000000000003E-2</v>
      </c>
      <c r="E493" s="31">
        <v>-3.81E-3</v>
      </c>
      <c r="F493" s="30">
        <v>60658769</v>
      </c>
      <c r="G493" s="30" t="s">
        <v>5427</v>
      </c>
      <c r="H493" s="30"/>
      <c r="I493" s="30">
        <v>14632</v>
      </c>
      <c r="J493" s="30" t="s">
        <v>5435</v>
      </c>
      <c r="K493" s="30" t="s">
        <v>5568</v>
      </c>
    </row>
    <row r="494" spans="1:11" ht="12.5" x14ac:dyDescent="0.25">
      <c r="A494" s="30" t="s">
        <v>8045</v>
      </c>
      <c r="B494" s="30" t="s">
        <v>8044</v>
      </c>
      <c r="C494" s="32">
        <v>3.93</v>
      </c>
      <c r="D494" s="30">
        <v>-0.06</v>
      </c>
      <c r="E494" s="31">
        <v>-1.504E-2</v>
      </c>
      <c r="F494" s="30">
        <v>265705201</v>
      </c>
      <c r="G494" s="30" t="s">
        <v>5427</v>
      </c>
      <c r="H494" s="30">
        <v>2017</v>
      </c>
      <c r="I494" s="30">
        <v>42699</v>
      </c>
      <c r="J494" s="30" t="s">
        <v>5442</v>
      </c>
      <c r="K494" s="30" t="s">
        <v>5856</v>
      </c>
    </row>
    <row r="495" spans="1:11" ht="12.5" x14ac:dyDescent="0.25">
      <c r="A495" s="30" t="s">
        <v>8043</v>
      </c>
      <c r="B495" s="30" t="s">
        <v>8042</v>
      </c>
      <c r="C495" s="32">
        <v>14.14</v>
      </c>
      <c r="D495" s="30">
        <v>0.41</v>
      </c>
      <c r="E495" s="31">
        <v>2.9860000000000001E-2</v>
      </c>
      <c r="F495" s="30">
        <v>902304720</v>
      </c>
      <c r="G495" s="30" t="s">
        <v>5427</v>
      </c>
      <c r="H495" s="30">
        <v>2010</v>
      </c>
      <c r="I495" s="30">
        <v>1128960</v>
      </c>
      <c r="J495" s="30" t="s">
        <v>5197</v>
      </c>
      <c r="K495" s="30" t="s">
        <v>5467</v>
      </c>
    </row>
    <row r="496" spans="1:11" ht="12.5" x14ac:dyDescent="0.25">
      <c r="A496" s="30" t="s">
        <v>8041</v>
      </c>
      <c r="B496" s="30" t="s">
        <v>8040</v>
      </c>
      <c r="C496" s="32">
        <v>11.79</v>
      </c>
      <c r="D496" s="30">
        <v>0.01</v>
      </c>
      <c r="E496" s="31">
        <v>8.4999999999999995E-4</v>
      </c>
      <c r="F496" s="30">
        <v>343971458</v>
      </c>
      <c r="G496" s="30" t="s">
        <v>5427</v>
      </c>
      <c r="H496" s="30">
        <v>2003</v>
      </c>
      <c r="I496" s="30">
        <v>135997</v>
      </c>
      <c r="J496" s="30" t="s">
        <v>5435</v>
      </c>
      <c r="K496" s="30" t="s">
        <v>5568</v>
      </c>
    </row>
    <row r="497" spans="1:11" ht="12.5" x14ac:dyDescent="0.25">
      <c r="A497" s="30" t="s">
        <v>8039</v>
      </c>
      <c r="B497" s="30" t="s">
        <v>8038</v>
      </c>
      <c r="C497" s="32">
        <v>11.85</v>
      </c>
      <c r="D497" s="30">
        <v>7.0000000000000007E-2</v>
      </c>
      <c r="E497" s="31">
        <v>5.94E-3</v>
      </c>
      <c r="F497" s="30">
        <v>344721418</v>
      </c>
      <c r="G497" s="30" t="s">
        <v>5427</v>
      </c>
      <c r="H497" s="30">
        <v>2004</v>
      </c>
      <c r="I497" s="30">
        <v>101068</v>
      </c>
      <c r="J497" s="30" t="s">
        <v>5435</v>
      </c>
      <c r="K497" s="30" t="s">
        <v>5563</v>
      </c>
    </row>
    <row r="498" spans="1:11" ht="12.5" x14ac:dyDescent="0.25">
      <c r="A498" s="30" t="s">
        <v>8037</v>
      </c>
      <c r="B498" s="30" t="s">
        <v>8036</v>
      </c>
      <c r="C498" s="32">
        <v>224.62</v>
      </c>
      <c r="D498" s="30">
        <v>2.42</v>
      </c>
      <c r="E498" s="31">
        <v>1.089E-2</v>
      </c>
      <c r="F498" s="30">
        <v>27503243022</v>
      </c>
      <c r="G498" s="30" t="s">
        <v>5427</v>
      </c>
      <c r="H498" s="30"/>
      <c r="I498" s="30">
        <v>916028</v>
      </c>
      <c r="J498" s="30" t="s">
        <v>5435</v>
      </c>
      <c r="K498" s="30" t="s">
        <v>5856</v>
      </c>
    </row>
    <row r="499" spans="1:11" ht="12.5" x14ac:dyDescent="0.25">
      <c r="A499" s="30" t="s">
        <v>8035</v>
      </c>
      <c r="B499" s="30" t="s">
        <v>8034</v>
      </c>
      <c r="C499" s="32">
        <v>7</v>
      </c>
      <c r="D499" s="30">
        <v>-0.2</v>
      </c>
      <c r="E499" s="31">
        <v>-2.7779999999999999E-2</v>
      </c>
      <c r="F499" s="30">
        <v>865858140</v>
      </c>
      <c r="G499" s="30" t="s">
        <v>5515</v>
      </c>
      <c r="H499" s="30">
        <v>2022</v>
      </c>
      <c r="I499" s="30">
        <v>90073</v>
      </c>
      <c r="J499" s="30" t="s">
        <v>5541</v>
      </c>
      <c r="K499" s="30" t="s">
        <v>5859</v>
      </c>
    </row>
    <row r="500" spans="1:11" ht="12.5" x14ac:dyDescent="0.25">
      <c r="A500" s="30" t="s">
        <v>8033</v>
      </c>
      <c r="B500" s="30" t="s">
        <v>8032</v>
      </c>
      <c r="C500" s="32">
        <v>56.8</v>
      </c>
      <c r="D500" s="30">
        <v>-0.48</v>
      </c>
      <c r="E500" s="31">
        <v>-8.3800000000000003E-3</v>
      </c>
      <c r="F500" s="30">
        <v>777078982</v>
      </c>
      <c r="G500" s="30" t="s">
        <v>5427</v>
      </c>
      <c r="H500" s="30"/>
      <c r="I500" s="30">
        <v>180126</v>
      </c>
      <c r="J500" s="30" t="s">
        <v>5442</v>
      </c>
      <c r="K500" s="30" t="s">
        <v>5910</v>
      </c>
    </row>
    <row r="501" spans="1:11" ht="12.5" x14ac:dyDescent="0.25">
      <c r="A501" s="30" t="s">
        <v>8031</v>
      </c>
      <c r="B501" s="30" t="s">
        <v>8030</v>
      </c>
      <c r="C501" s="32">
        <v>9.9</v>
      </c>
      <c r="D501" s="30">
        <v>0.34</v>
      </c>
      <c r="E501" s="31">
        <v>3.5560000000000001E-2</v>
      </c>
      <c r="F501" s="30">
        <v>1828828317</v>
      </c>
      <c r="G501" s="30" t="s">
        <v>5515</v>
      </c>
      <c r="H501" s="30"/>
      <c r="I501" s="30">
        <v>1334634</v>
      </c>
      <c r="J501" s="30"/>
      <c r="K501" s="30"/>
    </row>
    <row r="502" spans="1:11" ht="12.5" x14ac:dyDescent="0.25">
      <c r="A502" s="30" t="s">
        <v>8029</v>
      </c>
      <c r="B502" s="30" t="s">
        <v>8028</v>
      </c>
      <c r="C502" s="32">
        <v>170.67</v>
      </c>
      <c r="D502" s="30">
        <v>2.42</v>
      </c>
      <c r="E502" s="31">
        <v>1.438E-2</v>
      </c>
      <c r="F502" s="30">
        <v>7437037241</v>
      </c>
      <c r="G502" s="30" t="s">
        <v>5427</v>
      </c>
      <c r="H502" s="30"/>
      <c r="I502" s="30">
        <v>346652</v>
      </c>
      <c r="J502" s="30" t="s">
        <v>5197</v>
      </c>
      <c r="K502" s="30" t="s">
        <v>5467</v>
      </c>
    </row>
    <row r="503" spans="1:11" ht="12.5" x14ac:dyDescent="0.25">
      <c r="A503" s="30" t="s">
        <v>8027</v>
      </c>
      <c r="B503" s="30" t="s">
        <v>8026</v>
      </c>
      <c r="C503" s="32">
        <v>4.5999999999999996</v>
      </c>
      <c r="D503" s="30">
        <v>-0.05</v>
      </c>
      <c r="E503" s="31">
        <v>-1.0749999999999999E-2</v>
      </c>
      <c r="F503" s="30">
        <v>498524255</v>
      </c>
      <c r="G503" s="30" t="s">
        <v>5427</v>
      </c>
      <c r="H503" s="30"/>
      <c r="I503" s="30">
        <v>1295680</v>
      </c>
      <c r="J503" s="30" t="s">
        <v>5464</v>
      </c>
      <c r="K503" s="30" t="s">
        <v>5463</v>
      </c>
    </row>
    <row r="504" spans="1:11" ht="12.5" x14ac:dyDescent="0.25">
      <c r="A504" s="30" t="s">
        <v>8025</v>
      </c>
      <c r="B504" s="30" t="s">
        <v>8024</v>
      </c>
      <c r="C504" s="32">
        <v>63.21</v>
      </c>
      <c r="D504" s="30">
        <v>0.76</v>
      </c>
      <c r="E504" s="31">
        <v>1.217E-2</v>
      </c>
      <c r="F504" s="30">
        <v>6307628873</v>
      </c>
      <c r="G504" s="30" t="s">
        <v>5427</v>
      </c>
      <c r="H504" s="30"/>
      <c r="I504" s="30">
        <v>1420262</v>
      </c>
      <c r="J504" s="30" t="s">
        <v>5431</v>
      </c>
      <c r="K504" s="30" t="s">
        <v>5610</v>
      </c>
    </row>
    <row r="505" spans="1:11" ht="12.5" x14ac:dyDescent="0.25">
      <c r="A505" s="30" t="s">
        <v>8023</v>
      </c>
      <c r="B505" s="30" t="s">
        <v>8022</v>
      </c>
      <c r="C505" s="32">
        <v>7.67</v>
      </c>
      <c r="D505" s="30">
        <v>0.04</v>
      </c>
      <c r="E505" s="31">
        <v>5.2399999999999999E-3</v>
      </c>
      <c r="F505" s="30">
        <v>174088268</v>
      </c>
      <c r="G505" s="30" t="s">
        <v>5427</v>
      </c>
      <c r="H505" s="30">
        <v>2003</v>
      </c>
      <c r="I505" s="30">
        <v>103546</v>
      </c>
      <c r="J505" s="30" t="s">
        <v>5435</v>
      </c>
      <c r="K505" s="30" t="s">
        <v>5434</v>
      </c>
    </row>
    <row r="506" spans="1:11" ht="12.5" x14ac:dyDescent="0.25">
      <c r="A506" s="30" t="s">
        <v>8021</v>
      </c>
      <c r="B506" s="30" t="s">
        <v>8020</v>
      </c>
      <c r="C506" s="32">
        <v>43.38</v>
      </c>
      <c r="D506" s="30">
        <v>-0.49</v>
      </c>
      <c r="E506" s="31">
        <v>-1.1169999999999999E-2</v>
      </c>
      <c r="F506" s="30">
        <v>1179794017</v>
      </c>
      <c r="G506" s="30" t="s">
        <v>5427</v>
      </c>
      <c r="H506" s="30">
        <v>2007</v>
      </c>
      <c r="I506" s="30">
        <v>148456</v>
      </c>
      <c r="J506" s="30" t="s">
        <v>5435</v>
      </c>
      <c r="K506" s="30" t="s">
        <v>5493</v>
      </c>
    </row>
    <row r="507" spans="1:11" ht="12.5" x14ac:dyDescent="0.25">
      <c r="A507" s="30" t="s">
        <v>8019</v>
      </c>
      <c r="B507" s="30" t="s">
        <v>8018</v>
      </c>
      <c r="C507" s="32">
        <v>67.87</v>
      </c>
      <c r="D507" s="30">
        <v>-1.03</v>
      </c>
      <c r="E507" s="31">
        <v>-1.495E-2</v>
      </c>
      <c r="F507" s="30">
        <v>103671336498</v>
      </c>
      <c r="G507" s="30" t="s">
        <v>5427</v>
      </c>
      <c r="H507" s="30"/>
      <c r="I507" s="30">
        <v>2265025</v>
      </c>
      <c r="J507" s="30" t="s">
        <v>5426</v>
      </c>
      <c r="K507" s="30" t="s">
        <v>6000</v>
      </c>
    </row>
    <row r="508" spans="1:11" ht="12.5" x14ac:dyDescent="0.25">
      <c r="A508" s="30" t="s">
        <v>8017</v>
      </c>
      <c r="B508" s="30" t="s">
        <v>8016</v>
      </c>
      <c r="C508" s="32">
        <v>280.8</v>
      </c>
      <c r="D508" s="30">
        <v>3.72</v>
      </c>
      <c r="E508" s="31">
        <v>1.3429999999999999E-2</v>
      </c>
      <c r="F508" s="30">
        <v>100192901422</v>
      </c>
      <c r="G508" s="30" t="s">
        <v>5427</v>
      </c>
      <c r="H508" s="30">
        <v>1995</v>
      </c>
      <c r="I508" s="30">
        <v>1726506</v>
      </c>
      <c r="J508" s="30" t="s">
        <v>5442</v>
      </c>
      <c r="K508" s="30" t="s">
        <v>6240</v>
      </c>
    </row>
    <row r="509" spans="1:11" ht="12.5" x14ac:dyDescent="0.25">
      <c r="A509" s="30" t="s">
        <v>8015</v>
      </c>
      <c r="B509" s="30" t="s">
        <v>8014</v>
      </c>
      <c r="C509" s="32">
        <v>14.06</v>
      </c>
      <c r="D509" s="30">
        <v>0.33</v>
      </c>
      <c r="E509" s="31">
        <v>2.4029999999999999E-2</v>
      </c>
      <c r="F509" s="30">
        <v>6667328346</v>
      </c>
      <c r="G509" s="30" t="s">
        <v>5427</v>
      </c>
      <c r="H509" s="30">
        <v>2018</v>
      </c>
      <c r="I509" s="30">
        <v>6521251</v>
      </c>
      <c r="J509" s="30" t="s">
        <v>5431</v>
      </c>
      <c r="K509" s="30" t="s">
        <v>5430</v>
      </c>
    </row>
    <row r="510" spans="1:11" ht="12.5" x14ac:dyDescent="0.25">
      <c r="A510" s="30" t="s">
        <v>8013</v>
      </c>
      <c r="B510" s="30" t="s">
        <v>8012</v>
      </c>
      <c r="C510" s="32">
        <v>58.51</v>
      </c>
      <c r="D510" s="30">
        <v>0.96</v>
      </c>
      <c r="E510" s="31">
        <v>1.668E-2</v>
      </c>
      <c r="F510" s="30">
        <v>3097408933</v>
      </c>
      <c r="G510" s="30" t="s">
        <v>5427</v>
      </c>
      <c r="H510" s="30">
        <v>2016</v>
      </c>
      <c r="I510" s="30">
        <v>1001806</v>
      </c>
      <c r="J510" s="30" t="s">
        <v>5442</v>
      </c>
      <c r="K510" s="30" t="s">
        <v>6240</v>
      </c>
    </row>
    <row r="511" spans="1:11" ht="12.5" x14ac:dyDescent="0.25">
      <c r="A511" s="30" t="s">
        <v>8011</v>
      </c>
      <c r="B511" s="30" t="s">
        <v>8010</v>
      </c>
      <c r="C511" s="32">
        <v>19.149999999999999</v>
      </c>
      <c r="D511" s="30">
        <v>-0.05</v>
      </c>
      <c r="E511" s="31">
        <v>-2.5999999999999999E-3</v>
      </c>
      <c r="F511" s="30">
        <v>1675959723</v>
      </c>
      <c r="G511" s="30" t="s">
        <v>5427</v>
      </c>
      <c r="H511" s="30">
        <v>2000</v>
      </c>
      <c r="I511" s="30">
        <v>417706</v>
      </c>
      <c r="J511" s="30" t="s">
        <v>5197</v>
      </c>
      <c r="K511" s="30" t="s">
        <v>5467</v>
      </c>
    </row>
    <row r="512" spans="1:11" ht="12.5" x14ac:dyDescent="0.25">
      <c r="A512" s="30" t="s">
        <v>8009</v>
      </c>
      <c r="B512" s="30" t="s">
        <v>8008</v>
      </c>
      <c r="C512" s="32">
        <v>72.180000000000007</v>
      </c>
      <c r="D512" s="30">
        <v>0.4</v>
      </c>
      <c r="E512" s="31">
        <v>5.5700000000000003E-3</v>
      </c>
      <c r="F512" s="30">
        <v>13433492341</v>
      </c>
      <c r="G512" s="30" t="s">
        <v>5427</v>
      </c>
      <c r="H512" s="30"/>
      <c r="I512" s="30">
        <v>1018888</v>
      </c>
      <c r="J512" s="30" t="s">
        <v>5197</v>
      </c>
      <c r="K512" s="30" t="s">
        <v>5467</v>
      </c>
    </row>
    <row r="513" spans="1:11" ht="12.5" x14ac:dyDescent="0.25">
      <c r="A513" s="30" t="s">
        <v>8007</v>
      </c>
      <c r="B513" s="30" t="s">
        <v>8006</v>
      </c>
      <c r="C513" s="32">
        <v>498.77</v>
      </c>
      <c r="D513" s="30">
        <v>-1.22</v>
      </c>
      <c r="E513" s="31">
        <v>-2.4399999999999999E-3</v>
      </c>
      <c r="F513" s="30">
        <v>119120033074</v>
      </c>
      <c r="G513" s="30" t="s">
        <v>5427</v>
      </c>
      <c r="H513" s="30"/>
      <c r="I513" s="30">
        <v>1242540</v>
      </c>
      <c r="J513" s="30" t="s">
        <v>5431</v>
      </c>
      <c r="K513" s="30" t="s">
        <v>5610</v>
      </c>
    </row>
    <row r="514" spans="1:11" ht="12.5" x14ac:dyDescent="0.25">
      <c r="A514" s="30" t="s">
        <v>8005</v>
      </c>
      <c r="B514" s="30" t="s">
        <v>8004</v>
      </c>
      <c r="C514" s="32">
        <v>1.8</v>
      </c>
      <c r="D514" s="30">
        <v>0</v>
      </c>
      <c r="E514" s="31">
        <v>0</v>
      </c>
      <c r="F514" s="30">
        <v>56630327</v>
      </c>
      <c r="G514" s="30" t="s">
        <v>5427</v>
      </c>
      <c r="H514" s="30">
        <v>2017</v>
      </c>
      <c r="I514" s="30">
        <v>169886</v>
      </c>
      <c r="J514" s="30" t="s">
        <v>5435</v>
      </c>
      <c r="K514" s="30" t="s">
        <v>5563</v>
      </c>
    </row>
    <row r="515" spans="1:11" ht="12.5" x14ac:dyDescent="0.25">
      <c r="A515" s="30" t="s">
        <v>8003</v>
      </c>
      <c r="B515" s="30" t="s">
        <v>8002</v>
      </c>
      <c r="C515" s="32">
        <v>9.59</v>
      </c>
      <c r="D515" s="30">
        <v>0.03</v>
      </c>
      <c r="E515" s="31">
        <v>3.14E-3</v>
      </c>
      <c r="F515" s="30">
        <v>577759255</v>
      </c>
      <c r="G515" s="30" t="s">
        <v>5427</v>
      </c>
      <c r="H515" s="30"/>
      <c r="I515" s="30">
        <v>317461</v>
      </c>
      <c r="J515" s="30" t="s">
        <v>5435</v>
      </c>
      <c r="K515" s="30" t="s">
        <v>5985</v>
      </c>
    </row>
    <row r="516" spans="1:11" ht="12.5" x14ac:dyDescent="0.25">
      <c r="A516" s="30" t="s">
        <v>8001</v>
      </c>
      <c r="B516" s="30" t="s">
        <v>8000</v>
      </c>
      <c r="C516" s="32">
        <v>149.08000000000001</v>
      </c>
      <c r="D516" s="30">
        <v>0.83</v>
      </c>
      <c r="E516" s="31">
        <v>5.5999999999999999E-3</v>
      </c>
      <c r="F516" s="30">
        <v>7104444819</v>
      </c>
      <c r="G516" s="30" t="s">
        <v>5427</v>
      </c>
      <c r="H516" s="30"/>
      <c r="I516" s="30">
        <v>247594</v>
      </c>
      <c r="J516" s="30" t="s">
        <v>5457</v>
      </c>
      <c r="K516" s="30" t="s">
        <v>5903</v>
      </c>
    </row>
    <row r="517" spans="1:11" ht="12.5" x14ac:dyDescent="0.25">
      <c r="A517" s="30" t="s">
        <v>7999</v>
      </c>
      <c r="B517" s="30" t="s">
        <v>7998</v>
      </c>
      <c r="C517" s="32">
        <v>12.89</v>
      </c>
      <c r="D517" s="30">
        <v>0.21</v>
      </c>
      <c r="E517" s="31">
        <v>1.6559999999999998E-2</v>
      </c>
      <c r="F517" s="30">
        <v>202635170</v>
      </c>
      <c r="G517" s="30" t="s">
        <v>5427</v>
      </c>
      <c r="H517" s="30">
        <v>1987</v>
      </c>
      <c r="I517" s="30">
        <v>19586</v>
      </c>
      <c r="J517" s="30" t="s">
        <v>5435</v>
      </c>
      <c r="K517" s="30" t="s">
        <v>5985</v>
      </c>
    </row>
    <row r="518" spans="1:11" ht="12.5" x14ac:dyDescent="0.25">
      <c r="A518" s="30" t="s">
        <v>7997</v>
      </c>
      <c r="B518" s="30" t="s">
        <v>7996</v>
      </c>
      <c r="C518" s="32">
        <v>89.67</v>
      </c>
      <c r="D518" s="30">
        <v>1.5</v>
      </c>
      <c r="E518" s="31">
        <v>1.7010000000000001E-2</v>
      </c>
      <c r="F518" s="30">
        <v>10652796000</v>
      </c>
      <c r="G518" s="30" t="s">
        <v>5427</v>
      </c>
      <c r="H518" s="30"/>
      <c r="I518" s="30">
        <v>1119962</v>
      </c>
      <c r="J518" s="30" t="s">
        <v>5457</v>
      </c>
      <c r="K518" s="30" t="s">
        <v>5555</v>
      </c>
    </row>
    <row r="519" spans="1:11" ht="12.5" x14ac:dyDescent="0.25">
      <c r="A519" s="30" t="s">
        <v>7995</v>
      </c>
      <c r="B519" s="30" t="s">
        <v>7994</v>
      </c>
      <c r="C519" s="32">
        <v>31.11</v>
      </c>
      <c r="D519" s="30">
        <v>0.21</v>
      </c>
      <c r="E519" s="31">
        <v>6.7999999999999996E-3</v>
      </c>
      <c r="F519" s="30">
        <v>401913450</v>
      </c>
      <c r="G519" s="30" t="s">
        <v>5427</v>
      </c>
      <c r="H519" s="30">
        <v>2011</v>
      </c>
      <c r="I519" s="30">
        <v>33724</v>
      </c>
      <c r="J519" s="30" t="s">
        <v>5435</v>
      </c>
      <c r="K519" s="30" t="s">
        <v>5434</v>
      </c>
    </row>
    <row r="520" spans="1:11" ht="12.5" x14ac:dyDescent="0.25">
      <c r="A520" s="30" t="s">
        <v>7993</v>
      </c>
      <c r="B520" s="30" t="s">
        <v>7992</v>
      </c>
      <c r="C520" s="32">
        <v>91.62</v>
      </c>
      <c r="D520" s="30">
        <v>1.4</v>
      </c>
      <c r="E520" s="31">
        <v>1.5520000000000001E-2</v>
      </c>
      <c r="F520" s="30">
        <v>53350610388</v>
      </c>
      <c r="G520" s="30" t="s">
        <v>5427</v>
      </c>
      <c r="H520" s="30"/>
      <c r="I520" s="30">
        <v>3742477</v>
      </c>
      <c r="J520" s="30" t="s">
        <v>5457</v>
      </c>
      <c r="K520" s="30" t="s">
        <v>5644</v>
      </c>
    </row>
    <row r="521" spans="1:11" ht="12.5" x14ac:dyDescent="0.25">
      <c r="A521" s="30" t="s">
        <v>7991</v>
      </c>
      <c r="B521" s="30" t="s">
        <v>7990</v>
      </c>
      <c r="C521" s="32">
        <v>40.72</v>
      </c>
      <c r="D521" s="30">
        <v>-0.25</v>
      </c>
      <c r="E521" s="31">
        <v>-6.1000000000000004E-3</v>
      </c>
      <c r="F521" s="30">
        <v>82453538025</v>
      </c>
      <c r="G521" s="30" t="s">
        <v>5515</v>
      </c>
      <c r="H521" s="30"/>
      <c r="I521" s="30">
        <v>4432964</v>
      </c>
      <c r="J521" s="30" t="s">
        <v>5464</v>
      </c>
      <c r="K521" s="30" t="s">
        <v>5463</v>
      </c>
    </row>
    <row r="522" spans="1:11" ht="12.5" x14ac:dyDescent="0.25">
      <c r="A522" s="30" t="s">
        <v>7989</v>
      </c>
      <c r="B522" s="30" t="s">
        <v>7988</v>
      </c>
      <c r="C522" s="32">
        <v>64.47</v>
      </c>
      <c r="D522" s="30">
        <v>1.52</v>
      </c>
      <c r="E522" s="31">
        <v>2.4150000000000001E-2</v>
      </c>
      <c r="F522" s="30">
        <v>3491029805</v>
      </c>
      <c r="G522" s="30" t="s">
        <v>5427</v>
      </c>
      <c r="H522" s="30"/>
      <c r="I522" s="30">
        <v>388812</v>
      </c>
      <c r="J522" s="30" t="s">
        <v>5457</v>
      </c>
      <c r="K522" s="30" t="s">
        <v>5456</v>
      </c>
    </row>
    <row r="523" spans="1:11" ht="12.5" x14ac:dyDescent="0.25">
      <c r="A523" s="30" t="s">
        <v>7987</v>
      </c>
      <c r="B523" s="30" t="s">
        <v>7986</v>
      </c>
      <c r="C523" s="32">
        <v>37.44</v>
      </c>
      <c r="D523" s="30">
        <v>0.34</v>
      </c>
      <c r="E523" s="31">
        <v>9.1599999999999997E-3</v>
      </c>
      <c r="F523" s="30">
        <v>2673436334</v>
      </c>
      <c r="G523" s="30" t="s">
        <v>5427</v>
      </c>
      <c r="H523" s="30">
        <v>2015</v>
      </c>
      <c r="I523" s="30">
        <v>555770</v>
      </c>
      <c r="J523" s="30" t="s">
        <v>5457</v>
      </c>
      <c r="K523" s="30" t="s">
        <v>5634</v>
      </c>
    </row>
    <row r="524" spans="1:11" ht="12.5" x14ac:dyDescent="0.25">
      <c r="A524" s="30" t="s">
        <v>7985</v>
      </c>
      <c r="B524" s="30" t="s">
        <v>7984</v>
      </c>
      <c r="C524" s="32">
        <v>84.61</v>
      </c>
      <c r="D524" s="30">
        <v>1.59</v>
      </c>
      <c r="E524" s="31">
        <v>1.915E-2</v>
      </c>
      <c r="F524" s="30">
        <v>3454588818</v>
      </c>
      <c r="G524" s="30" t="s">
        <v>5427</v>
      </c>
      <c r="H524" s="30">
        <v>2004</v>
      </c>
      <c r="I524" s="30">
        <v>232458</v>
      </c>
      <c r="J524" s="30" t="s">
        <v>5442</v>
      </c>
      <c r="K524" s="30" t="s">
        <v>5520</v>
      </c>
    </row>
    <row r="525" spans="1:11" ht="12.5" x14ac:dyDescent="0.25">
      <c r="A525" s="30" t="s">
        <v>7983</v>
      </c>
      <c r="B525" s="30" t="s">
        <v>7982</v>
      </c>
      <c r="C525" s="32">
        <v>66.739999999999995</v>
      </c>
      <c r="D525" s="30">
        <v>1.74</v>
      </c>
      <c r="E525" s="31">
        <v>2.6769999999999999E-2</v>
      </c>
      <c r="F525" s="30">
        <v>3692466317</v>
      </c>
      <c r="G525" s="30" t="s">
        <v>5427</v>
      </c>
      <c r="H525" s="30">
        <v>2010</v>
      </c>
      <c r="I525" s="30">
        <v>367029</v>
      </c>
      <c r="J525" s="30" t="s">
        <v>5219</v>
      </c>
      <c r="K525" s="30" t="s">
        <v>5447</v>
      </c>
    </row>
    <row r="526" spans="1:11" ht="12.5" x14ac:dyDescent="0.25">
      <c r="A526" s="30" t="s">
        <v>7981</v>
      </c>
      <c r="B526" s="30" t="s">
        <v>7980</v>
      </c>
      <c r="C526" s="32">
        <v>45.8</v>
      </c>
      <c r="D526" s="30">
        <v>0.15</v>
      </c>
      <c r="E526" s="31">
        <v>3.29E-3</v>
      </c>
      <c r="F526" s="30">
        <v>1440864565</v>
      </c>
      <c r="G526" s="30" t="s">
        <v>5427</v>
      </c>
      <c r="H526" s="30">
        <v>2014</v>
      </c>
      <c r="I526" s="30">
        <v>411456</v>
      </c>
      <c r="J526" s="30" t="s">
        <v>5435</v>
      </c>
      <c r="K526" s="30" t="s">
        <v>5598</v>
      </c>
    </row>
    <row r="527" spans="1:11" ht="12.5" x14ac:dyDescent="0.25">
      <c r="A527" s="30" t="s">
        <v>7979</v>
      </c>
      <c r="B527" s="30" t="s">
        <v>7978</v>
      </c>
      <c r="C527" s="32">
        <v>1.36</v>
      </c>
      <c r="D527" s="30">
        <v>0.02</v>
      </c>
      <c r="E527" s="31">
        <v>1.4930000000000001E-2</v>
      </c>
      <c r="F527" s="30">
        <v>66259817</v>
      </c>
      <c r="G527" s="30" t="s">
        <v>5427</v>
      </c>
      <c r="H527" s="30">
        <v>1988</v>
      </c>
      <c r="I527" s="30">
        <v>58570</v>
      </c>
      <c r="J527" s="30" t="s">
        <v>5431</v>
      </c>
      <c r="K527" s="30" t="s">
        <v>5610</v>
      </c>
    </row>
    <row r="528" spans="1:11" ht="12.5" x14ac:dyDescent="0.25">
      <c r="A528" s="30" t="s">
        <v>7977</v>
      </c>
      <c r="B528" s="30" t="s">
        <v>7976</v>
      </c>
      <c r="C528" s="32">
        <v>4.8600000000000003</v>
      </c>
      <c r="D528" s="30">
        <v>0.05</v>
      </c>
      <c r="E528" s="31">
        <v>1.04E-2</v>
      </c>
      <c r="F528" s="30">
        <v>210227406</v>
      </c>
      <c r="G528" s="30" t="s">
        <v>5427</v>
      </c>
      <c r="H528" s="30">
        <v>2007</v>
      </c>
      <c r="I528" s="30">
        <v>46219</v>
      </c>
      <c r="J528" s="30" t="s">
        <v>5435</v>
      </c>
      <c r="K528" s="30" t="s">
        <v>5434</v>
      </c>
    </row>
    <row r="529" spans="1:11" ht="12.5" x14ac:dyDescent="0.25">
      <c r="A529" s="30" t="s">
        <v>7975</v>
      </c>
      <c r="B529" s="30" t="s">
        <v>7974</v>
      </c>
      <c r="C529" s="32">
        <v>127.29</v>
      </c>
      <c r="D529" s="30">
        <v>-4.96</v>
      </c>
      <c r="E529" s="31">
        <v>-3.7499999999999999E-2</v>
      </c>
      <c r="F529" s="30">
        <v>74768808946</v>
      </c>
      <c r="G529" s="30" t="s">
        <v>5427</v>
      </c>
      <c r="H529" s="30"/>
      <c r="I529" s="30">
        <v>4991650</v>
      </c>
      <c r="J529" s="30" t="s">
        <v>5464</v>
      </c>
      <c r="K529" s="30" t="s">
        <v>5463</v>
      </c>
    </row>
    <row r="530" spans="1:11" ht="12.5" x14ac:dyDescent="0.25">
      <c r="A530" s="30" t="s">
        <v>7973</v>
      </c>
      <c r="B530" s="30" t="s">
        <v>7972</v>
      </c>
      <c r="C530" s="32">
        <v>16.23</v>
      </c>
      <c r="D530" s="30">
        <v>0.05</v>
      </c>
      <c r="E530" s="31">
        <v>3.0899999999999999E-3</v>
      </c>
      <c r="F530" s="30">
        <v>651118143</v>
      </c>
      <c r="G530" s="30" t="s">
        <v>5427</v>
      </c>
      <c r="H530" s="30">
        <v>2004</v>
      </c>
      <c r="I530" s="30">
        <v>118627</v>
      </c>
      <c r="J530" s="30" t="s">
        <v>5435</v>
      </c>
      <c r="K530" s="30" t="s">
        <v>5985</v>
      </c>
    </row>
    <row r="531" spans="1:11" ht="12.5" x14ac:dyDescent="0.25">
      <c r="A531" s="30" t="s">
        <v>7971</v>
      </c>
      <c r="B531" s="30" t="s">
        <v>7970</v>
      </c>
      <c r="C531" s="32">
        <v>17.829999999999998</v>
      </c>
      <c r="D531" s="30">
        <v>0.02</v>
      </c>
      <c r="E531" s="31">
        <v>1.1199999999999999E-3</v>
      </c>
      <c r="F531" s="30">
        <v>278592341</v>
      </c>
      <c r="G531" s="30" t="s">
        <v>5427</v>
      </c>
      <c r="H531" s="30">
        <v>2009</v>
      </c>
      <c r="I531" s="30">
        <v>32964</v>
      </c>
      <c r="J531" s="30" t="s">
        <v>5435</v>
      </c>
      <c r="K531" s="30" t="s">
        <v>5568</v>
      </c>
    </row>
    <row r="532" spans="1:11" ht="12.5" x14ac:dyDescent="0.25">
      <c r="A532" s="30" t="s">
        <v>7969</v>
      </c>
      <c r="B532" s="30" t="s">
        <v>7968</v>
      </c>
      <c r="C532" s="32">
        <v>26.88</v>
      </c>
      <c r="D532" s="30">
        <v>0.34</v>
      </c>
      <c r="E532" s="31">
        <v>1.281E-2</v>
      </c>
      <c r="F532" s="30">
        <v>1531440584</v>
      </c>
      <c r="G532" s="30" t="s">
        <v>5427</v>
      </c>
      <c r="H532" s="30"/>
      <c r="I532" s="30">
        <v>293569</v>
      </c>
      <c r="J532" s="30" t="s">
        <v>5457</v>
      </c>
      <c r="K532" s="30" t="s">
        <v>5644</v>
      </c>
    </row>
    <row r="533" spans="1:11" ht="12.5" x14ac:dyDescent="0.25">
      <c r="A533" s="30" t="s">
        <v>7967</v>
      </c>
      <c r="B533" s="30" t="s">
        <v>7966</v>
      </c>
      <c r="C533" s="32">
        <v>352.77</v>
      </c>
      <c r="D533" s="30">
        <v>20.12</v>
      </c>
      <c r="E533" s="31">
        <v>6.0479999999999999E-2</v>
      </c>
      <c r="F533" s="30">
        <v>20289033162</v>
      </c>
      <c r="G533" s="30" t="s">
        <v>5427</v>
      </c>
      <c r="H533" s="30">
        <v>2012</v>
      </c>
      <c r="I533" s="30">
        <v>379618</v>
      </c>
      <c r="J533" s="30" t="s">
        <v>5219</v>
      </c>
      <c r="K533" s="30" t="s">
        <v>5447</v>
      </c>
    </row>
    <row r="534" spans="1:11" ht="12.5" x14ac:dyDescent="0.25">
      <c r="A534" s="30" t="s">
        <v>7965</v>
      </c>
      <c r="B534" s="30" t="s">
        <v>7964</v>
      </c>
      <c r="C534" s="32">
        <v>25.68</v>
      </c>
      <c r="D534" s="30">
        <v>0.08</v>
      </c>
      <c r="E534" s="31">
        <v>3.13E-3</v>
      </c>
      <c r="F534" s="30">
        <v>55868629639</v>
      </c>
      <c r="G534" s="30" t="s">
        <v>5427</v>
      </c>
      <c r="H534" s="30"/>
      <c r="I534" s="30">
        <v>5262840</v>
      </c>
      <c r="J534" s="30" t="s">
        <v>5426</v>
      </c>
      <c r="K534" s="30" t="s">
        <v>5546</v>
      </c>
    </row>
    <row r="535" spans="1:11" ht="12.5" x14ac:dyDescent="0.25">
      <c r="A535" s="30" t="s">
        <v>7963</v>
      </c>
      <c r="B535" s="30" t="s">
        <v>7962</v>
      </c>
      <c r="C535" s="32">
        <v>42.66</v>
      </c>
      <c r="D535" s="30">
        <v>0.18</v>
      </c>
      <c r="E535" s="31">
        <v>4.2399999999999998E-3</v>
      </c>
      <c r="F535" s="30">
        <v>3200398036</v>
      </c>
      <c r="G535" s="30" t="s">
        <v>5427</v>
      </c>
      <c r="H535" s="30">
        <v>1997</v>
      </c>
      <c r="I535" s="30">
        <v>468748</v>
      </c>
      <c r="J535" s="30" t="s">
        <v>5197</v>
      </c>
      <c r="K535" s="30" t="s">
        <v>5467</v>
      </c>
    </row>
    <row r="536" spans="1:11" ht="12.5" x14ac:dyDescent="0.25">
      <c r="A536" s="30" t="s">
        <v>7961</v>
      </c>
      <c r="B536" s="30" t="s">
        <v>7960</v>
      </c>
      <c r="C536" s="32">
        <v>25.16</v>
      </c>
      <c r="D536" s="30">
        <v>-0.32</v>
      </c>
      <c r="E536" s="31">
        <v>-1.256E-2</v>
      </c>
      <c r="F536" s="30">
        <v>3582210729</v>
      </c>
      <c r="G536" s="30" t="s">
        <v>5427</v>
      </c>
      <c r="H536" s="30">
        <v>2018</v>
      </c>
      <c r="I536" s="30">
        <v>568922</v>
      </c>
      <c r="J536" s="30" t="s">
        <v>5197</v>
      </c>
      <c r="K536" s="30" t="s">
        <v>5467</v>
      </c>
    </row>
    <row r="537" spans="1:11" ht="12.5" x14ac:dyDescent="0.25">
      <c r="A537" s="30" t="s">
        <v>7959</v>
      </c>
      <c r="B537" s="30" t="s">
        <v>7958</v>
      </c>
      <c r="C537" s="32">
        <v>25.41</v>
      </c>
      <c r="D537" s="30">
        <v>-0.11</v>
      </c>
      <c r="E537" s="31">
        <v>-4.3099999999999996E-3</v>
      </c>
      <c r="F537" s="30">
        <v>2780571883</v>
      </c>
      <c r="G537" s="30" t="s">
        <v>5427</v>
      </c>
      <c r="H537" s="30"/>
      <c r="I537" s="30">
        <v>1027239</v>
      </c>
      <c r="J537" s="30" t="s">
        <v>5197</v>
      </c>
      <c r="K537" s="30" t="s">
        <v>5467</v>
      </c>
    </row>
    <row r="538" spans="1:11" ht="12.5" x14ac:dyDescent="0.25">
      <c r="A538" s="30" t="s">
        <v>7957</v>
      </c>
      <c r="B538" s="30" t="s">
        <v>7956</v>
      </c>
      <c r="C538" s="32">
        <v>32.28</v>
      </c>
      <c r="D538" s="30">
        <v>0.21</v>
      </c>
      <c r="E538" s="31">
        <v>6.5500000000000003E-3</v>
      </c>
      <c r="F538" s="30">
        <v>11944967671</v>
      </c>
      <c r="G538" s="30" t="s">
        <v>5427</v>
      </c>
      <c r="H538" s="30">
        <v>2018</v>
      </c>
      <c r="I538" s="30">
        <v>2144222</v>
      </c>
      <c r="J538" s="30"/>
      <c r="K538" s="30"/>
    </row>
    <row r="539" spans="1:11" ht="12.5" x14ac:dyDescent="0.25">
      <c r="A539" s="30" t="s">
        <v>7955</v>
      </c>
      <c r="B539" s="30" t="s">
        <v>7954</v>
      </c>
      <c r="C539" s="32">
        <v>30.37</v>
      </c>
      <c r="D539" s="30">
        <v>-0.06</v>
      </c>
      <c r="E539" s="31">
        <v>-1.97E-3</v>
      </c>
      <c r="F539" s="30">
        <v>94697646518</v>
      </c>
      <c r="G539" s="30" t="s">
        <v>7953</v>
      </c>
      <c r="H539" s="30"/>
      <c r="I539" s="30">
        <v>3303645</v>
      </c>
      <c r="J539" s="30" t="s">
        <v>5464</v>
      </c>
      <c r="K539" s="30" t="s">
        <v>5674</v>
      </c>
    </row>
    <row r="540" spans="1:11" ht="12.5" x14ac:dyDescent="0.25">
      <c r="A540" s="30" t="s">
        <v>7952</v>
      </c>
      <c r="B540" s="30" t="s">
        <v>7951</v>
      </c>
      <c r="C540" s="32">
        <v>64</v>
      </c>
      <c r="D540" s="30">
        <v>0.35</v>
      </c>
      <c r="E540" s="31">
        <v>5.4999999999999997E-3</v>
      </c>
      <c r="F540" s="30">
        <v>24186810880</v>
      </c>
      <c r="G540" s="30" t="s">
        <v>5427</v>
      </c>
      <c r="H540" s="30"/>
      <c r="I540" s="30">
        <v>2327149</v>
      </c>
      <c r="J540" s="30" t="s">
        <v>5197</v>
      </c>
      <c r="K540" s="30" t="s">
        <v>5467</v>
      </c>
    </row>
    <row r="541" spans="1:11" ht="12.5" x14ac:dyDescent="0.25">
      <c r="A541" s="30" t="s">
        <v>7950</v>
      </c>
      <c r="B541" s="30" t="s">
        <v>7949</v>
      </c>
      <c r="C541" s="32">
        <v>31.63</v>
      </c>
      <c r="D541" s="30">
        <v>-1.04</v>
      </c>
      <c r="E541" s="31">
        <v>-3.1829999999999997E-2</v>
      </c>
      <c r="F541" s="30">
        <v>11609665138</v>
      </c>
      <c r="G541" s="30" t="s">
        <v>5427</v>
      </c>
      <c r="H541" s="30"/>
      <c r="I541" s="30">
        <v>7409222</v>
      </c>
      <c r="J541" s="30" t="s">
        <v>5464</v>
      </c>
      <c r="K541" s="30" t="s">
        <v>5463</v>
      </c>
    </row>
    <row r="542" spans="1:11" ht="12.5" x14ac:dyDescent="0.25">
      <c r="A542" s="30" t="s">
        <v>5054</v>
      </c>
      <c r="B542" s="30" t="s">
        <v>7948</v>
      </c>
      <c r="C542" s="32">
        <v>17.09</v>
      </c>
      <c r="D542" s="30">
        <v>-0.66</v>
      </c>
      <c r="E542" s="31">
        <v>-3.7179999999999998E-2</v>
      </c>
      <c r="F542" s="30">
        <v>3833287000</v>
      </c>
      <c r="G542" s="30" t="s">
        <v>5515</v>
      </c>
      <c r="H542" s="30"/>
      <c r="I542" s="30">
        <v>1155774</v>
      </c>
      <c r="J542" s="30"/>
      <c r="K542" s="30"/>
    </row>
    <row r="543" spans="1:11" ht="12.5" x14ac:dyDescent="0.25">
      <c r="A543" s="30" t="s">
        <v>7947</v>
      </c>
      <c r="B543" s="30" t="s">
        <v>7946</v>
      </c>
      <c r="C543" s="32">
        <v>82.71</v>
      </c>
      <c r="D543" s="30">
        <v>0.38</v>
      </c>
      <c r="E543" s="31">
        <v>4.62E-3</v>
      </c>
      <c r="F543" s="30">
        <v>28808506377</v>
      </c>
      <c r="G543" s="30" t="s">
        <v>5427</v>
      </c>
      <c r="H543" s="30"/>
      <c r="I543" s="30">
        <v>1688992</v>
      </c>
      <c r="J543" s="30" t="s">
        <v>5426</v>
      </c>
      <c r="K543" s="30" t="s">
        <v>6000</v>
      </c>
    </row>
    <row r="544" spans="1:11" ht="12.5" x14ac:dyDescent="0.25">
      <c r="A544" s="30" t="s">
        <v>7945</v>
      </c>
      <c r="B544" s="30" t="s">
        <v>7944</v>
      </c>
      <c r="C544" s="32">
        <v>99.22</v>
      </c>
      <c r="D544" s="30">
        <v>0.78</v>
      </c>
      <c r="E544" s="31">
        <v>7.92E-3</v>
      </c>
      <c r="F544" s="30">
        <v>2568362088</v>
      </c>
      <c r="G544" s="30" t="s">
        <v>5427</v>
      </c>
      <c r="H544" s="30"/>
      <c r="I544" s="30">
        <v>147322</v>
      </c>
      <c r="J544" s="30" t="s">
        <v>5732</v>
      </c>
      <c r="K544" s="30" t="s">
        <v>5520</v>
      </c>
    </row>
    <row r="545" spans="1:11" ht="12.5" x14ac:dyDescent="0.25">
      <c r="A545" s="30" t="s">
        <v>7943</v>
      </c>
      <c r="B545" s="30" t="s">
        <v>7942</v>
      </c>
      <c r="C545" s="32">
        <v>21</v>
      </c>
      <c r="D545" s="30">
        <v>0.52</v>
      </c>
      <c r="E545" s="31">
        <v>2.5389999999999999E-2</v>
      </c>
      <c r="F545" s="30">
        <v>5083796592</v>
      </c>
      <c r="G545" s="30" t="s">
        <v>5427</v>
      </c>
      <c r="H545" s="30">
        <v>2014</v>
      </c>
      <c r="I545" s="30">
        <v>1681209</v>
      </c>
      <c r="J545" s="30" t="s">
        <v>5457</v>
      </c>
      <c r="K545" s="30" t="s">
        <v>5438</v>
      </c>
    </row>
    <row r="546" spans="1:11" ht="12.5" x14ac:dyDescent="0.25">
      <c r="A546" s="30" t="s">
        <v>7941</v>
      </c>
      <c r="B546" s="30" t="s">
        <v>7940</v>
      </c>
      <c r="C546" s="32">
        <v>8.25</v>
      </c>
      <c r="D546" s="30">
        <v>-0.09</v>
      </c>
      <c r="E546" s="31">
        <v>-1.0789999999999999E-2</v>
      </c>
      <c r="F546" s="30">
        <v>1331723159</v>
      </c>
      <c r="G546" s="30" t="s">
        <v>5427</v>
      </c>
      <c r="H546" s="30">
        <v>2013</v>
      </c>
      <c r="I546" s="30">
        <v>1247637</v>
      </c>
      <c r="J546" s="30" t="s">
        <v>5197</v>
      </c>
      <c r="K546" s="30" t="s">
        <v>5467</v>
      </c>
    </row>
    <row r="547" spans="1:11" ht="12.5" x14ac:dyDescent="0.25">
      <c r="A547" s="30" t="s">
        <v>7939</v>
      </c>
      <c r="B547" s="30" t="s">
        <v>7938</v>
      </c>
      <c r="C547" s="32">
        <v>227.21</v>
      </c>
      <c r="D547" s="30">
        <v>1.1399999999999999</v>
      </c>
      <c r="E547" s="31">
        <v>5.0400000000000002E-3</v>
      </c>
      <c r="F547" s="30">
        <v>14712713625</v>
      </c>
      <c r="G547" s="30" t="s">
        <v>5427</v>
      </c>
      <c r="H547" s="30">
        <v>1994</v>
      </c>
      <c r="I547" s="30">
        <v>580754</v>
      </c>
      <c r="J547" s="30" t="s">
        <v>5197</v>
      </c>
      <c r="K547" s="30" t="s">
        <v>5467</v>
      </c>
    </row>
    <row r="548" spans="1:11" ht="12.5" x14ac:dyDescent="0.25">
      <c r="A548" s="30" t="s">
        <v>7937</v>
      </c>
      <c r="B548" s="30" t="s">
        <v>7936</v>
      </c>
      <c r="C548" s="32">
        <v>63.39</v>
      </c>
      <c r="D548" s="30">
        <v>4.55</v>
      </c>
      <c r="E548" s="31">
        <v>7.7329999999999996E-2</v>
      </c>
      <c r="F548" s="30">
        <v>6060422566</v>
      </c>
      <c r="G548" s="30" t="s">
        <v>5427</v>
      </c>
      <c r="H548" s="30">
        <v>2018</v>
      </c>
      <c r="I548" s="30">
        <v>1922342</v>
      </c>
      <c r="J548" s="30" t="s">
        <v>5219</v>
      </c>
      <c r="K548" s="30" t="s">
        <v>5560</v>
      </c>
    </row>
    <row r="549" spans="1:11" ht="12.5" x14ac:dyDescent="0.25">
      <c r="A549" s="30" t="s">
        <v>7935</v>
      </c>
      <c r="B549" s="30" t="s">
        <v>7934</v>
      </c>
      <c r="C549" s="32">
        <v>13.78</v>
      </c>
      <c r="D549" s="30">
        <v>-0.12</v>
      </c>
      <c r="E549" s="31">
        <v>-8.6300000000000005E-3</v>
      </c>
      <c r="F549" s="30">
        <v>1452645240</v>
      </c>
      <c r="G549" s="30" t="s">
        <v>5427</v>
      </c>
      <c r="H549" s="30"/>
      <c r="I549" s="30">
        <v>1415668</v>
      </c>
      <c r="J549" s="30" t="s">
        <v>5464</v>
      </c>
      <c r="K549" s="30" t="s">
        <v>5463</v>
      </c>
    </row>
    <row r="550" spans="1:11" ht="12.5" x14ac:dyDescent="0.25">
      <c r="A550" s="30" t="s">
        <v>7933</v>
      </c>
      <c r="B550" s="30" t="s">
        <v>7932</v>
      </c>
      <c r="C550" s="32">
        <v>13.07</v>
      </c>
      <c r="D550" s="30">
        <v>-0.21</v>
      </c>
      <c r="E550" s="31">
        <v>-1.5810000000000001E-2</v>
      </c>
      <c r="F550" s="30">
        <v>40366369975</v>
      </c>
      <c r="G550" s="30" t="s">
        <v>5427</v>
      </c>
      <c r="H550" s="30"/>
      <c r="I550" s="30">
        <v>24283433</v>
      </c>
      <c r="J550" s="30" t="s">
        <v>5426</v>
      </c>
      <c r="K550" s="30" t="s">
        <v>5546</v>
      </c>
    </row>
    <row r="551" spans="1:11" ht="12.5" x14ac:dyDescent="0.25">
      <c r="A551" s="30" t="s">
        <v>7931</v>
      </c>
      <c r="B551" s="30" t="s">
        <v>7930</v>
      </c>
      <c r="C551" s="32">
        <v>13.72</v>
      </c>
      <c r="D551" s="30">
        <v>0.13</v>
      </c>
      <c r="E551" s="31">
        <v>9.5700000000000004E-3</v>
      </c>
      <c r="F551" s="30">
        <v>402737456</v>
      </c>
      <c r="G551" s="30" t="s">
        <v>5427</v>
      </c>
      <c r="H551" s="30">
        <v>2005</v>
      </c>
      <c r="I551" s="30">
        <v>74096</v>
      </c>
      <c r="J551" s="30" t="s">
        <v>5435</v>
      </c>
      <c r="K551" s="30" t="s">
        <v>5568</v>
      </c>
    </row>
    <row r="552" spans="1:11" ht="12.5" x14ac:dyDescent="0.25">
      <c r="A552" s="30" t="s">
        <v>7929</v>
      </c>
      <c r="B552" s="30" t="s">
        <v>7928</v>
      </c>
      <c r="C552" s="32">
        <v>28.88</v>
      </c>
      <c r="D552" s="30">
        <v>0.14000000000000001</v>
      </c>
      <c r="E552" s="31">
        <v>4.8700000000000002E-3</v>
      </c>
      <c r="F552" s="30">
        <v>732043107</v>
      </c>
      <c r="G552" s="30" t="s">
        <v>5427</v>
      </c>
      <c r="H552" s="30"/>
      <c r="I552" s="30">
        <v>1170497</v>
      </c>
      <c r="J552" s="30" t="s">
        <v>5442</v>
      </c>
      <c r="K552" s="30" t="s">
        <v>5894</v>
      </c>
    </row>
    <row r="553" spans="1:11" ht="12.5" x14ac:dyDescent="0.25">
      <c r="A553" s="30" t="s">
        <v>7927</v>
      </c>
      <c r="B553" s="30" t="s">
        <v>7926</v>
      </c>
      <c r="C553" s="32">
        <v>16.760000000000002</v>
      </c>
      <c r="D553" s="30">
        <v>0.22</v>
      </c>
      <c r="E553" s="31">
        <v>1.3299999999999999E-2</v>
      </c>
      <c r="F553" s="30">
        <v>1281452103</v>
      </c>
      <c r="G553" s="30" t="s">
        <v>5427</v>
      </c>
      <c r="H553" s="30">
        <v>2004</v>
      </c>
      <c r="I553" s="30">
        <v>140344</v>
      </c>
      <c r="J553" s="30" t="s">
        <v>5435</v>
      </c>
      <c r="K553" s="30" t="s">
        <v>5434</v>
      </c>
    </row>
    <row r="554" spans="1:11" ht="12.5" x14ac:dyDescent="0.25">
      <c r="A554" s="30" t="s">
        <v>7925</v>
      </c>
      <c r="B554" s="30" t="s">
        <v>7924</v>
      </c>
      <c r="C554" s="32">
        <v>7.9</v>
      </c>
      <c r="D554" s="30">
        <v>0.1</v>
      </c>
      <c r="E554" s="31">
        <v>1.282E-2</v>
      </c>
      <c r="F554" s="30">
        <v>529984985</v>
      </c>
      <c r="G554" s="30" t="s">
        <v>5427</v>
      </c>
      <c r="H554" s="30">
        <v>2007</v>
      </c>
      <c r="I554" s="30">
        <v>337599</v>
      </c>
      <c r="J554" s="30" t="s">
        <v>5435</v>
      </c>
      <c r="K554" s="30" t="s">
        <v>5563</v>
      </c>
    </row>
    <row r="555" spans="1:11" ht="12.5" x14ac:dyDescent="0.25">
      <c r="A555" s="30" t="s">
        <v>7923</v>
      </c>
      <c r="B555" s="30" t="s">
        <v>7922</v>
      </c>
      <c r="C555" s="32">
        <v>163.34</v>
      </c>
      <c r="D555" s="30">
        <v>1.1299999999999999</v>
      </c>
      <c r="E555" s="31">
        <v>6.9699999999999996E-3</v>
      </c>
      <c r="F555" s="30">
        <v>64960318000</v>
      </c>
      <c r="G555" s="30" t="s">
        <v>5512</v>
      </c>
      <c r="H555" s="30"/>
      <c r="I555" s="30">
        <v>1757837</v>
      </c>
      <c r="J555" s="30" t="s">
        <v>5457</v>
      </c>
      <c r="K555" s="30" t="s">
        <v>5644</v>
      </c>
    </row>
    <row r="556" spans="1:11" ht="12.5" x14ac:dyDescent="0.25">
      <c r="A556" s="30" t="s">
        <v>7921</v>
      </c>
      <c r="B556" s="30" t="s">
        <v>7920</v>
      </c>
      <c r="C556" s="32">
        <v>23.13</v>
      </c>
      <c r="D556" s="30">
        <v>0.33</v>
      </c>
      <c r="E556" s="31">
        <v>1.447E-2</v>
      </c>
      <c r="F556" s="30">
        <v>379057632</v>
      </c>
      <c r="G556" s="30" t="s">
        <v>5427</v>
      </c>
      <c r="H556" s="30">
        <v>2004</v>
      </c>
      <c r="I556" s="30">
        <v>57609</v>
      </c>
      <c r="J556" s="30" t="s">
        <v>5435</v>
      </c>
      <c r="K556" s="30" t="s">
        <v>5434</v>
      </c>
    </row>
    <row r="557" spans="1:11" ht="12.5" x14ac:dyDescent="0.25">
      <c r="A557" s="30" t="s">
        <v>7919</v>
      </c>
      <c r="B557" s="30" t="s">
        <v>7918</v>
      </c>
      <c r="C557" s="32">
        <v>109.21</v>
      </c>
      <c r="D557" s="30">
        <v>0.93</v>
      </c>
      <c r="E557" s="31">
        <v>8.5900000000000004E-3</v>
      </c>
      <c r="F557" s="30">
        <v>23040260748</v>
      </c>
      <c r="G557" s="30" t="s">
        <v>5427</v>
      </c>
      <c r="H557" s="30"/>
      <c r="I557" s="30">
        <v>1334836</v>
      </c>
      <c r="J557" s="30" t="s">
        <v>5426</v>
      </c>
      <c r="K557" s="30" t="s">
        <v>6000</v>
      </c>
    </row>
    <row r="558" spans="1:11" ht="12.5" x14ac:dyDescent="0.25">
      <c r="A558" s="30" t="s">
        <v>7917</v>
      </c>
      <c r="B558" s="30" t="s">
        <v>7916</v>
      </c>
      <c r="C558" s="32">
        <v>13.31</v>
      </c>
      <c r="D558" s="30">
        <v>0.25</v>
      </c>
      <c r="E558" s="31">
        <v>1.9140000000000001E-2</v>
      </c>
      <c r="F558" s="30">
        <v>1451190165</v>
      </c>
      <c r="G558" s="30" t="s">
        <v>5427</v>
      </c>
      <c r="H558" s="30">
        <v>2005</v>
      </c>
      <c r="I558" s="30">
        <v>338737</v>
      </c>
      <c r="J558" s="30" t="s">
        <v>5435</v>
      </c>
      <c r="K558" s="30" t="s">
        <v>5568</v>
      </c>
    </row>
    <row r="559" spans="1:11" ht="12.5" x14ac:dyDescent="0.25">
      <c r="A559" s="30" t="s">
        <v>7915</v>
      </c>
      <c r="B559" s="30" t="s">
        <v>7914</v>
      </c>
      <c r="C559" s="32">
        <v>8.23</v>
      </c>
      <c r="D559" s="30">
        <v>0.06</v>
      </c>
      <c r="E559" s="31">
        <v>7.3400000000000002E-3</v>
      </c>
      <c r="F559" s="30">
        <v>900859397</v>
      </c>
      <c r="G559" s="30" t="s">
        <v>5427</v>
      </c>
      <c r="H559" s="30">
        <v>2005</v>
      </c>
      <c r="I559" s="30">
        <v>331682</v>
      </c>
      <c r="J559" s="30" t="s">
        <v>5435</v>
      </c>
      <c r="K559" s="30" t="s">
        <v>5434</v>
      </c>
    </row>
    <row r="560" spans="1:11" ht="12.5" x14ac:dyDescent="0.25">
      <c r="A560" s="30" t="s">
        <v>7913</v>
      </c>
      <c r="B560" s="30" t="s">
        <v>7912</v>
      </c>
      <c r="C560" s="32">
        <v>11.73</v>
      </c>
      <c r="D560" s="30">
        <v>0.09</v>
      </c>
      <c r="E560" s="31">
        <v>7.7299999999999999E-3</v>
      </c>
      <c r="F560" s="30">
        <v>1842194025</v>
      </c>
      <c r="G560" s="30" t="s">
        <v>5427</v>
      </c>
      <c r="H560" s="30">
        <v>2006</v>
      </c>
      <c r="I560" s="30">
        <v>274604</v>
      </c>
      <c r="J560" s="30" t="s">
        <v>5435</v>
      </c>
      <c r="K560" s="30" t="s">
        <v>5563</v>
      </c>
    </row>
    <row r="561" spans="1:11" ht="12.5" x14ac:dyDescent="0.25">
      <c r="A561" s="30" t="s">
        <v>7911</v>
      </c>
      <c r="B561" s="30" t="s">
        <v>7910</v>
      </c>
      <c r="C561" s="32">
        <v>45.11</v>
      </c>
      <c r="D561" s="30">
        <v>-0.37</v>
      </c>
      <c r="E561" s="31">
        <v>-8.1399999999999997E-3</v>
      </c>
      <c r="F561" s="30">
        <v>3020840410</v>
      </c>
      <c r="G561" s="30" t="s">
        <v>5427</v>
      </c>
      <c r="H561" s="30">
        <v>2015</v>
      </c>
      <c r="I561" s="30">
        <v>655974</v>
      </c>
      <c r="J561" s="30"/>
      <c r="K561" s="30"/>
    </row>
    <row r="562" spans="1:11" ht="12.5" x14ac:dyDescent="0.25">
      <c r="A562" s="30" t="s">
        <v>7909</v>
      </c>
      <c r="B562" s="30" t="s">
        <v>7908</v>
      </c>
      <c r="C562" s="32">
        <v>6.54</v>
      </c>
      <c r="D562" s="30">
        <v>0.04</v>
      </c>
      <c r="E562" s="31">
        <v>6.1500000000000001E-3</v>
      </c>
      <c r="F562" s="30">
        <v>555546009</v>
      </c>
      <c r="G562" s="30" t="s">
        <v>5427</v>
      </c>
      <c r="H562" s="30">
        <v>2000</v>
      </c>
      <c r="I562" s="30">
        <v>225875</v>
      </c>
      <c r="J562" s="30" t="s">
        <v>5442</v>
      </c>
      <c r="K562" s="30" t="s">
        <v>5856</v>
      </c>
    </row>
    <row r="563" spans="1:11" ht="12.5" x14ac:dyDescent="0.25">
      <c r="A563" s="30" t="s">
        <v>7907</v>
      </c>
      <c r="B563" s="30" t="s">
        <v>7906</v>
      </c>
      <c r="C563" s="32">
        <v>5.6097000000000001</v>
      </c>
      <c r="D563" s="30">
        <v>-1.03E-2</v>
      </c>
      <c r="E563" s="31">
        <v>-1.83E-3</v>
      </c>
      <c r="F563" s="30">
        <v>98387726</v>
      </c>
      <c r="G563" s="30" t="s">
        <v>5427</v>
      </c>
      <c r="H563" s="30">
        <v>1998</v>
      </c>
      <c r="I563" s="30">
        <v>92889</v>
      </c>
      <c r="J563" s="30" t="s">
        <v>5435</v>
      </c>
      <c r="K563" s="30" t="s">
        <v>5568</v>
      </c>
    </row>
    <row r="564" spans="1:11" ht="12.5" x14ac:dyDescent="0.25">
      <c r="A564" s="30" t="s">
        <v>7905</v>
      </c>
      <c r="B564" s="30" t="s">
        <v>7904</v>
      </c>
      <c r="C564" s="32">
        <v>10.72</v>
      </c>
      <c r="D564" s="30">
        <v>0.02</v>
      </c>
      <c r="E564" s="31">
        <v>1.8699999999999999E-3</v>
      </c>
      <c r="F564" s="30">
        <v>144067474</v>
      </c>
      <c r="G564" s="30" t="s">
        <v>5427</v>
      </c>
      <c r="H564" s="30">
        <v>2005</v>
      </c>
      <c r="I564" s="30">
        <v>32249</v>
      </c>
      <c r="J564" s="30" t="s">
        <v>5435</v>
      </c>
      <c r="K564" s="30" t="s">
        <v>5434</v>
      </c>
    </row>
    <row r="565" spans="1:11" ht="12.5" x14ac:dyDescent="0.25">
      <c r="A565" s="30" t="s">
        <v>7903</v>
      </c>
      <c r="B565" s="30" t="s">
        <v>7902</v>
      </c>
      <c r="C565" s="32">
        <v>32.450000000000003</v>
      </c>
      <c r="D565" s="30">
        <v>0.23</v>
      </c>
      <c r="E565" s="31">
        <v>7.1399999999999996E-3</v>
      </c>
      <c r="F565" s="30">
        <v>3297260563</v>
      </c>
      <c r="G565" s="30" t="s">
        <v>5427</v>
      </c>
      <c r="H565" s="30">
        <v>2015</v>
      </c>
      <c r="I565" s="30">
        <v>896711</v>
      </c>
      <c r="J565" s="30" t="s">
        <v>5431</v>
      </c>
      <c r="K565" s="30" t="s">
        <v>6530</v>
      </c>
    </row>
    <row r="566" spans="1:11" ht="12.5" x14ac:dyDescent="0.25">
      <c r="A566" s="30" t="s">
        <v>7901</v>
      </c>
      <c r="B566" s="30" t="s">
        <v>7900</v>
      </c>
      <c r="C566" s="32">
        <v>10.69</v>
      </c>
      <c r="D566" s="30">
        <v>0</v>
      </c>
      <c r="E566" s="31">
        <v>0</v>
      </c>
      <c r="F566" s="30">
        <v>424041972</v>
      </c>
      <c r="G566" s="30" t="s">
        <v>5427</v>
      </c>
      <c r="H566" s="30">
        <v>1999</v>
      </c>
      <c r="I566" s="30">
        <v>91254</v>
      </c>
      <c r="J566" s="30" t="s">
        <v>5435</v>
      </c>
      <c r="K566" s="30" t="s">
        <v>5434</v>
      </c>
    </row>
    <row r="567" spans="1:11" ht="12.5" x14ac:dyDescent="0.25">
      <c r="A567" s="30" t="s">
        <v>7899</v>
      </c>
      <c r="B567" s="30" t="s">
        <v>7898</v>
      </c>
      <c r="C567" s="32">
        <v>131.78</v>
      </c>
      <c r="D567" s="30">
        <v>1.97</v>
      </c>
      <c r="E567" s="31">
        <v>1.5180000000000001E-2</v>
      </c>
      <c r="F567" s="30">
        <v>5118035005</v>
      </c>
      <c r="G567" s="30" t="s">
        <v>5427</v>
      </c>
      <c r="H567" s="30">
        <v>2006</v>
      </c>
      <c r="I567" s="30">
        <v>826260</v>
      </c>
      <c r="J567" s="30" t="s">
        <v>5435</v>
      </c>
      <c r="K567" s="30" t="s">
        <v>5434</v>
      </c>
    </row>
    <row r="568" spans="1:11" ht="12.5" x14ac:dyDescent="0.25">
      <c r="A568" s="30" t="s">
        <v>7897</v>
      </c>
      <c r="B568" s="30" t="s">
        <v>7896</v>
      </c>
      <c r="C568" s="32">
        <v>18.010000000000002</v>
      </c>
      <c r="D568" s="30">
        <v>0.64</v>
      </c>
      <c r="E568" s="31">
        <v>3.6850000000000001E-2</v>
      </c>
      <c r="F568" s="30">
        <v>1611295879</v>
      </c>
      <c r="G568" s="30" t="s">
        <v>5427</v>
      </c>
      <c r="H568" s="30"/>
      <c r="I568" s="30">
        <v>884230</v>
      </c>
      <c r="J568" s="30" t="s">
        <v>5442</v>
      </c>
      <c r="K568" s="30" t="s">
        <v>5641</v>
      </c>
    </row>
    <row r="569" spans="1:11" ht="12.5" x14ac:dyDescent="0.25">
      <c r="A569" s="30" t="s">
        <v>7895</v>
      </c>
      <c r="B569" s="30" t="s">
        <v>7894</v>
      </c>
      <c r="C569" s="32">
        <v>24.38</v>
      </c>
      <c r="D569" s="30">
        <v>0.14000000000000001</v>
      </c>
      <c r="E569" s="31">
        <v>5.7800000000000004E-3</v>
      </c>
      <c r="F569" s="30">
        <v>1817353025</v>
      </c>
      <c r="G569" s="30" t="s">
        <v>5427</v>
      </c>
      <c r="H569" s="30">
        <v>2003</v>
      </c>
      <c r="I569" s="30">
        <v>120245</v>
      </c>
      <c r="J569" s="30" t="s">
        <v>5435</v>
      </c>
      <c r="K569" s="30" t="s">
        <v>5563</v>
      </c>
    </row>
    <row r="570" spans="1:11" ht="12.5" x14ac:dyDescent="0.25">
      <c r="A570" s="30" t="s">
        <v>7893</v>
      </c>
      <c r="B570" s="30" t="s">
        <v>7892</v>
      </c>
      <c r="C570" s="32">
        <v>81.48</v>
      </c>
      <c r="D570" s="30">
        <v>4.78</v>
      </c>
      <c r="E570" s="31">
        <v>6.232E-2</v>
      </c>
      <c r="F570" s="30">
        <v>50375865459</v>
      </c>
      <c r="G570" s="30" t="s">
        <v>5427</v>
      </c>
      <c r="H570" s="30"/>
      <c r="I570" s="30">
        <v>7456575</v>
      </c>
      <c r="J570" s="30" t="s">
        <v>5431</v>
      </c>
      <c r="K570" s="30" t="s">
        <v>5438</v>
      </c>
    </row>
    <row r="571" spans="1:11" ht="12.5" x14ac:dyDescent="0.25">
      <c r="A571" s="30" t="s">
        <v>7891</v>
      </c>
      <c r="B571" s="30" t="s">
        <v>7890</v>
      </c>
      <c r="C571" s="32">
        <v>9.6100999999999992</v>
      </c>
      <c r="D571" s="30">
        <v>1E-4</v>
      </c>
      <c r="E571" s="31">
        <v>1.0000000000000001E-5</v>
      </c>
      <c r="F571" s="30">
        <v>93721328</v>
      </c>
      <c r="G571" s="30" t="s">
        <v>5427</v>
      </c>
      <c r="H571" s="30">
        <v>2010</v>
      </c>
      <c r="I571" s="30">
        <v>16797</v>
      </c>
      <c r="J571" s="30" t="s">
        <v>5435</v>
      </c>
      <c r="K571" s="30" t="s">
        <v>5568</v>
      </c>
    </row>
    <row r="572" spans="1:11" ht="12.5" x14ac:dyDescent="0.25">
      <c r="A572" s="30" t="s">
        <v>7889</v>
      </c>
      <c r="B572" s="30" t="s">
        <v>7888</v>
      </c>
      <c r="C572" s="32">
        <v>7.99</v>
      </c>
      <c r="D572" s="30">
        <v>0.04</v>
      </c>
      <c r="E572" s="31">
        <v>5.0299999999999997E-3</v>
      </c>
      <c r="F572" s="30">
        <v>2447226426</v>
      </c>
      <c r="G572" s="30" t="s">
        <v>5427</v>
      </c>
      <c r="H572" s="30">
        <v>2007</v>
      </c>
      <c r="I572" s="30">
        <v>854782</v>
      </c>
      <c r="J572" s="30" t="s">
        <v>5435</v>
      </c>
      <c r="K572" s="30" t="s">
        <v>5563</v>
      </c>
    </row>
    <row r="573" spans="1:11" ht="12.5" x14ac:dyDescent="0.25">
      <c r="A573" s="30" t="s">
        <v>7887</v>
      </c>
      <c r="B573" s="30" t="s">
        <v>7886</v>
      </c>
      <c r="C573" s="32">
        <v>3.56</v>
      </c>
      <c r="D573" s="30">
        <v>0.09</v>
      </c>
      <c r="E573" s="31">
        <v>2.5940000000000001E-2</v>
      </c>
      <c r="F573" s="30">
        <v>676362844</v>
      </c>
      <c r="G573" s="30" t="s">
        <v>5515</v>
      </c>
      <c r="H573" s="30"/>
      <c r="I573" s="30">
        <v>2519326</v>
      </c>
      <c r="J573" s="30"/>
      <c r="K573" s="30"/>
    </row>
    <row r="574" spans="1:11" ht="12.5" x14ac:dyDescent="0.25">
      <c r="A574" s="30" t="s">
        <v>7885</v>
      </c>
      <c r="B574" s="30" t="s">
        <v>7884</v>
      </c>
      <c r="C574" s="32">
        <v>148.08000000000001</v>
      </c>
      <c r="D574" s="30">
        <v>2</v>
      </c>
      <c r="E574" s="31">
        <v>1.3690000000000001E-2</v>
      </c>
      <c r="F574" s="30">
        <v>5338620734</v>
      </c>
      <c r="G574" s="30" t="s">
        <v>5427</v>
      </c>
      <c r="H574" s="30"/>
      <c r="I574" s="30">
        <v>292169</v>
      </c>
      <c r="J574" s="30" t="s">
        <v>5457</v>
      </c>
      <c r="K574" s="30" t="s">
        <v>6035</v>
      </c>
    </row>
    <row r="575" spans="1:11" ht="12.5" x14ac:dyDescent="0.25">
      <c r="A575" s="30" t="s">
        <v>7883</v>
      </c>
      <c r="B575" s="30" t="s">
        <v>7882</v>
      </c>
      <c r="C575" s="32">
        <v>1.18</v>
      </c>
      <c r="D575" s="30">
        <v>0.02</v>
      </c>
      <c r="E575" s="31">
        <v>1.7239999999999998E-2</v>
      </c>
      <c r="F575" s="30">
        <v>80602212</v>
      </c>
      <c r="G575" s="30" t="s">
        <v>5427</v>
      </c>
      <c r="H575" s="30">
        <v>2010</v>
      </c>
      <c r="I575" s="30">
        <v>2852708</v>
      </c>
      <c r="J575" s="30"/>
      <c r="K575" s="30"/>
    </row>
    <row r="576" spans="1:11" ht="12.5" x14ac:dyDescent="0.25">
      <c r="A576" s="30" t="s">
        <v>7881</v>
      </c>
      <c r="B576" s="30" t="s">
        <v>7880</v>
      </c>
      <c r="C576" s="32">
        <v>158.44</v>
      </c>
      <c r="D576" s="30">
        <v>0.61</v>
      </c>
      <c r="E576" s="31">
        <v>3.8600000000000001E-3</v>
      </c>
      <c r="F576" s="30">
        <v>21218526896</v>
      </c>
      <c r="G576" s="30" t="s">
        <v>5427</v>
      </c>
      <c r="H576" s="30">
        <v>2004</v>
      </c>
      <c r="I576" s="30">
        <v>631450</v>
      </c>
      <c r="J576" s="30" t="s">
        <v>5197</v>
      </c>
      <c r="K576" s="30" t="s">
        <v>5467</v>
      </c>
    </row>
    <row r="577" spans="1:11" ht="12.5" x14ac:dyDescent="0.25">
      <c r="A577" s="30" t="s">
        <v>7879</v>
      </c>
      <c r="B577" s="30" t="s">
        <v>7878</v>
      </c>
      <c r="C577" s="32">
        <v>13.79</v>
      </c>
      <c r="D577" s="30">
        <v>0.28000000000000003</v>
      </c>
      <c r="E577" s="31">
        <v>2.0729999999999998E-2</v>
      </c>
      <c r="F577" s="30">
        <v>55442613625</v>
      </c>
      <c r="G577" s="30" t="s">
        <v>5427</v>
      </c>
      <c r="H577" s="30"/>
      <c r="I577" s="30">
        <v>70438382</v>
      </c>
      <c r="J577" s="30" t="s">
        <v>5442</v>
      </c>
      <c r="K577" s="30" t="s">
        <v>5926</v>
      </c>
    </row>
    <row r="578" spans="1:11" ht="12.5" x14ac:dyDescent="0.25">
      <c r="A578" s="30" t="s">
        <v>7877</v>
      </c>
      <c r="B578" s="30" t="s">
        <v>7876</v>
      </c>
      <c r="C578" s="32">
        <v>62.88</v>
      </c>
      <c r="D578" s="30">
        <v>1.01</v>
      </c>
      <c r="E578" s="31">
        <v>1.6320000000000001E-2</v>
      </c>
      <c r="F578" s="30">
        <v>6510702976</v>
      </c>
      <c r="G578" s="30" t="s">
        <v>5427</v>
      </c>
      <c r="H578" s="30"/>
      <c r="I578" s="30">
        <v>659322</v>
      </c>
      <c r="J578" s="30" t="s">
        <v>5435</v>
      </c>
      <c r="K578" s="30" t="s">
        <v>6066</v>
      </c>
    </row>
    <row r="579" spans="1:11" ht="12.5" x14ac:dyDescent="0.25">
      <c r="A579" s="30" t="s">
        <v>7875</v>
      </c>
      <c r="B579" s="30" t="s">
        <v>7874</v>
      </c>
      <c r="C579" s="32">
        <v>6.16</v>
      </c>
      <c r="D579" s="30">
        <v>-0.02</v>
      </c>
      <c r="E579" s="31">
        <v>-3.2399999999999998E-3</v>
      </c>
      <c r="F579" s="30">
        <v>62482402</v>
      </c>
      <c r="G579" s="30" t="s">
        <v>5427</v>
      </c>
      <c r="H579" s="30">
        <v>2006</v>
      </c>
      <c r="I579" s="30">
        <v>45496</v>
      </c>
      <c r="J579" s="30" t="s">
        <v>5435</v>
      </c>
      <c r="K579" s="30" t="s">
        <v>5985</v>
      </c>
    </row>
    <row r="580" spans="1:11" ht="12.5" x14ac:dyDescent="0.25">
      <c r="A580" s="30" t="s">
        <v>7873</v>
      </c>
      <c r="B580" s="30" t="s">
        <v>7872</v>
      </c>
      <c r="C580" s="32">
        <v>66.099999999999994</v>
      </c>
      <c r="D580" s="30">
        <v>1.59</v>
      </c>
      <c r="E580" s="31">
        <v>2.4649999999999998E-2</v>
      </c>
      <c r="F580" s="30">
        <v>8462134361</v>
      </c>
      <c r="G580" s="30" t="s">
        <v>5427</v>
      </c>
      <c r="H580" s="30"/>
      <c r="I580" s="30">
        <v>927352</v>
      </c>
      <c r="J580" s="30"/>
      <c r="K580" s="30"/>
    </row>
    <row r="581" spans="1:11" ht="12.5" x14ac:dyDescent="0.25">
      <c r="A581" s="30" t="s">
        <v>7871</v>
      </c>
      <c r="B581" s="30" t="s">
        <v>7870</v>
      </c>
      <c r="C581" s="32">
        <v>37.65</v>
      </c>
      <c r="D581" s="30">
        <v>0.09</v>
      </c>
      <c r="E581" s="31">
        <v>2.3999999999999998E-3</v>
      </c>
      <c r="F581" s="30">
        <v>1759682387</v>
      </c>
      <c r="G581" s="30" t="s">
        <v>5427</v>
      </c>
      <c r="H581" s="30">
        <v>2016</v>
      </c>
      <c r="I581" s="30">
        <v>136312</v>
      </c>
      <c r="J581" s="30" t="s">
        <v>5435</v>
      </c>
      <c r="K581" s="30" t="s">
        <v>5579</v>
      </c>
    </row>
    <row r="582" spans="1:11" ht="12.5" x14ac:dyDescent="0.25">
      <c r="A582" s="30" t="s">
        <v>7869</v>
      </c>
      <c r="B582" s="30" t="s">
        <v>7868</v>
      </c>
      <c r="C582" s="32">
        <v>47.24</v>
      </c>
      <c r="D582" s="30">
        <v>0.84</v>
      </c>
      <c r="E582" s="31">
        <v>1.8100000000000002E-2</v>
      </c>
      <c r="F582" s="30">
        <v>656874279</v>
      </c>
      <c r="G582" s="30" t="s">
        <v>5427</v>
      </c>
      <c r="H582" s="30"/>
      <c r="I582" s="30">
        <v>50059</v>
      </c>
      <c r="J582" s="30" t="s">
        <v>5442</v>
      </c>
      <c r="K582" s="30" t="s">
        <v>5994</v>
      </c>
    </row>
    <row r="583" spans="1:11" ht="12.5" x14ac:dyDescent="0.25">
      <c r="A583" s="30" t="s">
        <v>7867</v>
      </c>
      <c r="B583" s="30" t="s">
        <v>7866</v>
      </c>
      <c r="C583" s="32">
        <v>14.8</v>
      </c>
      <c r="D583" s="30">
        <v>0.09</v>
      </c>
      <c r="E583" s="31">
        <v>6.1199999999999996E-3</v>
      </c>
      <c r="F583" s="30">
        <v>1381969447</v>
      </c>
      <c r="G583" s="30" t="s">
        <v>5427</v>
      </c>
      <c r="H583" s="30"/>
      <c r="I583" s="30">
        <v>806960</v>
      </c>
      <c r="J583" s="30" t="s">
        <v>5435</v>
      </c>
      <c r="K583" s="30" t="s">
        <v>5579</v>
      </c>
    </row>
    <row r="584" spans="1:11" ht="12.5" x14ac:dyDescent="0.25">
      <c r="A584" s="30" t="s">
        <v>7865</v>
      </c>
      <c r="B584" s="30" t="s">
        <v>7864</v>
      </c>
      <c r="C584" s="32">
        <v>161.81</v>
      </c>
      <c r="D584" s="30">
        <v>2.29</v>
      </c>
      <c r="E584" s="31">
        <v>1.436E-2</v>
      </c>
      <c r="F584" s="30">
        <v>5570003429</v>
      </c>
      <c r="G584" s="30" t="s">
        <v>5427</v>
      </c>
      <c r="H584" s="30">
        <v>1999</v>
      </c>
      <c r="I584" s="30">
        <v>225248</v>
      </c>
      <c r="J584" s="30" t="s">
        <v>5442</v>
      </c>
      <c r="K584" s="30" t="s">
        <v>5994</v>
      </c>
    </row>
    <row r="585" spans="1:11" ht="12.5" x14ac:dyDescent="0.25">
      <c r="A585" s="30" t="s">
        <v>7863</v>
      </c>
      <c r="B585" s="30" t="s">
        <v>7862</v>
      </c>
      <c r="C585" s="32">
        <v>28.6</v>
      </c>
      <c r="D585" s="30">
        <v>-0.16</v>
      </c>
      <c r="E585" s="31">
        <v>-5.5599999999999998E-3</v>
      </c>
      <c r="F585" s="30">
        <v>2399176580</v>
      </c>
      <c r="G585" s="30" t="s">
        <v>5427</v>
      </c>
      <c r="H585" s="30">
        <v>2015</v>
      </c>
      <c r="I585" s="30">
        <v>376588</v>
      </c>
      <c r="J585" s="30" t="s">
        <v>5197</v>
      </c>
      <c r="K585" s="30" t="s">
        <v>5467</v>
      </c>
    </row>
    <row r="586" spans="1:11" ht="12.5" x14ac:dyDescent="0.25">
      <c r="A586" s="30" t="s">
        <v>7861</v>
      </c>
      <c r="B586" s="30" t="s">
        <v>7860</v>
      </c>
      <c r="C586" s="32">
        <v>9.9700000000000006</v>
      </c>
      <c r="D586" s="30">
        <v>-0.06</v>
      </c>
      <c r="E586" s="31">
        <v>-5.9800000000000001E-3</v>
      </c>
      <c r="F586" s="30">
        <v>259054378</v>
      </c>
      <c r="G586" s="30" t="s">
        <v>5427</v>
      </c>
      <c r="H586" s="30">
        <v>2004</v>
      </c>
      <c r="I586" s="30">
        <v>180311</v>
      </c>
      <c r="J586" s="30" t="s">
        <v>5435</v>
      </c>
      <c r="K586" s="30" t="s">
        <v>5563</v>
      </c>
    </row>
    <row r="587" spans="1:11" ht="12.5" x14ac:dyDescent="0.25">
      <c r="A587" s="30" t="s">
        <v>7859</v>
      </c>
      <c r="B587" s="30" t="s">
        <v>7858</v>
      </c>
      <c r="C587" s="32">
        <v>44.81</v>
      </c>
      <c r="D587" s="30">
        <v>0.19</v>
      </c>
      <c r="E587" s="31">
        <v>4.2599999999999999E-3</v>
      </c>
      <c r="F587" s="30">
        <v>64048151429</v>
      </c>
      <c r="G587" s="30" t="s">
        <v>5427</v>
      </c>
      <c r="H587" s="30"/>
      <c r="I587" s="30">
        <v>13153643</v>
      </c>
      <c r="J587" s="30" t="s">
        <v>6250</v>
      </c>
      <c r="K587" s="30" t="s">
        <v>6249</v>
      </c>
    </row>
    <row r="588" spans="1:11" ht="12.5" x14ac:dyDescent="0.25">
      <c r="A588" s="30" t="s">
        <v>7857</v>
      </c>
      <c r="B588" s="30" t="s">
        <v>7856</v>
      </c>
      <c r="C588" s="32">
        <v>202.11</v>
      </c>
      <c r="D588" s="30">
        <v>8.25</v>
      </c>
      <c r="E588" s="31">
        <v>4.2560000000000001E-2</v>
      </c>
      <c r="F588" s="30">
        <v>51011985965</v>
      </c>
      <c r="G588" s="30" t="s">
        <v>5427</v>
      </c>
      <c r="H588" s="30"/>
      <c r="I588" s="30">
        <v>5260990</v>
      </c>
      <c r="J588" s="30" t="s">
        <v>5442</v>
      </c>
      <c r="K588" s="30" t="s">
        <v>5749</v>
      </c>
    </row>
    <row r="589" spans="1:11" ht="12.5" x14ac:dyDescent="0.25">
      <c r="A589" s="30" t="s">
        <v>7855</v>
      </c>
      <c r="B589" s="30" t="s">
        <v>7854</v>
      </c>
      <c r="C589" s="32">
        <v>41.14</v>
      </c>
      <c r="D589" s="30">
        <v>0.19</v>
      </c>
      <c r="E589" s="31">
        <v>4.64E-3</v>
      </c>
      <c r="F589" s="30">
        <v>23521926442</v>
      </c>
      <c r="G589" s="30" t="s">
        <v>5427</v>
      </c>
      <c r="H589" s="30"/>
      <c r="I589" s="30">
        <v>4235824</v>
      </c>
      <c r="J589" s="30" t="s">
        <v>5426</v>
      </c>
      <c r="K589" s="30" t="s">
        <v>6000</v>
      </c>
    </row>
    <row r="590" spans="1:11" ht="12.5" x14ac:dyDescent="0.25">
      <c r="A590" s="30" t="s">
        <v>7853</v>
      </c>
      <c r="B590" s="30" t="s">
        <v>7852</v>
      </c>
      <c r="C590" s="32">
        <v>32.82</v>
      </c>
      <c r="D590" s="30">
        <v>-0.18</v>
      </c>
      <c r="E590" s="31">
        <v>-5.45E-3</v>
      </c>
      <c r="F590" s="30">
        <v>335796813</v>
      </c>
      <c r="G590" s="30" t="s">
        <v>5427</v>
      </c>
      <c r="H590" s="30">
        <v>2012</v>
      </c>
      <c r="I590" s="30">
        <v>83174</v>
      </c>
      <c r="J590" s="30" t="s">
        <v>5457</v>
      </c>
      <c r="K590" s="30" t="s">
        <v>5634</v>
      </c>
    </row>
    <row r="591" spans="1:11" ht="12.5" x14ac:dyDescent="0.25">
      <c r="A591" s="30" t="s">
        <v>7851</v>
      </c>
      <c r="B591" s="30" t="s">
        <v>7850</v>
      </c>
      <c r="C591" s="32">
        <v>9.23</v>
      </c>
      <c r="D591" s="30">
        <v>-0.04</v>
      </c>
      <c r="E591" s="31">
        <v>-4.3099999999999996E-3</v>
      </c>
      <c r="F591" s="30">
        <v>403934733</v>
      </c>
      <c r="G591" s="30" t="s">
        <v>5427</v>
      </c>
      <c r="H591" s="30"/>
      <c r="I591" s="30">
        <v>228155</v>
      </c>
      <c r="J591" s="30" t="s">
        <v>5457</v>
      </c>
      <c r="K591" s="30" t="s">
        <v>5555</v>
      </c>
    </row>
    <row r="592" spans="1:11" ht="12.5" x14ac:dyDescent="0.25">
      <c r="A592" s="30" t="s">
        <v>7849</v>
      </c>
      <c r="B592" s="30" t="s">
        <v>7848</v>
      </c>
      <c r="C592" s="32">
        <v>17.03</v>
      </c>
      <c r="D592" s="30">
        <v>0.17</v>
      </c>
      <c r="E592" s="31">
        <v>1.008E-2</v>
      </c>
      <c r="F592" s="30">
        <v>340397088</v>
      </c>
      <c r="G592" s="30" t="s">
        <v>5427</v>
      </c>
      <c r="H592" s="30">
        <v>2004</v>
      </c>
      <c r="I592" s="30">
        <v>42182</v>
      </c>
      <c r="J592" s="30" t="s">
        <v>5435</v>
      </c>
      <c r="K592" s="30" t="s">
        <v>5434</v>
      </c>
    </row>
    <row r="593" spans="1:11" ht="12.5" x14ac:dyDescent="0.25">
      <c r="A593" s="30" t="s">
        <v>7847</v>
      </c>
      <c r="B593" s="30" t="s">
        <v>7846</v>
      </c>
      <c r="C593" s="32">
        <v>40.36</v>
      </c>
      <c r="D593" s="30">
        <v>1.06</v>
      </c>
      <c r="E593" s="31">
        <v>2.6970000000000001E-2</v>
      </c>
      <c r="F593" s="30">
        <v>3591840904</v>
      </c>
      <c r="G593" s="30" t="s">
        <v>5427</v>
      </c>
      <c r="H593" s="30"/>
      <c r="I593" s="30">
        <v>841068</v>
      </c>
      <c r="J593" s="30" t="s">
        <v>5435</v>
      </c>
      <c r="K593" s="30" t="s">
        <v>5434</v>
      </c>
    </row>
    <row r="594" spans="1:11" ht="12.5" x14ac:dyDescent="0.25">
      <c r="A594" s="30" t="s">
        <v>7845</v>
      </c>
      <c r="B594" s="30" t="s">
        <v>7844</v>
      </c>
      <c r="C594" s="32">
        <v>24.75</v>
      </c>
      <c r="D594" s="30">
        <v>0.02</v>
      </c>
      <c r="E594" s="31">
        <v>8.0999999999999996E-4</v>
      </c>
      <c r="F594" s="30">
        <v>13285894100</v>
      </c>
      <c r="G594" s="30" t="s">
        <v>5427</v>
      </c>
      <c r="H594" s="30"/>
      <c r="I594" s="30">
        <v>2765543</v>
      </c>
      <c r="J594" s="30" t="s">
        <v>5435</v>
      </c>
      <c r="K594" s="30" t="s">
        <v>5579</v>
      </c>
    </row>
    <row r="595" spans="1:11" ht="12.5" x14ac:dyDescent="0.25">
      <c r="A595" s="30" t="s">
        <v>7843</v>
      </c>
      <c r="B595" s="30" t="s">
        <v>7842</v>
      </c>
      <c r="C595" s="32">
        <v>682.68</v>
      </c>
      <c r="D595" s="30">
        <v>16.73</v>
      </c>
      <c r="E595" s="31">
        <v>2.512E-2</v>
      </c>
      <c r="F595" s="30">
        <v>17172663162</v>
      </c>
      <c r="G595" s="30" t="s">
        <v>5427</v>
      </c>
      <c r="H595" s="30"/>
      <c r="I595" s="30">
        <v>204357</v>
      </c>
      <c r="J595" s="30" t="s">
        <v>5219</v>
      </c>
      <c r="K595" s="30" t="s">
        <v>5560</v>
      </c>
    </row>
    <row r="596" spans="1:11" ht="12.5" x14ac:dyDescent="0.25">
      <c r="A596" s="30" t="s">
        <v>7841</v>
      </c>
      <c r="B596" s="30" t="s">
        <v>7840</v>
      </c>
      <c r="C596" s="32">
        <v>15.24</v>
      </c>
      <c r="D596" s="30">
        <v>-0.03</v>
      </c>
      <c r="E596" s="31">
        <v>-1.9599999999999999E-3</v>
      </c>
      <c r="F596" s="30">
        <v>247453343</v>
      </c>
      <c r="G596" s="30" t="s">
        <v>5427</v>
      </c>
      <c r="H596" s="30">
        <v>2011</v>
      </c>
      <c r="I596" s="30">
        <v>31920</v>
      </c>
      <c r="J596" s="30" t="s">
        <v>5435</v>
      </c>
      <c r="K596" s="30" t="s">
        <v>5985</v>
      </c>
    </row>
    <row r="597" spans="1:11" ht="12.5" x14ac:dyDescent="0.25">
      <c r="A597" s="30" t="s">
        <v>7839</v>
      </c>
      <c r="B597" s="30" t="s">
        <v>7838</v>
      </c>
      <c r="C597" s="32">
        <v>5.77</v>
      </c>
      <c r="D597" s="30">
        <v>0.28000000000000003</v>
      </c>
      <c r="E597" s="31">
        <v>5.0999999999999997E-2</v>
      </c>
      <c r="F597" s="30">
        <v>1645625055</v>
      </c>
      <c r="G597" s="30" t="s">
        <v>5427</v>
      </c>
      <c r="H597" s="30">
        <v>2017</v>
      </c>
      <c r="I597" s="30">
        <v>1610721</v>
      </c>
      <c r="J597" s="30" t="s">
        <v>5435</v>
      </c>
      <c r="K597" s="30" t="s">
        <v>5598</v>
      </c>
    </row>
    <row r="598" spans="1:11" ht="12.5" x14ac:dyDescent="0.25">
      <c r="A598" s="30" t="s">
        <v>7837</v>
      </c>
      <c r="B598" s="30" t="s">
        <v>7836</v>
      </c>
      <c r="C598" s="32">
        <v>76.790000000000006</v>
      </c>
      <c r="D598" s="30">
        <v>1.75</v>
      </c>
      <c r="E598" s="31">
        <v>2.332E-2</v>
      </c>
      <c r="F598" s="30">
        <v>45565608426</v>
      </c>
      <c r="G598" s="30" t="s">
        <v>5427</v>
      </c>
      <c r="H598" s="30"/>
      <c r="I598" s="30">
        <v>3317538</v>
      </c>
      <c r="J598" s="30" t="s">
        <v>5442</v>
      </c>
      <c r="K598" s="30" t="s">
        <v>5482</v>
      </c>
    </row>
    <row r="599" spans="1:11" ht="12.5" x14ac:dyDescent="0.25">
      <c r="A599" s="30" t="s">
        <v>7835</v>
      </c>
      <c r="B599" s="30" t="s">
        <v>7834</v>
      </c>
      <c r="C599" s="32">
        <v>121.92</v>
      </c>
      <c r="D599" s="30">
        <v>0.88</v>
      </c>
      <c r="E599" s="31">
        <v>7.2700000000000004E-3</v>
      </c>
      <c r="F599" s="30">
        <v>4359958687</v>
      </c>
      <c r="G599" s="30" t="s">
        <v>5427</v>
      </c>
      <c r="H599" s="30">
        <v>1997</v>
      </c>
      <c r="I599" s="30">
        <v>327130</v>
      </c>
      <c r="J599" s="30" t="s">
        <v>5457</v>
      </c>
      <c r="K599" s="30" t="s">
        <v>5903</v>
      </c>
    </row>
    <row r="600" spans="1:11" ht="12.5" x14ac:dyDescent="0.25">
      <c r="A600" s="30" t="s">
        <v>7833</v>
      </c>
      <c r="B600" s="30" t="s">
        <v>7832</v>
      </c>
      <c r="C600" s="32">
        <v>45.24</v>
      </c>
      <c r="D600" s="30">
        <v>1.73</v>
      </c>
      <c r="E600" s="31">
        <v>3.9759999999999997E-2</v>
      </c>
      <c r="F600" s="30">
        <v>4221816117</v>
      </c>
      <c r="G600" s="30" t="s">
        <v>5427</v>
      </c>
      <c r="H600" s="30"/>
      <c r="I600" s="30">
        <v>3096502</v>
      </c>
      <c r="J600" s="30" t="s">
        <v>5442</v>
      </c>
      <c r="K600" s="30" t="s">
        <v>7318</v>
      </c>
    </row>
    <row r="601" spans="1:11" ht="12.5" x14ac:dyDescent="0.25">
      <c r="A601" s="30" t="s">
        <v>7831</v>
      </c>
      <c r="B601" s="30" t="s">
        <v>7830</v>
      </c>
      <c r="C601" s="32">
        <v>17.97</v>
      </c>
      <c r="D601" s="30">
        <v>0.13</v>
      </c>
      <c r="E601" s="31">
        <v>7.2899999999999996E-3</v>
      </c>
      <c r="F601" s="30">
        <v>187279854</v>
      </c>
      <c r="G601" s="30" t="s">
        <v>5427</v>
      </c>
      <c r="H601" s="30">
        <v>2003</v>
      </c>
      <c r="I601" s="30">
        <v>26668</v>
      </c>
      <c r="J601" s="30" t="s">
        <v>5435</v>
      </c>
      <c r="K601" s="30" t="s">
        <v>5568</v>
      </c>
    </row>
    <row r="602" spans="1:11" ht="12.5" x14ac:dyDescent="0.25">
      <c r="A602" s="30" t="s">
        <v>7829</v>
      </c>
      <c r="B602" s="30" t="s">
        <v>7828</v>
      </c>
      <c r="C602" s="32">
        <v>27.66</v>
      </c>
      <c r="D602" s="30">
        <v>-0.03</v>
      </c>
      <c r="E602" s="31">
        <v>-1.08E-3</v>
      </c>
      <c r="F602" s="30">
        <v>5839941933</v>
      </c>
      <c r="G602" s="30" t="s">
        <v>5427</v>
      </c>
      <c r="H602" s="30"/>
      <c r="I602" s="30">
        <v>2340579</v>
      </c>
      <c r="J602" s="30" t="s">
        <v>5541</v>
      </c>
      <c r="K602" s="30" t="s">
        <v>5774</v>
      </c>
    </row>
    <row r="603" spans="1:11" ht="12.5" x14ac:dyDescent="0.25">
      <c r="A603" s="30" t="s">
        <v>7827</v>
      </c>
      <c r="B603" s="30" t="s">
        <v>7826</v>
      </c>
      <c r="C603" s="32">
        <v>37.24</v>
      </c>
      <c r="D603" s="30">
        <v>0.49</v>
      </c>
      <c r="E603" s="31">
        <v>1.333E-2</v>
      </c>
      <c r="F603" s="30">
        <v>5291368776</v>
      </c>
      <c r="G603" s="30" t="s">
        <v>5427</v>
      </c>
      <c r="H603" s="30"/>
      <c r="I603" s="30">
        <v>2465743</v>
      </c>
      <c r="J603" s="30" t="s">
        <v>5457</v>
      </c>
      <c r="K603" s="30" t="s">
        <v>5588</v>
      </c>
    </row>
    <row r="604" spans="1:11" ht="12.5" x14ac:dyDescent="0.25">
      <c r="A604" s="30" t="s">
        <v>7825</v>
      </c>
      <c r="B604" s="30" t="s">
        <v>7824</v>
      </c>
      <c r="C604" s="32">
        <v>34.950000000000003</v>
      </c>
      <c r="D604" s="30">
        <v>0.53</v>
      </c>
      <c r="E604" s="31">
        <v>1.54E-2</v>
      </c>
      <c r="F604" s="30">
        <v>4567820517</v>
      </c>
      <c r="G604" s="30" t="s">
        <v>5427</v>
      </c>
      <c r="H604" s="30"/>
      <c r="I604" s="30">
        <v>979094</v>
      </c>
      <c r="J604" s="30" t="s">
        <v>5457</v>
      </c>
      <c r="K604" s="30" t="s">
        <v>5456</v>
      </c>
    </row>
    <row r="605" spans="1:11" ht="12.5" x14ac:dyDescent="0.25">
      <c r="A605" s="30" t="s">
        <v>7823</v>
      </c>
      <c r="B605" s="30" t="s">
        <v>7822</v>
      </c>
      <c r="C605" s="32">
        <v>214.38</v>
      </c>
      <c r="D605" s="30">
        <v>5.57</v>
      </c>
      <c r="E605" s="31">
        <v>2.6669999999999999E-2</v>
      </c>
      <c r="F605" s="30">
        <v>15811031366</v>
      </c>
      <c r="G605" s="30" t="s">
        <v>5427</v>
      </c>
      <c r="H605" s="30">
        <v>2010</v>
      </c>
      <c r="I605" s="30">
        <v>476673</v>
      </c>
      <c r="J605" s="30" t="s">
        <v>5219</v>
      </c>
      <c r="K605" s="30" t="s">
        <v>5447</v>
      </c>
    </row>
    <row r="606" spans="1:11" ht="12.5" x14ac:dyDescent="0.25">
      <c r="A606" s="30" t="s">
        <v>7821</v>
      </c>
      <c r="B606" s="30" t="s">
        <v>7820</v>
      </c>
      <c r="C606" s="32">
        <v>132.43</v>
      </c>
      <c r="D606" s="30">
        <v>-0.7</v>
      </c>
      <c r="E606" s="31">
        <v>-5.2599999999999999E-3</v>
      </c>
      <c r="F606" s="30">
        <v>16681667183</v>
      </c>
      <c r="G606" s="30" t="s">
        <v>5427</v>
      </c>
      <c r="H606" s="30"/>
      <c r="I606" s="30">
        <v>747446</v>
      </c>
      <c r="J606" s="30" t="s">
        <v>5457</v>
      </c>
      <c r="K606" s="30" t="s">
        <v>5805</v>
      </c>
    </row>
    <row r="607" spans="1:11" ht="12.5" x14ac:dyDescent="0.25">
      <c r="A607" s="30" t="s">
        <v>7819</v>
      </c>
      <c r="B607" s="30" t="s">
        <v>7818</v>
      </c>
      <c r="C607" s="32">
        <v>11.3</v>
      </c>
      <c r="D607" s="30">
        <v>0.2</v>
      </c>
      <c r="E607" s="31">
        <v>1.8020000000000001E-2</v>
      </c>
      <c r="F607" s="30">
        <v>129928428</v>
      </c>
      <c r="G607" s="30" t="s">
        <v>5427</v>
      </c>
      <c r="H607" s="30">
        <v>2002</v>
      </c>
      <c r="I607" s="30">
        <v>49977</v>
      </c>
      <c r="J607" s="30" t="s">
        <v>5435</v>
      </c>
      <c r="K607" s="30" t="s">
        <v>5563</v>
      </c>
    </row>
    <row r="608" spans="1:11" ht="12.5" x14ac:dyDescent="0.25">
      <c r="A608" s="30" t="s">
        <v>7817</v>
      </c>
      <c r="B608" s="30" t="s">
        <v>7816</v>
      </c>
      <c r="C608" s="32">
        <v>18.940000000000001</v>
      </c>
      <c r="D608" s="30">
        <v>0.21</v>
      </c>
      <c r="E608" s="31">
        <v>1.1209999999999999E-2</v>
      </c>
      <c r="F608" s="30">
        <v>11114501448</v>
      </c>
      <c r="G608" s="30" t="s">
        <v>6263</v>
      </c>
      <c r="H608" s="30"/>
      <c r="I608" s="30">
        <v>376659</v>
      </c>
      <c r="J608" s="30" t="s">
        <v>5431</v>
      </c>
      <c r="K608" s="30" t="s">
        <v>5980</v>
      </c>
    </row>
    <row r="609" spans="1:11" ht="12.5" x14ac:dyDescent="0.25">
      <c r="A609" s="30" t="s">
        <v>7815</v>
      </c>
      <c r="B609" s="30" t="s">
        <v>7814</v>
      </c>
      <c r="C609" s="32">
        <v>87.57</v>
      </c>
      <c r="D609" s="30">
        <v>-0.23</v>
      </c>
      <c r="E609" s="31">
        <v>-2.6199999999999999E-3</v>
      </c>
      <c r="F609" s="30">
        <v>31334527446</v>
      </c>
      <c r="G609" s="30" t="s">
        <v>5835</v>
      </c>
      <c r="H609" s="30"/>
      <c r="I609" s="30">
        <v>945040</v>
      </c>
      <c r="J609" s="30" t="s">
        <v>5541</v>
      </c>
      <c r="K609" s="30" t="s">
        <v>5997</v>
      </c>
    </row>
    <row r="610" spans="1:11" ht="12.5" x14ac:dyDescent="0.25">
      <c r="A610" s="30" t="s">
        <v>7813</v>
      </c>
      <c r="B610" s="30" t="s">
        <v>7812</v>
      </c>
      <c r="C610" s="32">
        <v>14.42</v>
      </c>
      <c r="D610" s="30">
        <v>0.15</v>
      </c>
      <c r="E610" s="31">
        <v>1.051E-2</v>
      </c>
      <c r="F610" s="30">
        <v>5197978986</v>
      </c>
      <c r="G610" s="30" t="s">
        <v>5427</v>
      </c>
      <c r="H610" s="30"/>
      <c r="I610" s="30">
        <v>3451350</v>
      </c>
      <c r="J610" s="30" t="s">
        <v>5435</v>
      </c>
      <c r="K610" s="30" t="s">
        <v>5579</v>
      </c>
    </row>
    <row r="611" spans="1:11" ht="12.5" x14ac:dyDescent="0.25">
      <c r="A611" s="30" t="s">
        <v>7811</v>
      </c>
      <c r="B611" s="30" t="s">
        <v>7810</v>
      </c>
      <c r="C611" s="32">
        <v>43.78</v>
      </c>
      <c r="D611" s="30">
        <v>-0.25</v>
      </c>
      <c r="E611" s="31">
        <v>-5.6800000000000002E-3</v>
      </c>
      <c r="F611" s="30">
        <v>11913941018</v>
      </c>
      <c r="G611" s="30" t="s">
        <v>5427</v>
      </c>
      <c r="H611" s="30">
        <v>2014</v>
      </c>
      <c r="I611" s="30">
        <v>1357481</v>
      </c>
      <c r="J611" s="30" t="s">
        <v>5435</v>
      </c>
      <c r="K611" s="30" t="s">
        <v>6066</v>
      </c>
    </row>
    <row r="612" spans="1:11" ht="12.5" x14ac:dyDescent="0.25">
      <c r="A612" s="30" t="s">
        <v>7809</v>
      </c>
      <c r="B612" s="30" t="s">
        <v>7808</v>
      </c>
      <c r="C612" s="32">
        <v>148.86000000000001</v>
      </c>
      <c r="D612" s="30">
        <v>2.16</v>
      </c>
      <c r="E612" s="31">
        <v>1.472E-2</v>
      </c>
      <c r="F612" s="30">
        <v>28531202181</v>
      </c>
      <c r="G612" s="30" t="s">
        <v>5515</v>
      </c>
      <c r="H612" s="30"/>
      <c r="I612" s="30">
        <v>501731</v>
      </c>
      <c r="J612" s="30"/>
      <c r="K612" s="30"/>
    </row>
    <row r="613" spans="1:11" ht="12.5" x14ac:dyDescent="0.25">
      <c r="A613" s="30" t="s">
        <v>7807</v>
      </c>
      <c r="B613" s="30" t="s">
        <v>7806</v>
      </c>
      <c r="C613" s="32">
        <v>11.66</v>
      </c>
      <c r="D613" s="30">
        <v>0.14000000000000001</v>
      </c>
      <c r="E613" s="31">
        <v>1.2149999999999999E-2</v>
      </c>
      <c r="F613" s="30">
        <v>319109294</v>
      </c>
      <c r="G613" s="30" t="s">
        <v>5427</v>
      </c>
      <c r="H613" s="30">
        <v>2006</v>
      </c>
      <c r="I613" s="30">
        <v>47664</v>
      </c>
      <c r="J613" s="30" t="s">
        <v>5435</v>
      </c>
      <c r="K613" s="30" t="s">
        <v>5985</v>
      </c>
    </row>
    <row r="614" spans="1:11" ht="12.5" x14ac:dyDescent="0.25">
      <c r="A614" s="30" t="s">
        <v>7805</v>
      </c>
      <c r="B614" s="30" t="s">
        <v>7804</v>
      </c>
      <c r="C614" s="32">
        <v>15.05</v>
      </c>
      <c r="D614" s="30">
        <v>0.17</v>
      </c>
      <c r="E614" s="31">
        <v>1.142E-2</v>
      </c>
      <c r="F614" s="30">
        <v>749076953</v>
      </c>
      <c r="G614" s="30" t="s">
        <v>5427</v>
      </c>
      <c r="H614" s="30">
        <v>2017</v>
      </c>
      <c r="I614" s="30">
        <v>149133</v>
      </c>
      <c r="J614" s="30" t="s">
        <v>5435</v>
      </c>
      <c r="K614" s="30" t="s">
        <v>5197</v>
      </c>
    </row>
    <row r="615" spans="1:11" ht="12.5" x14ac:dyDescent="0.25">
      <c r="A615" s="30" t="s">
        <v>7803</v>
      </c>
      <c r="B615" s="30" t="s">
        <v>7802</v>
      </c>
      <c r="C615" s="32">
        <v>65.42</v>
      </c>
      <c r="D615" s="30">
        <v>1.38</v>
      </c>
      <c r="E615" s="31">
        <v>2.155E-2</v>
      </c>
      <c r="F615" s="30">
        <v>3704939038</v>
      </c>
      <c r="G615" s="30" t="s">
        <v>5427</v>
      </c>
      <c r="H615" s="30">
        <v>2020</v>
      </c>
      <c r="I615" s="30">
        <v>1455191</v>
      </c>
      <c r="J615" s="30" t="s">
        <v>5219</v>
      </c>
      <c r="K615" s="30" t="s">
        <v>5447</v>
      </c>
    </row>
    <row r="616" spans="1:11" ht="12.5" x14ac:dyDescent="0.25">
      <c r="A616" s="30" t="s">
        <v>7801</v>
      </c>
      <c r="B616" s="30" t="s">
        <v>7800</v>
      </c>
      <c r="C616" s="32">
        <v>2.67</v>
      </c>
      <c r="D616" s="30">
        <v>0.09</v>
      </c>
      <c r="E616" s="31">
        <v>3.4880000000000001E-2</v>
      </c>
      <c r="F616" s="30">
        <v>184475971</v>
      </c>
      <c r="G616" s="30" t="s">
        <v>5427</v>
      </c>
      <c r="H616" s="30">
        <v>2017</v>
      </c>
      <c r="I616" s="30">
        <v>48978</v>
      </c>
      <c r="J616" s="30" t="s">
        <v>5197</v>
      </c>
      <c r="K616" s="30" t="s">
        <v>5197</v>
      </c>
    </row>
    <row r="617" spans="1:11" ht="12.5" x14ac:dyDescent="0.25">
      <c r="A617" s="30" t="s">
        <v>7799</v>
      </c>
      <c r="B617" s="30" t="s">
        <v>7798</v>
      </c>
      <c r="C617" s="32">
        <v>54.05</v>
      </c>
      <c r="D617" s="30">
        <v>0.7</v>
      </c>
      <c r="E617" s="31">
        <v>1.312E-2</v>
      </c>
      <c r="F617" s="30">
        <v>7141902317</v>
      </c>
      <c r="G617" s="30" t="s">
        <v>5427</v>
      </c>
      <c r="H617" s="30">
        <v>1994</v>
      </c>
      <c r="I617" s="30">
        <v>1004382</v>
      </c>
      <c r="J617" s="30" t="s">
        <v>5197</v>
      </c>
      <c r="K617" s="30" t="s">
        <v>5467</v>
      </c>
    </row>
    <row r="618" spans="1:11" ht="12.5" x14ac:dyDescent="0.25">
      <c r="A618" s="30" t="s">
        <v>7797</v>
      </c>
      <c r="B618" s="30" t="s">
        <v>7796</v>
      </c>
      <c r="C618" s="32">
        <v>11.91</v>
      </c>
      <c r="D618" s="30">
        <v>-0.04</v>
      </c>
      <c r="E618" s="31">
        <v>-3.3500000000000001E-3</v>
      </c>
      <c r="F618" s="30">
        <v>419615466</v>
      </c>
      <c r="G618" s="30" t="s">
        <v>5427</v>
      </c>
      <c r="H618" s="30">
        <v>2003</v>
      </c>
      <c r="I618" s="30">
        <v>107510</v>
      </c>
      <c r="J618" s="30" t="s">
        <v>5435</v>
      </c>
      <c r="K618" s="30" t="s">
        <v>5568</v>
      </c>
    </row>
    <row r="619" spans="1:11" ht="12.5" x14ac:dyDescent="0.25">
      <c r="A619" s="30" t="s">
        <v>7795</v>
      </c>
      <c r="B619" s="30" t="s">
        <v>7794</v>
      </c>
      <c r="C619" s="32">
        <v>143.18</v>
      </c>
      <c r="D619" s="30">
        <v>2.2999999999999998</v>
      </c>
      <c r="E619" s="31">
        <v>1.6330000000000001E-2</v>
      </c>
      <c r="F619" s="30">
        <v>26191254906</v>
      </c>
      <c r="G619" s="30" t="s">
        <v>5427</v>
      </c>
      <c r="H619" s="30"/>
      <c r="I619" s="30">
        <v>1408693</v>
      </c>
      <c r="J619" s="30" t="s">
        <v>5435</v>
      </c>
      <c r="K619" s="30" t="s">
        <v>5582</v>
      </c>
    </row>
    <row r="620" spans="1:11" ht="12.5" x14ac:dyDescent="0.25">
      <c r="A620" s="30" t="s">
        <v>7793</v>
      </c>
      <c r="B620" s="30" t="s">
        <v>7792</v>
      </c>
      <c r="C620" s="32">
        <v>112.04</v>
      </c>
      <c r="D620" s="30">
        <v>0.51</v>
      </c>
      <c r="E620" s="31">
        <v>4.5700000000000003E-3</v>
      </c>
      <c r="F620" s="30">
        <v>9098710027</v>
      </c>
      <c r="G620" s="30" t="s">
        <v>5427</v>
      </c>
      <c r="H620" s="30"/>
      <c r="I620" s="30">
        <v>809298</v>
      </c>
      <c r="J620" s="30" t="s">
        <v>5197</v>
      </c>
      <c r="K620" s="30" t="s">
        <v>5467</v>
      </c>
    </row>
    <row r="621" spans="1:11" ht="12.5" x14ac:dyDescent="0.25">
      <c r="A621" s="30" t="s">
        <v>7791</v>
      </c>
      <c r="B621" s="30" t="s">
        <v>7790</v>
      </c>
      <c r="C621" s="32">
        <v>4</v>
      </c>
      <c r="D621" s="30">
        <v>0.15</v>
      </c>
      <c r="E621" s="31">
        <v>3.8960000000000002E-2</v>
      </c>
      <c r="F621" s="30">
        <v>1160726300</v>
      </c>
      <c r="G621" s="30" t="s">
        <v>5515</v>
      </c>
      <c r="H621" s="30"/>
      <c r="I621" s="30">
        <v>4829982</v>
      </c>
      <c r="J621" s="30"/>
      <c r="K621" s="30"/>
    </row>
    <row r="622" spans="1:11" ht="12.5" x14ac:dyDescent="0.25">
      <c r="A622" s="30" t="s">
        <v>7789</v>
      </c>
      <c r="B622" s="30" t="s">
        <v>7788</v>
      </c>
      <c r="C622" s="32">
        <v>53.61</v>
      </c>
      <c r="D622" s="30">
        <v>0.36</v>
      </c>
      <c r="E622" s="31">
        <v>6.7600000000000004E-3</v>
      </c>
      <c r="F622" s="30">
        <v>3250725928</v>
      </c>
      <c r="G622" s="30" t="s">
        <v>5427</v>
      </c>
      <c r="H622" s="30"/>
      <c r="I622" s="30">
        <v>351151</v>
      </c>
      <c r="J622" s="30" t="s">
        <v>5219</v>
      </c>
      <c r="K622" s="30" t="s">
        <v>5644</v>
      </c>
    </row>
    <row r="623" spans="1:11" ht="12.5" x14ac:dyDescent="0.25">
      <c r="A623" s="30" t="s">
        <v>7787</v>
      </c>
      <c r="B623" s="30" t="s">
        <v>7786</v>
      </c>
      <c r="C623" s="32">
        <v>7.33</v>
      </c>
      <c r="D623" s="30">
        <v>0.09</v>
      </c>
      <c r="E623" s="31">
        <v>1.243E-2</v>
      </c>
      <c r="F623" s="30">
        <v>184216783</v>
      </c>
      <c r="G623" s="30" t="s">
        <v>5427</v>
      </c>
      <c r="H623" s="30"/>
      <c r="I623" s="30">
        <v>54378</v>
      </c>
      <c r="J623" s="30" t="s">
        <v>5435</v>
      </c>
      <c r="K623" s="30" t="s">
        <v>5568</v>
      </c>
    </row>
    <row r="624" spans="1:11" ht="12.5" x14ac:dyDescent="0.25">
      <c r="A624" s="30" t="s">
        <v>7785</v>
      </c>
      <c r="B624" s="30" t="s">
        <v>7784</v>
      </c>
      <c r="C624" s="32">
        <v>14.62</v>
      </c>
      <c r="D624" s="30">
        <v>-0.09</v>
      </c>
      <c r="E624" s="31">
        <v>-6.1199999999999996E-3</v>
      </c>
      <c r="F624" s="30">
        <v>537621099</v>
      </c>
      <c r="G624" s="30" t="s">
        <v>5427</v>
      </c>
      <c r="H624" s="30">
        <v>2020</v>
      </c>
      <c r="I624" s="30">
        <v>117725</v>
      </c>
      <c r="J624" s="30" t="s">
        <v>5435</v>
      </c>
      <c r="K624" s="30" t="s">
        <v>5434</v>
      </c>
    </row>
    <row r="625" spans="1:11" ht="12.5" x14ac:dyDescent="0.25">
      <c r="A625" s="30" t="s">
        <v>7783</v>
      </c>
      <c r="B625" s="30" t="s">
        <v>7782</v>
      </c>
      <c r="C625" s="32">
        <v>1.2</v>
      </c>
      <c r="D625" s="30">
        <v>-0.01</v>
      </c>
      <c r="E625" s="31">
        <v>-8.26E-3</v>
      </c>
      <c r="F625" s="30">
        <v>93008720</v>
      </c>
      <c r="G625" s="30" t="s">
        <v>5427</v>
      </c>
      <c r="H625" s="30"/>
      <c r="I625" s="30">
        <v>303397</v>
      </c>
      <c r="J625" s="30" t="s">
        <v>5464</v>
      </c>
      <c r="K625" s="30" t="s">
        <v>5588</v>
      </c>
    </row>
    <row r="626" spans="1:11" ht="12.5" x14ac:dyDescent="0.25">
      <c r="A626" s="30" t="s">
        <v>7781</v>
      </c>
      <c r="B626" s="30" t="s">
        <v>7780</v>
      </c>
      <c r="C626" s="32">
        <v>70.260000000000005</v>
      </c>
      <c r="D626" s="30">
        <v>1.1599999999999999</v>
      </c>
      <c r="E626" s="31">
        <v>1.6789999999999999E-2</v>
      </c>
      <c r="F626" s="30">
        <v>3773507780</v>
      </c>
      <c r="G626" s="30" t="s">
        <v>5427</v>
      </c>
      <c r="H626" s="30"/>
      <c r="I626" s="30">
        <v>385321</v>
      </c>
      <c r="J626" s="30" t="s">
        <v>5457</v>
      </c>
      <c r="K626" s="30" t="s">
        <v>5894</v>
      </c>
    </row>
    <row r="627" spans="1:11" ht="12.5" x14ac:dyDescent="0.25">
      <c r="A627" s="30" t="s">
        <v>7779</v>
      </c>
      <c r="B627" s="30" t="s">
        <v>7778</v>
      </c>
      <c r="C627" s="32">
        <v>41.95</v>
      </c>
      <c r="D627" s="30">
        <v>0.01</v>
      </c>
      <c r="E627" s="31">
        <v>2.4000000000000001E-4</v>
      </c>
      <c r="F627" s="30">
        <v>2281346630</v>
      </c>
      <c r="G627" s="30" t="s">
        <v>5427</v>
      </c>
      <c r="H627" s="30">
        <v>1987</v>
      </c>
      <c r="I627" s="30">
        <v>164862</v>
      </c>
      <c r="J627" s="30" t="s">
        <v>5442</v>
      </c>
      <c r="K627" s="30" t="s">
        <v>5450</v>
      </c>
    </row>
    <row r="628" spans="1:11" ht="12.5" x14ac:dyDescent="0.25">
      <c r="A628" s="30" t="s">
        <v>7777</v>
      </c>
      <c r="B628" s="30" t="s">
        <v>7776</v>
      </c>
      <c r="C628" s="32">
        <v>5.9001000000000001</v>
      </c>
      <c r="D628" s="30">
        <v>5.0099999999999999E-2</v>
      </c>
      <c r="E628" s="31">
        <v>8.5599999999999999E-3</v>
      </c>
      <c r="F628" s="30">
        <v>1733550938</v>
      </c>
      <c r="G628" s="30" t="s">
        <v>5427</v>
      </c>
      <c r="H628" s="30">
        <v>1986</v>
      </c>
      <c r="I628" s="30">
        <v>336934</v>
      </c>
      <c r="J628" s="30" t="s">
        <v>5435</v>
      </c>
      <c r="K628" s="30" t="s">
        <v>5434</v>
      </c>
    </row>
    <row r="629" spans="1:11" ht="12.5" x14ac:dyDescent="0.25">
      <c r="A629" s="30" t="s">
        <v>7775</v>
      </c>
      <c r="B629" s="30" t="s">
        <v>7774</v>
      </c>
      <c r="C629" s="32">
        <v>39.28</v>
      </c>
      <c r="D629" s="30">
        <v>0.65</v>
      </c>
      <c r="E629" s="31">
        <v>1.6830000000000001E-2</v>
      </c>
      <c r="F629" s="30">
        <v>941761961</v>
      </c>
      <c r="G629" s="30" t="s">
        <v>5427</v>
      </c>
      <c r="H629" s="30"/>
      <c r="I629" s="30">
        <v>44143</v>
      </c>
      <c r="J629" s="30" t="s">
        <v>5435</v>
      </c>
      <c r="K629" s="30" t="s">
        <v>5434</v>
      </c>
    </row>
    <row r="630" spans="1:11" ht="12.5" x14ac:dyDescent="0.25">
      <c r="A630" s="30" t="s">
        <v>7773</v>
      </c>
      <c r="B630" s="30" t="s">
        <v>7772</v>
      </c>
      <c r="C630" s="32">
        <v>5.39</v>
      </c>
      <c r="D630" s="30">
        <v>0.23</v>
      </c>
      <c r="E630" s="31">
        <v>4.4569999999999999E-2</v>
      </c>
      <c r="F630" s="30">
        <v>372634923</v>
      </c>
      <c r="G630" s="30" t="s">
        <v>5427</v>
      </c>
      <c r="H630" s="30">
        <v>2020</v>
      </c>
      <c r="I630" s="30">
        <v>404970</v>
      </c>
      <c r="J630" s="30" t="s">
        <v>6250</v>
      </c>
      <c r="K630" s="30" t="s">
        <v>6859</v>
      </c>
    </row>
    <row r="631" spans="1:11" ht="12.5" x14ac:dyDescent="0.25">
      <c r="A631" s="30" t="s">
        <v>7771</v>
      </c>
      <c r="B631" s="30" t="s">
        <v>7770</v>
      </c>
      <c r="C631" s="32">
        <v>116.25</v>
      </c>
      <c r="D631" s="30">
        <v>1.8</v>
      </c>
      <c r="E631" s="31">
        <v>1.5730000000000001E-2</v>
      </c>
      <c r="F631" s="30">
        <v>4092000000</v>
      </c>
      <c r="G631" s="30" t="s">
        <v>5427</v>
      </c>
      <c r="H631" s="30"/>
      <c r="I631" s="30">
        <v>145269</v>
      </c>
      <c r="J631" s="30" t="s">
        <v>5442</v>
      </c>
      <c r="K631" s="30" t="s">
        <v>5788</v>
      </c>
    </row>
    <row r="632" spans="1:11" ht="12.5" x14ac:dyDescent="0.25">
      <c r="A632" s="30" t="s">
        <v>7769</v>
      </c>
      <c r="B632" s="30" t="s">
        <v>7768</v>
      </c>
      <c r="C632" s="32">
        <v>17.48</v>
      </c>
      <c r="D632" s="30">
        <v>0.08</v>
      </c>
      <c r="E632" s="31">
        <v>4.5999999999999999E-3</v>
      </c>
      <c r="F632" s="30">
        <v>391497899</v>
      </c>
      <c r="G632" s="30" t="s">
        <v>5427</v>
      </c>
      <c r="H632" s="30">
        <v>2010</v>
      </c>
      <c r="I632" s="30">
        <v>52948</v>
      </c>
      <c r="J632" s="30" t="s">
        <v>5435</v>
      </c>
      <c r="K632" s="30" t="s">
        <v>5434</v>
      </c>
    </row>
    <row r="633" spans="1:11" ht="12.5" x14ac:dyDescent="0.25">
      <c r="A633" s="30" t="s">
        <v>7767</v>
      </c>
      <c r="B633" s="30" t="s">
        <v>7766</v>
      </c>
      <c r="C633" s="32">
        <v>46.23</v>
      </c>
      <c r="D633" s="30">
        <v>0.64</v>
      </c>
      <c r="E633" s="31">
        <v>1.404E-2</v>
      </c>
      <c r="F633" s="30">
        <v>5121256769</v>
      </c>
      <c r="G633" s="30" t="s">
        <v>5427</v>
      </c>
      <c r="H633" s="30"/>
      <c r="I633" s="30">
        <v>520373</v>
      </c>
      <c r="J633" s="30" t="s">
        <v>5435</v>
      </c>
      <c r="K633" s="30" t="s">
        <v>5579</v>
      </c>
    </row>
    <row r="634" spans="1:11" ht="12.5" x14ac:dyDescent="0.25">
      <c r="A634" s="30" t="s">
        <v>7765</v>
      </c>
      <c r="B634" s="30" t="s">
        <v>7764</v>
      </c>
      <c r="C634" s="32">
        <v>28.3</v>
      </c>
      <c r="D634" s="30">
        <v>-0.45</v>
      </c>
      <c r="E634" s="31">
        <v>-1.5650000000000001E-2</v>
      </c>
      <c r="F634" s="30">
        <v>413622301</v>
      </c>
      <c r="G634" s="30" t="s">
        <v>5512</v>
      </c>
      <c r="H634" s="30"/>
      <c r="I634" s="30">
        <v>1836</v>
      </c>
      <c r="J634" s="30" t="s">
        <v>5435</v>
      </c>
      <c r="K634" s="30" t="s">
        <v>5493</v>
      </c>
    </row>
    <row r="635" spans="1:11" ht="12.5" x14ac:dyDescent="0.25">
      <c r="A635" s="30" t="s">
        <v>7763</v>
      </c>
      <c r="B635" s="30" t="s">
        <v>7762</v>
      </c>
      <c r="C635" s="32">
        <v>7.4</v>
      </c>
      <c r="D635" s="30">
        <v>0.33</v>
      </c>
      <c r="E635" s="31">
        <v>4.6679999999999999E-2</v>
      </c>
      <c r="F635" s="30">
        <v>501376218</v>
      </c>
      <c r="G635" s="30" t="s">
        <v>5427</v>
      </c>
      <c r="H635" s="30">
        <v>2020</v>
      </c>
      <c r="I635" s="30">
        <v>52796</v>
      </c>
      <c r="J635" s="30" t="s">
        <v>5219</v>
      </c>
      <c r="K635" s="30" t="s">
        <v>5560</v>
      </c>
    </row>
    <row r="636" spans="1:11" ht="12.5" x14ac:dyDescent="0.25">
      <c r="A636" s="30" t="s">
        <v>7761</v>
      </c>
      <c r="B636" s="30" t="s">
        <v>7760</v>
      </c>
      <c r="C636" s="32">
        <v>30.41</v>
      </c>
      <c r="D636" s="30">
        <v>-0.51</v>
      </c>
      <c r="E636" s="31">
        <v>-1.6490000000000001E-2</v>
      </c>
      <c r="F636" s="30">
        <v>996921664</v>
      </c>
      <c r="G636" s="30" t="s">
        <v>5427</v>
      </c>
      <c r="H636" s="30">
        <v>1994</v>
      </c>
      <c r="I636" s="30">
        <v>451826</v>
      </c>
      <c r="J636" s="30" t="s">
        <v>5457</v>
      </c>
      <c r="K636" s="30" t="s">
        <v>5615</v>
      </c>
    </row>
    <row r="637" spans="1:11" ht="12.5" x14ac:dyDescent="0.25">
      <c r="A637" s="30" t="s">
        <v>7759</v>
      </c>
      <c r="B637" s="30" t="s">
        <v>7758</v>
      </c>
      <c r="C637" s="32">
        <v>49.01</v>
      </c>
      <c r="D637" s="30">
        <v>0.72</v>
      </c>
      <c r="E637" s="31">
        <v>1.491E-2</v>
      </c>
      <c r="F637" s="30">
        <v>618009974</v>
      </c>
      <c r="G637" s="30" t="s">
        <v>5427</v>
      </c>
      <c r="H637" s="30"/>
      <c r="I637" s="30">
        <v>170158</v>
      </c>
      <c r="J637" s="30"/>
      <c r="K637" s="30"/>
    </row>
    <row r="638" spans="1:11" ht="12.5" x14ac:dyDescent="0.25">
      <c r="A638" s="30" t="s">
        <v>7757</v>
      </c>
      <c r="B638" s="30" t="s">
        <v>7756</v>
      </c>
      <c r="C638" s="32">
        <v>5.15</v>
      </c>
      <c r="D638" s="30">
        <v>0.11</v>
      </c>
      <c r="E638" s="31">
        <v>2.1829999999999999E-2</v>
      </c>
      <c r="F638" s="30">
        <v>98056149</v>
      </c>
      <c r="G638" s="30" t="s">
        <v>5427</v>
      </c>
      <c r="H638" s="30"/>
      <c r="I638" s="30">
        <v>14032</v>
      </c>
      <c r="J638" s="30" t="s">
        <v>5435</v>
      </c>
      <c r="K638" s="30" t="s">
        <v>5985</v>
      </c>
    </row>
    <row r="639" spans="1:11" ht="12.5" x14ac:dyDescent="0.25">
      <c r="A639" s="30" t="s">
        <v>7755</v>
      </c>
      <c r="B639" s="30" t="s">
        <v>7754</v>
      </c>
      <c r="C639" s="32">
        <v>230.45</v>
      </c>
      <c r="D639" s="30">
        <v>-2.61</v>
      </c>
      <c r="E639" s="31">
        <v>-1.12E-2</v>
      </c>
      <c r="F639" s="30">
        <v>63238039378</v>
      </c>
      <c r="G639" s="30" t="s">
        <v>5427</v>
      </c>
      <c r="H639" s="30"/>
      <c r="I639" s="30">
        <v>1137708</v>
      </c>
      <c r="J639" s="30" t="s">
        <v>5457</v>
      </c>
      <c r="K639" s="30" t="s">
        <v>5523</v>
      </c>
    </row>
    <row r="640" spans="1:11" ht="12.5" x14ac:dyDescent="0.25">
      <c r="A640" s="30" t="s">
        <v>7753</v>
      </c>
      <c r="B640" s="30" t="s">
        <v>7752</v>
      </c>
      <c r="C640" s="32">
        <v>83</v>
      </c>
      <c r="D640" s="30">
        <v>0.87</v>
      </c>
      <c r="E640" s="31">
        <v>1.059E-2</v>
      </c>
      <c r="F640" s="30">
        <v>12870460736</v>
      </c>
      <c r="G640" s="30" t="s">
        <v>5427</v>
      </c>
      <c r="H640" s="30">
        <v>2015</v>
      </c>
      <c r="I640" s="30">
        <v>758041</v>
      </c>
      <c r="J640" s="30" t="s">
        <v>5219</v>
      </c>
      <c r="K640" s="30" t="s">
        <v>5447</v>
      </c>
    </row>
    <row r="641" spans="1:11" ht="12.5" x14ac:dyDescent="0.25">
      <c r="A641" s="30" t="s">
        <v>7751</v>
      </c>
      <c r="B641" s="30" t="s">
        <v>7750</v>
      </c>
      <c r="C641" s="32">
        <v>8.07</v>
      </c>
      <c r="D641" s="30">
        <v>-0.02</v>
      </c>
      <c r="E641" s="31">
        <v>-2.47E-3</v>
      </c>
      <c r="F641" s="30">
        <v>109543528</v>
      </c>
      <c r="G641" s="30" t="s">
        <v>5427</v>
      </c>
      <c r="H641" s="30">
        <v>2007</v>
      </c>
      <c r="I641" s="30">
        <v>32519</v>
      </c>
      <c r="J641" s="30" t="s">
        <v>5435</v>
      </c>
      <c r="K641" s="30" t="s">
        <v>5434</v>
      </c>
    </row>
    <row r="642" spans="1:11" ht="12.5" x14ac:dyDescent="0.25">
      <c r="A642" s="30" t="s">
        <v>7749</v>
      </c>
      <c r="B642" s="30" t="s">
        <v>7748</v>
      </c>
      <c r="C642" s="32">
        <v>13.4</v>
      </c>
      <c r="D642" s="30">
        <v>0.02</v>
      </c>
      <c r="E642" s="31">
        <v>1.49E-3</v>
      </c>
      <c r="F642" s="30">
        <v>200318851</v>
      </c>
      <c r="G642" s="30" t="s">
        <v>5427</v>
      </c>
      <c r="H642" s="30">
        <v>2009</v>
      </c>
      <c r="I642" s="30">
        <v>79147</v>
      </c>
      <c r="J642" s="30" t="s">
        <v>5435</v>
      </c>
      <c r="K642" s="30" t="s">
        <v>5563</v>
      </c>
    </row>
    <row r="643" spans="1:11" ht="12.5" x14ac:dyDescent="0.25">
      <c r="A643" s="30" t="s">
        <v>7747</v>
      </c>
      <c r="B643" s="30" t="s">
        <v>7746</v>
      </c>
      <c r="C643" s="32">
        <v>18.62</v>
      </c>
      <c r="D643" s="30">
        <v>0.54</v>
      </c>
      <c r="E643" s="31">
        <v>2.9870000000000001E-2</v>
      </c>
      <c r="F643" s="30">
        <v>978832248</v>
      </c>
      <c r="G643" s="30" t="s">
        <v>5427</v>
      </c>
      <c r="H643" s="30">
        <v>2010</v>
      </c>
      <c r="I643" s="30">
        <v>511383</v>
      </c>
      <c r="J643" s="30" t="s">
        <v>5435</v>
      </c>
      <c r="K643" s="30" t="s">
        <v>5856</v>
      </c>
    </row>
    <row r="644" spans="1:11" ht="12.5" x14ac:dyDescent="0.25">
      <c r="A644" s="30" t="s">
        <v>7745</v>
      </c>
      <c r="B644" s="30" t="s">
        <v>7744</v>
      </c>
      <c r="C644" s="32">
        <v>22.08</v>
      </c>
      <c r="D644" s="30">
        <v>0.17</v>
      </c>
      <c r="E644" s="31">
        <v>7.7600000000000004E-3</v>
      </c>
      <c r="F644" s="30">
        <v>1993189995</v>
      </c>
      <c r="G644" s="30" t="s">
        <v>5427</v>
      </c>
      <c r="H644" s="30">
        <v>2003</v>
      </c>
      <c r="I644" s="30">
        <v>158663</v>
      </c>
      <c r="J644" s="30" t="s">
        <v>5435</v>
      </c>
      <c r="K644" s="30" t="s">
        <v>5434</v>
      </c>
    </row>
    <row r="645" spans="1:11" ht="12.5" x14ac:dyDescent="0.25">
      <c r="A645" s="30" t="s">
        <v>7743</v>
      </c>
      <c r="B645" s="30" t="s">
        <v>7742</v>
      </c>
      <c r="C645" s="32">
        <v>82.32</v>
      </c>
      <c r="D645" s="30">
        <v>1.84</v>
      </c>
      <c r="E645" s="31">
        <v>2.2859999999999998E-2</v>
      </c>
      <c r="F645" s="30">
        <v>115223956962</v>
      </c>
      <c r="G645" s="30" t="s">
        <v>5427</v>
      </c>
      <c r="H645" s="30"/>
      <c r="I645" s="30">
        <v>7270972</v>
      </c>
      <c r="J645" s="30" t="s">
        <v>5442</v>
      </c>
      <c r="K645" s="30" t="s">
        <v>5634</v>
      </c>
    </row>
    <row r="646" spans="1:11" ht="12.5" x14ac:dyDescent="0.25">
      <c r="A646" s="30" t="s">
        <v>7741</v>
      </c>
      <c r="B646" s="30" t="s">
        <v>7740</v>
      </c>
      <c r="C646" s="32">
        <v>71.58</v>
      </c>
      <c r="D646" s="30">
        <v>0.15</v>
      </c>
      <c r="E646" s="31">
        <v>2.0999999999999999E-3</v>
      </c>
      <c r="F646" s="30">
        <v>4161535362</v>
      </c>
      <c r="G646" s="30" t="s">
        <v>5427</v>
      </c>
      <c r="H646" s="30"/>
      <c r="I646" s="30">
        <v>158783</v>
      </c>
      <c r="J646" s="30"/>
      <c r="K646" s="30"/>
    </row>
    <row r="647" spans="1:11" ht="12.5" x14ac:dyDescent="0.25">
      <c r="A647" s="30" t="s">
        <v>7739</v>
      </c>
      <c r="B647" s="30" t="s">
        <v>7738</v>
      </c>
      <c r="C647" s="32">
        <v>11.32</v>
      </c>
      <c r="D647" s="30">
        <v>0.03</v>
      </c>
      <c r="E647" s="31">
        <v>2.66E-3</v>
      </c>
      <c r="F647" s="30">
        <v>1387596748</v>
      </c>
      <c r="G647" s="30" t="s">
        <v>5427</v>
      </c>
      <c r="H647" s="30">
        <v>2001</v>
      </c>
      <c r="I647" s="30">
        <v>545405</v>
      </c>
      <c r="J647" s="30" t="s">
        <v>5464</v>
      </c>
      <c r="K647" s="30" t="s">
        <v>6032</v>
      </c>
    </row>
    <row r="648" spans="1:11" ht="12.5" x14ac:dyDescent="0.25">
      <c r="A648" s="30" t="s">
        <v>7737</v>
      </c>
      <c r="B648" s="30" t="s">
        <v>7736</v>
      </c>
      <c r="C648" s="32">
        <v>11.66</v>
      </c>
      <c r="D648" s="30">
        <v>0.16</v>
      </c>
      <c r="E648" s="31">
        <v>1.391E-2</v>
      </c>
      <c r="F648" s="30">
        <v>1447590061</v>
      </c>
      <c r="G648" s="30" t="s">
        <v>5427</v>
      </c>
      <c r="H648" s="30"/>
      <c r="I648" s="30">
        <v>2946557</v>
      </c>
      <c r="J648" s="30"/>
      <c r="K648" s="30"/>
    </row>
    <row r="649" spans="1:11" ht="12.5" x14ac:dyDescent="0.25">
      <c r="A649" s="30" t="s">
        <v>7735</v>
      </c>
      <c r="B649" s="30" t="s">
        <v>7734</v>
      </c>
      <c r="C649" s="32">
        <v>23.39</v>
      </c>
      <c r="D649" s="30">
        <v>0.22</v>
      </c>
      <c r="E649" s="31">
        <v>9.4999999999999998E-3</v>
      </c>
      <c r="F649" s="30">
        <v>1273535375</v>
      </c>
      <c r="G649" s="30" t="s">
        <v>5427</v>
      </c>
      <c r="H649" s="30">
        <v>1996</v>
      </c>
      <c r="I649" s="30">
        <v>572763</v>
      </c>
      <c r="J649" s="30"/>
      <c r="K649" s="30"/>
    </row>
    <row r="650" spans="1:11" ht="12.5" x14ac:dyDescent="0.25">
      <c r="A650" s="30" t="s">
        <v>7733</v>
      </c>
      <c r="B650" s="30" t="s">
        <v>7732</v>
      </c>
      <c r="C650" s="32">
        <v>9.6</v>
      </c>
      <c r="D650" s="30">
        <v>0.02</v>
      </c>
      <c r="E650" s="31">
        <v>2.0899999999999998E-3</v>
      </c>
      <c r="F650" s="30">
        <v>168650688</v>
      </c>
      <c r="G650" s="30" t="s">
        <v>5427</v>
      </c>
      <c r="H650" s="30">
        <v>1990</v>
      </c>
      <c r="I650" s="30">
        <v>17433</v>
      </c>
      <c r="J650" s="30" t="s">
        <v>5435</v>
      </c>
      <c r="K650" s="30" t="s">
        <v>5434</v>
      </c>
    </row>
    <row r="651" spans="1:11" ht="12.5" x14ac:dyDescent="0.25">
      <c r="A651" s="30" t="s">
        <v>7731</v>
      </c>
      <c r="B651" s="30" t="s">
        <v>7730</v>
      </c>
      <c r="C651" s="32">
        <v>41.02</v>
      </c>
      <c r="D651" s="30">
        <v>0.14000000000000001</v>
      </c>
      <c r="E651" s="31">
        <v>3.4199999999999999E-3</v>
      </c>
      <c r="F651" s="30">
        <v>2340778858</v>
      </c>
      <c r="G651" s="30" t="s">
        <v>5427</v>
      </c>
      <c r="H651" s="30"/>
      <c r="I651" s="30">
        <v>648128</v>
      </c>
      <c r="J651" s="30" t="s">
        <v>5457</v>
      </c>
      <c r="K651" s="30" t="s">
        <v>5571</v>
      </c>
    </row>
    <row r="652" spans="1:11" ht="12.5" x14ac:dyDescent="0.25">
      <c r="A652" s="30" t="s">
        <v>7729</v>
      </c>
      <c r="B652" s="30" t="s">
        <v>7728</v>
      </c>
      <c r="C652" s="32">
        <v>70.55</v>
      </c>
      <c r="D652" s="30">
        <v>2.23</v>
      </c>
      <c r="E652" s="31">
        <v>3.2640000000000002E-2</v>
      </c>
      <c r="F652" s="30">
        <v>11889722008</v>
      </c>
      <c r="G652" s="30" t="s">
        <v>5427</v>
      </c>
      <c r="H652" s="30"/>
      <c r="I652" s="30">
        <v>1232492</v>
      </c>
      <c r="J652" s="30" t="s">
        <v>5457</v>
      </c>
      <c r="K652" s="30" t="s">
        <v>5456</v>
      </c>
    </row>
    <row r="653" spans="1:11" ht="12.5" x14ac:dyDescent="0.25">
      <c r="A653" s="30" t="s">
        <v>7727</v>
      </c>
      <c r="B653" s="30" t="s">
        <v>7726</v>
      </c>
      <c r="C653" s="32">
        <v>5.87</v>
      </c>
      <c r="D653" s="30">
        <v>0.17</v>
      </c>
      <c r="E653" s="31">
        <v>2.9819999999999999E-2</v>
      </c>
      <c r="F653" s="30">
        <v>161634858</v>
      </c>
      <c r="G653" s="30" t="s">
        <v>5427</v>
      </c>
      <c r="H653" s="30"/>
      <c r="I653" s="30">
        <v>89615</v>
      </c>
      <c r="J653" s="30" t="s">
        <v>5435</v>
      </c>
      <c r="K653" s="30" t="s">
        <v>5568</v>
      </c>
    </row>
    <row r="654" spans="1:11" ht="12.5" x14ac:dyDescent="0.25">
      <c r="A654" s="30" t="s">
        <v>7725</v>
      </c>
      <c r="B654" s="30" t="s">
        <v>7724</v>
      </c>
      <c r="C654" s="32">
        <v>658.75</v>
      </c>
      <c r="D654" s="30">
        <v>5.44</v>
      </c>
      <c r="E654" s="31">
        <v>8.3300000000000006E-3</v>
      </c>
      <c r="F654" s="30">
        <v>3163082985</v>
      </c>
      <c r="G654" s="30" t="s">
        <v>5427</v>
      </c>
      <c r="H654" s="30"/>
      <c r="I654" s="30">
        <v>19634</v>
      </c>
      <c r="J654" s="30" t="s">
        <v>5442</v>
      </c>
      <c r="K654" s="30" t="s">
        <v>7723</v>
      </c>
    </row>
    <row r="655" spans="1:11" ht="12.5" x14ac:dyDescent="0.25">
      <c r="A655" s="30" t="s">
        <v>7722</v>
      </c>
      <c r="B655" s="30" t="s">
        <v>7721</v>
      </c>
      <c r="C655" s="32">
        <v>19.13</v>
      </c>
      <c r="D655" s="30">
        <v>0.06</v>
      </c>
      <c r="E655" s="31">
        <v>3.15E-3</v>
      </c>
      <c r="F655" s="30">
        <v>430062563</v>
      </c>
      <c r="G655" s="30" t="s">
        <v>5427</v>
      </c>
      <c r="H655" s="30">
        <v>2022</v>
      </c>
      <c r="I655" s="30">
        <v>85222</v>
      </c>
      <c r="J655" s="30" t="s">
        <v>5435</v>
      </c>
      <c r="K655" s="30" t="s">
        <v>5598</v>
      </c>
    </row>
    <row r="656" spans="1:11" ht="12.5" x14ac:dyDescent="0.25">
      <c r="A656" s="30" t="s">
        <v>7720</v>
      </c>
      <c r="B656" s="30" t="s">
        <v>7719</v>
      </c>
      <c r="C656" s="32">
        <v>13.38</v>
      </c>
      <c r="D656" s="30">
        <v>-0.44</v>
      </c>
      <c r="E656" s="31">
        <v>-3.184E-2</v>
      </c>
      <c r="F656" s="30">
        <v>241025246</v>
      </c>
      <c r="G656" s="30" t="s">
        <v>5427</v>
      </c>
      <c r="H656" s="30">
        <v>2004</v>
      </c>
      <c r="I656" s="30">
        <v>135987</v>
      </c>
      <c r="J656" s="30" t="s">
        <v>5435</v>
      </c>
      <c r="K656" s="30" t="s">
        <v>6221</v>
      </c>
    </row>
    <row r="657" spans="1:11" ht="12.5" x14ac:dyDescent="0.25">
      <c r="A657" s="30" t="s">
        <v>7718</v>
      </c>
      <c r="B657" s="30" t="s">
        <v>7717</v>
      </c>
      <c r="C657" s="32">
        <v>9.6999999999999993</v>
      </c>
      <c r="D657" s="30">
        <v>0</v>
      </c>
      <c r="E657" s="31">
        <v>0</v>
      </c>
      <c r="F657" s="30">
        <v>102927292</v>
      </c>
      <c r="G657" s="30" t="s">
        <v>5427</v>
      </c>
      <c r="H657" s="30">
        <v>1978</v>
      </c>
      <c r="I657" s="30">
        <v>88906</v>
      </c>
      <c r="J657" s="30" t="s">
        <v>5457</v>
      </c>
      <c r="K657" s="30" t="s">
        <v>5634</v>
      </c>
    </row>
    <row r="658" spans="1:11" ht="12.5" x14ac:dyDescent="0.25">
      <c r="A658" s="30" t="s">
        <v>7716</v>
      </c>
      <c r="B658" s="30" t="s">
        <v>7715</v>
      </c>
      <c r="C658" s="32">
        <v>11.83</v>
      </c>
      <c r="D658" s="30">
        <v>-0.02</v>
      </c>
      <c r="E658" s="31">
        <v>-1.6900000000000001E-3</v>
      </c>
      <c r="F658" s="30">
        <v>484129489</v>
      </c>
      <c r="G658" s="30" t="s">
        <v>5427</v>
      </c>
      <c r="H658" s="30">
        <v>2012</v>
      </c>
      <c r="I658" s="30">
        <v>292513</v>
      </c>
      <c r="J658" s="30" t="s">
        <v>5435</v>
      </c>
      <c r="K658" s="30" t="s">
        <v>5568</v>
      </c>
    </row>
    <row r="659" spans="1:11" ht="12.5" x14ac:dyDescent="0.25">
      <c r="A659" s="30" t="s">
        <v>7714</v>
      </c>
      <c r="B659" s="30" t="s">
        <v>7713</v>
      </c>
      <c r="C659" s="32">
        <v>89.33</v>
      </c>
      <c r="D659" s="30">
        <v>3.51</v>
      </c>
      <c r="E659" s="31">
        <v>4.0899999999999999E-2</v>
      </c>
      <c r="F659" s="30">
        <v>21278915181</v>
      </c>
      <c r="G659" s="30" t="s">
        <v>5515</v>
      </c>
      <c r="H659" s="30"/>
      <c r="I659" s="30">
        <v>488943</v>
      </c>
      <c r="J659" s="30"/>
      <c r="K659" s="30"/>
    </row>
    <row r="660" spans="1:11" ht="12.5" x14ac:dyDescent="0.25">
      <c r="A660" s="30" t="s">
        <v>7712</v>
      </c>
      <c r="B660" s="30" t="s">
        <v>7711</v>
      </c>
      <c r="C660" s="32">
        <v>27.02</v>
      </c>
      <c r="D660" s="30">
        <v>0.73</v>
      </c>
      <c r="E660" s="31">
        <v>2.777E-2</v>
      </c>
      <c r="F660" s="30">
        <v>1025608678</v>
      </c>
      <c r="G660" s="30" t="s">
        <v>5427</v>
      </c>
      <c r="H660" s="30"/>
      <c r="I660" s="30">
        <v>82814</v>
      </c>
      <c r="J660" s="30" t="s">
        <v>5219</v>
      </c>
      <c r="K660" s="30" t="s">
        <v>5644</v>
      </c>
    </row>
    <row r="661" spans="1:11" ht="12.5" x14ac:dyDescent="0.25">
      <c r="A661" s="30" t="s">
        <v>7710</v>
      </c>
      <c r="B661" s="30" t="s">
        <v>7709</v>
      </c>
      <c r="C661" s="32">
        <v>31.62</v>
      </c>
      <c r="D661" s="30">
        <v>0.28999999999999998</v>
      </c>
      <c r="E661" s="31">
        <v>9.2599999999999991E-3</v>
      </c>
      <c r="F661" s="30">
        <v>5677728148</v>
      </c>
      <c r="G661" s="30" t="s">
        <v>5515</v>
      </c>
      <c r="H661" s="30">
        <v>2000</v>
      </c>
      <c r="I661" s="30">
        <v>511459</v>
      </c>
      <c r="J661" s="30" t="s">
        <v>5442</v>
      </c>
      <c r="K661" s="30" t="s">
        <v>5537</v>
      </c>
    </row>
    <row r="662" spans="1:11" ht="12.5" x14ac:dyDescent="0.25">
      <c r="A662" s="30" t="s">
        <v>7708</v>
      </c>
      <c r="B662" s="30" t="s">
        <v>7707</v>
      </c>
      <c r="C662" s="32">
        <v>4.47</v>
      </c>
      <c r="D662" s="30">
        <v>0.03</v>
      </c>
      <c r="E662" s="31">
        <v>6.7600000000000004E-3</v>
      </c>
      <c r="F662" s="30">
        <v>459167014</v>
      </c>
      <c r="G662" s="30" t="s">
        <v>5427</v>
      </c>
      <c r="H662" s="30">
        <v>1988</v>
      </c>
      <c r="I662" s="30">
        <v>194488</v>
      </c>
      <c r="J662" s="30" t="s">
        <v>5435</v>
      </c>
      <c r="K662" s="30" t="s">
        <v>5563</v>
      </c>
    </row>
    <row r="663" spans="1:11" ht="12.5" x14ac:dyDescent="0.25">
      <c r="A663" s="30" t="s">
        <v>7706</v>
      </c>
      <c r="B663" s="30" t="s">
        <v>7705</v>
      </c>
      <c r="C663" s="32">
        <v>77.989999999999995</v>
      </c>
      <c r="D663" s="30">
        <v>-0.37</v>
      </c>
      <c r="E663" s="31">
        <v>-4.7200000000000002E-3</v>
      </c>
      <c r="F663" s="30">
        <v>45983739819</v>
      </c>
      <c r="G663" s="30" t="s">
        <v>5427</v>
      </c>
      <c r="H663" s="30"/>
      <c r="I663" s="30">
        <v>4141296</v>
      </c>
      <c r="J663" s="30" t="s">
        <v>5541</v>
      </c>
      <c r="K663" s="30" t="s">
        <v>5540</v>
      </c>
    </row>
    <row r="664" spans="1:11" ht="12.5" x14ac:dyDescent="0.25">
      <c r="A664" s="30" t="s">
        <v>7704</v>
      </c>
      <c r="B664" s="30" t="s">
        <v>7703</v>
      </c>
      <c r="C664" s="32">
        <v>49.76</v>
      </c>
      <c r="D664" s="30">
        <v>0.71</v>
      </c>
      <c r="E664" s="31">
        <v>1.448E-2</v>
      </c>
      <c r="F664" s="30">
        <v>2373715014</v>
      </c>
      <c r="G664" s="30" t="s">
        <v>5427</v>
      </c>
      <c r="H664" s="30">
        <v>2015</v>
      </c>
      <c r="I664" s="30">
        <v>330000</v>
      </c>
      <c r="J664" s="30" t="s">
        <v>5431</v>
      </c>
      <c r="K664" s="30" t="s">
        <v>6537</v>
      </c>
    </row>
    <row r="665" spans="1:11" ht="12.5" x14ac:dyDescent="0.25">
      <c r="A665" s="30" t="s">
        <v>7702</v>
      </c>
      <c r="B665" s="30" t="s">
        <v>7701</v>
      </c>
      <c r="C665" s="32">
        <v>120.2</v>
      </c>
      <c r="D665" s="30">
        <v>-0.65</v>
      </c>
      <c r="E665" s="31">
        <v>-5.3800000000000002E-3</v>
      </c>
      <c r="F665" s="30">
        <v>11691881526</v>
      </c>
      <c r="G665" s="30" t="s">
        <v>5427</v>
      </c>
      <c r="H665" s="30"/>
      <c r="I665" s="30">
        <v>1056083</v>
      </c>
      <c r="J665" s="30" t="s">
        <v>5435</v>
      </c>
      <c r="K665" s="30" t="s">
        <v>6352</v>
      </c>
    </row>
    <row r="666" spans="1:11" ht="12.5" x14ac:dyDescent="0.25">
      <c r="A666" s="30" t="s">
        <v>7700</v>
      </c>
      <c r="B666" s="30" t="s">
        <v>7699</v>
      </c>
      <c r="C666" s="32">
        <v>37.549999999999997</v>
      </c>
      <c r="D666" s="30">
        <v>0.56000000000000005</v>
      </c>
      <c r="E666" s="31">
        <v>1.5140000000000001E-2</v>
      </c>
      <c r="F666" s="30">
        <v>1276533391</v>
      </c>
      <c r="G666" s="30" t="s">
        <v>5427</v>
      </c>
      <c r="H666" s="30">
        <v>2005</v>
      </c>
      <c r="I666" s="30">
        <v>239882</v>
      </c>
      <c r="J666" s="30" t="s">
        <v>5464</v>
      </c>
      <c r="K666" s="30" t="s">
        <v>6032</v>
      </c>
    </row>
    <row r="667" spans="1:11" ht="12.5" x14ac:dyDescent="0.25">
      <c r="A667" s="30" t="s">
        <v>7698</v>
      </c>
      <c r="B667" s="30" t="s">
        <v>7697</v>
      </c>
      <c r="C667" s="32">
        <v>4.66</v>
      </c>
      <c r="D667" s="30">
        <v>0.28000000000000003</v>
      </c>
      <c r="E667" s="31">
        <v>6.3930000000000001E-2</v>
      </c>
      <c r="F667" s="30">
        <v>208751713</v>
      </c>
      <c r="G667" s="30" t="s">
        <v>5427</v>
      </c>
      <c r="H667" s="30">
        <v>2000</v>
      </c>
      <c r="I667" s="30">
        <v>1139471</v>
      </c>
      <c r="J667" s="30" t="s">
        <v>6250</v>
      </c>
      <c r="K667" s="30" t="s">
        <v>6167</v>
      </c>
    </row>
    <row r="668" spans="1:11" ht="12.5" x14ac:dyDescent="0.25">
      <c r="A668" s="30" t="s">
        <v>7696</v>
      </c>
      <c r="B668" s="30" t="s">
        <v>7695</v>
      </c>
      <c r="C668" s="32">
        <v>35.28</v>
      </c>
      <c r="D668" s="30">
        <v>0.67</v>
      </c>
      <c r="E668" s="31">
        <v>1.9359999999999999E-2</v>
      </c>
      <c r="F668" s="30">
        <v>29840225345</v>
      </c>
      <c r="G668" s="30" t="s">
        <v>5427</v>
      </c>
      <c r="H668" s="30"/>
      <c r="I668" s="30">
        <v>6854785</v>
      </c>
      <c r="J668" s="30" t="s">
        <v>5219</v>
      </c>
      <c r="K668" s="30" t="s">
        <v>5644</v>
      </c>
    </row>
    <row r="669" spans="1:11" ht="12.5" x14ac:dyDescent="0.25">
      <c r="A669" s="30" t="s">
        <v>7694</v>
      </c>
      <c r="B669" s="30" t="s">
        <v>7693</v>
      </c>
      <c r="C669" s="32">
        <v>39.299999999999997</v>
      </c>
      <c r="D669" s="30">
        <v>-0.02</v>
      </c>
      <c r="E669" s="31">
        <v>-5.1000000000000004E-4</v>
      </c>
      <c r="F669" s="30">
        <v>55833383729</v>
      </c>
      <c r="G669" s="30" t="s">
        <v>5427</v>
      </c>
      <c r="H669" s="30">
        <v>2010</v>
      </c>
      <c r="I669" s="30">
        <v>25525953</v>
      </c>
      <c r="J669" s="30" t="s">
        <v>5442</v>
      </c>
      <c r="K669" s="30" t="s">
        <v>5926</v>
      </c>
    </row>
    <row r="670" spans="1:11" ht="12.5" x14ac:dyDescent="0.25">
      <c r="A670" s="30" t="s">
        <v>7692</v>
      </c>
      <c r="B670" s="30" t="s">
        <v>7691</v>
      </c>
      <c r="C670" s="32">
        <v>21.83</v>
      </c>
      <c r="D670" s="30">
        <v>-0.04</v>
      </c>
      <c r="E670" s="31">
        <v>-1.83E-3</v>
      </c>
      <c r="F670" s="30">
        <v>6648939268</v>
      </c>
      <c r="G670" s="30" t="s">
        <v>5427</v>
      </c>
      <c r="H670" s="30">
        <v>2002</v>
      </c>
      <c r="I670" s="30">
        <v>4498354</v>
      </c>
      <c r="J670" s="30" t="s">
        <v>5442</v>
      </c>
      <c r="K670" s="30" t="s">
        <v>6136</v>
      </c>
    </row>
    <row r="671" spans="1:11" ht="12.5" x14ac:dyDescent="0.25">
      <c r="A671" s="30" t="s">
        <v>7690</v>
      </c>
      <c r="B671" s="30" t="s">
        <v>7689</v>
      </c>
      <c r="C671" s="32">
        <v>77.08</v>
      </c>
      <c r="D671" s="30">
        <v>1.58</v>
      </c>
      <c r="E671" s="31">
        <v>2.0930000000000001E-2</v>
      </c>
      <c r="F671" s="30">
        <v>7695864294</v>
      </c>
      <c r="G671" s="30" t="s">
        <v>5427</v>
      </c>
      <c r="H671" s="30">
        <v>2012</v>
      </c>
      <c r="I671" s="30">
        <v>310241</v>
      </c>
      <c r="J671" s="30" t="s">
        <v>5431</v>
      </c>
      <c r="K671" s="30" t="s">
        <v>5500</v>
      </c>
    </row>
    <row r="672" spans="1:11" ht="12.5" x14ac:dyDescent="0.25">
      <c r="A672" s="30" t="s">
        <v>7688</v>
      </c>
      <c r="B672" s="30" t="s">
        <v>7687</v>
      </c>
      <c r="C672" s="32">
        <v>60</v>
      </c>
      <c r="D672" s="30">
        <v>0.68</v>
      </c>
      <c r="E672" s="31">
        <v>1.146E-2</v>
      </c>
      <c r="F672" s="30">
        <v>2497323000</v>
      </c>
      <c r="G672" s="30" t="s">
        <v>5427</v>
      </c>
      <c r="H672" s="30">
        <v>2016</v>
      </c>
      <c r="I672" s="30">
        <v>283858</v>
      </c>
      <c r="J672" s="30"/>
      <c r="K672" s="30"/>
    </row>
    <row r="673" spans="1:11" ht="12.5" x14ac:dyDescent="0.25">
      <c r="A673" s="30" t="s">
        <v>7686</v>
      </c>
      <c r="B673" s="30" t="s">
        <v>7685</v>
      </c>
      <c r="C673" s="32">
        <v>11.29</v>
      </c>
      <c r="D673" s="30">
        <v>0.34</v>
      </c>
      <c r="E673" s="31">
        <v>3.1050000000000001E-2</v>
      </c>
      <c r="F673" s="30">
        <v>292269186</v>
      </c>
      <c r="G673" s="30" t="s">
        <v>5427</v>
      </c>
      <c r="H673" s="30">
        <v>2011</v>
      </c>
      <c r="I673" s="30">
        <v>121254</v>
      </c>
      <c r="J673" s="30" t="s">
        <v>5426</v>
      </c>
      <c r="K673" s="30" t="s">
        <v>5593</v>
      </c>
    </row>
    <row r="674" spans="1:11" ht="12.5" x14ac:dyDescent="0.25">
      <c r="A674" s="30" t="s">
        <v>7684</v>
      </c>
      <c r="B674" s="30" t="s">
        <v>7683</v>
      </c>
      <c r="C674" s="32">
        <v>18.05</v>
      </c>
      <c r="D674" s="30">
        <v>-0.09</v>
      </c>
      <c r="E674" s="31">
        <v>-4.96E-3</v>
      </c>
      <c r="F674" s="30">
        <v>764005617</v>
      </c>
      <c r="G674" s="30" t="s">
        <v>5427</v>
      </c>
      <c r="H674" s="30"/>
      <c r="I674" s="30">
        <v>942486</v>
      </c>
      <c r="J674" s="30" t="s">
        <v>5442</v>
      </c>
      <c r="K674" s="30" t="s">
        <v>5910</v>
      </c>
    </row>
    <row r="675" spans="1:11" ht="12.5" x14ac:dyDescent="0.25">
      <c r="A675" s="30" t="s">
        <v>7682</v>
      </c>
      <c r="B675" s="30" t="s">
        <v>7681</v>
      </c>
      <c r="C675" s="32">
        <v>15.04</v>
      </c>
      <c r="D675" s="30">
        <v>0.09</v>
      </c>
      <c r="E675" s="31">
        <v>6.0200000000000002E-3</v>
      </c>
      <c r="F675" s="30">
        <v>1561082275</v>
      </c>
      <c r="G675" s="30" t="s">
        <v>5427</v>
      </c>
      <c r="H675" s="30">
        <v>2015</v>
      </c>
      <c r="I675" s="30">
        <v>768336</v>
      </c>
      <c r="J675" s="30" t="s">
        <v>5197</v>
      </c>
      <c r="K675" s="30" t="s">
        <v>5467</v>
      </c>
    </row>
    <row r="676" spans="1:11" ht="12.5" x14ac:dyDescent="0.25">
      <c r="A676" s="30" t="s">
        <v>7680</v>
      </c>
      <c r="B676" s="30" t="s">
        <v>7679</v>
      </c>
      <c r="C676" s="32">
        <v>126.54</v>
      </c>
      <c r="D676" s="30">
        <v>5.94</v>
      </c>
      <c r="E676" s="31">
        <v>4.9250000000000002E-2</v>
      </c>
      <c r="F676" s="30">
        <v>8017119109</v>
      </c>
      <c r="G676" s="30" t="s">
        <v>5427</v>
      </c>
      <c r="H676" s="30">
        <v>2010</v>
      </c>
      <c r="I676" s="30">
        <v>1913808</v>
      </c>
      <c r="J676" s="30" t="s">
        <v>5442</v>
      </c>
      <c r="K676" s="30" t="s">
        <v>5634</v>
      </c>
    </row>
    <row r="677" spans="1:11" ht="12.5" x14ac:dyDescent="0.25">
      <c r="A677" s="30" t="s">
        <v>7678</v>
      </c>
      <c r="B677" s="30" t="s">
        <v>7677</v>
      </c>
      <c r="C677" s="32">
        <v>5.33</v>
      </c>
      <c r="D677" s="30">
        <v>0.03</v>
      </c>
      <c r="E677" s="31">
        <v>5.6600000000000001E-3</v>
      </c>
      <c r="F677" s="30">
        <v>98474090</v>
      </c>
      <c r="G677" s="30" t="s">
        <v>5427</v>
      </c>
      <c r="H677" s="30">
        <v>2011</v>
      </c>
      <c r="I677" s="30">
        <v>65750</v>
      </c>
      <c r="J677" s="30" t="s">
        <v>5435</v>
      </c>
      <c r="K677" s="30" t="s">
        <v>5985</v>
      </c>
    </row>
    <row r="678" spans="1:11" ht="12.5" x14ac:dyDescent="0.25">
      <c r="A678" s="30" t="s">
        <v>7676</v>
      </c>
      <c r="B678" s="30" t="s">
        <v>7675</v>
      </c>
      <c r="C678" s="32">
        <v>5.72</v>
      </c>
      <c r="D678" s="30">
        <v>0.2</v>
      </c>
      <c r="E678" s="31">
        <v>3.6229999999999998E-2</v>
      </c>
      <c r="F678" s="30">
        <v>2839211461</v>
      </c>
      <c r="G678" s="30" t="s">
        <v>5427</v>
      </c>
      <c r="H678" s="30">
        <v>2004</v>
      </c>
      <c r="I678" s="30">
        <v>4256029</v>
      </c>
      <c r="J678" s="30" t="s">
        <v>5435</v>
      </c>
      <c r="K678" s="30" t="s">
        <v>6352</v>
      </c>
    </row>
    <row r="679" spans="1:11" ht="12.5" x14ac:dyDescent="0.25">
      <c r="A679" s="30" t="s">
        <v>7674</v>
      </c>
      <c r="B679" s="30" t="s">
        <v>7673</v>
      </c>
      <c r="C679" s="32">
        <v>17.010000000000002</v>
      </c>
      <c r="D679" s="30">
        <v>0.22</v>
      </c>
      <c r="E679" s="31">
        <v>1.3100000000000001E-2</v>
      </c>
      <c r="F679" s="30">
        <v>1771581549</v>
      </c>
      <c r="G679" s="30" t="s">
        <v>5427</v>
      </c>
      <c r="H679" s="30"/>
      <c r="I679" s="30">
        <v>648003</v>
      </c>
      <c r="J679" s="30" t="s">
        <v>5435</v>
      </c>
      <c r="K679" s="30" t="s">
        <v>5985</v>
      </c>
    </row>
    <row r="680" spans="1:11" ht="12.5" x14ac:dyDescent="0.25">
      <c r="A680" s="30" t="s">
        <v>7672</v>
      </c>
      <c r="B680" s="30" t="s">
        <v>7671</v>
      </c>
      <c r="C680" s="32">
        <v>19.95</v>
      </c>
      <c r="D680" s="30">
        <v>0.4</v>
      </c>
      <c r="E680" s="31">
        <v>2.0459999999999999E-2</v>
      </c>
      <c r="F680" s="30">
        <v>35152607886</v>
      </c>
      <c r="G680" s="30" t="s">
        <v>5515</v>
      </c>
      <c r="H680" s="30"/>
      <c r="I680" s="30">
        <v>18538993</v>
      </c>
      <c r="J680" s="30"/>
      <c r="K680" s="30"/>
    </row>
    <row r="681" spans="1:11" ht="12.5" x14ac:dyDescent="0.25">
      <c r="A681" s="30" t="s">
        <v>7670</v>
      </c>
      <c r="B681" s="30" t="s">
        <v>7669</v>
      </c>
      <c r="C681" s="32">
        <v>47.94</v>
      </c>
      <c r="D681" s="30">
        <v>0.99</v>
      </c>
      <c r="E681" s="31">
        <v>2.1090000000000001E-2</v>
      </c>
      <c r="F681" s="30">
        <v>3365820706</v>
      </c>
      <c r="G681" s="30" t="s">
        <v>5427</v>
      </c>
      <c r="H681" s="30">
        <v>2016</v>
      </c>
      <c r="I681" s="30">
        <v>452236</v>
      </c>
      <c r="J681" s="30" t="s">
        <v>5442</v>
      </c>
      <c r="K681" s="30" t="s">
        <v>5641</v>
      </c>
    </row>
    <row r="682" spans="1:11" ht="12.5" x14ac:dyDescent="0.25">
      <c r="A682" s="30" t="s">
        <v>7668</v>
      </c>
      <c r="B682" s="30" t="s">
        <v>7667</v>
      </c>
      <c r="C682" s="32">
        <v>168.57</v>
      </c>
      <c r="D682" s="30">
        <v>0.75</v>
      </c>
      <c r="E682" s="31">
        <v>4.47E-3</v>
      </c>
      <c r="F682" s="30">
        <v>23795568601</v>
      </c>
      <c r="G682" s="30" t="s">
        <v>5427</v>
      </c>
      <c r="H682" s="30"/>
      <c r="I682" s="30">
        <v>857771</v>
      </c>
      <c r="J682" s="30" t="s">
        <v>5442</v>
      </c>
      <c r="K682" s="30" t="s">
        <v>5625</v>
      </c>
    </row>
    <row r="683" spans="1:11" ht="12.5" x14ac:dyDescent="0.25">
      <c r="A683" s="30" t="s">
        <v>7666</v>
      </c>
      <c r="B683" s="30" t="s">
        <v>7665</v>
      </c>
      <c r="C683" s="32">
        <v>223.97</v>
      </c>
      <c r="D683" s="30">
        <v>10.119999999999999</v>
      </c>
      <c r="E683" s="31">
        <v>4.7320000000000001E-2</v>
      </c>
      <c r="F683" s="30">
        <v>3180374000</v>
      </c>
      <c r="G683" s="30" t="s">
        <v>5427</v>
      </c>
      <c r="H683" s="30">
        <v>1997</v>
      </c>
      <c r="I683" s="30">
        <v>208344</v>
      </c>
      <c r="J683" s="30" t="s">
        <v>5442</v>
      </c>
      <c r="K683" s="30" t="s">
        <v>5508</v>
      </c>
    </row>
    <row r="684" spans="1:11" ht="12.5" x14ac:dyDescent="0.25">
      <c r="A684" s="30" t="s">
        <v>7664</v>
      </c>
      <c r="B684" s="30" t="s">
        <v>7663</v>
      </c>
      <c r="C684" s="32">
        <v>23.76</v>
      </c>
      <c r="D684" s="30">
        <v>-0.33</v>
      </c>
      <c r="E684" s="31">
        <v>-1.37E-2</v>
      </c>
      <c r="F684" s="30">
        <v>7297125533</v>
      </c>
      <c r="G684" s="30" t="s">
        <v>5427</v>
      </c>
      <c r="H684" s="30"/>
      <c r="I684" s="30">
        <v>4510094</v>
      </c>
      <c r="J684" s="30" t="s">
        <v>6250</v>
      </c>
      <c r="K684" s="30" t="s">
        <v>6167</v>
      </c>
    </row>
    <row r="685" spans="1:11" ht="12.5" x14ac:dyDescent="0.25">
      <c r="A685" s="30" t="s">
        <v>7662</v>
      </c>
      <c r="B685" s="30" t="s">
        <v>7661</v>
      </c>
      <c r="C685" s="32">
        <v>115.48</v>
      </c>
      <c r="D685" s="30">
        <v>2.76</v>
      </c>
      <c r="E685" s="31">
        <v>2.4490000000000001E-2</v>
      </c>
      <c r="F685" s="30">
        <v>31225924340</v>
      </c>
      <c r="G685" s="30" t="s">
        <v>5427</v>
      </c>
      <c r="H685" s="30"/>
      <c r="I685" s="30">
        <v>1365979</v>
      </c>
      <c r="J685" s="30" t="s">
        <v>5442</v>
      </c>
      <c r="K685" s="30" t="s">
        <v>5482</v>
      </c>
    </row>
    <row r="686" spans="1:11" ht="12.5" x14ac:dyDescent="0.25">
      <c r="A686" s="30" t="s">
        <v>7660</v>
      </c>
      <c r="B686" s="30" t="s">
        <v>7659</v>
      </c>
      <c r="C686" s="32">
        <v>64.430000000000007</v>
      </c>
      <c r="D686" s="30">
        <v>-3.72</v>
      </c>
      <c r="E686" s="31">
        <v>-5.459E-2</v>
      </c>
      <c r="F686" s="30">
        <v>1241700114</v>
      </c>
      <c r="G686" s="30" t="s">
        <v>5427</v>
      </c>
      <c r="H686" s="30">
        <v>2021</v>
      </c>
      <c r="I686" s="30">
        <v>179184</v>
      </c>
      <c r="J686" s="30" t="s">
        <v>5464</v>
      </c>
      <c r="K686" s="30" t="s">
        <v>5463</v>
      </c>
    </row>
    <row r="687" spans="1:11" ht="12.5" x14ac:dyDescent="0.25">
      <c r="A687" s="30" t="s">
        <v>7658</v>
      </c>
      <c r="B687" s="30" t="s">
        <v>7657</v>
      </c>
      <c r="C687" s="32">
        <v>14.16</v>
      </c>
      <c r="D687" s="30">
        <v>0.59</v>
      </c>
      <c r="E687" s="31">
        <v>4.3479999999999998E-2</v>
      </c>
      <c r="F687" s="30">
        <v>5169087072</v>
      </c>
      <c r="G687" s="30" t="s">
        <v>5427</v>
      </c>
      <c r="H687" s="30"/>
      <c r="I687" s="30">
        <v>6822925</v>
      </c>
      <c r="J687" s="30" t="s">
        <v>5442</v>
      </c>
      <c r="K687" s="30" t="s">
        <v>7318</v>
      </c>
    </row>
    <row r="688" spans="1:11" ht="12.5" x14ac:dyDescent="0.25">
      <c r="A688" s="30" t="s">
        <v>7656</v>
      </c>
      <c r="B688" s="30" t="s">
        <v>7655</v>
      </c>
      <c r="C688" s="32">
        <v>32.39</v>
      </c>
      <c r="D688" s="30">
        <v>1.19</v>
      </c>
      <c r="E688" s="31">
        <v>3.814E-2</v>
      </c>
      <c r="F688" s="30">
        <v>1491159451</v>
      </c>
      <c r="G688" s="30" t="s">
        <v>5427</v>
      </c>
      <c r="H688" s="30">
        <v>2021</v>
      </c>
      <c r="I688" s="30">
        <v>609996</v>
      </c>
      <c r="J688" s="30" t="s">
        <v>5442</v>
      </c>
      <c r="K688" s="30" t="s">
        <v>5576</v>
      </c>
    </row>
    <row r="689" spans="1:11" ht="12.5" x14ac:dyDescent="0.25">
      <c r="A689" s="30" t="s">
        <v>7654</v>
      </c>
      <c r="B689" s="30" t="s">
        <v>7653</v>
      </c>
      <c r="C689" s="32">
        <v>29.71</v>
      </c>
      <c r="D689" s="30">
        <v>0.98</v>
      </c>
      <c r="E689" s="31">
        <v>3.4110000000000001E-2</v>
      </c>
      <c r="F689" s="30">
        <v>775278439</v>
      </c>
      <c r="G689" s="30" t="s">
        <v>5427</v>
      </c>
      <c r="H689" s="30">
        <v>1971</v>
      </c>
      <c r="I689" s="30">
        <v>64107</v>
      </c>
      <c r="J689" s="30" t="s">
        <v>5457</v>
      </c>
      <c r="K689" s="30" t="s">
        <v>5456</v>
      </c>
    </row>
    <row r="690" spans="1:11" ht="12.5" x14ac:dyDescent="0.25">
      <c r="A690" s="30" t="s">
        <v>7652</v>
      </c>
      <c r="B690" s="30" t="s">
        <v>7651</v>
      </c>
      <c r="C690" s="32">
        <v>101.11</v>
      </c>
      <c r="D690" s="30">
        <v>2.23</v>
      </c>
      <c r="E690" s="31">
        <v>2.2550000000000001E-2</v>
      </c>
      <c r="F690" s="30">
        <v>19379140266</v>
      </c>
      <c r="G690" s="30" t="s">
        <v>5799</v>
      </c>
      <c r="H690" s="30">
        <v>2000</v>
      </c>
      <c r="I690" s="30">
        <v>909960</v>
      </c>
      <c r="J690" s="30" t="s">
        <v>5457</v>
      </c>
      <c r="K690" s="30" t="s">
        <v>5644</v>
      </c>
    </row>
    <row r="691" spans="1:11" ht="12.5" x14ac:dyDescent="0.25">
      <c r="A691" s="30" t="s">
        <v>7650</v>
      </c>
      <c r="B691" s="30" t="s">
        <v>7649</v>
      </c>
      <c r="C691" s="32">
        <v>5.59</v>
      </c>
      <c r="D691" s="30">
        <v>7.0000000000000007E-2</v>
      </c>
      <c r="E691" s="31">
        <v>1.268E-2</v>
      </c>
      <c r="F691" s="30">
        <v>970001172</v>
      </c>
      <c r="G691" s="30" t="s">
        <v>5752</v>
      </c>
      <c r="H691" s="30">
        <v>2021</v>
      </c>
      <c r="I691" s="30">
        <v>58180</v>
      </c>
      <c r="J691" s="30" t="s">
        <v>5219</v>
      </c>
      <c r="K691" s="30" t="s">
        <v>5560</v>
      </c>
    </row>
    <row r="692" spans="1:11" ht="12.5" x14ac:dyDescent="0.25">
      <c r="A692" s="30" t="s">
        <v>7648</v>
      </c>
      <c r="B692" s="30" t="s">
        <v>7647</v>
      </c>
      <c r="C692" s="32">
        <v>10.56</v>
      </c>
      <c r="D692" s="30">
        <v>0.15</v>
      </c>
      <c r="E692" s="31">
        <v>1.4409999999999999E-2</v>
      </c>
      <c r="F692" s="30">
        <v>180501795</v>
      </c>
      <c r="G692" s="30" t="s">
        <v>5427</v>
      </c>
      <c r="H692" s="30"/>
      <c r="I692" s="30">
        <v>53752</v>
      </c>
      <c r="J692" s="30" t="s">
        <v>5435</v>
      </c>
      <c r="K692" s="30" t="s">
        <v>5985</v>
      </c>
    </row>
    <row r="693" spans="1:11" ht="12.5" x14ac:dyDescent="0.25">
      <c r="A693" s="30" t="s">
        <v>7646</v>
      </c>
      <c r="B693" s="30" t="s">
        <v>7645</v>
      </c>
      <c r="C693" s="32">
        <v>365.71</v>
      </c>
      <c r="D693" s="30">
        <v>-0.1</v>
      </c>
      <c r="E693" s="31">
        <v>-2.7E-4</v>
      </c>
      <c r="F693" s="30">
        <v>122482095252</v>
      </c>
      <c r="G693" s="30" t="s">
        <v>5427</v>
      </c>
      <c r="H693" s="30">
        <v>1999</v>
      </c>
      <c r="I693" s="30">
        <v>2887407</v>
      </c>
      <c r="J693" s="30" t="s">
        <v>5435</v>
      </c>
      <c r="K693" s="30" t="s">
        <v>6221</v>
      </c>
    </row>
    <row r="694" spans="1:11" ht="12.5" x14ac:dyDescent="0.25">
      <c r="A694" s="30" t="s">
        <v>7644</v>
      </c>
      <c r="B694" s="30" t="s">
        <v>7643</v>
      </c>
      <c r="C694" s="32">
        <v>15.96</v>
      </c>
      <c r="D694" s="30">
        <v>0.35</v>
      </c>
      <c r="E694" s="31">
        <v>2.2419999999999999E-2</v>
      </c>
      <c r="F694" s="30">
        <v>1640343918</v>
      </c>
      <c r="G694" s="30" t="s">
        <v>5427</v>
      </c>
      <c r="H694" s="30">
        <v>2015</v>
      </c>
      <c r="I694" s="30">
        <v>412561</v>
      </c>
      <c r="J694" s="30" t="s">
        <v>5435</v>
      </c>
      <c r="K694" s="30" t="s">
        <v>5434</v>
      </c>
    </row>
    <row r="695" spans="1:11" ht="12.5" x14ac:dyDescent="0.25">
      <c r="A695" s="30" t="s">
        <v>7642</v>
      </c>
      <c r="B695" s="30" t="s">
        <v>7641</v>
      </c>
      <c r="C695" s="32">
        <v>35.49</v>
      </c>
      <c r="D695" s="30">
        <v>0.23</v>
      </c>
      <c r="E695" s="31">
        <v>6.5199999999999998E-3</v>
      </c>
      <c r="F695" s="30">
        <v>72651908702</v>
      </c>
      <c r="G695" s="30" t="s">
        <v>5775</v>
      </c>
      <c r="H695" s="30">
        <v>2022</v>
      </c>
      <c r="I695" s="30">
        <v>5777385</v>
      </c>
      <c r="J695" s="30" t="s">
        <v>5431</v>
      </c>
      <c r="K695" s="30" t="s">
        <v>5430</v>
      </c>
    </row>
    <row r="696" spans="1:11" ht="12.5" x14ac:dyDescent="0.25">
      <c r="A696" s="30" t="s">
        <v>7640</v>
      </c>
      <c r="B696" s="30" t="s">
        <v>7639</v>
      </c>
      <c r="C696" s="32">
        <v>19.13</v>
      </c>
      <c r="D696" s="30">
        <v>0.6</v>
      </c>
      <c r="E696" s="31">
        <v>3.2379999999999999E-2</v>
      </c>
      <c r="F696" s="30">
        <v>694339821</v>
      </c>
      <c r="G696" s="30" t="s">
        <v>5775</v>
      </c>
      <c r="H696" s="30"/>
      <c r="I696" s="30">
        <v>445469</v>
      </c>
      <c r="J696" s="30" t="s">
        <v>5442</v>
      </c>
      <c r="K696" s="30" t="s">
        <v>5910</v>
      </c>
    </row>
    <row r="697" spans="1:11" ht="12.5" x14ac:dyDescent="0.25">
      <c r="A697" s="30" t="s">
        <v>7638</v>
      </c>
      <c r="B697" s="30" t="s">
        <v>7637</v>
      </c>
      <c r="C697" s="32">
        <v>137.69</v>
      </c>
      <c r="D697" s="30">
        <v>3.71</v>
      </c>
      <c r="E697" s="31">
        <v>2.7689999999999999E-2</v>
      </c>
      <c r="F697" s="30">
        <v>5859818318</v>
      </c>
      <c r="G697" s="30" t="s">
        <v>5427</v>
      </c>
      <c r="H697" s="30">
        <v>2006</v>
      </c>
      <c r="I697" s="30">
        <v>734015</v>
      </c>
      <c r="J697" s="30" t="s">
        <v>5219</v>
      </c>
      <c r="K697" s="30" t="s">
        <v>5647</v>
      </c>
    </row>
    <row r="698" spans="1:11" ht="12.5" x14ac:dyDescent="0.25">
      <c r="A698" s="30" t="s">
        <v>7636</v>
      </c>
      <c r="B698" s="30" t="s">
        <v>7635</v>
      </c>
      <c r="C698" s="32">
        <v>13.54</v>
      </c>
      <c r="D698" s="30">
        <v>0.57999999999999996</v>
      </c>
      <c r="E698" s="31">
        <v>4.4749999999999998E-2</v>
      </c>
      <c r="F698" s="30">
        <v>1260498691</v>
      </c>
      <c r="G698" s="30" t="s">
        <v>5427</v>
      </c>
      <c r="H698" s="30"/>
      <c r="I698" s="30">
        <v>787778</v>
      </c>
      <c r="J698" s="30" t="s">
        <v>5457</v>
      </c>
      <c r="K698" s="30" t="s">
        <v>5834</v>
      </c>
    </row>
    <row r="699" spans="1:11" ht="12.5" x14ac:dyDescent="0.25">
      <c r="A699" s="30" t="s">
        <v>7634</v>
      </c>
      <c r="B699" s="30" t="s">
        <v>7633</v>
      </c>
      <c r="C699" s="32">
        <v>35.659999999999997</v>
      </c>
      <c r="D699" s="30">
        <v>-0.77</v>
      </c>
      <c r="E699" s="31">
        <v>-2.1139999999999999E-2</v>
      </c>
      <c r="F699" s="30">
        <v>1666537293</v>
      </c>
      <c r="G699" s="30" t="s">
        <v>5427</v>
      </c>
      <c r="H699" s="30"/>
      <c r="I699" s="30">
        <v>372896</v>
      </c>
      <c r="J699" s="30" t="s">
        <v>5197</v>
      </c>
      <c r="K699" s="30" t="s">
        <v>5467</v>
      </c>
    </row>
    <row r="700" spans="1:11" ht="12.5" x14ac:dyDescent="0.25">
      <c r="A700" s="30" t="s">
        <v>7632</v>
      </c>
      <c r="B700" s="30" t="s">
        <v>7631</v>
      </c>
      <c r="C700" s="32">
        <v>7.66</v>
      </c>
      <c r="D700" s="30">
        <v>0.01</v>
      </c>
      <c r="E700" s="31">
        <v>1.31E-3</v>
      </c>
      <c r="F700" s="30">
        <v>562236562</v>
      </c>
      <c r="G700" s="30" t="s">
        <v>5427</v>
      </c>
      <c r="H700" s="30"/>
      <c r="I700" s="30">
        <v>162761</v>
      </c>
      <c r="J700" s="30" t="s">
        <v>5435</v>
      </c>
      <c r="K700" s="30" t="s">
        <v>5568</v>
      </c>
    </row>
    <row r="701" spans="1:11" ht="12.5" x14ac:dyDescent="0.25">
      <c r="A701" s="30" t="s">
        <v>7630</v>
      </c>
      <c r="B701" s="30" t="s">
        <v>7629</v>
      </c>
      <c r="C701" s="32">
        <v>41.42</v>
      </c>
      <c r="D701" s="30">
        <v>-1.1599999999999999</v>
      </c>
      <c r="E701" s="31">
        <v>-2.724E-2</v>
      </c>
      <c r="F701" s="30">
        <v>1811298878</v>
      </c>
      <c r="G701" s="30" t="s">
        <v>5427</v>
      </c>
      <c r="H701" s="30"/>
      <c r="I701" s="30">
        <v>461258</v>
      </c>
      <c r="J701" s="30" t="s">
        <v>5457</v>
      </c>
      <c r="K701" s="30" t="s">
        <v>5903</v>
      </c>
    </row>
    <row r="702" spans="1:11" ht="12.5" x14ac:dyDescent="0.25">
      <c r="A702" s="30" t="s">
        <v>7628</v>
      </c>
      <c r="B702" s="30" t="s">
        <v>7627</v>
      </c>
      <c r="C702" s="32">
        <v>2.34</v>
      </c>
      <c r="D702" s="30">
        <v>0.13</v>
      </c>
      <c r="E702" s="31">
        <v>5.8819999999999997E-2</v>
      </c>
      <c r="F702" s="30">
        <v>358625571</v>
      </c>
      <c r="G702" s="30" t="s">
        <v>5427</v>
      </c>
      <c r="H702" s="30"/>
      <c r="I702" s="30">
        <v>1698138</v>
      </c>
      <c r="J702" s="30" t="s">
        <v>5457</v>
      </c>
      <c r="K702" s="30" t="s">
        <v>5644</v>
      </c>
    </row>
    <row r="703" spans="1:11" ht="12.5" x14ac:dyDescent="0.25">
      <c r="A703" s="30" t="s">
        <v>7626</v>
      </c>
      <c r="B703" s="30" t="s">
        <v>7625</v>
      </c>
      <c r="C703" s="32">
        <v>75.47</v>
      </c>
      <c r="D703" s="30">
        <v>2.23</v>
      </c>
      <c r="E703" s="31">
        <v>3.0450000000000001E-2</v>
      </c>
      <c r="F703" s="30">
        <v>6179196588</v>
      </c>
      <c r="G703" s="30" t="s">
        <v>5427</v>
      </c>
      <c r="H703" s="30">
        <v>2012</v>
      </c>
      <c r="I703" s="30">
        <v>707764</v>
      </c>
      <c r="J703" s="30" t="s">
        <v>5219</v>
      </c>
      <c r="K703" s="30" t="s">
        <v>5560</v>
      </c>
    </row>
    <row r="704" spans="1:11" ht="12.5" x14ac:dyDescent="0.25">
      <c r="A704" s="30" t="s">
        <v>7624</v>
      </c>
      <c r="B704" s="30" t="s">
        <v>7623</v>
      </c>
      <c r="C704" s="32">
        <v>598.04999999999995</v>
      </c>
      <c r="D704" s="30">
        <v>8.57</v>
      </c>
      <c r="E704" s="31">
        <v>1.4540000000000001E-2</v>
      </c>
      <c r="F704" s="30">
        <v>30219025737</v>
      </c>
      <c r="G704" s="30" t="s">
        <v>5427</v>
      </c>
      <c r="H704" s="30"/>
      <c r="I704" s="30">
        <v>502341</v>
      </c>
      <c r="J704" s="30" t="s">
        <v>5442</v>
      </c>
      <c r="K704" s="30" t="s">
        <v>5520</v>
      </c>
    </row>
    <row r="705" spans="1:11" ht="12.5" x14ac:dyDescent="0.25">
      <c r="A705" s="30" t="s">
        <v>7622</v>
      </c>
      <c r="B705" s="30" t="s">
        <v>7621</v>
      </c>
      <c r="C705" s="32">
        <v>109.67</v>
      </c>
      <c r="D705" s="30">
        <v>0.55000000000000004</v>
      </c>
      <c r="E705" s="31">
        <v>5.0400000000000002E-3</v>
      </c>
      <c r="F705" s="30">
        <v>11747722854</v>
      </c>
      <c r="G705" s="30" t="s">
        <v>5427</v>
      </c>
      <c r="H705" s="30">
        <v>2009</v>
      </c>
      <c r="I705" s="30">
        <v>725417</v>
      </c>
      <c r="J705" s="30" t="s">
        <v>5442</v>
      </c>
      <c r="K705" s="30" t="s">
        <v>5704</v>
      </c>
    </row>
    <row r="706" spans="1:11" ht="12.5" x14ac:dyDescent="0.25">
      <c r="A706" s="30" t="s">
        <v>7620</v>
      </c>
      <c r="B706" s="30" t="s">
        <v>7619</v>
      </c>
      <c r="C706" s="32">
        <v>84.32</v>
      </c>
      <c r="D706" s="30">
        <v>-0.28000000000000003</v>
      </c>
      <c r="E706" s="31">
        <v>-3.31E-3</v>
      </c>
      <c r="F706" s="30">
        <v>4267297084</v>
      </c>
      <c r="G706" s="30" t="s">
        <v>5427</v>
      </c>
      <c r="H706" s="30">
        <v>1991</v>
      </c>
      <c r="I706" s="30">
        <v>329292</v>
      </c>
      <c r="J706" s="30" t="s">
        <v>5431</v>
      </c>
      <c r="K706" s="30" t="s">
        <v>5500</v>
      </c>
    </row>
    <row r="707" spans="1:11" ht="12.5" x14ac:dyDescent="0.25">
      <c r="A707" s="30" t="s">
        <v>7618</v>
      </c>
      <c r="B707" s="30" t="s">
        <v>7617</v>
      </c>
      <c r="C707" s="32">
        <v>40.840000000000003</v>
      </c>
      <c r="D707" s="30">
        <v>-0.38</v>
      </c>
      <c r="E707" s="31">
        <v>-9.2200000000000008E-3</v>
      </c>
      <c r="F707" s="30">
        <v>37084630373</v>
      </c>
      <c r="G707" s="30" t="s">
        <v>5427</v>
      </c>
      <c r="H707" s="30"/>
      <c r="I707" s="30">
        <v>13875010</v>
      </c>
      <c r="J707" s="30" t="s">
        <v>5464</v>
      </c>
      <c r="K707" s="30" t="s">
        <v>5463</v>
      </c>
    </row>
    <row r="708" spans="1:11" ht="12.5" x14ac:dyDescent="0.25">
      <c r="A708" s="30" t="s">
        <v>7616</v>
      </c>
      <c r="B708" s="30" t="s">
        <v>7615</v>
      </c>
      <c r="C708" s="32">
        <v>37.72</v>
      </c>
      <c r="D708" s="30">
        <v>0.81</v>
      </c>
      <c r="E708" s="31">
        <v>2.1950000000000001E-2</v>
      </c>
      <c r="F708" s="30">
        <v>3356270302</v>
      </c>
      <c r="G708" s="30" t="s">
        <v>5427</v>
      </c>
      <c r="H708" s="30">
        <v>2013</v>
      </c>
      <c r="I708" s="30">
        <v>573174</v>
      </c>
      <c r="J708" s="30" t="s">
        <v>5197</v>
      </c>
      <c r="K708" s="30" t="s">
        <v>5467</v>
      </c>
    </row>
    <row r="709" spans="1:11" ht="12.5" x14ac:dyDescent="0.25">
      <c r="A709" s="30" t="s">
        <v>7614</v>
      </c>
      <c r="B709" s="30" t="s">
        <v>7613</v>
      </c>
      <c r="C709" s="32">
        <v>8.7100000000000009</v>
      </c>
      <c r="D709" s="30">
        <v>0.27</v>
      </c>
      <c r="E709" s="31">
        <v>3.1989999999999998E-2</v>
      </c>
      <c r="F709" s="30">
        <v>3039343090</v>
      </c>
      <c r="G709" s="30" t="s">
        <v>5427</v>
      </c>
      <c r="H709" s="30"/>
      <c r="I709" s="30">
        <v>13034545</v>
      </c>
      <c r="J709" s="30" t="s">
        <v>5442</v>
      </c>
      <c r="K709" s="30" t="s">
        <v>5692</v>
      </c>
    </row>
    <row r="710" spans="1:11" ht="12.5" x14ac:dyDescent="0.25">
      <c r="A710" s="30" t="s">
        <v>7612</v>
      </c>
      <c r="B710" s="30" t="s">
        <v>7611</v>
      </c>
      <c r="C710" s="32">
        <v>5.77</v>
      </c>
      <c r="D710" s="30">
        <v>-0.03</v>
      </c>
      <c r="E710" s="31">
        <v>-5.1700000000000001E-3</v>
      </c>
      <c r="F710" s="30">
        <v>1511181181</v>
      </c>
      <c r="G710" s="30" t="s">
        <v>5515</v>
      </c>
      <c r="H710" s="30"/>
      <c r="I710" s="30">
        <v>2983462</v>
      </c>
      <c r="J710" s="30"/>
      <c r="K710" s="30"/>
    </row>
    <row r="711" spans="1:11" ht="12.5" x14ac:dyDescent="0.25">
      <c r="A711" s="30" t="s">
        <v>7610</v>
      </c>
      <c r="B711" s="30" t="s">
        <v>7609</v>
      </c>
      <c r="C711" s="32">
        <v>261.45999999999998</v>
      </c>
      <c r="D711" s="30">
        <v>6.39</v>
      </c>
      <c r="E711" s="31">
        <v>2.5049999999999999E-2</v>
      </c>
      <c r="F711" s="30">
        <v>73919108382</v>
      </c>
      <c r="G711" s="30" t="s">
        <v>5427</v>
      </c>
      <c r="H711" s="30">
        <v>2011</v>
      </c>
      <c r="I711" s="30">
        <v>1575907</v>
      </c>
      <c r="J711" s="30" t="s">
        <v>5431</v>
      </c>
      <c r="K711" s="30" t="s">
        <v>5785</v>
      </c>
    </row>
    <row r="712" spans="1:11" ht="12.5" x14ac:dyDescent="0.25">
      <c r="A712" s="30" t="s">
        <v>5076</v>
      </c>
      <c r="B712" s="30" t="s">
        <v>7608</v>
      </c>
      <c r="C712" s="32">
        <v>37.94</v>
      </c>
      <c r="D712" s="30">
        <v>0.06</v>
      </c>
      <c r="E712" s="31">
        <v>1.58E-3</v>
      </c>
      <c r="F712" s="30">
        <v>1959736370</v>
      </c>
      <c r="G712" s="30" t="s">
        <v>5427</v>
      </c>
      <c r="H712" s="30">
        <v>2017</v>
      </c>
      <c r="I712" s="30">
        <v>1041271</v>
      </c>
      <c r="J712" s="30"/>
      <c r="K712" s="30"/>
    </row>
    <row r="713" spans="1:11" ht="12.5" x14ac:dyDescent="0.25">
      <c r="A713" s="30" t="s">
        <v>7607</v>
      </c>
      <c r="B713" s="30" t="s">
        <v>7606</v>
      </c>
      <c r="C713" s="32">
        <v>49.93</v>
      </c>
      <c r="D713" s="30">
        <v>-0.28000000000000003</v>
      </c>
      <c r="E713" s="31">
        <v>-5.5799999999999999E-3</v>
      </c>
      <c r="F713" s="30">
        <v>437235512</v>
      </c>
      <c r="G713" s="30" t="s">
        <v>5427</v>
      </c>
      <c r="H713" s="30"/>
      <c r="I713" s="30">
        <v>92270</v>
      </c>
      <c r="J713" s="30" t="s">
        <v>5435</v>
      </c>
      <c r="K713" s="30" t="s">
        <v>5493</v>
      </c>
    </row>
    <row r="714" spans="1:11" ht="12.5" x14ac:dyDescent="0.25">
      <c r="A714" s="30" t="s">
        <v>7605</v>
      </c>
      <c r="B714" s="30" t="s">
        <v>7604</v>
      </c>
      <c r="C714" s="32">
        <v>328.09</v>
      </c>
      <c r="D714" s="30">
        <v>3.92</v>
      </c>
      <c r="E714" s="31">
        <v>1.209E-2</v>
      </c>
      <c r="F714" s="30">
        <v>334384741958</v>
      </c>
      <c r="G714" s="30" t="s">
        <v>5427</v>
      </c>
      <c r="H714" s="30"/>
      <c r="I714" s="30">
        <v>3075421</v>
      </c>
      <c r="J714" s="30" t="s">
        <v>5442</v>
      </c>
      <c r="K714" s="30" t="s">
        <v>7167</v>
      </c>
    </row>
    <row r="715" spans="1:11" ht="12.5" x14ac:dyDescent="0.25">
      <c r="A715" s="30" t="s">
        <v>7603</v>
      </c>
      <c r="B715" s="30" t="s">
        <v>7602</v>
      </c>
      <c r="C715" s="32">
        <v>64.680000000000007</v>
      </c>
      <c r="D715" s="30">
        <v>-2.68</v>
      </c>
      <c r="E715" s="31">
        <v>-3.9789999999999999E-2</v>
      </c>
      <c r="F715" s="30">
        <v>120258053500</v>
      </c>
      <c r="G715" s="30" t="s">
        <v>5529</v>
      </c>
      <c r="H715" s="30">
        <v>2001</v>
      </c>
      <c r="I715" s="30">
        <v>3016426</v>
      </c>
      <c r="J715" s="30" t="s">
        <v>5435</v>
      </c>
      <c r="K715" s="30" t="s">
        <v>5582</v>
      </c>
    </row>
    <row r="716" spans="1:11" ht="12.5" x14ac:dyDescent="0.25">
      <c r="A716" s="30" t="s">
        <v>7601</v>
      </c>
      <c r="B716" s="30" t="s">
        <v>7600</v>
      </c>
      <c r="C716" s="32">
        <v>43.04</v>
      </c>
      <c r="D716" s="30">
        <v>0.77</v>
      </c>
      <c r="E716" s="31">
        <v>1.822E-2</v>
      </c>
      <c r="F716" s="30">
        <v>4711607695</v>
      </c>
      <c r="G716" s="30" t="s">
        <v>5427</v>
      </c>
      <c r="H716" s="30"/>
      <c r="I716" s="30">
        <v>514423</v>
      </c>
      <c r="J716" s="30" t="s">
        <v>5426</v>
      </c>
      <c r="K716" s="30" t="s">
        <v>5593</v>
      </c>
    </row>
    <row r="717" spans="1:11" ht="12.5" x14ac:dyDescent="0.25">
      <c r="A717" s="30" t="s">
        <v>7599</v>
      </c>
      <c r="B717" s="30" t="s">
        <v>7598</v>
      </c>
      <c r="C717" s="32">
        <v>170.33</v>
      </c>
      <c r="D717" s="30">
        <v>-0.62</v>
      </c>
      <c r="E717" s="31">
        <v>-3.63E-3</v>
      </c>
      <c r="F717" s="30">
        <v>23274623619</v>
      </c>
      <c r="G717" s="30" t="s">
        <v>5427</v>
      </c>
      <c r="H717" s="30">
        <v>2000</v>
      </c>
      <c r="I717" s="30">
        <v>430765</v>
      </c>
      <c r="J717" s="30" t="s">
        <v>5457</v>
      </c>
      <c r="K717" s="30" t="s">
        <v>5701</v>
      </c>
    </row>
    <row r="718" spans="1:11" ht="12.5" x14ac:dyDescent="0.25">
      <c r="A718" s="30" t="s">
        <v>7597</v>
      </c>
      <c r="B718" s="30" t="s">
        <v>7596</v>
      </c>
      <c r="C718" s="32">
        <v>18.649999999999999</v>
      </c>
      <c r="D718" s="30">
        <v>-0.21</v>
      </c>
      <c r="E718" s="31">
        <v>-1.1129999999999999E-2</v>
      </c>
      <c r="F718" s="30">
        <v>2358109749</v>
      </c>
      <c r="G718" s="30" t="s">
        <v>5427</v>
      </c>
      <c r="H718" s="30">
        <v>2004</v>
      </c>
      <c r="I718" s="30">
        <v>101573</v>
      </c>
      <c r="J718" s="30"/>
      <c r="K718" s="30"/>
    </row>
    <row r="719" spans="1:11" ht="12.5" x14ac:dyDescent="0.25">
      <c r="A719" s="30" t="s">
        <v>7595</v>
      </c>
      <c r="B719" s="30" t="s">
        <v>7594</v>
      </c>
      <c r="C719" s="32">
        <v>12.57</v>
      </c>
      <c r="D719" s="30">
        <v>0.37</v>
      </c>
      <c r="E719" s="31">
        <v>3.0329999999999999E-2</v>
      </c>
      <c r="F719" s="30">
        <v>153653329</v>
      </c>
      <c r="G719" s="30" t="s">
        <v>5427</v>
      </c>
      <c r="H719" s="30">
        <v>2011</v>
      </c>
      <c r="I719" s="30">
        <v>49827</v>
      </c>
      <c r="J719" s="30" t="s">
        <v>5435</v>
      </c>
      <c r="K719" s="30" t="s">
        <v>5434</v>
      </c>
    </row>
    <row r="720" spans="1:11" ht="12.5" x14ac:dyDescent="0.25">
      <c r="A720" s="30" t="s">
        <v>7593</v>
      </c>
      <c r="B720" s="30" t="s">
        <v>7592</v>
      </c>
      <c r="C720" s="32">
        <v>144.24</v>
      </c>
      <c r="D720" s="30">
        <v>-5.92</v>
      </c>
      <c r="E720" s="31">
        <v>-3.9419999999999997E-2</v>
      </c>
      <c r="F720" s="30">
        <v>44470413136</v>
      </c>
      <c r="G720" s="30" t="s">
        <v>5427</v>
      </c>
      <c r="H720" s="30"/>
      <c r="I720" s="30">
        <v>3311218</v>
      </c>
      <c r="J720" s="30" t="s">
        <v>5464</v>
      </c>
      <c r="K720" s="30" t="s">
        <v>5463</v>
      </c>
    </row>
    <row r="721" spans="1:11" ht="12.5" x14ac:dyDescent="0.25">
      <c r="A721" s="30" t="s">
        <v>7591</v>
      </c>
      <c r="B721" s="30" t="s">
        <v>7590</v>
      </c>
      <c r="C721" s="32">
        <v>29.76</v>
      </c>
      <c r="D721" s="30">
        <v>-1.1200000000000001</v>
      </c>
      <c r="E721" s="31">
        <v>-3.6269999999999997E-2</v>
      </c>
      <c r="F721" s="30">
        <v>1309524697</v>
      </c>
      <c r="G721" s="30" t="s">
        <v>5427</v>
      </c>
      <c r="H721" s="30">
        <v>2017</v>
      </c>
      <c r="I721" s="30">
        <v>722655</v>
      </c>
      <c r="J721" s="30" t="s">
        <v>5464</v>
      </c>
      <c r="K721" s="30" t="s">
        <v>5588</v>
      </c>
    </row>
    <row r="722" spans="1:11" ht="12.5" x14ac:dyDescent="0.25">
      <c r="A722" s="30" t="s">
        <v>7589</v>
      </c>
      <c r="B722" s="30" t="s">
        <v>7588</v>
      </c>
      <c r="C722" s="32">
        <v>84.33</v>
      </c>
      <c r="D722" s="30">
        <v>-1.1599999999999999</v>
      </c>
      <c r="E722" s="31">
        <v>-1.357E-2</v>
      </c>
      <c r="F722" s="30">
        <v>4208140536</v>
      </c>
      <c r="G722" s="30" t="s">
        <v>5427</v>
      </c>
      <c r="H722" s="30"/>
      <c r="I722" s="30">
        <v>240256</v>
      </c>
      <c r="J722" s="30" t="s">
        <v>5197</v>
      </c>
      <c r="K722" s="30" t="s">
        <v>6091</v>
      </c>
    </row>
    <row r="723" spans="1:11" ht="12.5" x14ac:dyDescent="0.25">
      <c r="A723" s="30" t="s">
        <v>7587</v>
      </c>
      <c r="B723" s="30" t="s">
        <v>7586</v>
      </c>
      <c r="C723" s="32">
        <v>46.8</v>
      </c>
      <c r="D723" s="30">
        <v>-0.06</v>
      </c>
      <c r="E723" s="31">
        <v>-1.2800000000000001E-3</v>
      </c>
      <c r="F723" s="30">
        <v>3244339894</v>
      </c>
      <c r="G723" s="30" t="s">
        <v>5427</v>
      </c>
      <c r="H723" s="30"/>
      <c r="I723" s="30">
        <v>363483</v>
      </c>
      <c r="J723" s="30" t="s">
        <v>5442</v>
      </c>
      <c r="K723" s="30" t="s">
        <v>6994</v>
      </c>
    </row>
    <row r="724" spans="1:11" ht="12.5" x14ac:dyDescent="0.25">
      <c r="A724" s="30" t="s">
        <v>7585</v>
      </c>
      <c r="B724" s="30" t="s">
        <v>7584</v>
      </c>
      <c r="C724" s="32">
        <v>11.12</v>
      </c>
      <c r="D724" s="30">
        <v>0.12</v>
      </c>
      <c r="E724" s="31">
        <v>1.091E-2</v>
      </c>
      <c r="F724" s="30">
        <v>207840306</v>
      </c>
      <c r="G724" s="30" t="s">
        <v>5427</v>
      </c>
      <c r="H724" s="30">
        <v>2014</v>
      </c>
      <c r="I724" s="30">
        <v>32744</v>
      </c>
      <c r="J724" s="30" t="s">
        <v>5435</v>
      </c>
      <c r="K724" s="30" t="s">
        <v>5568</v>
      </c>
    </row>
    <row r="725" spans="1:11" ht="12.5" x14ac:dyDescent="0.25">
      <c r="A725" s="30" t="s">
        <v>7583</v>
      </c>
      <c r="B725" s="30" t="s">
        <v>7582</v>
      </c>
      <c r="C725" s="32">
        <v>76.03</v>
      </c>
      <c r="D725" s="30">
        <v>-1.58</v>
      </c>
      <c r="E725" s="31">
        <v>-2.036E-2</v>
      </c>
      <c r="F725" s="30">
        <v>24185061572</v>
      </c>
      <c r="G725" s="30" t="s">
        <v>5427</v>
      </c>
      <c r="H725" s="30"/>
      <c r="I725" s="30">
        <v>2527843</v>
      </c>
      <c r="J725" s="30" t="s">
        <v>5435</v>
      </c>
      <c r="K725" s="30" t="s">
        <v>5493</v>
      </c>
    </row>
    <row r="726" spans="1:11" ht="12.5" x14ac:dyDescent="0.25">
      <c r="A726" s="30" t="s">
        <v>7581</v>
      </c>
      <c r="B726" s="30" t="s">
        <v>7580</v>
      </c>
      <c r="C726" s="32">
        <v>218.36</v>
      </c>
      <c r="D726" s="30">
        <v>-2.1800000000000002</v>
      </c>
      <c r="E726" s="31">
        <v>-9.8799999999999999E-3</v>
      </c>
      <c r="F726" s="30">
        <v>8713336121</v>
      </c>
      <c r="G726" s="30" t="s">
        <v>5427</v>
      </c>
      <c r="H726" s="30"/>
      <c r="I726" s="30">
        <v>344327</v>
      </c>
      <c r="J726" s="30" t="s">
        <v>5457</v>
      </c>
      <c r="K726" s="30" t="s">
        <v>5634</v>
      </c>
    </row>
    <row r="727" spans="1:11" ht="12.5" x14ac:dyDescent="0.25">
      <c r="A727" s="30" t="s">
        <v>7579</v>
      </c>
      <c r="B727" s="30" t="s">
        <v>7578</v>
      </c>
      <c r="C727" s="32">
        <v>4.0999999999999996</v>
      </c>
      <c r="D727" s="30">
        <v>0.03</v>
      </c>
      <c r="E727" s="31">
        <v>7.3699999999999998E-3</v>
      </c>
      <c r="F727" s="30">
        <v>389906782</v>
      </c>
      <c r="G727" s="30" t="s">
        <v>5427</v>
      </c>
      <c r="H727" s="30"/>
      <c r="I727" s="30">
        <v>238923</v>
      </c>
      <c r="J727" s="30" t="s">
        <v>5435</v>
      </c>
      <c r="K727" s="30" t="s">
        <v>5985</v>
      </c>
    </row>
    <row r="728" spans="1:11" ht="12.5" x14ac:dyDescent="0.25">
      <c r="A728" s="30" t="s">
        <v>7577</v>
      </c>
      <c r="B728" s="30" t="s">
        <v>7576</v>
      </c>
      <c r="C728" s="32">
        <v>17.670000000000002</v>
      </c>
      <c r="D728" s="30">
        <v>0.89</v>
      </c>
      <c r="E728" s="31">
        <v>5.3039999999999997E-2</v>
      </c>
      <c r="F728" s="30">
        <v>407512113</v>
      </c>
      <c r="G728" s="30" t="s">
        <v>5427</v>
      </c>
      <c r="H728" s="30">
        <v>2021</v>
      </c>
      <c r="I728" s="30">
        <v>55172</v>
      </c>
      <c r="J728" s="30"/>
      <c r="K728" s="30"/>
    </row>
    <row r="729" spans="1:11" ht="12.5" x14ac:dyDescent="0.25">
      <c r="A729" s="30" t="s">
        <v>7575</v>
      </c>
      <c r="B729" s="30" t="s">
        <v>7574</v>
      </c>
      <c r="C729" s="32">
        <v>30.45</v>
      </c>
      <c r="D729" s="30">
        <v>0.08</v>
      </c>
      <c r="E729" s="31">
        <v>2.63E-3</v>
      </c>
      <c r="F729" s="30">
        <v>3203268686</v>
      </c>
      <c r="G729" s="30" t="s">
        <v>5427</v>
      </c>
      <c r="H729" s="30">
        <v>1994</v>
      </c>
      <c r="I729" s="30">
        <v>1030236</v>
      </c>
      <c r="J729" s="30" t="s">
        <v>5197</v>
      </c>
      <c r="K729" s="30" t="s">
        <v>5467</v>
      </c>
    </row>
    <row r="730" spans="1:11" ht="12.5" x14ac:dyDescent="0.25">
      <c r="A730" s="30" t="s">
        <v>7573</v>
      </c>
      <c r="B730" s="30" t="s">
        <v>7572</v>
      </c>
      <c r="C730" s="32">
        <v>5.59</v>
      </c>
      <c r="D730" s="30">
        <v>0.08</v>
      </c>
      <c r="E730" s="31">
        <v>1.452E-2</v>
      </c>
      <c r="F730" s="30">
        <v>363300020</v>
      </c>
      <c r="G730" s="30" t="s">
        <v>5427</v>
      </c>
      <c r="H730" s="30">
        <v>1998</v>
      </c>
      <c r="I730" s="30">
        <v>267309</v>
      </c>
      <c r="J730" s="30" t="s">
        <v>5435</v>
      </c>
      <c r="K730" s="30" t="s">
        <v>5985</v>
      </c>
    </row>
    <row r="731" spans="1:11" ht="12.5" x14ac:dyDescent="0.25">
      <c r="A731" s="30" t="s">
        <v>7571</v>
      </c>
      <c r="B731" s="30" t="s">
        <v>7570</v>
      </c>
      <c r="C731" s="32">
        <v>6.28</v>
      </c>
      <c r="D731" s="30">
        <v>0.11</v>
      </c>
      <c r="E731" s="31">
        <v>1.7829999999999999E-2</v>
      </c>
      <c r="F731" s="30">
        <v>3807379481</v>
      </c>
      <c r="G731" s="30" t="s">
        <v>5427</v>
      </c>
      <c r="H731" s="30"/>
      <c r="I731" s="30">
        <v>7586428</v>
      </c>
      <c r="J731" s="30" t="s">
        <v>6250</v>
      </c>
      <c r="K731" s="30" t="s">
        <v>6859</v>
      </c>
    </row>
    <row r="732" spans="1:11" ht="12.5" x14ac:dyDescent="0.25">
      <c r="A732" s="30" t="s">
        <v>7569</v>
      </c>
      <c r="B732" s="30" t="s">
        <v>7568</v>
      </c>
      <c r="C732" s="32">
        <v>97.49</v>
      </c>
      <c r="D732" s="30">
        <v>-1.58</v>
      </c>
      <c r="E732" s="31">
        <v>-1.5949999999999999E-2</v>
      </c>
      <c r="F732" s="30">
        <v>6692972781</v>
      </c>
      <c r="G732" s="30" t="s">
        <v>5427</v>
      </c>
      <c r="H732" s="30">
        <v>2015</v>
      </c>
      <c r="I732" s="30">
        <v>613801</v>
      </c>
      <c r="J732" s="30" t="s">
        <v>5435</v>
      </c>
      <c r="K732" s="30" t="s">
        <v>5434</v>
      </c>
    </row>
    <row r="733" spans="1:11" ht="12.5" x14ac:dyDescent="0.25">
      <c r="A733" s="30" t="s">
        <v>7567</v>
      </c>
      <c r="B733" s="30" t="s">
        <v>7566</v>
      </c>
      <c r="C733" s="32">
        <v>69.08</v>
      </c>
      <c r="D733" s="30">
        <v>3.08</v>
      </c>
      <c r="E733" s="31">
        <v>4.6670000000000003E-2</v>
      </c>
      <c r="F733" s="30">
        <v>2249001362</v>
      </c>
      <c r="G733" s="30" t="s">
        <v>5427</v>
      </c>
      <c r="H733" s="30">
        <v>2021</v>
      </c>
      <c r="I733" s="30">
        <v>153792</v>
      </c>
      <c r="J733" s="30" t="s">
        <v>5457</v>
      </c>
      <c r="K733" s="30" t="s">
        <v>5456</v>
      </c>
    </row>
    <row r="734" spans="1:11" ht="12.5" x14ac:dyDescent="0.25">
      <c r="A734" s="30" t="s">
        <v>7565</v>
      </c>
      <c r="B734" s="30" t="s">
        <v>7564</v>
      </c>
      <c r="C734" s="32">
        <v>3.43</v>
      </c>
      <c r="D734" s="30">
        <v>0.12</v>
      </c>
      <c r="E734" s="31">
        <v>3.6249999999999998E-2</v>
      </c>
      <c r="F734" s="30">
        <v>405569192</v>
      </c>
      <c r="G734" s="30" t="s">
        <v>5427</v>
      </c>
      <c r="H734" s="30">
        <v>2020</v>
      </c>
      <c r="I734" s="30">
        <v>579520</v>
      </c>
      <c r="J734" s="30" t="s">
        <v>5442</v>
      </c>
      <c r="K734" s="30" t="s">
        <v>5853</v>
      </c>
    </row>
    <row r="735" spans="1:11" ht="12.5" x14ac:dyDescent="0.25">
      <c r="A735" s="30" t="s">
        <v>7563</v>
      </c>
      <c r="B735" s="30" t="s">
        <v>7562</v>
      </c>
      <c r="C735" s="32">
        <v>7.77</v>
      </c>
      <c r="D735" s="30">
        <v>-0.16</v>
      </c>
      <c r="E735" s="31">
        <v>-2.018E-2</v>
      </c>
      <c r="F735" s="30">
        <v>1179650071</v>
      </c>
      <c r="G735" s="30" t="s">
        <v>5427</v>
      </c>
      <c r="H735" s="30"/>
      <c r="I735" s="30">
        <v>1921644</v>
      </c>
      <c r="J735" s="30" t="s">
        <v>5464</v>
      </c>
      <c r="K735" s="30" t="s">
        <v>5588</v>
      </c>
    </row>
    <row r="736" spans="1:11" ht="12.5" x14ac:dyDescent="0.25">
      <c r="A736" s="30" t="s">
        <v>7561</v>
      </c>
      <c r="B736" s="30" t="s">
        <v>7560</v>
      </c>
      <c r="C736" s="32">
        <v>25.31</v>
      </c>
      <c r="D736" s="30">
        <v>0.49</v>
      </c>
      <c r="E736" s="31">
        <v>1.9740000000000001E-2</v>
      </c>
      <c r="F736" s="30">
        <v>42819767339</v>
      </c>
      <c r="G736" s="30" t="s">
        <v>5927</v>
      </c>
      <c r="H736" s="30"/>
      <c r="I736" s="30">
        <v>1066200</v>
      </c>
      <c r="J736" s="30" t="s">
        <v>5442</v>
      </c>
      <c r="K736" s="30" t="s">
        <v>5926</v>
      </c>
    </row>
    <row r="737" spans="1:11" ht="12.5" x14ac:dyDescent="0.25">
      <c r="A737" s="30" t="s">
        <v>7559</v>
      </c>
      <c r="B737" s="30" t="s">
        <v>7558</v>
      </c>
      <c r="C737" s="32">
        <v>35.36</v>
      </c>
      <c r="D737" s="30">
        <v>-0.25</v>
      </c>
      <c r="E737" s="31">
        <v>-7.0200000000000002E-3</v>
      </c>
      <c r="F737" s="30">
        <v>1446163711</v>
      </c>
      <c r="G737" s="30" t="s">
        <v>5427</v>
      </c>
      <c r="H737" s="30">
        <v>1991</v>
      </c>
      <c r="I737" s="30">
        <v>227492</v>
      </c>
      <c r="J737" s="30" t="s">
        <v>5435</v>
      </c>
      <c r="K737" s="30" t="s">
        <v>5493</v>
      </c>
    </row>
    <row r="738" spans="1:11" ht="12.5" x14ac:dyDescent="0.25">
      <c r="A738" s="30" t="s">
        <v>7557</v>
      </c>
      <c r="B738" s="30" t="s">
        <v>7556</v>
      </c>
      <c r="C738" s="32">
        <v>31.85</v>
      </c>
      <c r="D738" s="30">
        <v>0.08</v>
      </c>
      <c r="E738" s="31">
        <v>2.5200000000000001E-3</v>
      </c>
      <c r="F738" s="30">
        <v>1317436234</v>
      </c>
      <c r="G738" s="30" t="s">
        <v>5427</v>
      </c>
      <c r="H738" s="30"/>
      <c r="I738" s="30">
        <v>240767</v>
      </c>
      <c r="J738" s="30" t="s">
        <v>5442</v>
      </c>
      <c r="K738" s="30" t="s">
        <v>5487</v>
      </c>
    </row>
    <row r="739" spans="1:11" ht="12.5" x14ac:dyDescent="0.25">
      <c r="A739" s="30" t="s">
        <v>7555</v>
      </c>
      <c r="B739" s="30" t="s">
        <v>7554</v>
      </c>
      <c r="C739" s="32">
        <v>46.72</v>
      </c>
      <c r="D739" s="30">
        <v>0.69</v>
      </c>
      <c r="E739" s="31">
        <v>1.499E-2</v>
      </c>
      <c r="F739" s="30">
        <v>6829717134</v>
      </c>
      <c r="G739" s="30" t="s">
        <v>5427</v>
      </c>
      <c r="H739" s="30"/>
      <c r="I739" s="30">
        <v>2605427</v>
      </c>
      <c r="J739" s="30" t="s">
        <v>5442</v>
      </c>
      <c r="K739" s="30" t="s">
        <v>7553</v>
      </c>
    </row>
    <row r="740" spans="1:11" ht="12.5" x14ac:dyDescent="0.25">
      <c r="A740" s="30" t="s">
        <v>7552</v>
      </c>
      <c r="B740" s="30" t="s">
        <v>7551</v>
      </c>
      <c r="C740" s="32">
        <v>24.15</v>
      </c>
      <c r="D740" s="30">
        <v>0.28000000000000003</v>
      </c>
      <c r="E740" s="31">
        <v>1.1730000000000001E-2</v>
      </c>
      <c r="F740" s="30">
        <v>4912931100</v>
      </c>
      <c r="G740" s="30" t="s">
        <v>5427</v>
      </c>
      <c r="H740" s="30">
        <v>2006</v>
      </c>
      <c r="I740" s="30">
        <v>1017006</v>
      </c>
      <c r="J740" s="30" t="s">
        <v>5435</v>
      </c>
      <c r="K740" s="30" t="s">
        <v>5579</v>
      </c>
    </row>
    <row r="741" spans="1:11" ht="12.5" x14ac:dyDescent="0.25">
      <c r="A741" s="30" t="s">
        <v>7550</v>
      </c>
      <c r="B741" s="30" t="s">
        <v>7549</v>
      </c>
      <c r="C741" s="32">
        <v>8.83</v>
      </c>
      <c r="D741" s="30">
        <v>0.35</v>
      </c>
      <c r="E741" s="31">
        <v>4.1270000000000001E-2</v>
      </c>
      <c r="F741" s="30">
        <v>966709583</v>
      </c>
      <c r="G741" s="30" t="s">
        <v>5427</v>
      </c>
      <c r="H741" s="30">
        <v>2012</v>
      </c>
      <c r="I741" s="30">
        <v>2419466</v>
      </c>
      <c r="J741" s="30" t="s">
        <v>5435</v>
      </c>
      <c r="K741" s="30" t="s">
        <v>5197</v>
      </c>
    </row>
    <row r="742" spans="1:11" ht="12.5" x14ac:dyDescent="0.25">
      <c r="A742" s="30" t="s">
        <v>7548</v>
      </c>
      <c r="B742" s="30" t="s">
        <v>7547</v>
      </c>
      <c r="C742" s="32">
        <v>60.56</v>
      </c>
      <c r="D742" s="30">
        <v>2.68</v>
      </c>
      <c r="E742" s="31">
        <v>4.6300000000000001E-2</v>
      </c>
      <c r="F742" s="30">
        <v>361192679</v>
      </c>
      <c r="G742" s="30" t="s">
        <v>5427</v>
      </c>
      <c r="H742" s="30">
        <v>1983</v>
      </c>
      <c r="I742" s="30">
        <v>79416</v>
      </c>
      <c r="J742" s="30" t="s">
        <v>5442</v>
      </c>
      <c r="K742" s="30" t="s">
        <v>5576</v>
      </c>
    </row>
    <row r="743" spans="1:11" ht="12.5" x14ac:dyDescent="0.25">
      <c r="A743" s="30" t="s">
        <v>7546</v>
      </c>
      <c r="B743" s="30" t="s">
        <v>7545</v>
      </c>
      <c r="C743" s="32">
        <v>46.72</v>
      </c>
      <c r="D743" s="30">
        <v>-1.72</v>
      </c>
      <c r="E743" s="31">
        <v>-3.551E-2</v>
      </c>
      <c r="F743" s="30">
        <v>4964889409</v>
      </c>
      <c r="G743" s="30" t="s">
        <v>5427</v>
      </c>
      <c r="H743" s="30"/>
      <c r="I743" s="30">
        <v>1920179</v>
      </c>
      <c r="J743" s="30" t="s">
        <v>5464</v>
      </c>
      <c r="K743" s="30" t="s">
        <v>5463</v>
      </c>
    </row>
    <row r="744" spans="1:11" ht="12.5" x14ac:dyDescent="0.25">
      <c r="A744" s="30" t="s">
        <v>7544</v>
      </c>
      <c r="B744" s="30" t="s">
        <v>7543</v>
      </c>
      <c r="C744" s="32">
        <v>16.11</v>
      </c>
      <c r="D744" s="30">
        <v>-0.02</v>
      </c>
      <c r="E744" s="31">
        <v>-1.24E-3</v>
      </c>
      <c r="F744" s="30">
        <v>20650069470</v>
      </c>
      <c r="G744" s="30" t="s">
        <v>5427</v>
      </c>
      <c r="H744" s="30">
        <v>2015</v>
      </c>
      <c r="I744" s="30">
        <v>18694730</v>
      </c>
      <c r="J744" s="30" t="s">
        <v>5732</v>
      </c>
      <c r="K744" s="30" t="s">
        <v>5520</v>
      </c>
    </row>
    <row r="745" spans="1:11" ht="12.5" x14ac:dyDescent="0.25">
      <c r="A745" s="30" t="s">
        <v>7542</v>
      </c>
      <c r="B745" s="30" t="s">
        <v>7541</v>
      </c>
      <c r="C745" s="32">
        <v>17.57</v>
      </c>
      <c r="D745" s="30">
        <v>0.22</v>
      </c>
      <c r="E745" s="31">
        <v>1.268E-2</v>
      </c>
      <c r="F745" s="30">
        <v>376664834</v>
      </c>
      <c r="G745" s="30" t="s">
        <v>5427</v>
      </c>
      <c r="H745" s="30">
        <v>2002</v>
      </c>
      <c r="I745" s="30">
        <v>55801</v>
      </c>
      <c r="J745" s="30" t="s">
        <v>5435</v>
      </c>
      <c r="K745" s="30" t="s">
        <v>5563</v>
      </c>
    </row>
    <row r="746" spans="1:11" ht="12.5" x14ac:dyDescent="0.25">
      <c r="A746" s="30" t="s">
        <v>7540</v>
      </c>
      <c r="B746" s="30" t="s">
        <v>7539</v>
      </c>
      <c r="C746" s="32">
        <v>18.03</v>
      </c>
      <c r="D746" s="30">
        <v>0.39</v>
      </c>
      <c r="E746" s="31">
        <v>2.2110000000000001E-2</v>
      </c>
      <c r="F746" s="30">
        <v>475516910</v>
      </c>
      <c r="G746" s="30" t="s">
        <v>5427</v>
      </c>
      <c r="H746" s="30">
        <v>2002</v>
      </c>
      <c r="I746" s="30">
        <v>129790</v>
      </c>
      <c r="J746" s="30" t="s">
        <v>5435</v>
      </c>
      <c r="K746" s="30" t="s">
        <v>5568</v>
      </c>
    </row>
    <row r="747" spans="1:11" ht="12.5" x14ac:dyDescent="0.25">
      <c r="A747" s="30" t="s">
        <v>7538</v>
      </c>
      <c r="B747" s="30" t="s">
        <v>7537</v>
      </c>
      <c r="C747" s="32">
        <v>11.44</v>
      </c>
      <c r="D747" s="30">
        <v>0.05</v>
      </c>
      <c r="E747" s="31">
        <v>4.3899999999999998E-3</v>
      </c>
      <c r="F747" s="30">
        <v>1612162781</v>
      </c>
      <c r="G747" s="30" t="s">
        <v>5427</v>
      </c>
      <c r="H747" s="30">
        <v>2010</v>
      </c>
      <c r="I747" s="30">
        <v>1600376</v>
      </c>
      <c r="J747" s="30" t="s">
        <v>5197</v>
      </c>
      <c r="K747" s="30" t="s">
        <v>5467</v>
      </c>
    </row>
    <row r="748" spans="1:11" ht="12.5" x14ac:dyDescent="0.25">
      <c r="A748" s="30" t="s">
        <v>5061</v>
      </c>
      <c r="B748" s="30" t="s">
        <v>7536</v>
      </c>
      <c r="C748" s="32">
        <v>29.87</v>
      </c>
      <c r="D748" s="30">
        <v>0.73</v>
      </c>
      <c r="E748" s="31">
        <v>2.5049999999999999E-2</v>
      </c>
      <c r="F748" s="30">
        <v>29336694927</v>
      </c>
      <c r="G748" s="30" t="s">
        <v>5427</v>
      </c>
      <c r="H748" s="30"/>
      <c r="I748" s="30">
        <v>5698030</v>
      </c>
      <c r="J748" s="30" t="s">
        <v>5219</v>
      </c>
      <c r="K748" s="30" t="s">
        <v>7535</v>
      </c>
    </row>
    <row r="749" spans="1:11" ht="12.5" x14ac:dyDescent="0.25">
      <c r="A749" s="30" t="s">
        <v>7534</v>
      </c>
      <c r="B749" s="30" t="s">
        <v>7533</v>
      </c>
      <c r="C749" s="32">
        <v>15.739100000000001</v>
      </c>
      <c r="D749" s="30">
        <v>9.9099999999999994E-2</v>
      </c>
      <c r="E749" s="31">
        <v>6.3400000000000001E-3</v>
      </c>
      <c r="F749" s="30">
        <v>500516412</v>
      </c>
      <c r="G749" s="30" t="s">
        <v>5427</v>
      </c>
      <c r="H749" s="30">
        <v>2003</v>
      </c>
      <c r="I749" s="30">
        <v>103611</v>
      </c>
      <c r="J749" s="30" t="s">
        <v>5435</v>
      </c>
      <c r="K749" s="30" t="s">
        <v>5434</v>
      </c>
    </row>
    <row r="750" spans="1:11" ht="12.5" x14ac:dyDescent="0.25">
      <c r="A750" s="30" t="s">
        <v>7532</v>
      </c>
      <c r="B750" s="30" t="s">
        <v>7531</v>
      </c>
      <c r="C750" s="32">
        <v>19.010000000000002</v>
      </c>
      <c r="D750" s="30">
        <v>-0.01</v>
      </c>
      <c r="E750" s="31">
        <v>-5.2999999999999998E-4</v>
      </c>
      <c r="F750" s="30">
        <v>900004231</v>
      </c>
      <c r="G750" s="30" t="s">
        <v>5427</v>
      </c>
      <c r="H750" s="30">
        <v>1987</v>
      </c>
      <c r="I750" s="30">
        <v>134557</v>
      </c>
      <c r="J750" s="30" t="s">
        <v>5435</v>
      </c>
      <c r="K750" s="30" t="s">
        <v>5563</v>
      </c>
    </row>
    <row r="751" spans="1:11" ht="12.5" x14ac:dyDescent="0.25">
      <c r="A751" s="30" t="s">
        <v>7530</v>
      </c>
      <c r="B751" s="30" t="s">
        <v>7529</v>
      </c>
      <c r="C751" s="32">
        <v>14.88</v>
      </c>
      <c r="D751" s="30">
        <v>-0.06</v>
      </c>
      <c r="E751" s="31">
        <v>-4.0200000000000001E-3</v>
      </c>
      <c r="F751" s="30">
        <v>382112984</v>
      </c>
      <c r="G751" s="30" t="s">
        <v>5427</v>
      </c>
      <c r="H751" s="30">
        <v>1992</v>
      </c>
      <c r="I751" s="30">
        <v>85901</v>
      </c>
      <c r="J751" s="30" t="s">
        <v>5435</v>
      </c>
      <c r="K751" s="30" t="s">
        <v>5434</v>
      </c>
    </row>
    <row r="752" spans="1:11" ht="12.5" x14ac:dyDescent="0.25">
      <c r="A752" s="30" t="s">
        <v>7528</v>
      </c>
      <c r="B752" s="30" t="s">
        <v>7527</v>
      </c>
      <c r="C752" s="32">
        <v>21.75</v>
      </c>
      <c r="D752" s="30">
        <v>0.22</v>
      </c>
      <c r="E752" s="31">
        <v>1.022E-2</v>
      </c>
      <c r="F752" s="30">
        <v>8277447308</v>
      </c>
      <c r="G752" s="30" t="s">
        <v>5427</v>
      </c>
      <c r="H752" s="30"/>
      <c r="I752" s="30">
        <v>1770600</v>
      </c>
      <c r="J752" s="30" t="s">
        <v>5197</v>
      </c>
      <c r="K752" s="30" t="s">
        <v>5467</v>
      </c>
    </row>
    <row r="753" spans="1:11" ht="12.5" x14ac:dyDescent="0.25">
      <c r="A753" s="30" t="s">
        <v>7526</v>
      </c>
      <c r="B753" s="30" t="s">
        <v>7525</v>
      </c>
      <c r="C753" s="32">
        <v>39.46</v>
      </c>
      <c r="D753" s="30">
        <v>0.48</v>
      </c>
      <c r="E753" s="31">
        <v>1.231E-2</v>
      </c>
      <c r="F753" s="30">
        <v>6134773396</v>
      </c>
      <c r="G753" s="30" t="s">
        <v>5427</v>
      </c>
      <c r="H753" s="30"/>
      <c r="I753" s="30">
        <v>1837007</v>
      </c>
      <c r="J753" s="30" t="s">
        <v>5442</v>
      </c>
      <c r="K753" s="30" t="s">
        <v>5914</v>
      </c>
    </row>
    <row r="754" spans="1:11" ht="12.5" x14ac:dyDescent="0.25">
      <c r="A754" s="30" t="s">
        <v>7524</v>
      </c>
      <c r="B754" s="30" t="s">
        <v>7523</v>
      </c>
      <c r="C754" s="32">
        <v>45.34</v>
      </c>
      <c r="D754" s="30">
        <v>0.03</v>
      </c>
      <c r="E754" s="31">
        <v>6.6E-4</v>
      </c>
      <c r="F754" s="30">
        <v>24774872956</v>
      </c>
      <c r="G754" s="30" t="s">
        <v>5427</v>
      </c>
      <c r="H754" s="30"/>
      <c r="I754" s="30">
        <v>1485381</v>
      </c>
      <c r="J754" s="30" t="s">
        <v>5541</v>
      </c>
      <c r="K754" s="30" t="s">
        <v>5859</v>
      </c>
    </row>
    <row r="755" spans="1:11" ht="12.5" x14ac:dyDescent="0.25">
      <c r="A755" s="30" t="s">
        <v>7522</v>
      </c>
      <c r="B755" s="30" t="s">
        <v>7521</v>
      </c>
      <c r="C755" s="32">
        <v>36.94</v>
      </c>
      <c r="D755" s="30">
        <v>0</v>
      </c>
      <c r="E755" s="31">
        <v>0</v>
      </c>
      <c r="F755" s="30">
        <v>147526051592</v>
      </c>
      <c r="G755" s="30" t="s">
        <v>5775</v>
      </c>
      <c r="H755" s="30"/>
      <c r="I755" s="30">
        <v>3349749</v>
      </c>
      <c r="J755" s="30" t="s">
        <v>5435</v>
      </c>
      <c r="K755" s="30" t="s">
        <v>6556</v>
      </c>
    </row>
    <row r="756" spans="1:11" ht="12.5" x14ac:dyDescent="0.25">
      <c r="A756" s="30" t="s">
        <v>7520</v>
      </c>
      <c r="B756" s="30" t="s">
        <v>7519</v>
      </c>
      <c r="C756" s="32">
        <v>8.1199999999999992</v>
      </c>
      <c r="D756" s="30">
        <v>0.18</v>
      </c>
      <c r="E756" s="31">
        <v>2.2669999999999999E-2</v>
      </c>
      <c r="F756" s="30">
        <v>645334004</v>
      </c>
      <c r="G756" s="30" t="s">
        <v>5427</v>
      </c>
      <c r="H756" s="30"/>
      <c r="I756" s="30">
        <v>430258</v>
      </c>
      <c r="J756" s="30" t="s">
        <v>5457</v>
      </c>
      <c r="K756" s="30" t="s">
        <v>5472</v>
      </c>
    </row>
    <row r="757" spans="1:11" ht="12.5" x14ac:dyDescent="0.25">
      <c r="A757" s="30" t="s">
        <v>7518</v>
      </c>
      <c r="B757" s="30" t="s">
        <v>7517</v>
      </c>
      <c r="C757" s="32">
        <v>225.3</v>
      </c>
      <c r="D757" s="30">
        <v>0.7</v>
      </c>
      <c r="E757" s="31">
        <v>3.1199999999999999E-3</v>
      </c>
      <c r="F757" s="30">
        <v>46205104373</v>
      </c>
      <c r="G757" s="30" t="s">
        <v>5427</v>
      </c>
      <c r="H757" s="30"/>
      <c r="I757" s="30">
        <v>1477649</v>
      </c>
      <c r="J757" s="30" t="s">
        <v>5541</v>
      </c>
      <c r="K757" s="30" t="s">
        <v>5716</v>
      </c>
    </row>
    <row r="758" spans="1:11" ht="12.5" x14ac:dyDescent="0.25">
      <c r="A758" s="30" t="s">
        <v>7516</v>
      </c>
      <c r="B758" s="30" t="s">
        <v>7515</v>
      </c>
      <c r="C758" s="32">
        <v>9.24</v>
      </c>
      <c r="D758" s="30">
        <v>0.04</v>
      </c>
      <c r="E758" s="31">
        <v>4.3499999999999997E-3</v>
      </c>
      <c r="F758" s="30">
        <v>366343833</v>
      </c>
      <c r="G758" s="30" t="s">
        <v>5427</v>
      </c>
      <c r="H758" s="30">
        <v>1999</v>
      </c>
      <c r="I758" s="30">
        <v>232823</v>
      </c>
      <c r="J758" s="30" t="s">
        <v>5197</v>
      </c>
      <c r="K758" s="30" t="s">
        <v>5467</v>
      </c>
    </row>
    <row r="759" spans="1:11" ht="12.5" x14ac:dyDescent="0.25">
      <c r="A759" s="30" t="s">
        <v>7514</v>
      </c>
      <c r="B759" s="30" t="s">
        <v>7513</v>
      </c>
      <c r="C759" s="32">
        <v>24.69</v>
      </c>
      <c r="D759" s="30">
        <v>0.25</v>
      </c>
      <c r="E759" s="31">
        <v>1.023E-2</v>
      </c>
      <c r="F759" s="30">
        <v>874590957</v>
      </c>
      <c r="G759" s="30" t="s">
        <v>5427</v>
      </c>
      <c r="H759" s="30">
        <v>2004</v>
      </c>
      <c r="I759" s="30">
        <v>62618</v>
      </c>
      <c r="J759" s="30" t="s">
        <v>5435</v>
      </c>
      <c r="K759" s="30" t="s">
        <v>5563</v>
      </c>
    </row>
    <row r="760" spans="1:11" ht="12.5" x14ac:dyDescent="0.25">
      <c r="A760" s="30" t="s">
        <v>7512</v>
      </c>
      <c r="B760" s="30" t="s">
        <v>7511</v>
      </c>
      <c r="C760" s="32">
        <v>14.47</v>
      </c>
      <c r="D760" s="30">
        <v>0.26</v>
      </c>
      <c r="E760" s="31">
        <v>1.83E-2</v>
      </c>
      <c r="F760" s="30">
        <v>1883257535</v>
      </c>
      <c r="G760" s="30" t="s">
        <v>5427</v>
      </c>
      <c r="H760" s="30">
        <v>2012</v>
      </c>
      <c r="I760" s="30">
        <v>707328</v>
      </c>
      <c r="J760" s="30" t="s">
        <v>5435</v>
      </c>
      <c r="K760" s="30" t="s">
        <v>5434</v>
      </c>
    </row>
    <row r="761" spans="1:11" ht="12.5" x14ac:dyDescent="0.25">
      <c r="A761" s="30" t="s">
        <v>7510</v>
      </c>
      <c r="B761" s="30" t="s">
        <v>7509</v>
      </c>
      <c r="C761" s="32">
        <v>32.99</v>
      </c>
      <c r="D761" s="30">
        <v>0.28999999999999998</v>
      </c>
      <c r="E761" s="31">
        <v>8.8699999999999994E-3</v>
      </c>
      <c r="F761" s="30">
        <v>2133958150</v>
      </c>
      <c r="G761" s="30" t="s">
        <v>5427</v>
      </c>
      <c r="H761" s="30"/>
      <c r="I761" s="30">
        <v>445054</v>
      </c>
      <c r="J761" s="30" t="s">
        <v>5435</v>
      </c>
      <c r="K761" s="30" t="s">
        <v>5579</v>
      </c>
    </row>
    <row r="762" spans="1:11" ht="12.5" x14ac:dyDescent="0.25">
      <c r="A762" s="30" t="s">
        <v>7508</v>
      </c>
      <c r="B762" s="30" t="s">
        <v>7507</v>
      </c>
      <c r="C762" s="32">
        <v>5.24</v>
      </c>
      <c r="D762" s="30">
        <v>0.05</v>
      </c>
      <c r="E762" s="31">
        <v>9.6299999999999997E-3</v>
      </c>
      <c r="F762" s="30">
        <v>57229975</v>
      </c>
      <c r="G762" s="30" t="s">
        <v>5427</v>
      </c>
      <c r="H762" s="30"/>
      <c r="I762" s="30">
        <v>27639</v>
      </c>
      <c r="J762" s="30" t="s">
        <v>5435</v>
      </c>
      <c r="K762" s="30" t="s">
        <v>5568</v>
      </c>
    </row>
    <row r="763" spans="1:11" ht="12.5" x14ac:dyDescent="0.25">
      <c r="A763" s="30" t="s">
        <v>7506</v>
      </c>
      <c r="B763" s="30" t="s">
        <v>7505</v>
      </c>
      <c r="C763" s="32">
        <v>238.35</v>
      </c>
      <c r="D763" s="30">
        <v>9.44</v>
      </c>
      <c r="E763" s="31">
        <v>4.1239999999999999E-2</v>
      </c>
      <c r="F763" s="30">
        <v>12800784342</v>
      </c>
      <c r="G763" s="30" t="s">
        <v>5427</v>
      </c>
      <c r="H763" s="30">
        <v>2015</v>
      </c>
      <c r="I763" s="30">
        <v>1333209</v>
      </c>
      <c r="J763" s="30" t="s">
        <v>5219</v>
      </c>
      <c r="K763" s="30" t="s">
        <v>5644</v>
      </c>
    </row>
    <row r="764" spans="1:11" ht="12.5" x14ac:dyDescent="0.25">
      <c r="A764" s="30" t="s">
        <v>7504</v>
      </c>
      <c r="B764" s="30" t="s">
        <v>7503</v>
      </c>
      <c r="C764" s="32">
        <v>368.67</v>
      </c>
      <c r="D764" s="30">
        <v>21.66</v>
      </c>
      <c r="E764" s="31">
        <v>6.2420000000000003E-2</v>
      </c>
      <c r="F764" s="30">
        <v>17908583230</v>
      </c>
      <c r="G764" s="30" t="s">
        <v>5427</v>
      </c>
      <c r="H764" s="30">
        <v>2014</v>
      </c>
      <c r="I764" s="30">
        <v>1121387</v>
      </c>
      <c r="J764" s="30" t="s">
        <v>5219</v>
      </c>
      <c r="K764" s="30" t="s">
        <v>5560</v>
      </c>
    </row>
    <row r="765" spans="1:11" ht="12.5" x14ac:dyDescent="0.25">
      <c r="A765" s="30" t="s">
        <v>7502</v>
      </c>
      <c r="B765" s="30" t="s">
        <v>7501</v>
      </c>
      <c r="C765" s="32">
        <v>513.28</v>
      </c>
      <c r="D765" s="30">
        <v>1.58</v>
      </c>
      <c r="E765" s="31">
        <v>3.0899999999999999E-3</v>
      </c>
      <c r="F765" s="30">
        <v>64981411223</v>
      </c>
      <c r="G765" s="30" t="s">
        <v>5427</v>
      </c>
      <c r="H765" s="30"/>
      <c r="I765" s="30">
        <v>1985852</v>
      </c>
      <c r="J765" s="30" t="s">
        <v>5431</v>
      </c>
      <c r="K765" s="30" t="s">
        <v>5610</v>
      </c>
    </row>
    <row r="766" spans="1:11" ht="12.5" x14ac:dyDescent="0.25">
      <c r="A766" s="30" t="s">
        <v>7500</v>
      </c>
      <c r="B766" s="30" t="s">
        <v>7499</v>
      </c>
      <c r="C766" s="32">
        <v>32.65</v>
      </c>
      <c r="D766" s="30">
        <v>0.96</v>
      </c>
      <c r="E766" s="31">
        <v>3.0290000000000001E-2</v>
      </c>
      <c r="F766" s="30">
        <v>6272047206</v>
      </c>
      <c r="G766" s="30" t="s">
        <v>5427</v>
      </c>
      <c r="H766" s="30">
        <v>2005</v>
      </c>
      <c r="I766" s="30">
        <v>1695034</v>
      </c>
      <c r="J766" s="30" t="s">
        <v>5457</v>
      </c>
      <c r="K766" s="30" t="s">
        <v>5555</v>
      </c>
    </row>
    <row r="767" spans="1:11" ht="12.5" x14ac:dyDescent="0.25">
      <c r="A767" s="30" t="s">
        <v>7498</v>
      </c>
      <c r="B767" s="30" t="s">
        <v>7497</v>
      </c>
      <c r="C767" s="32">
        <v>6.24</v>
      </c>
      <c r="D767" s="30">
        <v>0.74</v>
      </c>
      <c r="E767" s="31">
        <v>0.13455</v>
      </c>
      <c r="F767" s="30">
        <v>1494415035</v>
      </c>
      <c r="G767" s="30" t="s">
        <v>5427</v>
      </c>
      <c r="H767" s="30">
        <v>2018</v>
      </c>
      <c r="I767" s="30">
        <v>3716556</v>
      </c>
      <c r="J767" s="30" t="s">
        <v>5457</v>
      </c>
      <c r="K767" s="30" t="s">
        <v>5834</v>
      </c>
    </row>
    <row r="768" spans="1:11" ht="12.5" x14ac:dyDescent="0.25">
      <c r="A768" s="30" t="s">
        <v>5059</v>
      </c>
      <c r="B768" s="30" t="s">
        <v>7496</v>
      </c>
      <c r="C768" s="32">
        <v>35.01</v>
      </c>
      <c r="D768" s="30">
        <v>0.09</v>
      </c>
      <c r="E768" s="31">
        <v>2.5799999999999998E-3</v>
      </c>
      <c r="F768" s="30">
        <v>565325130</v>
      </c>
      <c r="G768" s="30" t="s">
        <v>5427</v>
      </c>
      <c r="H768" s="30"/>
      <c r="I768" s="30">
        <v>172199</v>
      </c>
      <c r="J768" s="30" t="s">
        <v>5442</v>
      </c>
      <c r="K768" s="30" t="s">
        <v>5508</v>
      </c>
    </row>
    <row r="769" spans="1:11" ht="12.5" x14ac:dyDescent="0.25">
      <c r="A769" s="30" t="s">
        <v>7495</v>
      </c>
      <c r="B769" s="30" t="s">
        <v>7494</v>
      </c>
      <c r="C769" s="32">
        <v>40.590000000000003</v>
      </c>
      <c r="D769" s="30">
        <v>-0.1</v>
      </c>
      <c r="E769" s="31">
        <v>-2.4599999999999999E-3</v>
      </c>
      <c r="F769" s="30">
        <v>16792571582</v>
      </c>
      <c r="G769" s="30" t="s">
        <v>5427</v>
      </c>
      <c r="H769" s="30"/>
      <c r="I769" s="30">
        <v>2352268</v>
      </c>
      <c r="J769" s="30" t="s">
        <v>5457</v>
      </c>
      <c r="K769" s="30" t="s">
        <v>5701</v>
      </c>
    </row>
    <row r="770" spans="1:11" ht="12.5" x14ac:dyDescent="0.25">
      <c r="A770" s="30" t="s">
        <v>7493</v>
      </c>
      <c r="B770" s="30" t="s">
        <v>7492</v>
      </c>
      <c r="C770" s="32">
        <v>71.22</v>
      </c>
      <c r="D770" s="30">
        <v>0.64</v>
      </c>
      <c r="E770" s="31">
        <v>9.0699999999999999E-3</v>
      </c>
      <c r="F770" s="30">
        <v>5996724000</v>
      </c>
      <c r="G770" s="30" t="s">
        <v>5427</v>
      </c>
      <c r="H770" s="30"/>
      <c r="I770" s="30">
        <v>832989</v>
      </c>
      <c r="J770" s="30" t="s">
        <v>5457</v>
      </c>
      <c r="K770" s="30" t="s">
        <v>5644</v>
      </c>
    </row>
    <row r="771" spans="1:11" ht="12.5" x14ac:dyDescent="0.25">
      <c r="A771" s="30" t="s">
        <v>7491</v>
      </c>
      <c r="B771" s="30" t="s">
        <v>7490</v>
      </c>
      <c r="C771" s="32">
        <v>33.130000000000003</v>
      </c>
      <c r="D771" s="30">
        <v>0.7</v>
      </c>
      <c r="E771" s="31">
        <v>2.1579999999999998E-2</v>
      </c>
      <c r="F771" s="30">
        <v>561173002</v>
      </c>
      <c r="G771" s="30" t="s">
        <v>5427</v>
      </c>
      <c r="H771" s="30"/>
      <c r="I771" s="30">
        <v>81066</v>
      </c>
      <c r="J771" s="30" t="s">
        <v>5457</v>
      </c>
      <c r="K771" s="30" t="s">
        <v>5460</v>
      </c>
    </row>
    <row r="772" spans="1:11" ht="12.5" x14ac:dyDescent="0.25">
      <c r="A772" s="30" t="s">
        <v>7489</v>
      </c>
      <c r="B772" s="30" t="s">
        <v>7488</v>
      </c>
      <c r="C772" s="32">
        <v>7.12</v>
      </c>
      <c r="D772" s="30">
        <v>0.09</v>
      </c>
      <c r="E772" s="31">
        <v>1.2800000000000001E-2</v>
      </c>
      <c r="F772" s="30">
        <v>166428177</v>
      </c>
      <c r="G772" s="30" t="s">
        <v>5427</v>
      </c>
      <c r="H772" s="30">
        <v>1988</v>
      </c>
      <c r="I772" s="30">
        <v>82675</v>
      </c>
      <c r="J772" s="30" t="s">
        <v>5435</v>
      </c>
      <c r="K772" s="30" t="s">
        <v>5434</v>
      </c>
    </row>
    <row r="773" spans="1:11" ht="12.5" x14ac:dyDescent="0.25">
      <c r="A773" s="30" t="s">
        <v>7487</v>
      </c>
      <c r="B773" s="30" t="s">
        <v>7486</v>
      </c>
      <c r="C773" s="32">
        <v>9.36</v>
      </c>
      <c r="D773" s="30">
        <v>0.08</v>
      </c>
      <c r="E773" s="31">
        <v>8.6199999999999992E-3</v>
      </c>
      <c r="F773" s="30">
        <v>1335671251</v>
      </c>
      <c r="G773" s="30" t="s">
        <v>5427</v>
      </c>
      <c r="H773" s="30">
        <v>2003</v>
      </c>
      <c r="I773" s="30">
        <v>691229</v>
      </c>
      <c r="J773" s="30" t="s">
        <v>5435</v>
      </c>
      <c r="K773" s="30" t="s">
        <v>5563</v>
      </c>
    </row>
    <row r="774" spans="1:11" ht="12.5" x14ac:dyDescent="0.25">
      <c r="A774" s="30" t="s">
        <v>7485</v>
      </c>
      <c r="B774" s="30" t="s">
        <v>7484</v>
      </c>
      <c r="C774" s="32">
        <v>31.25</v>
      </c>
      <c r="D774" s="30">
        <v>0</v>
      </c>
      <c r="E774" s="31">
        <v>0</v>
      </c>
      <c r="F774" s="30">
        <v>682701406</v>
      </c>
      <c r="G774" s="30" t="s">
        <v>5427</v>
      </c>
      <c r="H774" s="30">
        <v>1998</v>
      </c>
      <c r="I774" s="30">
        <v>1018890</v>
      </c>
      <c r="J774" s="30" t="s">
        <v>5442</v>
      </c>
      <c r="K774" s="30" t="s">
        <v>5508</v>
      </c>
    </row>
    <row r="775" spans="1:11" ht="12.5" x14ac:dyDescent="0.25">
      <c r="A775" s="30" t="s">
        <v>7483</v>
      </c>
      <c r="B775" s="30" t="s">
        <v>7482</v>
      </c>
      <c r="C775" s="32">
        <v>6.89</v>
      </c>
      <c r="D775" s="30">
        <v>0.02</v>
      </c>
      <c r="E775" s="31">
        <v>2.9099999999999998E-3</v>
      </c>
      <c r="F775" s="30">
        <v>80225830</v>
      </c>
      <c r="G775" s="30" t="s">
        <v>5427</v>
      </c>
      <c r="H775" s="30">
        <v>2007</v>
      </c>
      <c r="I775" s="30">
        <v>52680</v>
      </c>
      <c r="J775" s="30" t="s">
        <v>5435</v>
      </c>
      <c r="K775" s="30" t="s">
        <v>5568</v>
      </c>
    </row>
    <row r="776" spans="1:11" ht="12.5" x14ac:dyDescent="0.25">
      <c r="A776" s="30" t="s">
        <v>7481</v>
      </c>
      <c r="B776" s="30" t="s">
        <v>7480</v>
      </c>
      <c r="C776" s="32">
        <v>2.87</v>
      </c>
      <c r="D776" s="30">
        <v>0.06</v>
      </c>
      <c r="E776" s="31">
        <v>2.1350000000000001E-2</v>
      </c>
      <c r="F776" s="30">
        <v>1374730000</v>
      </c>
      <c r="G776" s="30" t="s">
        <v>5515</v>
      </c>
      <c r="H776" s="30"/>
      <c r="I776" s="30">
        <v>6676159</v>
      </c>
      <c r="J776" s="30"/>
      <c r="K776" s="30"/>
    </row>
    <row r="777" spans="1:11" ht="12.5" x14ac:dyDescent="0.25">
      <c r="A777" s="30" t="s">
        <v>7479</v>
      </c>
      <c r="B777" s="30" t="s">
        <v>7478</v>
      </c>
      <c r="C777" s="32">
        <v>52.21</v>
      </c>
      <c r="D777" s="30">
        <v>-0.02</v>
      </c>
      <c r="E777" s="31">
        <v>-3.8000000000000002E-4</v>
      </c>
      <c r="F777" s="30">
        <v>2610500000</v>
      </c>
      <c r="G777" s="30" t="s">
        <v>5835</v>
      </c>
      <c r="H777" s="30">
        <v>1997</v>
      </c>
      <c r="I777" s="30">
        <v>2091</v>
      </c>
      <c r="J777" s="30" t="s">
        <v>5541</v>
      </c>
      <c r="K777" s="30" t="s">
        <v>5859</v>
      </c>
    </row>
    <row r="778" spans="1:11" ht="12.5" x14ac:dyDescent="0.25">
      <c r="A778" s="30" t="s">
        <v>7477</v>
      </c>
      <c r="B778" s="30" t="s">
        <v>7476</v>
      </c>
      <c r="C778" s="32">
        <v>135.09</v>
      </c>
      <c r="D778" s="30">
        <v>0.36</v>
      </c>
      <c r="E778" s="31">
        <v>2.6700000000000001E-3</v>
      </c>
      <c r="F778" s="30">
        <v>122138430378</v>
      </c>
      <c r="G778" s="30" t="s">
        <v>5427</v>
      </c>
      <c r="H778" s="30"/>
      <c r="I778" s="30">
        <v>5424564</v>
      </c>
      <c r="J778" s="30" t="s">
        <v>5219</v>
      </c>
      <c r="K778" s="30" t="s">
        <v>5447</v>
      </c>
    </row>
    <row r="779" spans="1:11" ht="12.5" x14ac:dyDescent="0.25">
      <c r="A779" s="30" t="s">
        <v>7475</v>
      </c>
      <c r="B779" s="30" t="s">
        <v>7474</v>
      </c>
      <c r="C779" s="32">
        <v>20.13</v>
      </c>
      <c r="D779" s="30">
        <v>-0.7</v>
      </c>
      <c r="E779" s="31">
        <v>-3.3610000000000001E-2</v>
      </c>
      <c r="F779" s="30">
        <v>70231284722</v>
      </c>
      <c r="G779" s="30" t="s">
        <v>5529</v>
      </c>
      <c r="H779" s="30"/>
      <c r="I779" s="30">
        <v>19469104</v>
      </c>
      <c r="J779" s="30" t="s">
        <v>5435</v>
      </c>
      <c r="K779" s="30" t="s">
        <v>5582</v>
      </c>
    </row>
    <row r="780" spans="1:11" ht="12.5" x14ac:dyDescent="0.25">
      <c r="A780" s="30" t="s">
        <v>7473</v>
      </c>
      <c r="B780" s="30" t="s">
        <v>7472</v>
      </c>
      <c r="C780" s="32">
        <v>109.01</v>
      </c>
      <c r="D780" s="30">
        <v>1.46</v>
      </c>
      <c r="E780" s="31">
        <v>1.358E-2</v>
      </c>
      <c r="F780" s="30">
        <v>60887712641</v>
      </c>
      <c r="G780" s="30" t="s">
        <v>5427</v>
      </c>
      <c r="H780" s="30">
        <v>2005</v>
      </c>
      <c r="I780" s="30">
        <v>2436836</v>
      </c>
      <c r="J780" s="30" t="s">
        <v>5435</v>
      </c>
      <c r="K780" s="30" t="s">
        <v>6221</v>
      </c>
    </row>
    <row r="781" spans="1:11" ht="12.5" x14ac:dyDescent="0.25">
      <c r="A781" s="30" t="s">
        <v>7471</v>
      </c>
      <c r="B781" s="30" t="s">
        <v>7470</v>
      </c>
      <c r="C781" s="32">
        <v>107.59</v>
      </c>
      <c r="D781" s="30">
        <v>1.78</v>
      </c>
      <c r="E781" s="31">
        <v>1.6820000000000002E-2</v>
      </c>
      <c r="F781" s="30">
        <v>5439953960</v>
      </c>
      <c r="G781" s="30" t="s">
        <v>5427</v>
      </c>
      <c r="H781" s="30"/>
      <c r="I781" s="30">
        <v>261455</v>
      </c>
      <c r="J781" s="30" t="s">
        <v>5426</v>
      </c>
      <c r="K781" s="30" t="s">
        <v>6000</v>
      </c>
    </row>
    <row r="782" spans="1:11" ht="12.5" x14ac:dyDescent="0.25">
      <c r="A782" s="30" t="s">
        <v>7469</v>
      </c>
      <c r="B782" s="30" t="s">
        <v>7468</v>
      </c>
      <c r="C782" s="32">
        <v>10.220000000000001</v>
      </c>
      <c r="D782" s="30">
        <v>0.04</v>
      </c>
      <c r="E782" s="31">
        <v>3.9300000000000003E-3</v>
      </c>
      <c r="F782" s="30">
        <v>165329921</v>
      </c>
      <c r="G782" s="30" t="s">
        <v>5427</v>
      </c>
      <c r="H782" s="30">
        <v>2010</v>
      </c>
      <c r="I782" s="30">
        <v>62757</v>
      </c>
      <c r="J782" s="30" t="s">
        <v>5435</v>
      </c>
      <c r="K782" s="30" t="s">
        <v>5985</v>
      </c>
    </row>
    <row r="783" spans="1:11" ht="12.5" x14ac:dyDescent="0.25">
      <c r="A783" s="30" t="s">
        <v>7467</v>
      </c>
      <c r="B783" s="30" t="s">
        <v>7466</v>
      </c>
      <c r="C783" s="32">
        <v>29.93</v>
      </c>
      <c r="D783" s="30">
        <v>0.54</v>
      </c>
      <c r="E783" s="31">
        <v>1.8370000000000001E-2</v>
      </c>
      <c r="F783" s="30">
        <v>763485298</v>
      </c>
      <c r="G783" s="30" t="s">
        <v>5427</v>
      </c>
      <c r="H783" s="30"/>
      <c r="I783" s="30">
        <v>62189</v>
      </c>
      <c r="J783" s="30" t="s">
        <v>5732</v>
      </c>
      <c r="K783" s="30" t="s">
        <v>5520</v>
      </c>
    </row>
    <row r="784" spans="1:11" ht="12.5" x14ac:dyDescent="0.25">
      <c r="A784" s="30" t="s">
        <v>7465</v>
      </c>
      <c r="B784" s="30" t="s">
        <v>7464</v>
      </c>
      <c r="C784" s="32">
        <v>227.73</v>
      </c>
      <c r="D784" s="30">
        <v>-11.95</v>
      </c>
      <c r="E784" s="31">
        <v>-4.9860000000000002E-2</v>
      </c>
      <c r="F784" s="30">
        <v>17175649153</v>
      </c>
      <c r="G784" s="30" t="s">
        <v>5427</v>
      </c>
      <c r="H784" s="30">
        <v>1989</v>
      </c>
      <c r="I784" s="30">
        <v>904653</v>
      </c>
      <c r="J784" s="30" t="s">
        <v>5457</v>
      </c>
      <c r="K784" s="30" t="s">
        <v>5456</v>
      </c>
    </row>
    <row r="785" spans="1:11" ht="12.5" x14ac:dyDescent="0.25">
      <c r="A785" s="30" t="s">
        <v>7463</v>
      </c>
      <c r="B785" s="30" t="s">
        <v>7462</v>
      </c>
      <c r="C785" s="32">
        <v>113.51</v>
      </c>
      <c r="D785" s="30">
        <v>1.05</v>
      </c>
      <c r="E785" s="31">
        <v>9.3399999999999993E-3</v>
      </c>
      <c r="F785" s="30">
        <v>28940765338</v>
      </c>
      <c r="G785" s="30" t="s">
        <v>5427</v>
      </c>
      <c r="H785" s="30"/>
      <c r="I785" s="30">
        <v>1565130</v>
      </c>
      <c r="J785" s="30" t="s">
        <v>5457</v>
      </c>
      <c r="K785" s="30" t="s">
        <v>5555</v>
      </c>
    </row>
    <row r="786" spans="1:11" ht="12.5" x14ac:dyDescent="0.25">
      <c r="A786" s="30" t="s">
        <v>7461</v>
      </c>
      <c r="B786" s="30" t="s">
        <v>7460</v>
      </c>
      <c r="C786" s="32">
        <v>15.85</v>
      </c>
      <c r="D786" s="30">
        <v>-0.14000000000000001</v>
      </c>
      <c r="E786" s="31">
        <v>-8.7600000000000004E-3</v>
      </c>
      <c r="F786" s="30">
        <v>438989367</v>
      </c>
      <c r="G786" s="30" t="s">
        <v>5427</v>
      </c>
      <c r="H786" s="30"/>
      <c r="I786" s="30">
        <v>130451</v>
      </c>
      <c r="J786" s="30" t="s">
        <v>5435</v>
      </c>
      <c r="K786" s="30" t="s">
        <v>5985</v>
      </c>
    </row>
    <row r="787" spans="1:11" ht="12.5" x14ac:dyDescent="0.25">
      <c r="A787" s="30" t="s">
        <v>7459</v>
      </c>
      <c r="B787" s="30" t="s">
        <v>7458</v>
      </c>
      <c r="C787" s="32">
        <v>9.1199999999999992</v>
      </c>
      <c r="D787" s="30">
        <v>0</v>
      </c>
      <c r="E787" s="31">
        <v>0</v>
      </c>
      <c r="F787" s="30">
        <v>146161561</v>
      </c>
      <c r="G787" s="30" t="s">
        <v>5427</v>
      </c>
      <c r="H787" s="30">
        <v>2005</v>
      </c>
      <c r="I787" s="30">
        <v>43852</v>
      </c>
      <c r="J787" s="30" t="s">
        <v>5435</v>
      </c>
      <c r="K787" s="30" t="s">
        <v>5434</v>
      </c>
    </row>
    <row r="788" spans="1:11" ht="12.5" x14ac:dyDescent="0.25">
      <c r="A788" s="30" t="s">
        <v>7457</v>
      </c>
      <c r="B788" s="30" t="s">
        <v>7456</v>
      </c>
      <c r="C788" s="32">
        <v>5.48</v>
      </c>
      <c r="D788" s="30">
        <v>-0.02</v>
      </c>
      <c r="E788" s="31">
        <v>-3.64E-3</v>
      </c>
      <c r="F788" s="30">
        <v>439018100</v>
      </c>
      <c r="G788" s="30" t="s">
        <v>5427</v>
      </c>
      <c r="H788" s="30">
        <v>2005</v>
      </c>
      <c r="I788" s="30">
        <v>326253</v>
      </c>
      <c r="J788" s="30" t="s">
        <v>5435</v>
      </c>
      <c r="K788" s="30" t="s">
        <v>5568</v>
      </c>
    </row>
    <row r="789" spans="1:11" ht="12.5" x14ac:dyDescent="0.25">
      <c r="A789" s="30" t="s">
        <v>7455</v>
      </c>
      <c r="B789" s="30" t="s">
        <v>7454</v>
      </c>
      <c r="C789" s="32">
        <v>17.28</v>
      </c>
      <c r="D789" s="30">
        <v>0.04</v>
      </c>
      <c r="E789" s="31">
        <v>2.32E-3</v>
      </c>
      <c r="F789" s="30">
        <v>187453820</v>
      </c>
      <c r="G789" s="30" t="s">
        <v>5427</v>
      </c>
      <c r="H789" s="30">
        <v>2009</v>
      </c>
      <c r="I789" s="30">
        <v>22729</v>
      </c>
      <c r="J789" s="30" t="s">
        <v>5435</v>
      </c>
      <c r="K789" s="30" t="s">
        <v>5434</v>
      </c>
    </row>
    <row r="790" spans="1:11" ht="12.5" x14ac:dyDescent="0.25">
      <c r="A790" s="30" t="s">
        <v>7453</v>
      </c>
      <c r="B790" s="30" t="s">
        <v>7452</v>
      </c>
      <c r="C790" s="32">
        <v>6.97</v>
      </c>
      <c r="D790" s="30">
        <v>0.1</v>
      </c>
      <c r="E790" s="31">
        <v>1.456E-2</v>
      </c>
      <c r="F790" s="30">
        <v>812635743</v>
      </c>
      <c r="G790" s="30" t="s">
        <v>5427</v>
      </c>
      <c r="H790" s="30">
        <v>2004</v>
      </c>
      <c r="I790" s="30">
        <v>440335</v>
      </c>
      <c r="J790" s="30" t="s">
        <v>5435</v>
      </c>
      <c r="K790" s="30" t="s">
        <v>5563</v>
      </c>
    </row>
    <row r="791" spans="1:11" ht="12.5" x14ac:dyDescent="0.25">
      <c r="A791" s="30" t="s">
        <v>7451</v>
      </c>
      <c r="B791" s="30" t="s">
        <v>7450</v>
      </c>
      <c r="C791" s="32">
        <v>26.86</v>
      </c>
      <c r="D791" s="30">
        <v>0.41</v>
      </c>
      <c r="E791" s="31">
        <v>1.55E-2</v>
      </c>
      <c r="F791" s="30">
        <v>5353422147</v>
      </c>
      <c r="G791" s="30" t="s">
        <v>5427</v>
      </c>
      <c r="H791" s="30">
        <v>2015</v>
      </c>
      <c r="I791" s="30">
        <v>1123730</v>
      </c>
      <c r="J791" s="30" t="s">
        <v>5442</v>
      </c>
      <c r="K791" s="30" t="s">
        <v>5450</v>
      </c>
    </row>
    <row r="792" spans="1:11" ht="12.5" x14ac:dyDescent="0.25">
      <c r="A792" s="30" t="s">
        <v>7449</v>
      </c>
      <c r="B792" s="30" t="s">
        <v>7448</v>
      </c>
      <c r="C792" s="32">
        <v>3.28</v>
      </c>
      <c r="D792" s="30">
        <v>-0.26</v>
      </c>
      <c r="E792" s="31">
        <v>-7.3450000000000001E-2</v>
      </c>
      <c r="F792" s="30">
        <v>174594790</v>
      </c>
      <c r="G792" s="30" t="s">
        <v>5427</v>
      </c>
      <c r="H792" s="30">
        <v>2020</v>
      </c>
      <c r="I792" s="30">
        <v>32282</v>
      </c>
      <c r="J792" s="30" t="s">
        <v>5197</v>
      </c>
      <c r="K792" s="30" t="s">
        <v>5914</v>
      </c>
    </row>
    <row r="793" spans="1:11" ht="12.5" x14ac:dyDescent="0.25">
      <c r="A793" s="30" t="s">
        <v>7447</v>
      </c>
      <c r="B793" s="30" t="s">
        <v>7446</v>
      </c>
      <c r="C793" s="32">
        <v>5.62</v>
      </c>
      <c r="D793" s="30">
        <v>0.03</v>
      </c>
      <c r="E793" s="31">
        <v>5.3699999999999998E-3</v>
      </c>
      <c r="F793" s="30">
        <v>104809797</v>
      </c>
      <c r="G793" s="30" t="s">
        <v>5427</v>
      </c>
      <c r="H793" s="30">
        <v>2011</v>
      </c>
      <c r="I793" s="30">
        <v>74372</v>
      </c>
      <c r="J793" s="30" t="s">
        <v>5435</v>
      </c>
      <c r="K793" s="30" t="s">
        <v>5434</v>
      </c>
    </row>
    <row r="794" spans="1:11" ht="12.5" x14ac:dyDescent="0.25">
      <c r="A794" s="30" t="s">
        <v>7445</v>
      </c>
      <c r="B794" s="30" t="s">
        <v>7444</v>
      </c>
      <c r="C794" s="32">
        <v>71.06</v>
      </c>
      <c r="D794" s="30">
        <v>0.31</v>
      </c>
      <c r="E794" s="31">
        <v>4.3800000000000002E-3</v>
      </c>
      <c r="F794" s="30">
        <v>12464764924</v>
      </c>
      <c r="G794" s="30" t="s">
        <v>5775</v>
      </c>
      <c r="H794" s="30"/>
      <c r="I794" s="30">
        <v>145411</v>
      </c>
      <c r="J794" s="30" t="s">
        <v>5442</v>
      </c>
      <c r="K794" s="30" t="s">
        <v>5704</v>
      </c>
    </row>
    <row r="795" spans="1:11" ht="12.5" x14ac:dyDescent="0.25">
      <c r="A795" s="30" t="s">
        <v>7443</v>
      </c>
      <c r="B795" s="30" t="s">
        <v>7442</v>
      </c>
      <c r="C795" s="32">
        <v>8.26</v>
      </c>
      <c r="D795" s="30">
        <v>-0.02</v>
      </c>
      <c r="E795" s="31">
        <v>-2.4199999999999998E-3</v>
      </c>
      <c r="F795" s="30">
        <v>199392410</v>
      </c>
      <c r="G795" s="30" t="s">
        <v>5427</v>
      </c>
      <c r="H795" s="30">
        <v>2016</v>
      </c>
      <c r="I795" s="30">
        <v>90667</v>
      </c>
      <c r="J795" s="30" t="s">
        <v>5435</v>
      </c>
      <c r="K795" s="30" t="s">
        <v>5434</v>
      </c>
    </row>
    <row r="796" spans="1:11" ht="12.5" x14ac:dyDescent="0.25">
      <c r="A796" s="30" t="s">
        <v>7441</v>
      </c>
      <c r="B796" s="30" t="s">
        <v>7440</v>
      </c>
      <c r="C796" s="32">
        <v>19.88</v>
      </c>
      <c r="D796" s="30">
        <v>-0.21</v>
      </c>
      <c r="E796" s="31">
        <v>-1.0449999999999999E-2</v>
      </c>
      <c r="F796" s="30">
        <v>213647895</v>
      </c>
      <c r="G796" s="30" t="s">
        <v>5427</v>
      </c>
      <c r="H796" s="30">
        <v>1994</v>
      </c>
      <c r="I796" s="30">
        <v>87310</v>
      </c>
      <c r="J796" s="30" t="s">
        <v>5435</v>
      </c>
      <c r="K796" s="30" t="s">
        <v>5568</v>
      </c>
    </row>
    <row r="797" spans="1:11" ht="12.5" x14ac:dyDescent="0.25">
      <c r="A797" s="30" t="s">
        <v>7439</v>
      </c>
      <c r="B797" s="30" t="s">
        <v>7438</v>
      </c>
      <c r="C797" s="32">
        <v>30.5</v>
      </c>
      <c r="D797" s="30">
        <v>0.51</v>
      </c>
      <c r="E797" s="31">
        <v>1.7010000000000001E-2</v>
      </c>
      <c r="F797" s="30">
        <v>593260167</v>
      </c>
      <c r="G797" s="30" t="s">
        <v>5427</v>
      </c>
      <c r="H797" s="30"/>
      <c r="I797" s="30">
        <v>109277</v>
      </c>
      <c r="J797" s="30"/>
      <c r="K797" s="30"/>
    </row>
    <row r="798" spans="1:11" ht="12.5" x14ac:dyDescent="0.25">
      <c r="A798" s="30" t="s">
        <v>7437</v>
      </c>
      <c r="B798" s="30" t="s">
        <v>7436</v>
      </c>
      <c r="C798" s="32">
        <v>12.87</v>
      </c>
      <c r="D798" s="30">
        <v>0.09</v>
      </c>
      <c r="E798" s="31">
        <v>7.0400000000000003E-3</v>
      </c>
      <c r="F798" s="30">
        <v>605770810</v>
      </c>
      <c r="G798" s="30" t="s">
        <v>5427</v>
      </c>
      <c r="H798" s="30"/>
      <c r="I798" s="30">
        <v>193867</v>
      </c>
      <c r="J798" s="30" t="s">
        <v>5435</v>
      </c>
      <c r="K798" s="30" t="s">
        <v>5434</v>
      </c>
    </row>
    <row r="799" spans="1:11" ht="12.5" x14ac:dyDescent="0.25">
      <c r="A799" s="30" t="s">
        <v>7435</v>
      </c>
      <c r="B799" s="30" t="s">
        <v>7434</v>
      </c>
      <c r="C799" s="32">
        <v>91.47</v>
      </c>
      <c r="D799" s="30">
        <v>1.69</v>
      </c>
      <c r="E799" s="31">
        <v>1.882E-2</v>
      </c>
      <c r="F799" s="30">
        <v>2558162894</v>
      </c>
      <c r="G799" s="30" t="s">
        <v>5427</v>
      </c>
      <c r="H799" s="30">
        <v>2016</v>
      </c>
      <c r="I799" s="30">
        <v>306282</v>
      </c>
      <c r="J799" s="30" t="s">
        <v>5197</v>
      </c>
      <c r="K799" s="30" t="s">
        <v>5467</v>
      </c>
    </row>
    <row r="800" spans="1:11" ht="12.5" x14ac:dyDescent="0.25">
      <c r="A800" s="30" t="s">
        <v>7433</v>
      </c>
      <c r="B800" s="30" t="s">
        <v>7432</v>
      </c>
      <c r="C800" s="32">
        <v>17.23</v>
      </c>
      <c r="D800" s="30">
        <v>0.23</v>
      </c>
      <c r="E800" s="31">
        <v>1.353E-2</v>
      </c>
      <c r="F800" s="30">
        <v>964422423</v>
      </c>
      <c r="G800" s="30" t="s">
        <v>5515</v>
      </c>
      <c r="H800" s="30"/>
      <c r="I800" s="30">
        <v>680762</v>
      </c>
      <c r="J800" s="30"/>
      <c r="K800" s="30"/>
    </row>
    <row r="801" spans="1:11" ht="12.5" x14ac:dyDescent="0.25">
      <c r="A801" s="30" t="s">
        <v>7431</v>
      </c>
      <c r="B801" s="30" t="s">
        <v>7430</v>
      </c>
      <c r="C801" s="32">
        <v>19.02</v>
      </c>
      <c r="D801" s="30">
        <v>0.22</v>
      </c>
      <c r="E801" s="31">
        <v>1.17E-2</v>
      </c>
      <c r="F801" s="30">
        <v>79288191291</v>
      </c>
      <c r="G801" s="30" t="s">
        <v>5529</v>
      </c>
      <c r="H801" s="30"/>
      <c r="I801" s="30">
        <v>7845735</v>
      </c>
      <c r="J801" s="30" t="s">
        <v>5219</v>
      </c>
      <c r="K801" s="30" t="s">
        <v>5447</v>
      </c>
    </row>
    <row r="802" spans="1:11" ht="12.5" x14ac:dyDescent="0.25">
      <c r="A802" s="30" t="s">
        <v>7429</v>
      </c>
      <c r="B802" s="30" t="s">
        <v>7428</v>
      </c>
      <c r="C802" s="32">
        <v>14.64</v>
      </c>
      <c r="D802" s="30">
        <v>0.21</v>
      </c>
      <c r="E802" s="31">
        <v>1.455E-2</v>
      </c>
      <c r="F802" s="30">
        <v>53155847115</v>
      </c>
      <c r="G802" s="30" t="s">
        <v>6073</v>
      </c>
      <c r="H802" s="30">
        <v>1997</v>
      </c>
      <c r="I802" s="30">
        <v>6017376</v>
      </c>
      <c r="J802" s="30" t="s">
        <v>5435</v>
      </c>
      <c r="K802" s="30" t="s">
        <v>5582</v>
      </c>
    </row>
    <row r="803" spans="1:11" ht="12.5" x14ac:dyDescent="0.25">
      <c r="A803" s="30" t="s">
        <v>7427</v>
      </c>
      <c r="B803" s="30" t="s">
        <v>7426</v>
      </c>
      <c r="C803" s="32">
        <v>102.67</v>
      </c>
      <c r="D803" s="30">
        <v>-0.13</v>
      </c>
      <c r="E803" s="31">
        <v>-1.2600000000000001E-3</v>
      </c>
      <c r="F803" s="30">
        <v>6730564396</v>
      </c>
      <c r="G803" s="30" t="s">
        <v>5427</v>
      </c>
      <c r="H803" s="30"/>
      <c r="I803" s="30">
        <v>438909</v>
      </c>
      <c r="J803" s="30" t="s">
        <v>5541</v>
      </c>
      <c r="K803" s="30" t="s">
        <v>5774</v>
      </c>
    </row>
    <row r="804" spans="1:11" ht="12.5" x14ac:dyDescent="0.25">
      <c r="A804" s="30" t="s">
        <v>7425</v>
      </c>
      <c r="B804" s="30" t="s">
        <v>7424</v>
      </c>
      <c r="C804" s="32">
        <v>8.52</v>
      </c>
      <c r="D804" s="30">
        <v>0</v>
      </c>
      <c r="E804" s="31">
        <v>0</v>
      </c>
      <c r="F804" s="30">
        <v>910753170</v>
      </c>
      <c r="G804" s="30" t="s">
        <v>5427</v>
      </c>
      <c r="H804" s="30">
        <v>2011</v>
      </c>
      <c r="I804" s="30">
        <v>785312</v>
      </c>
      <c r="J804" s="30" t="s">
        <v>5197</v>
      </c>
      <c r="K804" s="30" t="s">
        <v>5467</v>
      </c>
    </row>
    <row r="805" spans="1:11" ht="12.5" x14ac:dyDescent="0.25">
      <c r="A805" s="30" t="s">
        <v>7423</v>
      </c>
      <c r="B805" s="30" t="s">
        <v>7422</v>
      </c>
      <c r="C805" s="32">
        <v>16.22</v>
      </c>
      <c r="D805" s="30">
        <v>0.08</v>
      </c>
      <c r="E805" s="31">
        <v>4.96E-3</v>
      </c>
      <c r="F805" s="30">
        <v>173771526</v>
      </c>
      <c r="G805" s="30" t="s">
        <v>5427</v>
      </c>
      <c r="H805" s="30"/>
      <c r="I805" s="30">
        <v>12825</v>
      </c>
      <c r="J805" s="30" t="s">
        <v>5435</v>
      </c>
      <c r="K805" s="30" t="s">
        <v>5434</v>
      </c>
    </row>
    <row r="806" spans="1:11" ht="12.5" x14ac:dyDescent="0.25">
      <c r="A806" s="30" t="s">
        <v>7421</v>
      </c>
      <c r="B806" s="30" t="s">
        <v>7420</v>
      </c>
      <c r="C806" s="32">
        <v>257.62</v>
      </c>
      <c r="D806" s="30">
        <v>4.5599999999999996</v>
      </c>
      <c r="E806" s="31">
        <v>1.8020000000000001E-2</v>
      </c>
      <c r="F806" s="30">
        <v>7443256997</v>
      </c>
      <c r="G806" s="30" t="s">
        <v>5427</v>
      </c>
      <c r="H806" s="30">
        <v>1998</v>
      </c>
      <c r="I806" s="30">
        <v>282218</v>
      </c>
      <c r="J806" s="30" t="s">
        <v>5431</v>
      </c>
      <c r="K806" s="30" t="s">
        <v>6537</v>
      </c>
    </row>
    <row r="807" spans="1:11" ht="12.5" x14ac:dyDescent="0.25">
      <c r="A807" s="30" t="s">
        <v>7419</v>
      </c>
      <c r="B807" s="30" t="s">
        <v>7418</v>
      </c>
      <c r="C807" s="32">
        <v>28.13</v>
      </c>
      <c r="D807" s="30">
        <v>-0.17</v>
      </c>
      <c r="E807" s="31">
        <v>-6.0099999999999997E-3</v>
      </c>
      <c r="F807" s="30">
        <v>1741783608</v>
      </c>
      <c r="G807" s="30" t="s">
        <v>5427</v>
      </c>
      <c r="H807" s="30"/>
      <c r="I807" s="30">
        <v>789675</v>
      </c>
      <c r="J807" s="30" t="s">
        <v>5464</v>
      </c>
      <c r="K807" s="30" t="s">
        <v>6032</v>
      </c>
    </row>
    <row r="808" spans="1:11" ht="12.5" x14ac:dyDescent="0.25">
      <c r="A808" s="30" t="s">
        <v>7417</v>
      </c>
      <c r="B808" s="30" t="s">
        <v>7416</v>
      </c>
      <c r="C808" s="32">
        <v>32.68</v>
      </c>
      <c r="D808" s="30">
        <v>0.18</v>
      </c>
      <c r="E808" s="31">
        <v>5.5399999999999998E-3</v>
      </c>
      <c r="F808" s="30">
        <v>19980875826</v>
      </c>
      <c r="G808" s="30" t="s">
        <v>5427</v>
      </c>
      <c r="H808" s="30">
        <v>2017</v>
      </c>
      <c r="I808" s="30">
        <v>3700318</v>
      </c>
      <c r="J808" s="30" t="s">
        <v>5197</v>
      </c>
      <c r="K808" s="30" t="s">
        <v>5467</v>
      </c>
    </row>
    <row r="809" spans="1:11" ht="12.5" x14ac:dyDescent="0.25">
      <c r="A809" s="30" t="s">
        <v>7415</v>
      </c>
      <c r="B809" s="30" t="s">
        <v>7414</v>
      </c>
      <c r="C809" s="32">
        <v>4.76</v>
      </c>
      <c r="D809" s="30">
        <v>0.32</v>
      </c>
      <c r="E809" s="31">
        <v>7.2069999999999995E-2</v>
      </c>
      <c r="F809" s="30">
        <v>951803931</v>
      </c>
      <c r="G809" s="30" t="s">
        <v>5427</v>
      </c>
      <c r="H809" s="30">
        <v>2021</v>
      </c>
      <c r="I809" s="30">
        <v>4168128</v>
      </c>
      <c r="J809" s="30" t="s">
        <v>5457</v>
      </c>
      <c r="K809" s="30" t="s">
        <v>5505</v>
      </c>
    </row>
    <row r="810" spans="1:11" ht="12.5" x14ac:dyDescent="0.25">
      <c r="A810" s="30" t="s">
        <v>7413</v>
      </c>
      <c r="B810" s="30" t="s">
        <v>7412</v>
      </c>
      <c r="C810" s="32">
        <v>40.85</v>
      </c>
      <c r="D810" s="30">
        <v>-0.97</v>
      </c>
      <c r="E810" s="31">
        <v>-2.3189999999999999E-2</v>
      </c>
      <c r="F810" s="30">
        <v>14529119868</v>
      </c>
      <c r="G810" s="30" t="s">
        <v>5427</v>
      </c>
      <c r="H810" s="30"/>
      <c r="I810" s="30">
        <v>6860379</v>
      </c>
      <c r="J810" s="30" t="s">
        <v>5457</v>
      </c>
      <c r="K810" s="30" t="s">
        <v>6129</v>
      </c>
    </row>
    <row r="811" spans="1:11" ht="12.5" x14ac:dyDescent="0.25">
      <c r="A811" s="30" t="s">
        <v>7411</v>
      </c>
      <c r="B811" s="30" t="s">
        <v>7410</v>
      </c>
      <c r="C811" s="32">
        <v>37.07</v>
      </c>
      <c r="D811" s="30">
        <v>0.61</v>
      </c>
      <c r="E811" s="31">
        <v>1.6729999999999998E-2</v>
      </c>
      <c r="F811" s="30">
        <v>14402611296</v>
      </c>
      <c r="G811" s="30" t="s">
        <v>5427</v>
      </c>
      <c r="H811" s="30"/>
      <c r="I811" s="30">
        <v>2510164</v>
      </c>
      <c r="J811" s="30" t="s">
        <v>5442</v>
      </c>
      <c r="K811" s="30" t="s">
        <v>5856</v>
      </c>
    </row>
    <row r="812" spans="1:11" ht="12.5" x14ac:dyDescent="0.25">
      <c r="A812" s="30" t="s">
        <v>7409</v>
      </c>
      <c r="B812" s="30" t="s">
        <v>7408</v>
      </c>
      <c r="C812" s="32">
        <v>33.18</v>
      </c>
      <c r="D812" s="30">
        <v>0.45</v>
      </c>
      <c r="E812" s="31">
        <v>1.375E-2</v>
      </c>
      <c r="F812" s="30">
        <v>447563228</v>
      </c>
      <c r="G812" s="30" t="s">
        <v>5427</v>
      </c>
      <c r="H812" s="30">
        <v>2008</v>
      </c>
      <c r="I812" s="30">
        <v>154421</v>
      </c>
      <c r="J812" s="30" t="s">
        <v>5457</v>
      </c>
      <c r="K812" s="30" t="s">
        <v>5555</v>
      </c>
    </row>
    <row r="813" spans="1:11" ht="12.5" x14ac:dyDescent="0.25">
      <c r="A813" s="30" t="s">
        <v>7407</v>
      </c>
      <c r="B813" s="30" t="s">
        <v>7406</v>
      </c>
      <c r="C813" s="32">
        <v>10.18</v>
      </c>
      <c r="D813" s="30">
        <v>0.06</v>
      </c>
      <c r="E813" s="31">
        <v>5.9300000000000004E-3</v>
      </c>
      <c r="F813" s="30">
        <v>538357053</v>
      </c>
      <c r="G813" s="30" t="s">
        <v>5427</v>
      </c>
      <c r="H813" s="30"/>
      <c r="I813" s="30">
        <v>151659</v>
      </c>
      <c r="J813" s="30" t="s">
        <v>5435</v>
      </c>
      <c r="K813" s="30" t="s">
        <v>5563</v>
      </c>
    </row>
    <row r="814" spans="1:11" ht="12.5" x14ac:dyDescent="0.25">
      <c r="A814" s="30" t="s">
        <v>7405</v>
      </c>
      <c r="B814" s="30" t="s">
        <v>7404</v>
      </c>
      <c r="C814" s="32">
        <v>233.49</v>
      </c>
      <c r="D814" s="30">
        <v>4.08</v>
      </c>
      <c r="E814" s="31">
        <v>1.7780000000000001E-2</v>
      </c>
      <c r="F814" s="30">
        <v>43368437970</v>
      </c>
      <c r="G814" s="30" t="s">
        <v>5427</v>
      </c>
      <c r="H814" s="30">
        <v>2013</v>
      </c>
      <c r="I814" s="30">
        <v>575365</v>
      </c>
      <c r="J814" s="30" t="s">
        <v>5431</v>
      </c>
      <c r="K814" s="30" t="s">
        <v>6530</v>
      </c>
    </row>
    <row r="815" spans="1:11" ht="12.5" x14ac:dyDescent="0.25">
      <c r="A815" s="30" t="s">
        <v>7403</v>
      </c>
      <c r="B815" s="30" t="s">
        <v>7402</v>
      </c>
      <c r="C815" s="32">
        <v>55.66</v>
      </c>
      <c r="D815" s="30">
        <v>-0.34</v>
      </c>
      <c r="E815" s="31">
        <v>-6.0699999999999999E-3</v>
      </c>
      <c r="F815" s="30">
        <v>22538166855</v>
      </c>
      <c r="G815" s="30" t="s">
        <v>5427</v>
      </c>
      <c r="H815" s="30">
        <v>2017</v>
      </c>
      <c r="I815" s="30">
        <v>3450577</v>
      </c>
      <c r="J815" s="30" t="s">
        <v>5457</v>
      </c>
      <c r="K815" s="30" t="s">
        <v>5644</v>
      </c>
    </row>
    <row r="816" spans="1:11" ht="12.5" x14ac:dyDescent="0.25">
      <c r="A816" s="30" t="s">
        <v>7401</v>
      </c>
      <c r="B816" s="30" t="s">
        <v>7400</v>
      </c>
      <c r="C816" s="32">
        <v>55.59</v>
      </c>
      <c r="D816" s="30">
        <v>1.01</v>
      </c>
      <c r="E816" s="31">
        <v>1.8499999999999999E-2</v>
      </c>
      <c r="F816" s="30">
        <v>16160793317</v>
      </c>
      <c r="G816" s="30" t="s">
        <v>5427</v>
      </c>
      <c r="H816" s="30"/>
      <c r="I816" s="30">
        <v>1869093</v>
      </c>
      <c r="J816" s="30" t="s">
        <v>5197</v>
      </c>
      <c r="K816" s="30" t="s">
        <v>5467</v>
      </c>
    </row>
    <row r="817" spans="1:11" ht="12.5" x14ac:dyDescent="0.25">
      <c r="A817" s="30" t="s">
        <v>7399</v>
      </c>
      <c r="B817" s="30" t="s">
        <v>7398</v>
      </c>
      <c r="C817" s="32">
        <v>19.11</v>
      </c>
      <c r="D817" s="30">
        <v>0.28000000000000003</v>
      </c>
      <c r="E817" s="31">
        <v>1.487E-2</v>
      </c>
      <c r="F817" s="30">
        <v>4282061841</v>
      </c>
      <c r="G817" s="30" t="s">
        <v>5427</v>
      </c>
      <c r="H817" s="30">
        <v>2013</v>
      </c>
      <c r="I817" s="30">
        <v>3056567</v>
      </c>
      <c r="J817" s="30" t="s">
        <v>5197</v>
      </c>
      <c r="K817" s="30" t="s">
        <v>5467</v>
      </c>
    </row>
    <row r="818" spans="1:11" ht="12.5" x14ac:dyDescent="0.25">
      <c r="A818" s="30" t="s">
        <v>7397</v>
      </c>
      <c r="B818" s="30" t="s">
        <v>7396</v>
      </c>
      <c r="C818" s="32">
        <v>13.12</v>
      </c>
      <c r="D818" s="30">
        <v>0.06</v>
      </c>
      <c r="E818" s="31">
        <v>4.5900000000000003E-3</v>
      </c>
      <c r="F818" s="30">
        <v>436328219</v>
      </c>
      <c r="G818" s="30" t="s">
        <v>5427</v>
      </c>
      <c r="H818" s="30">
        <v>2012</v>
      </c>
      <c r="I818" s="30">
        <v>118279</v>
      </c>
      <c r="J818" s="30" t="s">
        <v>5435</v>
      </c>
      <c r="K818" s="30" t="s">
        <v>5568</v>
      </c>
    </row>
    <row r="819" spans="1:11" ht="12.5" x14ac:dyDescent="0.25">
      <c r="A819" s="30" t="s">
        <v>7395</v>
      </c>
      <c r="B819" s="30" t="s">
        <v>7394</v>
      </c>
      <c r="C819" s="32">
        <v>347.28</v>
      </c>
      <c r="D819" s="30">
        <v>9.14</v>
      </c>
      <c r="E819" s="31">
        <v>2.7029999999999998E-2</v>
      </c>
      <c r="F819" s="30">
        <v>27443586686</v>
      </c>
      <c r="G819" s="30" t="s">
        <v>5427</v>
      </c>
      <c r="H819" s="30">
        <v>1993</v>
      </c>
      <c r="I819" s="30">
        <v>430651</v>
      </c>
      <c r="J819" s="30" t="s">
        <v>5435</v>
      </c>
      <c r="K819" s="30" t="s">
        <v>5746</v>
      </c>
    </row>
    <row r="820" spans="1:11" ht="12.5" x14ac:dyDescent="0.25">
      <c r="A820" s="30" t="s">
        <v>7393</v>
      </c>
      <c r="B820" s="30" t="s">
        <v>7392</v>
      </c>
      <c r="C820" s="32">
        <v>68.95</v>
      </c>
      <c r="D820" s="30">
        <v>3.14</v>
      </c>
      <c r="E820" s="31">
        <v>4.7710000000000002E-2</v>
      </c>
      <c r="F820" s="30">
        <v>2284381967</v>
      </c>
      <c r="G820" s="30" t="s">
        <v>5427</v>
      </c>
      <c r="H820" s="30"/>
      <c r="I820" s="30">
        <v>2285921</v>
      </c>
      <c r="J820" s="30" t="s">
        <v>5431</v>
      </c>
      <c r="K820" s="30" t="s">
        <v>5500</v>
      </c>
    </row>
    <row r="821" spans="1:11" ht="12.5" x14ac:dyDescent="0.25">
      <c r="A821" s="30" t="s">
        <v>7391</v>
      </c>
      <c r="B821" s="30" t="s">
        <v>7390</v>
      </c>
      <c r="C821" s="32">
        <v>92.15</v>
      </c>
      <c r="D821" s="30">
        <v>0.56000000000000005</v>
      </c>
      <c r="E821" s="31">
        <v>6.11E-3</v>
      </c>
      <c r="F821" s="30">
        <v>7620805000</v>
      </c>
      <c r="G821" s="30" t="s">
        <v>5427</v>
      </c>
      <c r="H821" s="30">
        <v>2011</v>
      </c>
      <c r="I821" s="30">
        <v>543726</v>
      </c>
      <c r="J821" s="30" t="s">
        <v>5457</v>
      </c>
      <c r="K821" s="30" t="s">
        <v>5456</v>
      </c>
    </row>
    <row r="822" spans="1:11" ht="12.5" x14ac:dyDescent="0.25">
      <c r="A822" s="30" t="s">
        <v>7389</v>
      </c>
      <c r="B822" s="30" t="s">
        <v>7388</v>
      </c>
      <c r="C822" s="32">
        <v>239.55</v>
      </c>
      <c r="D822" s="30">
        <v>3.51</v>
      </c>
      <c r="E822" s="31">
        <v>1.487E-2</v>
      </c>
      <c r="F822" s="30">
        <v>73586497089</v>
      </c>
      <c r="G822" s="30" t="s">
        <v>5427</v>
      </c>
      <c r="H822" s="30"/>
      <c r="I822" s="30">
        <v>1861595</v>
      </c>
      <c r="J822" s="30" t="s">
        <v>5457</v>
      </c>
      <c r="K822" s="30" t="s">
        <v>5644</v>
      </c>
    </row>
    <row r="823" spans="1:11" ht="12.5" x14ac:dyDescent="0.25">
      <c r="A823" s="30" t="s">
        <v>7387</v>
      </c>
      <c r="B823" s="30" t="s">
        <v>7386</v>
      </c>
      <c r="C823" s="32">
        <v>15.2</v>
      </c>
      <c r="D823" s="30">
        <v>0.51</v>
      </c>
      <c r="E823" s="31">
        <v>3.4720000000000001E-2</v>
      </c>
      <c r="F823" s="30">
        <v>539600000</v>
      </c>
      <c r="G823" s="30" t="s">
        <v>5427</v>
      </c>
      <c r="H823" s="30">
        <v>2009</v>
      </c>
      <c r="I823" s="30">
        <v>894722</v>
      </c>
      <c r="J823" s="30" t="s">
        <v>5197</v>
      </c>
      <c r="K823" s="30" t="s">
        <v>5467</v>
      </c>
    </row>
    <row r="824" spans="1:11" ht="12.5" x14ac:dyDescent="0.25">
      <c r="A824" s="30" t="s">
        <v>7385</v>
      </c>
      <c r="B824" s="30" t="s">
        <v>7384</v>
      </c>
      <c r="C824" s="32">
        <v>18.920000000000002</v>
      </c>
      <c r="D824" s="30">
        <v>0.41</v>
      </c>
      <c r="E824" s="31">
        <v>2.215E-2</v>
      </c>
      <c r="F824" s="30">
        <v>8604524783</v>
      </c>
      <c r="G824" s="30" t="s">
        <v>5427</v>
      </c>
      <c r="H824" s="30"/>
      <c r="I824" s="30">
        <v>7639483</v>
      </c>
      <c r="J824" s="30" t="s">
        <v>5435</v>
      </c>
      <c r="K824" s="30" t="s">
        <v>5434</v>
      </c>
    </row>
    <row r="825" spans="1:11" ht="12.5" x14ac:dyDescent="0.25">
      <c r="A825" s="30" t="s">
        <v>7383</v>
      </c>
      <c r="B825" s="30" t="s">
        <v>7382</v>
      </c>
      <c r="C825" s="32">
        <v>87.61</v>
      </c>
      <c r="D825" s="30">
        <v>-0.31</v>
      </c>
      <c r="E825" s="31">
        <v>-3.5300000000000002E-3</v>
      </c>
      <c r="F825" s="30">
        <v>20588402128</v>
      </c>
      <c r="G825" s="30" t="s">
        <v>5927</v>
      </c>
      <c r="H825" s="30"/>
      <c r="I825" s="30">
        <v>29595</v>
      </c>
      <c r="J825" s="30" t="s">
        <v>5435</v>
      </c>
      <c r="K825" s="30" t="s">
        <v>6009</v>
      </c>
    </row>
    <row r="826" spans="1:11" ht="12.5" x14ac:dyDescent="0.25">
      <c r="A826" s="30" t="s">
        <v>7381</v>
      </c>
      <c r="B826" s="30" t="s">
        <v>7380</v>
      </c>
      <c r="C826" s="32">
        <v>19.989999999999998</v>
      </c>
      <c r="D826" s="30">
        <v>-0.15</v>
      </c>
      <c r="E826" s="31">
        <v>-7.45E-3</v>
      </c>
      <c r="F826" s="30">
        <v>2274620801</v>
      </c>
      <c r="G826" s="30" t="s">
        <v>5427</v>
      </c>
      <c r="H826" s="30">
        <v>2017</v>
      </c>
      <c r="I826" s="30">
        <v>1181972</v>
      </c>
      <c r="J826" s="30" t="s">
        <v>5197</v>
      </c>
      <c r="K826" s="30" t="s">
        <v>5467</v>
      </c>
    </row>
    <row r="827" spans="1:11" ht="12.5" x14ac:dyDescent="0.25">
      <c r="A827" s="30" t="s">
        <v>7379</v>
      </c>
      <c r="B827" s="30" t="s">
        <v>7378</v>
      </c>
      <c r="C827" s="32">
        <v>79.989999999999995</v>
      </c>
      <c r="D827" s="30">
        <v>1.36</v>
      </c>
      <c r="E827" s="31">
        <v>1.7299999999999999E-2</v>
      </c>
      <c r="F827" s="30">
        <v>10660672369</v>
      </c>
      <c r="G827" s="30" t="s">
        <v>5427</v>
      </c>
      <c r="H827" s="30">
        <v>1993</v>
      </c>
      <c r="I827" s="30">
        <v>1761997</v>
      </c>
      <c r="J827" s="30" t="s">
        <v>5219</v>
      </c>
      <c r="K827" s="30" t="s">
        <v>5647</v>
      </c>
    </row>
    <row r="828" spans="1:11" ht="12.5" x14ac:dyDescent="0.25">
      <c r="A828" s="30" t="s">
        <v>7377</v>
      </c>
      <c r="B828" s="30" t="s">
        <v>7376</v>
      </c>
      <c r="C828" s="32">
        <v>112.04</v>
      </c>
      <c r="D828" s="30">
        <v>0.31</v>
      </c>
      <c r="E828" s="31">
        <v>2.7699999999999999E-3</v>
      </c>
      <c r="F828" s="30">
        <v>3569414912</v>
      </c>
      <c r="G828" s="30" t="s">
        <v>5427</v>
      </c>
      <c r="H828" s="30"/>
      <c r="I828" s="30">
        <v>122010</v>
      </c>
      <c r="J828" s="30" t="s">
        <v>5457</v>
      </c>
      <c r="K828" s="30" t="s">
        <v>6023</v>
      </c>
    </row>
    <row r="829" spans="1:11" ht="12.5" x14ac:dyDescent="0.25">
      <c r="A829" s="30" t="s">
        <v>7375</v>
      </c>
      <c r="B829" s="30" t="s">
        <v>7374</v>
      </c>
      <c r="C829" s="32">
        <v>13.21</v>
      </c>
      <c r="D829" s="30">
        <v>0.14000000000000001</v>
      </c>
      <c r="E829" s="31">
        <v>1.0710000000000001E-2</v>
      </c>
      <c r="F829" s="30">
        <v>212178280</v>
      </c>
      <c r="G829" s="30" t="s">
        <v>5427</v>
      </c>
      <c r="H829" s="30">
        <v>2007</v>
      </c>
      <c r="I829" s="30">
        <v>56863</v>
      </c>
      <c r="J829" s="30" t="s">
        <v>5435</v>
      </c>
      <c r="K829" s="30" t="s">
        <v>5568</v>
      </c>
    </row>
    <row r="830" spans="1:11" ht="12.5" x14ac:dyDescent="0.25">
      <c r="A830" s="30" t="s">
        <v>7373</v>
      </c>
      <c r="B830" s="30" t="s">
        <v>7372</v>
      </c>
      <c r="C830" s="32">
        <v>66.36</v>
      </c>
      <c r="D830" s="30">
        <v>-3.21</v>
      </c>
      <c r="E830" s="31">
        <v>-4.614E-2</v>
      </c>
      <c r="F830" s="30">
        <v>45600839698</v>
      </c>
      <c r="G830" s="30" t="s">
        <v>5799</v>
      </c>
      <c r="H830" s="30"/>
      <c r="I830" s="30">
        <v>8301701</v>
      </c>
      <c r="J830" s="30" t="s">
        <v>5457</v>
      </c>
      <c r="K830" s="30" t="s">
        <v>5644</v>
      </c>
    </row>
    <row r="831" spans="1:11" ht="12.5" x14ac:dyDescent="0.25">
      <c r="A831" s="30" t="s">
        <v>7371</v>
      </c>
      <c r="B831" s="30" t="s">
        <v>7370</v>
      </c>
      <c r="C831" s="32">
        <v>39.44</v>
      </c>
      <c r="D831" s="30">
        <v>0.16</v>
      </c>
      <c r="E831" s="31">
        <v>4.0699999999999998E-3</v>
      </c>
      <c r="F831" s="30">
        <v>8919832475</v>
      </c>
      <c r="G831" s="30" t="s">
        <v>5427</v>
      </c>
      <c r="H831" s="30"/>
      <c r="I831" s="30">
        <v>902437</v>
      </c>
      <c r="J831" s="30" t="s">
        <v>5435</v>
      </c>
      <c r="K831" s="30" t="s">
        <v>6221</v>
      </c>
    </row>
    <row r="832" spans="1:11" ht="12.5" x14ac:dyDescent="0.25">
      <c r="A832" s="30" t="s">
        <v>7369</v>
      </c>
      <c r="B832" s="30" t="s">
        <v>7368</v>
      </c>
      <c r="C832" s="32">
        <v>13.69</v>
      </c>
      <c r="D832" s="30">
        <v>1.04</v>
      </c>
      <c r="E832" s="31">
        <v>8.2210000000000005E-2</v>
      </c>
      <c r="F832" s="30">
        <v>1154583893</v>
      </c>
      <c r="G832" s="30" t="s">
        <v>5427</v>
      </c>
      <c r="H832" s="30">
        <v>2017</v>
      </c>
      <c r="I832" s="30">
        <v>914465</v>
      </c>
      <c r="J832" s="30"/>
      <c r="K832" s="30"/>
    </row>
    <row r="833" spans="1:11" ht="12.5" x14ac:dyDescent="0.25">
      <c r="A833" s="30" t="s">
        <v>7367</v>
      </c>
      <c r="B833" s="30" t="s">
        <v>7366</v>
      </c>
      <c r="C833" s="32">
        <v>5.69</v>
      </c>
      <c r="D833" s="30">
        <v>0.04</v>
      </c>
      <c r="E833" s="31">
        <v>7.0800000000000004E-3</v>
      </c>
      <c r="F833" s="30">
        <v>76847962</v>
      </c>
      <c r="G833" s="30" t="s">
        <v>5427</v>
      </c>
      <c r="H833" s="30">
        <v>1992</v>
      </c>
      <c r="I833" s="30">
        <v>3482</v>
      </c>
      <c r="J833" s="30" t="s">
        <v>5435</v>
      </c>
      <c r="K833" s="30" t="s">
        <v>5563</v>
      </c>
    </row>
    <row r="834" spans="1:11" ht="12.5" x14ac:dyDescent="0.25">
      <c r="A834" s="30" t="s">
        <v>7365</v>
      </c>
      <c r="B834" s="30" t="s">
        <v>7364</v>
      </c>
      <c r="C834" s="32">
        <v>8.59</v>
      </c>
      <c r="D834" s="30">
        <v>7.0000000000000007E-2</v>
      </c>
      <c r="E834" s="31">
        <v>8.2199999999999999E-3</v>
      </c>
      <c r="F834" s="30">
        <v>488929640</v>
      </c>
      <c r="G834" s="30" t="s">
        <v>5427</v>
      </c>
      <c r="H834" s="30">
        <v>2004</v>
      </c>
      <c r="I834" s="30">
        <v>178675</v>
      </c>
      <c r="J834" s="30" t="s">
        <v>5435</v>
      </c>
      <c r="K834" s="30" t="s">
        <v>5568</v>
      </c>
    </row>
    <row r="835" spans="1:11" ht="12.5" x14ac:dyDescent="0.25">
      <c r="A835" s="30" t="s">
        <v>7363</v>
      </c>
      <c r="B835" s="30" t="s">
        <v>7362</v>
      </c>
      <c r="C835" s="32">
        <v>12.51</v>
      </c>
      <c r="D835" s="30">
        <v>7.0000000000000007E-2</v>
      </c>
      <c r="E835" s="31">
        <v>5.6299999999999996E-3</v>
      </c>
      <c r="F835" s="30">
        <v>289949186</v>
      </c>
      <c r="G835" s="30" t="s">
        <v>5427</v>
      </c>
      <c r="H835" s="30">
        <v>2014</v>
      </c>
      <c r="I835" s="30">
        <v>58808</v>
      </c>
      <c r="J835" s="30" t="s">
        <v>5435</v>
      </c>
      <c r="K835" s="30" t="s">
        <v>5434</v>
      </c>
    </row>
    <row r="836" spans="1:11" ht="12.5" x14ac:dyDescent="0.25">
      <c r="A836" s="30" t="s">
        <v>7361</v>
      </c>
      <c r="B836" s="30" t="s">
        <v>7360</v>
      </c>
      <c r="C836" s="32">
        <v>13.8</v>
      </c>
      <c r="D836" s="30">
        <v>0.13</v>
      </c>
      <c r="E836" s="31">
        <v>9.5099999999999994E-3</v>
      </c>
      <c r="F836" s="30">
        <v>120674749</v>
      </c>
      <c r="G836" s="30" t="s">
        <v>5427</v>
      </c>
      <c r="H836" s="30"/>
      <c r="I836" s="30">
        <v>9405</v>
      </c>
      <c r="J836" s="30" t="s">
        <v>5435</v>
      </c>
      <c r="K836" s="30" t="s">
        <v>5568</v>
      </c>
    </row>
    <row r="837" spans="1:11" ht="12.5" x14ac:dyDescent="0.25">
      <c r="A837" s="30" t="s">
        <v>7359</v>
      </c>
      <c r="B837" s="30" t="s">
        <v>7358</v>
      </c>
      <c r="C837" s="32">
        <v>11.56</v>
      </c>
      <c r="D837" s="30">
        <v>0.05</v>
      </c>
      <c r="E837" s="31">
        <v>4.3400000000000001E-3</v>
      </c>
      <c r="F837" s="30">
        <v>134634523</v>
      </c>
      <c r="G837" s="30" t="s">
        <v>5427</v>
      </c>
      <c r="H837" s="30"/>
      <c r="I837" s="30">
        <v>12169</v>
      </c>
      <c r="J837" s="30" t="s">
        <v>5435</v>
      </c>
      <c r="K837" s="30" t="s">
        <v>5563</v>
      </c>
    </row>
    <row r="838" spans="1:11" ht="12.5" x14ac:dyDescent="0.25">
      <c r="A838" s="30" t="s">
        <v>7357</v>
      </c>
      <c r="B838" s="30" t="s">
        <v>7356</v>
      </c>
      <c r="C838" s="32">
        <v>23.9</v>
      </c>
      <c r="D838" s="30">
        <v>1.43</v>
      </c>
      <c r="E838" s="31">
        <v>6.3640000000000002E-2</v>
      </c>
      <c r="F838" s="30">
        <v>10617489008</v>
      </c>
      <c r="G838" s="30" t="s">
        <v>5512</v>
      </c>
      <c r="H838" s="30"/>
      <c r="I838" s="30">
        <v>121659</v>
      </c>
      <c r="J838" s="30" t="s">
        <v>5457</v>
      </c>
      <c r="K838" s="30" t="s">
        <v>6035</v>
      </c>
    </row>
    <row r="839" spans="1:11" ht="12.5" x14ac:dyDescent="0.25">
      <c r="A839" s="30" t="s">
        <v>7355</v>
      </c>
      <c r="B839" s="30" t="s">
        <v>7354</v>
      </c>
      <c r="C839" s="32">
        <v>179.48</v>
      </c>
      <c r="D839" s="30">
        <v>-5.39</v>
      </c>
      <c r="E839" s="31">
        <v>-2.9159999999999998E-2</v>
      </c>
      <c r="F839" s="30">
        <v>8518580987</v>
      </c>
      <c r="G839" s="30" t="s">
        <v>5427</v>
      </c>
      <c r="H839" s="30"/>
      <c r="I839" s="30">
        <v>484809</v>
      </c>
      <c r="J839" s="30" t="s">
        <v>5435</v>
      </c>
      <c r="K839" s="30" t="s">
        <v>5197</v>
      </c>
    </row>
    <row r="840" spans="1:11" ht="12.5" x14ac:dyDescent="0.25">
      <c r="A840" s="30" t="s">
        <v>7353</v>
      </c>
      <c r="B840" s="30" t="s">
        <v>7352</v>
      </c>
      <c r="C840" s="32">
        <v>17.190000000000001</v>
      </c>
      <c r="D840" s="30">
        <v>0.23960000000000001</v>
      </c>
      <c r="E840" s="31">
        <v>1.414E-2</v>
      </c>
      <c r="F840" s="30">
        <v>94329094</v>
      </c>
      <c r="G840" s="30" t="s">
        <v>5427</v>
      </c>
      <c r="H840" s="30">
        <v>2009</v>
      </c>
      <c r="I840" s="30">
        <v>28906</v>
      </c>
      <c r="J840" s="30" t="s">
        <v>5435</v>
      </c>
      <c r="K840" s="30" t="s">
        <v>5434</v>
      </c>
    </row>
    <row r="841" spans="1:11" ht="12.5" x14ac:dyDescent="0.25">
      <c r="A841" s="30" t="s">
        <v>7351</v>
      </c>
      <c r="B841" s="30" t="s">
        <v>7350</v>
      </c>
      <c r="C841" s="32">
        <v>6.17</v>
      </c>
      <c r="D841" s="30">
        <v>7.5999999999999998E-2</v>
      </c>
      <c r="E841" s="31">
        <v>1.247E-2</v>
      </c>
      <c r="F841" s="30">
        <v>58382700</v>
      </c>
      <c r="G841" s="30" t="s">
        <v>5427</v>
      </c>
      <c r="H841" s="30"/>
      <c r="I841" s="30">
        <v>1965</v>
      </c>
      <c r="J841" s="30" t="s">
        <v>5435</v>
      </c>
      <c r="K841" s="30" t="s">
        <v>5568</v>
      </c>
    </row>
    <row r="842" spans="1:11" ht="12.5" x14ac:dyDescent="0.25">
      <c r="A842" s="30" t="s">
        <v>7349</v>
      </c>
      <c r="B842" s="30" t="s">
        <v>7348</v>
      </c>
      <c r="C842" s="32">
        <v>164.92</v>
      </c>
      <c r="D842" s="30">
        <v>1.5</v>
      </c>
      <c r="E842" s="31">
        <v>9.1800000000000007E-3</v>
      </c>
      <c r="F842" s="30">
        <v>431180636466</v>
      </c>
      <c r="G842" s="30" t="s">
        <v>5427</v>
      </c>
      <c r="H842" s="30"/>
      <c r="I842" s="30">
        <v>9856454</v>
      </c>
      <c r="J842" s="30" t="s">
        <v>5431</v>
      </c>
      <c r="K842" s="30" t="s">
        <v>5430</v>
      </c>
    </row>
    <row r="843" spans="1:11" ht="12.5" x14ac:dyDescent="0.25">
      <c r="A843" s="30" t="s">
        <v>7347</v>
      </c>
      <c r="B843" s="30" t="s">
        <v>7346</v>
      </c>
      <c r="C843" s="32">
        <v>30.99</v>
      </c>
      <c r="D843" s="30">
        <v>-1.31</v>
      </c>
      <c r="E843" s="31">
        <v>-4.0559999999999999E-2</v>
      </c>
      <c r="F843" s="30">
        <v>10057975658</v>
      </c>
      <c r="G843" s="30" t="s">
        <v>5427</v>
      </c>
      <c r="H843" s="30">
        <v>1999</v>
      </c>
      <c r="I843" s="30">
        <v>11327528</v>
      </c>
      <c r="J843" s="30" t="s">
        <v>5219</v>
      </c>
      <c r="K843" s="30" t="s">
        <v>7345</v>
      </c>
    </row>
    <row r="844" spans="1:11" ht="12.5" x14ac:dyDescent="0.25">
      <c r="A844" s="30" t="s">
        <v>7344</v>
      </c>
      <c r="B844" s="30" t="s">
        <v>7343</v>
      </c>
      <c r="C844" s="32">
        <v>4.4400000000000004</v>
      </c>
      <c r="D844" s="30">
        <v>0.02</v>
      </c>
      <c r="E844" s="31">
        <v>4.5199999999999997E-3</v>
      </c>
      <c r="F844" s="30">
        <v>2760487318</v>
      </c>
      <c r="G844" s="30" t="s">
        <v>5427</v>
      </c>
      <c r="H844" s="30">
        <v>2020</v>
      </c>
      <c r="I844" s="30">
        <v>5581434</v>
      </c>
      <c r="J844" s="30" t="s">
        <v>5442</v>
      </c>
      <c r="K844" s="30" t="s">
        <v>5523</v>
      </c>
    </row>
    <row r="845" spans="1:11" ht="12.5" x14ac:dyDescent="0.25">
      <c r="A845" s="30" t="s">
        <v>7342</v>
      </c>
      <c r="B845" s="30" t="s">
        <v>7341</v>
      </c>
      <c r="C845" s="32">
        <v>47.1</v>
      </c>
      <c r="D845" s="30">
        <v>0</v>
      </c>
      <c r="E845" s="31">
        <v>0</v>
      </c>
      <c r="F845" s="30">
        <v>2747603981</v>
      </c>
      <c r="G845" s="30" t="s">
        <v>5427</v>
      </c>
      <c r="H845" s="30"/>
      <c r="I845" s="30">
        <v>178730</v>
      </c>
      <c r="J845" s="30" t="s">
        <v>5197</v>
      </c>
      <c r="K845" s="30" t="s">
        <v>5576</v>
      </c>
    </row>
    <row r="846" spans="1:11" ht="12.5" x14ac:dyDescent="0.25">
      <c r="A846" s="30" t="s">
        <v>7340</v>
      </c>
      <c r="B846" s="30" t="s">
        <v>7339</v>
      </c>
      <c r="C846" s="32">
        <v>6.96</v>
      </c>
      <c r="D846" s="30">
        <v>0.03</v>
      </c>
      <c r="E846" s="31">
        <v>4.3299999999999996E-3</v>
      </c>
      <c r="F846" s="30">
        <v>197203895</v>
      </c>
      <c r="G846" s="30" t="s">
        <v>5427</v>
      </c>
      <c r="H846" s="30">
        <v>1990</v>
      </c>
      <c r="I846" s="30">
        <v>22201</v>
      </c>
      <c r="J846" s="30" t="s">
        <v>5435</v>
      </c>
      <c r="K846" s="30" t="s">
        <v>5568</v>
      </c>
    </row>
    <row r="847" spans="1:11" ht="12.5" x14ac:dyDescent="0.25">
      <c r="A847" s="30" t="s">
        <v>7338</v>
      </c>
      <c r="B847" s="30" t="s">
        <v>7337</v>
      </c>
      <c r="C847" s="32">
        <v>8.0299999999999994</v>
      </c>
      <c r="D847" s="30">
        <v>7.0000000000000007E-2</v>
      </c>
      <c r="E847" s="31">
        <v>8.7899999999999992E-3</v>
      </c>
      <c r="F847" s="30">
        <v>843705933</v>
      </c>
      <c r="G847" s="30" t="s">
        <v>5427</v>
      </c>
      <c r="H847" s="30">
        <v>2003</v>
      </c>
      <c r="I847" s="30">
        <v>474542</v>
      </c>
      <c r="J847" s="30" t="s">
        <v>5435</v>
      </c>
      <c r="K847" s="30" t="s">
        <v>5434</v>
      </c>
    </row>
    <row r="848" spans="1:11" ht="12.5" x14ac:dyDescent="0.25">
      <c r="A848" s="30" t="s">
        <v>7336</v>
      </c>
      <c r="B848" s="30" t="s">
        <v>7335</v>
      </c>
      <c r="C848" s="32">
        <v>139.59</v>
      </c>
      <c r="D848" s="30">
        <v>-0.37</v>
      </c>
      <c r="E848" s="31">
        <v>-2.64E-3</v>
      </c>
      <c r="F848" s="30">
        <v>409598937000</v>
      </c>
      <c r="G848" s="30" t="s">
        <v>5427</v>
      </c>
      <c r="H848" s="30"/>
      <c r="I848" s="30">
        <v>8839887</v>
      </c>
      <c r="J848" s="30" t="s">
        <v>5435</v>
      </c>
      <c r="K848" s="30" t="s">
        <v>5579</v>
      </c>
    </row>
    <row r="849" spans="1:11" ht="12.5" x14ac:dyDescent="0.25">
      <c r="A849" s="30" t="s">
        <v>7334</v>
      </c>
      <c r="B849" s="30" t="s">
        <v>7333</v>
      </c>
      <c r="C849" s="32">
        <v>7.64</v>
      </c>
      <c r="D849" s="30">
        <v>0.01</v>
      </c>
      <c r="E849" s="31">
        <v>1.31E-3</v>
      </c>
      <c r="F849" s="30">
        <v>1571631520</v>
      </c>
      <c r="G849" s="30" t="s">
        <v>5427</v>
      </c>
      <c r="H849" s="30">
        <v>2002</v>
      </c>
      <c r="I849" s="30">
        <v>447420</v>
      </c>
      <c r="J849" s="30" t="s">
        <v>5435</v>
      </c>
      <c r="K849" s="30" t="s">
        <v>5434</v>
      </c>
    </row>
    <row r="850" spans="1:11" ht="12.5" x14ac:dyDescent="0.25">
      <c r="A850" s="30" t="s">
        <v>7332</v>
      </c>
      <c r="B850" s="30" t="s">
        <v>7331</v>
      </c>
      <c r="C850" s="32">
        <v>19.55</v>
      </c>
      <c r="D850" s="30">
        <v>0.2</v>
      </c>
      <c r="E850" s="31">
        <v>1.034E-2</v>
      </c>
      <c r="F850" s="30">
        <v>85856249</v>
      </c>
      <c r="G850" s="30" t="s">
        <v>5427</v>
      </c>
      <c r="H850" s="30">
        <v>2017</v>
      </c>
      <c r="I850" s="30">
        <v>29107</v>
      </c>
      <c r="J850" s="30" t="s">
        <v>5435</v>
      </c>
      <c r="K850" s="30" t="s">
        <v>5568</v>
      </c>
    </row>
    <row r="851" spans="1:11" ht="12.5" x14ac:dyDescent="0.25">
      <c r="A851" s="30" t="s">
        <v>7330</v>
      </c>
      <c r="B851" s="30" t="s">
        <v>7329</v>
      </c>
      <c r="C851" s="32">
        <v>5.44</v>
      </c>
      <c r="D851" s="30">
        <v>0.01</v>
      </c>
      <c r="E851" s="31">
        <v>1.8400000000000001E-3</v>
      </c>
      <c r="F851" s="30">
        <v>737714538</v>
      </c>
      <c r="G851" s="30" t="s">
        <v>5427</v>
      </c>
      <c r="H851" s="30">
        <v>2003</v>
      </c>
      <c r="I851" s="30">
        <v>1149351</v>
      </c>
      <c r="J851" s="30" t="s">
        <v>5435</v>
      </c>
      <c r="K851" s="30" t="s">
        <v>5563</v>
      </c>
    </row>
    <row r="852" spans="1:11" ht="12.5" x14ac:dyDescent="0.25">
      <c r="A852" s="30" t="s">
        <v>7328</v>
      </c>
      <c r="B852" s="30" t="s">
        <v>7327</v>
      </c>
      <c r="C852" s="32">
        <v>13</v>
      </c>
      <c r="D852" s="30">
        <v>0.11</v>
      </c>
      <c r="E852" s="31">
        <v>8.5299999999999994E-3</v>
      </c>
      <c r="F852" s="30">
        <v>356897840</v>
      </c>
      <c r="G852" s="30" t="s">
        <v>5427</v>
      </c>
      <c r="H852" s="30">
        <v>2012</v>
      </c>
      <c r="I852" s="30">
        <v>108851</v>
      </c>
      <c r="J852" s="30" t="s">
        <v>5435</v>
      </c>
      <c r="K852" s="30" t="s">
        <v>5563</v>
      </c>
    </row>
    <row r="853" spans="1:11" ht="12.5" x14ac:dyDescent="0.25">
      <c r="A853" s="30" t="s">
        <v>7326</v>
      </c>
      <c r="B853" s="30" t="s">
        <v>7325</v>
      </c>
      <c r="C853" s="32">
        <v>8.5399999999999991</v>
      </c>
      <c r="D853" s="30">
        <v>7.0000000000000007E-2</v>
      </c>
      <c r="E853" s="31">
        <v>8.26E-3</v>
      </c>
      <c r="F853" s="30">
        <v>346222002</v>
      </c>
      <c r="G853" s="30" t="s">
        <v>5427</v>
      </c>
      <c r="H853" s="30">
        <v>2004</v>
      </c>
      <c r="I853" s="30">
        <v>125794</v>
      </c>
      <c r="J853" s="30" t="s">
        <v>5435</v>
      </c>
      <c r="K853" s="30" t="s">
        <v>5434</v>
      </c>
    </row>
    <row r="854" spans="1:11" ht="12.5" x14ac:dyDescent="0.25">
      <c r="A854" s="30" t="s">
        <v>7324</v>
      </c>
      <c r="B854" s="30" t="s">
        <v>7323</v>
      </c>
      <c r="C854" s="32">
        <v>8.81</v>
      </c>
      <c r="D854" s="30">
        <v>0.09</v>
      </c>
      <c r="E854" s="31">
        <v>1.0319999999999999E-2</v>
      </c>
      <c r="F854" s="30">
        <v>254542670</v>
      </c>
      <c r="G854" s="30" t="s">
        <v>5427</v>
      </c>
      <c r="H854" s="30">
        <v>2001</v>
      </c>
      <c r="I854" s="30">
        <v>86137</v>
      </c>
      <c r="J854" s="30" t="s">
        <v>5435</v>
      </c>
      <c r="K854" s="30" t="s">
        <v>5985</v>
      </c>
    </row>
    <row r="855" spans="1:11" ht="12.5" x14ac:dyDescent="0.25">
      <c r="A855" s="30" t="s">
        <v>7322</v>
      </c>
      <c r="B855" s="30" t="s">
        <v>7321</v>
      </c>
      <c r="C855" s="32">
        <v>12.43</v>
      </c>
      <c r="D855" s="30">
        <v>0.04</v>
      </c>
      <c r="E855" s="31">
        <v>3.2299999999999998E-3</v>
      </c>
      <c r="F855" s="30">
        <v>125364605</v>
      </c>
      <c r="G855" s="30" t="s">
        <v>5427</v>
      </c>
      <c r="H855" s="30">
        <v>2011</v>
      </c>
      <c r="I855" s="30">
        <v>26942</v>
      </c>
      <c r="J855" s="30" t="s">
        <v>5435</v>
      </c>
      <c r="K855" s="30" t="s">
        <v>5563</v>
      </c>
    </row>
    <row r="856" spans="1:11" ht="12.5" x14ac:dyDescent="0.25">
      <c r="A856" s="30" t="s">
        <v>7320</v>
      </c>
      <c r="B856" s="30" t="s">
        <v>7319</v>
      </c>
      <c r="C856" s="32">
        <v>19.97</v>
      </c>
      <c r="D856" s="30">
        <v>0.43</v>
      </c>
      <c r="E856" s="31">
        <v>2.2009999999999998E-2</v>
      </c>
      <c r="F856" s="30">
        <v>3196824020</v>
      </c>
      <c r="G856" s="30" t="s">
        <v>5427</v>
      </c>
      <c r="H856" s="30"/>
      <c r="I856" s="30">
        <v>7064789</v>
      </c>
      <c r="J856" s="30" t="s">
        <v>5442</v>
      </c>
      <c r="K856" s="30" t="s">
        <v>7318</v>
      </c>
    </row>
    <row r="857" spans="1:11" ht="12.5" x14ac:dyDescent="0.25">
      <c r="A857" s="30" t="s">
        <v>7317</v>
      </c>
      <c r="B857" s="30" t="s">
        <v>7316</v>
      </c>
      <c r="C857" s="32">
        <v>68.260000000000005</v>
      </c>
      <c r="D857" s="30">
        <v>-0.32</v>
      </c>
      <c r="E857" s="31">
        <v>-4.6699999999999997E-3</v>
      </c>
      <c r="F857" s="30">
        <v>23295850958</v>
      </c>
      <c r="G857" s="30" t="s">
        <v>5427</v>
      </c>
      <c r="H857" s="30"/>
      <c r="I857" s="30">
        <v>2079938</v>
      </c>
      <c r="J857" s="30" t="s">
        <v>5541</v>
      </c>
      <c r="K857" s="30" t="s">
        <v>5938</v>
      </c>
    </row>
    <row r="858" spans="1:11" ht="12.5" x14ac:dyDescent="0.25">
      <c r="A858" s="30" t="s">
        <v>7315</v>
      </c>
      <c r="B858" s="30" t="s">
        <v>7314</v>
      </c>
      <c r="C858" s="32">
        <v>207.72</v>
      </c>
      <c r="D858" s="30">
        <v>3.95</v>
      </c>
      <c r="E858" s="31">
        <v>1.9380000000000001E-2</v>
      </c>
      <c r="F858" s="30">
        <v>2422763200</v>
      </c>
      <c r="G858" s="30" t="s">
        <v>5427</v>
      </c>
      <c r="H858" s="30">
        <v>1992</v>
      </c>
      <c r="I858" s="30">
        <v>54662</v>
      </c>
      <c r="J858" s="30" t="s">
        <v>5219</v>
      </c>
      <c r="K858" s="30" t="s">
        <v>5644</v>
      </c>
    </row>
    <row r="859" spans="1:11" ht="12.5" x14ac:dyDescent="0.25">
      <c r="A859" s="30" t="s">
        <v>7313</v>
      </c>
      <c r="B859" s="30" t="s">
        <v>7312</v>
      </c>
      <c r="C859" s="32">
        <v>25.33</v>
      </c>
      <c r="D859" s="30">
        <v>0.11</v>
      </c>
      <c r="E859" s="31">
        <v>4.3600000000000002E-3</v>
      </c>
      <c r="F859" s="30">
        <v>709718610</v>
      </c>
      <c r="G859" s="30" t="s">
        <v>5427</v>
      </c>
      <c r="H859" s="30"/>
      <c r="I859" s="30">
        <v>158470</v>
      </c>
      <c r="J859" s="30" t="s">
        <v>5457</v>
      </c>
      <c r="K859" s="30" t="s">
        <v>5701</v>
      </c>
    </row>
    <row r="860" spans="1:11" ht="12.5" x14ac:dyDescent="0.25">
      <c r="A860" s="30" t="s">
        <v>7311</v>
      </c>
      <c r="B860" s="30" t="s">
        <v>7310</v>
      </c>
      <c r="C860" s="32">
        <v>14.92</v>
      </c>
      <c r="D860" s="30">
        <v>0.36</v>
      </c>
      <c r="E860" s="31">
        <v>2.4729999999999999E-2</v>
      </c>
      <c r="F860" s="30">
        <v>1624905032</v>
      </c>
      <c r="G860" s="30" t="s">
        <v>5427</v>
      </c>
      <c r="H860" s="30">
        <v>2009</v>
      </c>
      <c r="I860" s="30">
        <v>904566</v>
      </c>
      <c r="J860" s="30"/>
      <c r="K860" s="30"/>
    </row>
    <row r="861" spans="1:11" ht="12.5" x14ac:dyDescent="0.25">
      <c r="A861" s="30" t="s">
        <v>7309</v>
      </c>
      <c r="B861" s="30" t="s">
        <v>7308</v>
      </c>
      <c r="C861" s="32">
        <v>46.69</v>
      </c>
      <c r="D861" s="30">
        <v>0.86</v>
      </c>
      <c r="E861" s="31">
        <v>1.8769999999999998E-2</v>
      </c>
      <c r="F861" s="30">
        <v>18192027101</v>
      </c>
      <c r="G861" s="30" t="s">
        <v>5583</v>
      </c>
      <c r="H861" s="30"/>
      <c r="I861" s="30">
        <v>191363</v>
      </c>
      <c r="J861" s="30" t="s">
        <v>5435</v>
      </c>
      <c r="K861" s="30" t="s">
        <v>5582</v>
      </c>
    </row>
    <row r="862" spans="1:11" ht="12.5" x14ac:dyDescent="0.25">
      <c r="A862" s="30" t="s">
        <v>7307</v>
      </c>
      <c r="B862" s="30" t="s">
        <v>7306</v>
      </c>
      <c r="C862" s="32">
        <v>38.83</v>
      </c>
      <c r="D862" s="30">
        <v>0.38</v>
      </c>
      <c r="E862" s="31">
        <v>9.8799999999999999E-3</v>
      </c>
      <c r="F862" s="30">
        <v>3261347193</v>
      </c>
      <c r="G862" s="30" t="s">
        <v>5427</v>
      </c>
      <c r="H862" s="30">
        <v>1986</v>
      </c>
      <c r="I862" s="30">
        <v>2148702</v>
      </c>
      <c r="J862" s="30"/>
      <c r="K862" s="30"/>
    </row>
    <row r="863" spans="1:11" ht="12.5" x14ac:dyDescent="0.25">
      <c r="A863" s="30" t="s">
        <v>7305</v>
      </c>
      <c r="B863" s="30" t="s">
        <v>7304</v>
      </c>
      <c r="C863" s="32">
        <v>51.25</v>
      </c>
      <c r="D863" s="30">
        <v>0.02</v>
      </c>
      <c r="E863" s="31">
        <v>3.8999999999999999E-4</v>
      </c>
      <c r="F863" s="30">
        <v>7031306224</v>
      </c>
      <c r="G863" s="30" t="s">
        <v>5427</v>
      </c>
      <c r="H863" s="30">
        <v>2006</v>
      </c>
      <c r="I863" s="30">
        <v>821404</v>
      </c>
      <c r="J863" s="30" t="s">
        <v>5457</v>
      </c>
      <c r="K863" s="30" t="s">
        <v>5588</v>
      </c>
    </row>
    <row r="864" spans="1:11" ht="12.5" x14ac:dyDescent="0.25">
      <c r="A864" s="30" t="s">
        <v>7303</v>
      </c>
      <c r="B864" s="30" t="s">
        <v>7302</v>
      </c>
      <c r="C864" s="32">
        <v>32.380000000000003</v>
      </c>
      <c r="D864" s="30">
        <v>1.33</v>
      </c>
      <c r="E864" s="31">
        <v>4.283E-2</v>
      </c>
      <c r="F864" s="30">
        <v>1744778038</v>
      </c>
      <c r="G864" s="30" t="s">
        <v>5752</v>
      </c>
      <c r="H864" s="30">
        <v>2015</v>
      </c>
      <c r="I864" s="30">
        <v>46714</v>
      </c>
      <c r="J864" s="30" t="s">
        <v>5426</v>
      </c>
      <c r="K864" s="30" t="s">
        <v>6000</v>
      </c>
    </row>
    <row r="865" spans="1:11" ht="12.5" x14ac:dyDescent="0.25">
      <c r="A865" s="30" t="s">
        <v>7301</v>
      </c>
      <c r="B865" s="30" t="s">
        <v>7300</v>
      </c>
      <c r="C865" s="32">
        <v>8.0500000000000007</v>
      </c>
      <c r="D865" s="30">
        <v>0.03</v>
      </c>
      <c r="E865" s="31">
        <v>3.7399999999999998E-3</v>
      </c>
      <c r="F865" s="30">
        <v>10335621640</v>
      </c>
      <c r="G865" s="30" t="s">
        <v>5583</v>
      </c>
      <c r="H865" s="30">
        <v>1994</v>
      </c>
      <c r="I865" s="30">
        <v>89814</v>
      </c>
      <c r="J865" s="30" t="s">
        <v>5457</v>
      </c>
      <c r="K865" s="30" t="s">
        <v>5647</v>
      </c>
    </row>
    <row r="866" spans="1:11" ht="12.5" x14ac:dyDescent="0.25">
      <c r="A866" s="30" t="s">
        <v>7299</v>
      </c>
      <c r="B866" s="30" t="s">
        <v>7298</v>
      </c>
      <c r="C866" s="32">
        <v>72.13</v>
      </c>
      <c r="D866" s="30">
        <v>1.35</v>
      </c>
      <c r="E866" s="31">
        <v>1.907E-2</v>
      </c>
      <c r="F866" s="30">
        <v>4320587000</v>
      </c>
      <c r="G866" s="30" t="s">
        <v>5427</v>
      </c>
      <c r="H866" s="30"/>
      <c r="I866" s="30">
        <v>1153300</v>
      </c>
      <c r="J866" s="30" t="s">
        <v>5442</v>
      </c>
      <c r="K866" s="30" t="s">
        <v>5910</v>
      </c>
    </row>
    <row r="867" spans="1:11" ht="12.5" x14ac:dyDescent="0.25">
      <c r="A867" s="30" t="s">
        <v>7297</v>
      </c>
      <c r="B867" s="30" t="s">
        <v>7296</v>
      </c>
      <c r="C867" s="32">
        <v>19.8</v>
      </c>
      <c r="D867" s="30">
        <v>0.61</v>
      </c>
      <c r="E867" s="31">
        <v>3.1789999999999999E-2</v>
      </c>
      <c r="F867" s="30">
        <v>18479835000</v>
      </c>
      <c r="G867" s="30" t="s">
        <v>5427</v>
      </c>
      <c r="H867" s="30"/>
      <c r="I867" s="30">
        <v>22524874</v>
      </c>
      <c r="J867" s="30" t="s">
        <v>5435</v>
      </c>
      <c r="K867" s="30" t="s">
        <v>5579</v>
      </c>
    </row>
    <row r="868" spans="1:11" ht="12.5" x14ac:dyDescent="0.25">
      <c r="A868" s="30" t="s">
        <v>7295</v>
      </c>
      <c r="B868" s="30" t="s">
        <v>7294</v>
      </c>
      <c r="C868" s="32">
        <v>179.49</v>
      </c>
      <c r="D868" s="30">
        <v>0.14000000000000001</v>
      </c>
      <c r="E868" s="31">
        <v>7.7999999999999999E-4</v>
      </c>
      <c r="F868" s="30">
        <v>32010981432</v>
      </c>
      <c r="G868" s="30" t="s">
        <v>5427</v>
      </c>
      <c r="H868" s="30">
        <v>2014</v>
      </c>
      <c r="I868" s="30">
        <v>1148312</v>
      </c>
      <c r="J868" s="30" t="s">
        <v>5457</v>
      </c>
      <c r="K868" s="30" t="s">
        <v>5644</v>
      </c>
    </row>
    <row r="869" spans="1:11" ht="12.5" x14ac:dyDescent="0.25">
      <c r="A869" s="30" t="s">
        <v>7293</v>
      </c>
      <c r="B869" s="30" t="s">
        <v>7292</v>
      </c>
      <c r="C869" s="32">
        <v>24.707100000000001</v>
      </c>
      <c r="D869" s="30">
        <v>0.59709999999999996</v>
      </c>
      <c r="E869" s="31">
        <v>2.477E-2</v>
      </c>
      <c r="F869" s="30">
        <v>123622123</v>
      </c>
      <c r="G869" s="30" t="s">
        <v>5427</v>
      </c>
      <c r="H869" s="30"/>
      <c r="I869" s="30">
        <v>10547</v>
      </c>
      <c r="J869" s="30" t="s">
        <v>5435</v>
      </c>
      <c r="K869" s="30" t="s">
        <v>5434</v>
      </c>
    </row>
    <row r="870" spans="1:11" ht="12.5" x14ac:dyDescent="0.25">
      <c r="A870" s="30" t="s">
        <v>7291</v>
      </c>
      <c r="B870" s="30" t="s">
        <v>7290</v>
      </c>
      <c r="C870" s="32">
        <v>8.24</v>
      </c>
      <c r="D870" s="30">
        <v>-0.06</v>
      </c>
      <c r="E870" s="31">
        <v>-7.2300000000000003E-3</v>
      </c>
      <c r="F870" s="30">
        <v>199610836</v>
      </c>
      <c r="G870" s="30" t="s">
        <v>5515</v>
      </c>
      <c r="H870" s="30"/>
      <c r="I870" s="30">
        <v>65555</v>
      </c>
      <c r="J870" s="30"/>
      <c r="K870" s="30"/>
    </row>
    <row r="871" spans="1:11" ht="12.5" x14ac:dyDescent="0.25">
      <c r="A871" s="30" t="s">
        <v>7289</v>
      </c>
      <c r="B871" s="30" t="s">
        <v>7288</v>
      </c>
      <c r="C871" s="32">
        <v>55.33</v>
      </c>
      <c r="D871" s="30">
        <v>1.34</v>
      </c>
      <c r="E871" s="31">
        <v>2.4819999999999998E-2</v>
      </c>
      <c r="F871" s="30">
        <v>2916441534</v>
      </c>
      <c r="G871" s="30" t="s">
        <v>5427</v>
      </c>
      <c r="H871" s="30">
        <v>1999</v>
      </c>
      <c r="I871" s="30">
        <v>372506</v>
      </c>
      <c r="J871" s="30" t="s">
        <v>5442</v>
      </c>
      <c r="K871" s="30" t="s">
        <v>5746</v>
      </c>
    </row>
    <row r="872" spans="1:11" ht="12.5" x14ac:dyDescent="0.25">
      <c r="A872" s="30" t="s">
        <v>7287</v>
      </c>
      <c r="B872" s="30" t="s">
        <v>7286</v>
      </c>
      <c r="C872" s="32">
        <v>4.74</v>
      </c>
      <c r="D872" s="30">
        <v>0.1</v>
      </c>
      <c r="E872" s="31">
        <v>2.155E-2</v>
      </c>
      <c r="F872" s="30">
        <v>6092828128</v>
      </c>
      <c r="G872" s="30" t="s">
        <v>5515</v>
      </c>
      <c r="H872" s="30">
        <v>2001</v>
      </c>
      <c r="I872" s="30">
        <v>15527256</v>
      </c>
      <c r="J872" s="30"/>
      <c r="K872" s="30"/>
    </row>
    <row r="873" spans="1:11" ht="12.5" x14ac:dyDescent="0.25">
      <c r="A873" s="30" t="s">
        <v>7285</v>
      </c>
      <c r="B873" s="30" t="s">
        <v>7284</v>
      </c>
      <c r="C873" s="32">
        <v>22.53</v>
      </c>
      <c r="D873" s="30">
        <v>7.0000000000000007E-2</v>
      </c>
      <c r="E873" s="31">
        <v>3.1199999999999999E-3</v>
      </c>
      <c r="F873" s="30">
        <v>13934434719</v>
      </c>
      <c r="G873" s="30" t="s">
        <v>5427</v>
      </c>
      <c r="H873" s="30"/>
      <c r="I873" s="30">
        <v>4697212</v>
      </c>
      <c r="J873" s="30" t="s">
        <v>5197</v>
      </c>
      <c r="K873" s="30" t="s">
        <v>5467</v>
      </c>
    </row>
    <row r="874" spans="1:11" ht="12.5" x14ac:dyDescent="0.25">
      <c r="A874" s="30" t="s">
        <v>7283</v>
      </c>
      <c r="B874" s="30" t="s">
        <v>7282</v>
      </c>
      <c r="C874" s="32">
        <v>2.61</v>
      </c>
      <c r="D874" s="30">
        <v>0.15</v>
      </c>
      <c r="E874" s="31">
        <v>6.0979999999999999E-2</v>
      </c>
      <c r="F874" s="30">
        <v>965111855</v>
      </c>
      <c r="G874" s="30" t="s">
        <v>5427</v>
      </c>
      <c r="H874" s="30"/>
      <c r="I874" s="30">
        <v>2126503</v>
      </c>
      <c r="J874" s="30" t="s">
        <v>5442</v>
      </c>
      <c r="K874" s="30" t="s">
        <v>5447</v>
      </c>
    </row>
    <row r="875" spans="1:11" ht="12.5" x14ac:dyDescent="0.25">
      <c r="A875" s="30" t="s">
        <v>7281</v>
      </c>
      <c r="B875" s="30" t="s">
        <v>7280</v>
      </c>
      <c r="C875" s="32">
        <v>56.99</v>
      </c>
      <c r="D875" s="30">
        <v>1.18</v>
      </c>
      <c r="E875" s="31">
        <v>2.1139999999999999E-2</v>
      </c>
      <c r="F875" s="30">
        <v>49074765072</v>
      </c>
      <c r="G875" s="30" t="s">
        <v>5427</v>
      </c>
      <c r="H875" s="30"/>
      <c r="I875" s="30">
        <v>3092274</v>
      </c>
      <c r="J875" s="30" t="s">
        <v>5435</v>
      </c>
      <c r="K875" s="30" t="s">
        <v>5434</v>
      </c>
    </row>
    <row r="876" spans="1:11" ht="12.5" x14ac:dyDescent="0.25">
      <c r="A876" s="30" t="s">
        <v>7279</v>
      </c>
      <c r="B876" s="30" t="s">
        <v>7278</v>
      </c>
      <c r="C876" s="32">
        <v>1.18</v>
      </c>
      <c r="D876" s="30">
        <v>0.04</v>
      </c>
      <c r="E876" s="31">
        <v>3.5090000000000003E-2</v>
      </c>
      <c r="F876" s="30">
        <v>53523661</v>
      </c>
      <c r="G876" s="30" t="s">
        <v>5427</v>
      </c>
      <c r="H876" s="30">
        <v>2018</v>
      </c>
      <c r="I876" s="30">
        <v>101801</v>
      </c>
      <c r="J876" s="30" t="s">
        <v>5219</v>
      </c>
      <c r="K876" s="30" t="s">
        <v>5812</v>
      </c>
    </row>
    <row r="877" spans="1:11" ht="12.5" x14ac:dyDescent="0.25">
      <c r="A877" s="30" t="s">
        <v>7277</v>
      </c>
      <c r="B877" s="30" t="s">
        <v>7276</v>
      </c>
      <c r="C877" s="32">
        <v>130.01</v>
      </c>
      <c r="D877" s="30">
        <v>0</v>
      </c>
      <c r="E877" s="31">
        <v>0</v>
      </c>
      <c r="F877" s="30">
        <v>43878375000</v>
      </c>
      <c r="G877" s="30" t="s">
        <v>5427</v>
      </c>
      <c r="H877" s="30"/>
      <c r="I877" s="30">
        <v>1425726</v>
      </c>
      <c r="J877" s="30" t="s">
        <v>5442</v>
      </c>
      <c r="K877" s="30" t="s">
        <v>6167</v>
      </c>
    </row>
    <row r="878" spans="1:11" ht="12.5" x14ac:dyDescent="0.25">
      <c r="A878" s="30" t="s">
        <v>7275</v>
      </c>
      <c r="B878" s="30" t="s">
        <v>7274</v>
      </c>
      <c r="C878" s="32">
        <v>18.37</v>
      </c>
      <c r="D878" s="30">
        <v>7.0000000000000007E-2</v>
      </c>
      <c r="E878" s="31">
        <v>3.8300000000000001E-3</v>
      </c>
      <c r="F878" s="30">
        <v>41291021844</v>
      </c>
      <c r="G878" s="30" t="s">
        <v>5427</v>
      </c>
      <c r="H878" s="30">
        <v>2011</v>
      </c>
      <c r="I878" s="30">
        <v>20313749</v>
      </c>
      <c r="J878" s="30" t="s">
        <v>5426</v>
      </c>
      <c r="K878" s="30" t="s">
        <v>5546</v>
      </c>
    </row>
    <row r="879" spans="1:11" ht="12.5" x14ac:dyDescent="0.25">
      <c r="A879" s="30" t="s">
        <v>7273</v>
      </c>
      <c r="B879" s="30" t="s">
        <v>7272</v>
      </c>
      <c r="C879" s="32">
        <v>57.61</v>
      </c>
      <c r="D879" s="30">
        <v>-1.1200000000000001</v>
      </c>
      <c r="E879" s="31">
        <v>-1.907E-2</v>
      </c>
      <c r="F879" s="30">
        <v>3680423031</v>
      </c>
      <c r="G879" s="30" t="s">
        <v>5427</v>
      </c>
      <c r="H879" s="30"/>
      <c r="I879" s="30">
        <v>592732</v>
      </c>
      <c r="J879" s="30" t="s">
        <v>5435</v>
      </c>
      <c r="K879" s="30" t="s">
        <v>5493</v>
      </c>
    </row>
    <row r="880" spans="1:11" ht="12.5" x14ac:dyDescent="0.25">
      <c r="A880" s="30" t="s">
        <v>7271</v>
      </c>
      <c r="B880" s="30" t="s">
        <v>7270</v>
      </c>
      <c r="C880" s="32">
        <v>28.93</v>
      </c>
      <c r="D880" s="30">
        <v>0.43</v>
      </c>
      <c r="E880" s="31">
        <v>1.5089999999999999E-2</v>
      </c>
      <c r="F880" s="30">
        <v>2331074876</v>
      </c>
      <c r="G880" s="30" t="s">
        <v>5427</v>
      </c>
      <c r="H880" s="30"/>
      <c r="I880" s="30">
        <v>784335</v>
      </c>
      <c r="J880" s="30" t="s">
        <v>5457</v>
      </c>
      <c r="K880" s="30" t="s">
        <v>5644</v>
      </c>
    </row>
    <row r="881" spans="1:11" ht="12.5" x14ac:dyDescent="0.25">
      <c r="A881" s="30" t="s">
        <v>7269</v>
      </c>
      <c r="B881" s="30" t="s">
        <v>7268</v>
      </c>
      <c r="C881" s="32">
        <v>75.84</v>
      </c>
      <c r="D881" s="30">
        <v>5.39</v>
      </c>
      <c r="E881" s="31">
        <v>7.6509999999999995E-2</v>
      </c>
      <c r="F881" s="30">
        <v>11984502164</v>
      </c>
      <c r="G881" s="30" t="s">
        <v>5427</v>
      </c>
      <c r="H881" s="30"/>
      <c r="I881" s="30">
        <v>3677845</v>
      </c>
      <c r="J881" s="30" t="s">
        <v>5442</v>
      </c>
      <c r="K881" s="30" t="s">
        <v>5508</v>
      </c>
    </row>
    <row r="882" spans="1:11" ht="12.5" x14ac:dyDescent="0.25">
      <c r="A882" s="30" t="s">
        <v>7267</v>
      </c>
      <c r="B882" s="30" t="s">
        <v>7266</v>
      </c>
      <c r="C882" s="32">
        <v>5.71</v>
      </c>
      <c r="D882" s="30">
        <v>0.09</v>
      </c>
      <c r="E882" s="31">
        <v>1.601E-2</v>
      </c>
      <c r="F882" s="30">
        <v>193917002</v>
      </c>
      <c r="G882" s="30" t="s">
        <v>5775</v>
      </c>
      <c r="H882" s="30">
        <v>2013</v>
      </c>
      <c r="I882" s="30">
        <v>394033</v>
      </c>
      <c r="J882" s="30" t="s">
        <v>5442</v>
      </c>
      <c r="K882" s="30" t="s">
        <v>5910</v>
      </c>
    </row>
    <row r="883" spans="1:11" ht="12.5" x14ac:dyDescent="0.25">
      <c r="A883" s="30" t="s">
        <v>7265</v>
      </c>
      <c r="B883" s="30" t="s">
        <v>7264</v>
      </c>
      <c r="C883" s="32">
        <v>282.41000000000003</v>
      </c>
      <c r="D883" s="30">
        <v>3.97</v>
      </c>
      <c r="E883" s="31">
        <v>1.426E-2</v>
      </c>
      <c r="F883" s="30">
        <v>6518089166</v>
      </c>
      <c r="G883" s="30" t="s">
        <v>5427</v>
      </c>
      <c r="H883" s="30"/>
      <c r="I883" s="30">
        <v>166692</v>
      </c>
      <c r="J883" s="30" t="s">
        <v>5435</v>
      </c>
      <c r="K883" s="30" t="s">
        <v>5493</v>
      </c>
    </row>
    <row r="884" spans="1:11" ht="12.5" x14ac:dyDescent="0.25">
      <c r="A884" s="30" t="s">
        <v>7263</v>
      </c>
      <c r="B884" s="30" t="s">
        <v>7262</v>
      </c>
      <c r="C884" s="32">
        <v>30.83</v>
      </c>
      <c r="D884" s="30">
        <v>-0.46</v>
      </c>
      <c r="E884" s="31">
        <v>-1.47E-2</v>
      </c>
      <c r="F884" s="30">
        <v>4161906456</v>
      </c>
      <c r="G884" s="30" t="s">
        <v>5427</v>
      </c>
      <c r="H884" s="30">
        <v>2022</v>
      </c>
      <c r="I884" s="30">
        <v>479139</v>
      </c>
      <c r="J884" s="30" t="s">
        <v>5464</v>
      </c>
      <c r="K884" s="30" t="s">
        <v>5463</v>
      </c>
    </row>
    <row r="885" spans="1:11" ht="12.5" x14ac:dyDescent="0.25">
      <c r="A885" s="30" t="s">
        <v>7261</v>
      </c>
      <c r="B885" s="30" t="s">
        <v>7260</v>
      </c>
      <c r="C885" s="32">
        <v>61.04</v>
      </c>
      <c r="D885" s="30">
        <v>1.94</v>
      </c>
      <c r="E885" s="31">
        <v>3.2829999999999998E-2</v>
      </c>
      <c r="F885" s="30">
        <v>9808883840</v>
      </c>
      <c r="G885" s="30" t="s">
        <v>5427</v>
      </c>
      <c r="H885" s="30">
        <v>2017</v>
      </c>
      <c r="I885" s="30">
        <v>2412465</v>
      </c>
      <c r="J885" s="30" t="s">
        <v>5457</v>
      </c>
      <c r="K885" s="30" t="s">
        <v>5725</v>
      </c>
    </row>
    <row r="886" spans="1:11" ht="12.5" x14ac:dyDescent="0.25">
      <c r="A886" s="30" t="s">
        <v>7259</v>
      </c>
      <c r="B886" s="30" t="s">
        <v>7258</v>
      </c>
      <c r="C886" s="32">
        <v>61.33</v>
      </c>
      <c r="D886" s="30">
        <v>0.01</v>
      </c>
      <c r="E886" s="31">
        <v>1.6000000000000001E-4</v>
      </c>
      <c r="F886" s="30">
        <v>265222398481</v>
      </c>
      <c r="G886" s="30" t="s">
        <v>5427</v>
      </c>
      <c r="H886" s="30"/>
      <c r="I886" s="30">
        <v>12531020</v>
      </c>
      <c r="J886" s="30" t="s">
        <v>5541</v>
      </c>
      <c r="K886" s="30" t="s">
        <v>5997</v>
      </c>
    </row>
    <row r="887" spans="1:11" ht="12.5" x14ac:dyDescent="0.25">
      <c r="A887" s="30" t="s">
        <v>7257</v>
      </c>
      <c r="B887" s="30" t="s">
        <v>7256</v>
      </c>
      <c r="C887" s="32">
        <v>3.81</v>
      </c>
      <c r="D887" s="30">
        <v>0.2</v>
      </c>
      <c r="E887" s="31">
        <v>5.5399999999999998E-2</v>
      </c>
      <c r="F887" s="30">
        <v>301377767</v>
      </c>
      <c r="G887" s="30" t="s">
        <v>5427</v>
      </c>
      <c r="H887" s="30"/>
      <c r="I887" s="30">
        <v>848205</v>
      </c>
      <c r="J887" s="30" t="s">
        <v>5442</v>
      </c>
      <c r="K887" s="30" t="s">
        <v>5482</v>
      </c>
    </row>
    <row r="888" spans="1:11" ht="12.5" x14ac:dyDescent="0.25">
      <c r="A888" s="30" t="s">
        <v>7255</v>
      </c>
      <c r="B888" s="30" t="s">
        <v>7254</v>
      </c>
      <c r="C888" s="32">
        <v>75.53</v>
      </c>
      <c r="D888" s="30">
        <v>-0.65</v>
      </c>
      <c r="E888" s="31">
        <v>-8.5299999999999994E-3</v>
      </c>
      <c r="F888" s="30">
        <v>15867586060</v>
      </c>
      <c r="G888" s="30" t="s">
        <v>5835</v>
      </c>
      <c r="H888" s="30">
        <v>1993</v>
      </c>
      <c r="I888" s="30">
        <v>246022</v>
      </c>
      <c r="J888" s="30" t="s">
        <v>5541</v>
      </c>
      <c r="K888" s="30" t="s">
        <v>5997</v>
      </c>
    </row>
    <row r="889" spans="1:11" ht="12.5" x14ac:dyDescent="0.25">
      <c r="A889" s="30" t="s">
        <v>7253</v>
      </c>
      <c r="B889" s="30" t="s">
        <v>7252</v>
      </c>
      <c r="C889" s="32">
        <v>34.479999999999997</v>
      </c>
      <c r="D889" s="30">
        <v>-0.13</v>
      </c>
      <c r="E889" s="31">
        <v>-3.7599999999999999E-3</v>
      </c>
      <c r="F889" s="30">
        <v>720563212</v>
      </c>
      <c r="G889" s="30" t="s">
        <v>5427</v>
      </c>
      <c r="H889" s="30">
        <v>2006</v>
      </c>
      <c r="I889" s="30">
        <v>169057</v>
      </c>
      <c r="J889" s="30" t="s">
        <v>5457</v>
      </c>
      <c r="K889" s="30" t="s">
        <v>5438</v>
      </c>
    </row>
    <row r="890" spans="1:11" ht="12.5" x14ac:dyDescent="0.25">
      <c r="A890" s="30" t="s">
        <v>7251</v>
      </c>
      <c r="B890" s="30" t="s">
        <v>7250</v>
      </c>
      <c r="C890" s="32">
        <v>45.18</v>
      </c>
      <c r="D890" s="30">
        <v>0.55000000000000004</v>
      </c>
      <c r="E890" s="31">
        <v>1.2319999999999999E-2</v>
      </c>
      <c r="F890" s="30">
        <v>32340832313</v>
      </c>
      <c r="G890" s="30" t="s">
        <v>5427</v>
      </c>
      <c r="H890" s="30"/>
      <c r="I890" s="30">
        <v>5386989</v>
      </c>
      <c r="J890" s="30" t="s">
        <v>5541</v>
      </c>
      <c r="K890" s="30" t="s">
        <v>5540</v>
      </c>
    </row>
    <row r="891" spans="1:11" ht="12.5" x14ac:dyDescent="0.25">
      <c r="A891" s="30" t="s">
        <v>7249</v>
      </c>
      <c r="B891" s="30" t="s">
        <v>7248</v>
      </c>
      <c r="C891" s="32">
        <v>41</v>
      </c>
      <c r="D891" s="30">
        <v>-0.04</v>
      </c>
      <c r="E891" s="31">
        <v>-9.7000000000000005E-4</v>
      </c>
      <c r="F891" s="30">
        <v>4791975573</v>
      </c>
      <c r="G891" s="30" t="s">
        <v>5427</v>
      </c>
      <c r="H891" s="30">
        <v>1997</v>
      </c>
      <c r="I891" s="30">
        <v>1332989</v>
      </c>
      <c r="J891" s="30" t="s">
        <v>5197</v>
      </c>
      <c r="K891" s="30" t="s">
        <v>5467</v>
      </c>
    </row>
    <row r="892" spans="1:11" ht="12.5" x14ac:dyDescent="0.25">
      <c r="A892" s="30" t="s">
        <v>7247</v>
      </c>
      <c r="B892" s="30" t="s">
        <v>7246</v>
      </c>
      <c r="C892" s="32">
        <v>16.2</v>
      </c>
      <c r="D892" s="30">
        <v>0.27</v>
      </c>
      <c r="E892" s="31">
        <v>1.695E-2</v>
      </c>
      <c r="F892" s="30">
        <v>1119339178</v>
      </c>
      <c r="G892" s="30" t="s">
        <v>5427</v>
      </c>
      <c r="H892" s="30">
        <v>2017</v>
      </c>
      <c r="I892" s="30">
        <v>446491</v>
      </c>
      <c r="J892" s="30" t="s">
        <v>5197</v>
      </c>
      <c r="K892" s="30" t="s">
        <v>5467</v>
      </c>
    </row>
    <row r="893" spans="1:11" ht="12.5" x14ac:dyDescent="0.25">
      <c r="A893" s="30" t="s">
        <v>7245</v>
      </c>
      <c r="B893" s="30" t="s">
        <v>7244</v>
      </c>
      <c r="C893" s="32">
        <v>22.01</v>
      </c>
      <c r="D893" s="30">
        <v>0.31</v>
      </c>
      <c r="E893" s="31">
        <v>1.4290000000000001E-2</v>
      </c>
      <c r="F893" s="30">
        <v>4822366943</v>
      </c>
      <c r="G893" s="30" t="s">
        <v>5427</v>
      </c>
      <c r="H893" s="30">
        <v>2004</v>
      </c>
      <c r="I893" s="30">
        <v>1665797</v>
      </c>
      <c r="J893" s="30" t="s">
        <v>5197</v>
      </c>
      <c r="K893" s="30" t="s">
        <v>5467</v>
      </c>
    </row>
    <row r="894" spans="1:11" ht="12.5" x14ac:dyDescent="0.25">
      <c r="A894" s="30" t="s">
        <v>7243</v>
      </c>
      <c r="B894" s="30" t="s">
        <v>7242</v>
      </c>
      <c r="C894" s="32">
        <v>11.8</v>
      </c>
      <c r="D894" s="30">
        <v>0.15</v>
      </c>
      <c r="E894" s="31">
        <v>1.2880000000000001E-2</v>
      </c>
      <c r="F894" s="30">
        <v>1362546319</v>
      </c>
      <c r="G894" s="30" t="s">
        <v>5427</v>
      </c>
      <c r="H894" s="30"/>
      <c r="I894" s="30">
        <v>183174</v>
      </c>
      <c r="J894" s="30" t="s">
        <v>5457</v>
      </c>
      <c r="K894" s="30" t="s">
        <v>5555</v>
      </c>
    </row>
    <row r="895" spans="1:11" ht="12.5" x14ac:dyDescent="0.25">
      <c r="A895" s="30" t="s">
        <v>7241</v>
      </c>
      <c r="B895" s="30" t="s">
        <v>7240</v>
      </c>
      <c r="C895" s="32">
        <v>16.11</v>
      </c>
      <c r="D895" s="30">
        <v>-0.18</v>
      </c>
      <c r="E895" s="31">
        <v>-1.1050000000000001E-2</v>
      </c>
      <c r="F895" s="30">
        <v>967923565</v>
      </c>
      <c r="G895" s="30" t="s">
        <v>5427</v>
      </c>
      <c r="H895" s="30">
        <v>2017</v>
      </c>
      <c r="I895" s="30">
        <v>589298</v>
      </c>
      <c r="J895" s="30" t="s">
        <v>5464</v>
      </c>
      <c r="K895" s="30" t="s">
        <v>5463</v>
      </c>
    </row>
    <row r="896" spans="1:11" ht="12.5" x14ac:dyDescent="0.25">
      <c r="A896" s="30" t="s">
        <v>7239</v>
      </c>
      <c r="B896" s="30" t="s">
        <v>7238</v>
      </c>
      <c r="C896" s="32">
        <v>8.83</v>
      </c>
      <c r="D896" s="30">
        <v>7.0000000000000007E-2</v>
      </c>
      <c r="E896" s="31">
        <v>7.9900000000000006E-3</v>
      </c>
      <c r="F896" s="30">
        <v>98930799</v>
      </c>
      <c r="G896" s="30" t="s">
        <v>5427</v>
      </c>
      <c r="H896" s="30">
        <v>1989</v>
      </c>
      <c r="I896" s="30">
        <v>42029</v>
      </c>
      <c r="J896" s="30" t="s">
        <v>5435</v>
      </c>
      <c r="K896" s="30" t="s">
        <v>5568</v>
      </c>
    </row>
    <row r="897" spans="1:11" ht="12.5" x14ac:dyDescent="0.25">
      <c r="A897" s="30" t="s">
        <v>7237</v>
      </c>
      <c r="B897" s="30" t="s">
        <v>7236</v>
      </c>
      <c r="C897" s="32">
        <v>33.200000000000003</v>
      </c>
      <c r="D897" s="30">
        <v>0.83</v>
      </c>
      <c r="E897" s="31">
        <v>2.564E-2</v>
      </c>
      <c r="F897" s="30">
        <v>3668073050</v>
      </c>
      <c r="G897" s="30" t="s">
        <v>5427</v>
      </c>
      <c r="H897" s="30">
        <v>1992</v>
      </c>
      <c r="I897" s="30">
        <v>4303795</v>
      </c>
      <c r="J897" s="30" t="s">
        <v>5442</v>
      </c>
      <c r="K897" s="30" t="s">
        <v>5534</v>
      </c>
    </row>
    <row r="898" spans="1:11" ht="12.5" x14ac:dyDescent="0.25">
      <c r="A898" s="30" t="s">
        <v>7235</v>
      </c>
      <c r="B898" s="30" t="s">
        <v>7234</v>
      </c>
      <c r="C898" s="32">
        <v>14.31</v>
      </c>
      <c r="D898" s="30">
        <v>0</v>
      </c>
      <c r="E898" s="31">
        <v>0</v>
      </c>
      <c r="F898" s="30">
        <v>7327941444</v>
      </c>
      <c r="G898" s="30" t="s">
        <v>5583</v>
      </c>
      <c r="H898" s="30"/>
      <c r="I898" s="30">
        <v>1543616</v>
      </c>
      <c r="J898" s="30" t="s">
        <v>5732</v>
      </c>
      <c r="K898" s="30" t="s">
        <v>5520</v>
      </c>
    </row>
    <row r="899" spans="1:11" ht="12.5" x14ac:dyDescent="0.25">
      <c r="A899" s="30" t="s">
        <v>7233</v>
      </c>
      <c r="B899" s="30" t="s">
        <v>7232</v>
      </c>
      <c r="C899" s="32">
        <v>9.1199999999999992</v>
      </c>
      <c r="D899" s="30">
        <v>0.05</v>
      </c>
      <c r="E899" s="31">
        <v>5.5100000000000001E-3</v>
      </c>
      <c r="F899" s="30">
        <v>360248555</v>
      </c>
      <c r="G899" s="30" t="s">
        <v>5427</v>
      </c>
      <c r="H899" s="30">
        <v>1988</v>
      </c>
      <c r="I899" s="30">
        <v>89733</v>
      </c>
      <c r="J899" s="30" t="s">
        <v>5435</v>
      </c>
      <c r="K899" s="30" t="s">
        <v>5563</v>
      </c>
    </row>
    <row r="900" spans="1:11" ht="12.5" x14ac:dyDescent="0.25">
      <c r="A900" s="30" t="s">
        <v>7231</v>
      </c>
      <c r="B900" s="30" t="s">
        <v>7230</v>
      </c>
      <c r="C900" s="32">
        <v>17.989999999999998</v>
      </c>
      <c r="D900" s="30">
        <v>0.11</v>
      </c>
      <c r="E900" s="31">
        <v>6.1500000000000001E-3</v>
      </c>
      <c r="F900" s="30">
        <v>2478855916</v>
      </c>
      <c r="G900" s="30" t="s">
        <v>5427</v>
      </c>
      <c r="H900" s="30"/>
      <c r="I900" s="30">
        <v>452410</v>
      </c>
      <c r="J900" s="30" t="s">
        <v>5197</v>
      </c>
      <c r="K900" s="30" t="s">
        <v>5197</v>
      </c>
    </row>
    <row r="901" spans="1:11" ht="12.5" x14ac:dyDescent="0.25">
      <c r="A901" s="30" t="s">
        <v>7229</v>
      </c>
      <c r="B901" s="30" t="s">
        <v>7228</v>
      </c>
      <c r="C901" s="32">
        <v>203.13</v>
      </c>
      <c r="D901" s="30">
        <v>6.26</v>
      </c>
      <c r="E901" s="31">
        <v>3.1800000000000002E-2</v>
      </c>
      <c r="F901" s="30">
        <v>3642458908</v>
      </c>
      <c r="G901" s="30" t="s">
        <v>5427</v>
      </c>
      <c r="H901" s="30"/>
      <c r="I901" s="30">
        <v>102571</v>
      </c>
      <c r="J901" s="30" t="s">
        <v>5457</v>
      </c>
      <c r="K901" s="30" t="s">
        <v>5625</v>
      </c>
    </row>
    <row r="902" spans="1:11" ht="12.5" x14ac:dyDescent="0.25">
      <c r="A902" s="30" t="s">
        <v>7227</v>
      </c>
      <c r="B902" s="30" t="s">
        <v>7226</v>
      </c>
      <c r="C902" s="32">
        <v>9.01</v>
      </c>
      <c r="D902" s="30">
        <v>-7.0000000000000007E-2</v>
      </c>
      <c r="E902" s="31">
        <v>-7.7099999999999998E-3</v>
      </c>
      <c r="F902" s="30">
        <v>1226545085</v>
      </c>
      <c r="G902" s="30" t="s">
        <v>5427</v>
      </c>
      <c r="H902" s="30">
        <v>2004</v>
      </c>
      <c r="I902" s="30">
        <v>818975</v>
      </c>
      <c r="J902" s="30" t="s">
        <v>5435</v>
      </c>
      <c r="K902" s="30" t="s">
        <v>5985</v>
      </c>
    </row>
    <row r="903" spans="1:11" ht="12.5" x14ac:dyDescent="0.25">
      <c r="A903" s="30" t="s">
        <v>7225</v>
      </c>
      <c r="B903" s="30" t="s">
        <v>7224</v>
      </c>
      <c r="C903" s="32">
        <v>60.54</v>
      </c>
      <c r="D903" s="30">
        <v>-0.94</v>
      </c>
      <c r="E903" s="31">
        <v>-1.529E-2</v>
      </c>
      <c r="F903" s="30">
        <v>14373833728</v>
      </c>
      <c r="G903" s="30" t="s">
        <v>5427</v>
      </c>
      <c r="H903" s="30"/>
      <c r="I903" s="30">
        <v>776687</v>
      </c>
      <c r="J903" s="30" t="s">
        <v>5435</v>
      </c>
      <c r="K903" s="30" t="s">
        <v>5493</v>
      </c>
    </row>
    <row r="904" spans="1:11" ht="12.5" x14ac:dyDescent="0.25">
      <c r="A904" s="30" t="s">
        <v>7223</v>
      </c>
      <c r="B904" s="30" t="s">
        <v>7222</v>
      </c>
      <c r="C904" s="32">
        <v>24.7</v>
      </c>
      <c r="D904" s="30">
        <v>-0.53</v>
      </c>
      <c r="E904" s="31">
        <v>-2.1010000000000001E-2</v>
      </c>
      <c r="F904" s="30">
        <v>3334500000</v>
      </c>
      <c r="G904" s="30" t="s">
        <v>5515</v>
      </c>
      <c r="H904" s="30"/>
      <c r="I904" s="30">
        <v>8024594</v>
      </c>
      <c r="J904" s="30"/>
      <c r="K904" s="30"/>
    </row>
    <row r="905" spans="1:11" ht="12.5" x14ac:dyDescent="0.25">
      <c r="A905" s="30" t="s">
        <v>7221</v>
      </c>
      <c r="B905" s="30" t="s">
        <v>7220</v>
      </c>
      <c r="C905" s="32">
        <v>278.10000000000002</v>
      </c>
      <c r="D905" s="30">
        <v>14.9</v>
      </c>
      <c r="E905" s="31">
        <v>5.6610000000000001E-2</v>
      </c>
      <c r="F905" s="30">
        <v>7602812099</v>
      </c>
      <c r="G905" s="30" t="s">
        <v>5427</v>
      </c>
      <c r="H905" s="30"/>
      <c r="I905" s="30">
        <v>428413</v>
      </c>
      <c r="J905" s="30" t="s">
        <v>5442</v>
      </c>
      <c r="K905" s="30" t="s">
        <v>5508</v>
      </c>
    </row>
    <row r="906" spans="1:11" ht="12.5" x14ac:dyDescent="0.25">
      <c r="A906" s="30" t="s">
        <v>7219</v>
      </c>
      <c r="B906" s="30" t="s">
        <v>7218</v>
      </c>
      <c r="C906" s="32">
        <v>8.56</v>
      </c>
      <c r="D906" s="30">
        <v>0.25</v>
      </c>
      <c r="E906" s="31">
        <v>3.0079999999999999E-2</v>
      </c>
      <c r="F906" s="30">
        <v>505363183</v>
      </c>
      <c r="G906" s="30" t="s">
        <v>5427</v>
      </c>
      <c r="H906" s="30">
        <v>2021</v>
      </c>
      <c r="I906" s="30">
        <v>288017</v>
      </c>
      <c r="J906" s="30" t="s">
        <v>5219</v>
      </c>
      <c r="K906" s="30" t="s">
        <v>5560</v>
      </c>
    </row>
    <row r="907" spans="1:11" ht="12.5" x14ac:dyDescent="0.25">
      <c r="A907" s="30" t="s">
        <v>7217</v>
      </c>
      <c r="B907" s="30" t="s">
        <v>7216</v>
      </c>
      <c r="C907" s="32">
        <v>15.5</v>
      </c>
      <c r="D907" s="30">
        <v>-0.33</v>
      </c>
      <c r="E907" s="31">
        <v>-2.085E-2</v>
      </c>
      <c r="F907" s="30">
        <v>2823461710</v>
      </c>
      <c r="G907" s="30" t="s">
        <v>5427</v>
      </c>
      <c r="H907" s="30">
        <v>2018</v>
      </c>
      <c r="I907" s="30">
        <v>2773926</v>
      </c>
      <c r="J907" s="30" t="s">
        <v>5464</v>
      </c>
      <c r="K907" s="30" t="s">
        <v>5588</v>
      </c>
    </row>
    <row r="908" spans="1:11" ht="12.5" x14ac:dyDescent="0.25">
      <c r="A908" s="30" t="s">
        <v>7215</v>
      </c>
      <c r="B908" s="30" t="s">
        <v>7214</v>
      </c>
      <c r="C908" s="32">
        <v>9.82</v>
      </c>
      <c r="D908" s="30">
        <v>0.13</v>
      </c>
      <c r="E908" s="31">
        <v>1.342E-2</v>
      </c>
      <c r="F908" s="30">
        <v>1046291491</v>
      </c>
      <c r="G908" s="30" t="s">
        <v>5427</v>
      </c>
      <c r="H908" s="30">
        <v>2014</v>
      </c>
      <c r="I908" s="30">
        <v>4256164</v>
      </c>
      <c r="J908" s="30" t="s">
        <v>5435</v>
      </c>
      <c r="K908" s="30" t="s">
        <v>5563</v>
      </c>
    </row>
    <row r="909" spans="1:11" ht="12.5" x14ac:dyDescent="0.25">
      <c r="A909" s="30" t="s">
        <v>7213</v>
      </c>
      <c r="B909" s="30" t="s">
        <v>7212</v>
      </c>
      <c r="C909" s="32">
        <v>115.1</v>
      </c>
      <c r="D909" s="30">
        <v>2.88</v>
      </c>
      <c r="E909" s="31">
        <v>2.5659999999999999E-2</v>
      </c>
      <c r="F909" s="30">
        <v>2927026724</v>
      </c>
      <c r="G909" s="30" t="s">
        <v>5427</v>
      </c>
      <c r="H909" s="30">
        <v>1995</v>
      </c>
      <c r="I909" s="30">
        <v>190038</v>
      </c>
      <c r="J909" s="30" t="s">
        <v>5442</v>
      </c>
      <c r="K909" s="30" t="s">
        <v>5853</v>
      </c>
    </row>
    <row r="910" spans="1:11" ht="12.5" x14ac:dyDescent="0.25">
      <c r="A910" s="30" t="s">
        <v>7211</v>
      </c>
      <c r="B910" s="30" t="s">
        <v>7210</v>
      </c>
      <c r="C910" s="32">
        <v>97.83</v>
      </c>
      <c r="D910" s="30">
        <v>-1.01</v>
      </c>
      <c r="E910" s="31">
        <v>-1.022E-2</v>
      </c>
      <c r="F910" s="30">
        <v>13372339361</v>
      </c>
      <c r="G910" s="30" t="s">
        <v>5427</v>
      </c>
      <c r="H910" s="30"/>
      <c r="I910" s="30">
        <v>752748</v>
      </c>
      <c r="J910" s="30" t="s">
        <v>5219</v>
      </c>
      <c r="K910" s="30" t="s">
        <v>5447</v>
      </c>
    </row>
    <row r="911" spans="1:11" ht="12.5" x14ac:dyDescent="0.25">
      <c r="A911" s="30" t="s">
        <v>7209</v>
      </c>
      <c r="B911" s="30" t="s">
        <v>7208</v>
      </c>
      <c r="C911" s="32">
        <v>21.33</v>
      </c>
      <c r="D911" s="30">
        <v>0.22</v>
      </c>
      <c r="E911" s="31">
        <v>1.042E-2</v>
      </c>
      <c r="F911" s="30">
        <v>620259784</v>
      </c>
      <c r="G911" s="30" t="s">
        <v>5427</v>
      </c>
      <c r="H911" s="30">
        <v>2012</v>
      </c>
      <c r="I911" s="30">
        <v>104031</v>
      </c>
      <c r="J911" s="30" t="s">
        <v>5435</v>
      </c>
      <c r="K911" s="30" t="s">
        <v>5563</v>
      </c>
    </row>
    <row r="912" spans="1:11" ht="12.5" x14ac:dyDescent="0.25">
      <c r="A912" s="30" t="s">
        <v>7207</v>
      </c>
      <c r="B912" s="30" t="s">
        <v>7206</v>
      </c>
      <c r="C912" s="32">
        <v>149.46</v>
      </c>
      <c r="D912" s="30">
        <v>3.68</v>
      </c>
      <c r="E912" s="31">
        <v>2.5239999999999999E-2</v>
      </c>
      <c r="F912" s="30">
        <v>8833934036</v>
      </c>
      <c r="G912" s="30" t="s">
        <v>5427</v>
      </c>
      <c r="H912" s="30"/>
      <c r="I912" s="30">
        <v>735592</v>
      </c>
      <c r="J912" s="30" t="s">
        <v>5442</v>
      </c>
      <c r="K912" s="30" t="s">
        <v>5853</v>
      </c>
    </row>
    <row r="913" spans="1:11" ht="12.5" x14ac:dyDescent="0.25">
      <c r="A913" s="30" t="s">
        <v>7205</v>
      </c>
      <c r="B913" s="30" t="s">
        <v>7204</v>
      </c>
      <c r="C913" s="32">
        <v>37.43</v>
      </c>
      <c r="D913" s="30">
        <v>0.87</v>
      </c>
      <c r="E913" s="31">
        <v>2.3800000000000002E-2</v>
      </c>
      <c r="F913" s="30">
        <v>4962371970</v>
      </c>
      <c r="G913" s="30" t="s">
        <v>5427</v>
      </c>
      <c r="H913" s="30"/>
      <c r="I913" s="30">
        <v>993814</v>
      </c>
      <c r="J913" s="30" t="s">
        <v>5442</v>
      </c>
      <c r="K913" s="30" t="s">
        <v>5894</v>
      </c>
    </row>
    <row r="914" spans="1:11" ht="12.5" x14ac:dyDescent="0.25">
      <c r="A914" s="30" t="s">
        <v>7203</v>
      </c>
      <c r="B914" s="30" t="s">
        <v>7202</v>
      </c>
      <c r="C914" s="32">
        <v>104.69</v>
      </c>
      <c r="D914" s="30">
        <v>2.29</v>
      </c>
      <c r="E914" s="31">
        <v>2.2360000000000001E-2</v>
      </c>
      <c r="F914" s="30">
        <v>30328736446</v>
      </c>
      <c r="G914" s="30" t="s">
        <v>5427</v>
      </c>
      <c r="H914" s="30"/>
      <c r="I914" s="30">
        <v>2810704</v>
      </c>
      <c r="J914" s="30" t="s">
        <v>5197</v>
      </c>
      <c r="K914" s="30" t="s">
        <v>6091</v>
      </c>
    </row>
    <row r="915" spans="1:11" ht="12.5" x14ac:dyDescent="0.25">
      <c r="A915" s="30" t="s">
        <v>7201</v>
      </c>
      <c r="B915" s="30" t="s">
        <v>7200</v>
      </c>
      <c r="C915" s="32">
        <v>6.49</v>
      </c>
      <c r="D915" s="30">
        <v>-0.02</v>
      </c>
      <c r="E915" s="31">
        <v>-3.0699999999999998E-3</v>
      </c>
      <c r="F915" s="30">
        <v>404267642</v>
      </c>
      <c r="G915" s="30" t="s">
        <v>5427</v>
      </c>
      <c r="H915" s="30">
        <v>1987</v>
      </c>
      <c r="I915" s="30">
        <v>269005</v>
      </c>
      <c r="J915" s="30" t="s">
        <v>5435</v>
      </c>
      <c r="K915" s="30" t="s">
        <v>5568</v>
      </c>
    </row>
    <row r="916" spans="1:11" ht="12.5" x14ac:dyDescent="0.25">
      <c r="A916" s="30" t="s">
        <v>7199</v>
      </c>
      <c r="B916" s="30" t="s">
        <v>7198</v>
      </c>
      <c r="C916" s="32">
        <v>2.64</v>
      </c>
      <c r="D916" s="30">
        <v>0.02</v>
      </c>
      <c r="E916" s="31">
        <v>7.6299999999999996E-3</v>
      </c>
      <c r="F916" s="30">
        <v>583526373</v>
      </c>
      <c r="G916" s="30" t="s">
        <v>5515</v>
      </c>
      <c r="H916" s="30">
        <v>2021</v>
      </c>
      <c r="I916" s="30">
        <v>1078543</v>
      </c>
      <c r="J916" s="30"/>
      <c r="K916" s="30"/>
    </row>
    <row r="917" spans="1:11" ht="12.5" x14ac:dyDescent="0.25">
      <c r="A917" s="30" t="s">
        <v>7197</v>
      </c>
      <c r="B917" s="30" t="s">
        <v>7196</v>
      </c>
      <c r="C917" s="32">
        <v>18.88</v>
      </c>
      <c r="D917" s="30">
        <v>0.48</v>
      </c>
      <c r="E917" s="31">
        <v>2.6089999999999999E-2</v>
      </c>
      <c r="F917" s="30">
        <v>7454646772</v>
      </c>
      <c r="G917" s="30" t="s">
        <v>5427</v>
      </c>
      <c r="H917" s="30">
        <v>2019</v>
      </c>
      <c r="I917" s="30">
        <v>2612708</v>
      </c>
      <c r="J917" s="30" t="s">
        <v>5442</v>
      </c>
      <c r="K917" s="30" t="s">
        <v>5438</v>
      </c>
    </row>
    <row r="918" spans="1:11" ht="12.5" x14ac:dyDescent="0.25">
      <c r="A918" s="30" t="s">
        <v>7195</v>
      </c>
      <c r="B918" s="30" t="s">
        <v>7194</v>
      </c>
      <c r="C918" s="32">
        <v>2.1800000000000002</v>
      </c>
      <c r="D918" s="30">
        <v>-0.03</v>
      </c>
      <c r="E918" s="31">
        <v>-1.357E-2</v>
      </c>
      <c r="F918" s="30">
        <v>113863911</v>
      </c>
      <c r="G918" s="30" t="s">
        <v>5427</v>
      </c>
      <c r="H918" s="30">
        <v>2013</v>
      </c>
      <c r="I918" s="30">
        <v>37967</v>
      </c>
      <c r="J918" s="30" t="s">
        <v>5197</v>
      </c>
      <c r="K918" s="30" t="s">
        <v>5467</v>
      </c>
    </row>
    <row r="919" spans="1:11" ht="12.5" x14ac:dyDescent="0.25">
      <c r="A919" s="30" t="s">
        <v>7193</v>
      </c>
      <c r="B919" s="30" t="s">
        <v>7192</v>
      </c>
      <c r="C919" s="32">
        <v>16.27</v>
      </c>
      <c r="D919" s="30">
        <v>0.24</v>
      </c>
      <c r="E919" s="31">
        <v>1.4970000000000001E-2</v>
      </c>
      <c r="F919" s="30">
        <v>211667184</v>
      </c>
      <c r="G919" s="30" t="s">
        <v>5427</v>
      </c>
      <c r="H919" s="30">
        <v>2004</v>
      </c>
      <c r="I919" s="30">
        <v>31442</v>
      </c>
      <c r="J919" s="30"/>
      <c r="K919" s="30"/>
    </row>
    <row r="920" spans="1:11" ht="12.5" x14ac:dyDescent="0.25">
      <c r="A920" s="30" t="s">
        <v>7191</v>
      </c>
      <c r="B920" s="30" t="s">
        <v>7190</v>
      </c>
      <c r="C920" s="32">
        <v>250.14</v>
      </c>
      <c r="D920" s="30">
        <v>-1.98</v>
      </c>
      <c r="E920" s="31">
        <v>-7.8499999999999993E-3</v>
      </c>
      <c r="F920" s="30">
        <v>22162404000</v>
      </c>
      <c r="G920" s="30" t="s">
        <v>5427</v>
      </c>
      <c r="H920" s="30"/>
      <c r="I920" s="30">
        <v>747043</v>
      </c>
      <c r="J920" s="30" t="s">
        <v>5431</v>
      </c>
      <c r="K920" s="30" t="s">
        <v>5610</v>
      </c>
    </row>
    <row r="921" spans="1:11" ht="12.5" x14ac:dyDescent="0.25">
      <c r="A921" s="30" t="s">
        <v>7189</v>
      </c>
      <c r="B921" s="30" t="s">
        <v>7188</v>
      </c>
      <c r="C921" s="32">
        <v>215.85</v>
      </c>
      <c r="D921" s="30">
        <v>1.03</v>
      </c>
      <c r="E921" s="31">
        <v>4.79E-3</v>
      </c>
      <c r="F921" s="30">
        <v>41098443301</v>
      </c>
      <c r="G921" s="30" t="s">
        <v>5427</v>
      </c>
      <c r="H921" s="30"/>
      <c r="I921" s="30">
        <v>1193271</v>
      </c>
      <c r="J921" s="30" t="s">
        <v>5457</v>
      </c>
      <c r="K921" s="30" t="s">
        <v>5644</v>
      </c>
    </row>
    <row r="922" spans="1:11" ht="12.5" x14ac:dyDescent="0.25">
      <c r="A922" s="30" t="s">
        <v>7187</v>
      </c>
      <c r="B922" s="30" t="s">
        <v>7186</v>
      </c>
      <c r="C922" s="32">
        <v>5.76</v>
      </c>
      <c r="D922" s="30">
        <v>0.32</v>
      </c>
      <c r="E922" s="31">
        <v>5.8819999999999997E-2</v>
      </c>
      <c r="F922" s="30">
        <v>1010478154</v>
      </c>
      <c r="G922" s="30" t="s">
        <v>5515</v>
      </c>
      <c r="H922" s="30">
        <v>2021</v>
      </c>
      <c r="I922" s="30">
        <v>1941466</v>
      </c>
      <c r="J922" s="30"/>
      <c r="K922" s="30"/>
    </row>
    <row r="923" spans="1:11" ht="12.5" x14ac:dyDescent="0.25">
      <c r="A923" s="30" t="s">
        <v>7185</v>
      </c>
      <c r="B923" s="30" t="s">
        <v>7184</v>
      </c>
      <c r="C923" s="32">
        <v>268.16000000000003</v>
      </c>
      <c r="D923" s="30">
        <v>7.54</v>
      </c>
      <c r="E923" s="31">
        <v>2.8930000000000001E-2</v>
      </c>
      <c r="F923" s="30">
        <v>9503257613</v>
      </c>
      <c r="G923" s="30" t="s">
        <v>5427</v>
      </c>
      <c r="H923" s="30">
        <v>1999</v>
      </c>
      <c r="I923" s="30">
        <v>521696</v>
      </c>
      <c r="J923" s="30" t="s">
        <v>5457</v>
      </c>
      <c r="K923" s="30" t="s">
        <v>5644</v>
      </c>
    </row>
    <row r="924" spans="1:11" ht="12.5" x14ac:dyDescent="0.25">
      <c r="A924" s="30" t="s">
        <v>7183</v>
      </c>
      <c r="B924" s="30" t="s">
        <v>7182</v>
      </c>
      <c r="C924" s="32">
        <v>6.32</v>
      </c>
      <c r="D924" s="30">
        <v>0.26</v>
      </c>
      <c r="E924" s="31">
        <v>4.2900000000000001E-2</v>
      </c>
      <c r="F924" s="30">
        <v>185187875</v>
      </c>
      <c r="G924" s="30" t="s">
        <v>5427</v>
      </c>
      <c r="H924" s="30">
        <v>2007</v>
      </c>
      <c r="I924" s="30">
        <v>513372</v>
      </c>
      <c r="J924" s="30" t="s">
        <v>5442</v>
      </c>
      <c r="K924" s="30" t="s">
        <v>7167</v>
      </c>
    </row>
    <row r="925" spans="1:11" ht="12.5" x14ac:dyDescent="0.25">
      <c r="A925" s="30" t="s">
        <v>7181</v>
      </c>
      <c r="B925" s="30" t="s">
        <v>7180</v>
      </c>
      <c r="C925" s="32">
        <v>342.57</v>
      </c>
      <c r="D925" s="30">
        <v>-1.58</v>
      </c>
      <c r="E925" s="31">
        <v>-4.5900000000000003E-3</v>
      </c>
      <c r="F925" s="30">
        <v>325502443203</v>
      </c>
      <c r="G925" s="30" t="s">
        <v>5427</v>
      </c>
      <c r="H925" s="30"/>
      <c r="I925" s="30">
        <v>2989961</v>
      </c>
      <c r="J925" s="30" t="s">
        <v>5431</v>
      </c>
      <c r="K925" s="30" t="s">
        <v>5430</v>
      </c>
    </row>
    <row r="926" spans="1:11" ht="12.5" x14ac:dyDescent="0.25">
      <c r="A926" s="30" t="s">
        <v>7179</v>
      </c>
      <c r="B926" s="30" t="s">
        <v>7178</v>
      </c>
      <c r="C926" s="32">
        <v>16.7</v>
      </c>
      <c r="D926" s="30">
        <v>0.42</v>
      </c>
      <c r="E926" s="31">
        <v>2.58E-2</v>
      </c>
      <c r="F926" s="30">
        <v>1155035677</v>
      </c>
      <c r="G926" s="30" t="s">
        <v>5427</v>
      </c>
      <c r="H926" s="30">
        <v>2020</v>
      </c>
      <c r="I926" s="30">
        <v>1361940</v>
      </c>
      <c r="J926" s="30" t="s">
        <v>5435</v>
      </c>
      <c r="K926" s="30" t="s">
        <v>5493</v>
      </c>
    </row>
    <row r="927" spans="1:11" ht="12.5" x14ac:dyDescent="0.25">
      <c r="A927" s="30" t="s">
        <v>7177</v>
      </c>
      <c r="B927" s="30" t="s">
        <v>7176</v>
      </c>
      <c r="C927" s="32">
        <v>462.25</v>
      </c>
      <c r="D927" s="30">
        <v>-1.01</v>
      </c>
      <c r="E927" s="31">
        <v>-2.1800000000000001E-3</v>
      </c>
      <c r="F927" s="30">
        <v>118011176001</v>
      </c>
      <c r="G927" s="30" t="s">
        <v>5427</v>
      </c>
      <c r="H927" s="30"/>
      <c r="I927" s="30">
        <v>1242483</v>
      </c>
      <c r="J927" s="30" t="s">
        <v>5457</v>
      </c>
      <c r="K927" s="30" t="s">
        <v>5523</v>
      </c>
    </row>
    <row r="928" spans="1:11" ht="12.5" x14ac:dyDescent="0.25">
      <c r="A928" s="30" t="s">
        <v>7175</v>
      </c>
      <c r="B928" s="30" t="s">
        <v>7174</v>
      </c>
      <c r="C928" s="32">
        <v>34.47</v>
      </c>
      <c r="D928" s="30">
        <v>-0.96</v>
      </c>
      <c r="E928" s="31">
        <v>-2.7099999999999999E-2</v>
      </c>
      <c r="F928" s="30">
        <v>5832857044</v>
      </c>
      <c r="G928" s="30" t="s">
        <v>5427</v>
      </c>
      <c r="H928" s="30"/>
      <c r="I928" s="30">
        <v>3722492</v>
      </c>
      <c r="J928" s="30" t="s">
        <v>5435</v>
      </c>
      <c r="K928" s="30" t="s">
        <v>6352</v>
      </c>
    </row>
    <row r="929" spans="1:11" ht="12.5" x14ac:dyDescent="0.25">
      <c r="A929" s="30" t="s">
        <v>7173</v>
      </c>
      <c r="B929" s="30" t="s">
        <v>7172</v>
      </c>
      <c r="C929" s="32">
        <v>156.94999999999999</v>
      </c>
      <c r="D929" s="30">
        <v>0.33</v>
      </c>
      <c r="E929" s="31">
        <v>2.1099999999999999E-3</v>
      </c>
      <c r="F929" s="30">
        <v>1727525421</v>
      </c>
      <c r="G929" s="30" t="s">
        <v>5427</v>
      </c>
      <c r="H929" s="30"/>
      <c r="I929" s="30">
        <v>94715</v>
      </c>
      <c r="J929" s="30" t="s">
        <v>5457</v>
      </c>
      <c r="K929" s="30" t="s">
        <v>5644</v>
      </c>
    </row>
    <row r="930" spans="1:11" ht="12.5" x14ac:dyDescent="0.25">
      <c r="A930" s="30" t="s">
        <v>7171</v>
      </c>
      <c r="B930" s="30" t="s">
        <v>7170</v>
      </c>
      <c r="C930" s="32">
        <v>34.71</v>
      </c>
      <c r="D930" s="30">
        <v>0.48</v>
      </c>
      <c r="E930" s="31">
        <v>1.4019999999999999E-2</v>
      </c>
      <c r="F930" s="30">
        <v>1533705362</v>
      </c>
      <c r="G930" s="30" t="s">
        <v>5427</v>
      </c>
      <c r="H930" s="30">
        <v>2022</v>
      </c>
      <c r="I930" s="30">
        <v>297377</v>
      </c>
      <c r="J930" s="30" t="s">
        <v>5435</v>
      </c>
      <c r="K930" s="30" t="s">
        <v>5582</v>
      </c>
    </row>
    <row r="931" spans="1:11" ht="12.5" x14ac:dyDescent="0.25">
      <c r="A931" s="30" t="s">
        <v>7169</v>
      </c>
      <c r="B931" s="30" t="s">
        <v>7168</v>
      </c>
      <c r="C931" s="32">
        <v>213.56</v>
      </c>
      <c r="D931" s="30">
        <v>5.31</v>
      </c>
      <c r="E931" s="31">
        <v>2.5499999999999998E-2</v>
      </c>
      <c r="F931" s="30">
        <v>129140281917</v>
      </c>
      <c r="G931" s="30" t="s">
        <v>5427</v>
      </c>
      <c r="H931" s="30"/>
      <c r="I931" s="30">
        <v>3362905</v>
      </c>
      <c r="J931" s="30" t="s">
        <v>5442</v>
      </c>
      <c r="K931" s="30" t="s">
        <v>7167</v>
      </c>
    </row>
    <row r="932" spans="1:11" ht="12.5" x14ac:dyDescent="0.25">
      <c r="A932" s="30" t="s">
        <v>7166</v>
      </c>
      <c r="B932" s="30" t="s">
        <v>7165</v>
      </c>
      <c r="C932" s="32">
        <v>5.72</v>
      </c>
      <c r="D932" s="30">
        <v>0.12</v>
      </c>
      <c r="E932" s="31">
        <v>2.1430000000000001E-2</v>
      </c>
      <c r="F932" s="30">
        <v>4093411608</v>
      </c>
      <c r="G932" s="30" t="s">
        <v>5583</v>
      </c>
      <c r="H932" s="30">
        <v>2004</v>
      </c>
      <c r="I932" s="30">
        <v>322717</v>
      </c>
      <c r="J932" s="30" t="s">
        <v>5219</v>
      </c>
      <c r="K932" s="30" t="s">
        <v>5644</v>
      </c>
    </row>
    <row r="933" spans="1:11" ht="12.5" x14ac:dyDescent="0.25">
      <c r="A933" s="30" t="s">
        <v>7164</v>
      </c>
      <c r="B933" s="30" t="s">
        <v>7163</v>
      </c>
      <c r="C933" s="32">
        <v>70.5</v>
      </c>
      <c r="D933" s="30">
        <v>2.41</v>
      </c>
      <c r="E933" s="31">
        <v>3.5389999999999998E-2</v>
      </c>
      <c r="F933" s="30">
        <v>5054529578</v>
      </c>
      <c r="G933" s="30" t="s">
        <v>5427</v>
      </c>
      <c r="H933" s="30"/>
      <c r="I933" s="30">
        <v>577985</v>
      </c>
      <c r="J933" s="30"/>
      <c r="K933" s="30"/>
    </row>
    <row r="934" spans="1:11" ht="12.5" x14ac:dyDescent="0.25">
      <c r="A934" s="30" t="s">
        <v>7162</v>
      </c>
      <c r="B934" s="30" t="s">
        <v>7161</v>
      </c>
      <c r="C934" s="32">
        <v>43.25</v>
      </c>
      <c r="D934" s="30">
        <v>0.32</v>
      </c>
      <c r="E934" s="31">
        <v>7.45E-3</v>
      </c>
      <c r="F934" s="30">
        <v>1864495823</v>
      </c>
      <c r="G934" s="30" t="s">
        <v>5427</v>
      </c>
      <c r="H934" s="30"/>
      <c r="I934" s="30">
        <v>680422</v>
      </c>
      <c r="J934" s="30" t="s">
        <v>5442</v>
      </c>
      <c r="K934" s="30" t="s">
        <v>5914</v>
      </c>
    </row>
    <row r="935" spans="1:11" ht="12.5" x14ac:dyDescent="0.25">
      <c r="A935" s="30" t="s">
        <v>7160</v>
      </c>
      <c r="B935" s="30" t="s">
        <v>7159</v>
      </c>
      <c r="C935" s="32">
        <v>108.19</v>
      </c>
      <c r="D935" s="30">
        <v>0.15</v>
      </c>
      <c r="E935" s="31">
        <v>1.39E-3</v>
      </c>
      <c r="F935" s="30">
        <v>9195885584</v>
      </c>
      <c r="G935" s="30" t="s">
        <v>5427</v>
      </c>
      <c r="H935" s="30"/>
      <c r="I935" s="30">
        <v>418942</v>
      </c>
      <c r="J935" s="30" t="s">
        <v>5197</v>
      </c>
      <c r="K935" s="30" t="s">
        <v>5467</v>
      </c>
    </row>
    <row r="936" spans="1:11" ht="12.5" x14ac:dyDescent="0.25">
      <c r="A936" s="30" t="s">
        <v>7158</v>
      </c>
      <c r="B936" s="30" t="s">
        <v>7157</v>
      </c>
      <c r="C936" s="32">
        <v>38.33</v>
      </c>
      <c r="D936" s="30">
        <v>0.18</v>
      </c>
      <c r="E936" s="31">
        <v>4.7200000000000002E-3</v>
      </c>
      <c r="F936" s="30">
        <v>1552548639</v>
      </c>
      <c r="G936" s="30" t="s">
        <v>5427</v>
      </c>
      <c r="H936" s="30"/>
      <c r="I936" s="30">
        <v>302831</v>
      </c>
      <c r="J936" s="30" t="s">
        <v>5197</v>
      </c>
      <c r="K936" s="30" t="s">
        <v>5467</v>
      </c>
    </row>
    <row r="937" spans="1:11" ht="12.5" x14ac:dyDescent="0.25">
      <c r="A937" s="30" t="s">
        <v>7156</v>
      </c>
      <c r="B937" s="30" t="s">
        <v>7155</v>
      </c>
      <c r="C937" s="32">
        <v>26.1</v>
      </c>
      <c r="D937" s="30">
        <v>0.18</v>
      </c>
      <c r="E937" s="31">
        <v>6.94E-3</v>
      </c>
      <c r="F937" s="30">
        <v>4681654901</v>
      </c>
      <c r="G937" s="30" t="s">
        <v>5427</v>
      </c>
      <c r="H937" s="30">
        <v>2018</v>
      </c>
      <c r="I937" s="30">
        <v>3572451</v>
      </c>
      <c r="J937" s="30" t="s">
        <v>5457</v>
      </c>
      <c r="K937" s="30" t="s">
        <v>5438</v>
      </c>
    </row>
    <row r="938" spans="1:11" ht="12.5" x14ac:dyDescent="0.25">
      <c r="A938" s="30" t="s">
        <v>7154</v>
      </c>
      <c r="B938" s="30" t="s">
        <v>7153</v>
      </c>
      <c r="C938" s="32">
        <v>5.36</v>
      </c>
      <c r="D938" s="30">
        <v>0.11</v>
      </c>
      <c r="E938" s="31">
        <v>2.095E-2</v>
      </c>
      <c r="F938" s="30">
        <v>5545364038</v>
      </c>
      <c r="G938" s="30" t="s">
        <v>5427</v>
      </c>
      <c r="H938" s="30"/>
      <c r="I938" s="30">
        <v>24264074</v>
      </c>
      <c r="J938" s="30" t="s">
        <v>5732</v>
      </c>
      <c r="K938" s="30" t="s">
        <v>5520</v>
      </c>
    </row>
    <row r="939" spans="1:11" ht="12.5" x14ac:dyDescent="0.25">
      <c r="A939" s="30" t="s">
        <v>7152</v>
      </c>
      <c r="B939" s="30" t="s">
        <v>7151</v>
      </c>
      <c r="C939" s="32">
        <v>35.630000000000003</v>
      </c>
      <c r="D939" s="30">
        <v>-0.14000000000000001</v>
      </c>
      <c r="E939" s="31">
        <v>-3.9100000000000003E-3</v>
      </c>
      <c r="F939" s="30">
        <v>21155383903</v>
      </c>
      <c r="G939" s="30" t="s">
        <v>5427</v>
      </c>
      <c r="H939" s="30"/>
      <c r="I939" s="30">
        <v>9268924</v>
      </c>
      <c r="J939" s="30" t="s">
        <v>5442</v>
      </c>
      <c r="K939" s="30" t="s">
        <v>5749</v>
      </c>
    </row>
    <row r="940" spans="1:11" ht="12.5" x14ac:dyDescent="0.25">
      <c r="A940" s="30" t="s">
        <v>7150</v>
      </c>
      <c r="B940" s="30" t="s">
        <v>7149</v>
      </c>
      <c r="C940" s="32">
        <v>58.92</v>
      </c>
      <c r="D940" s="30">
        <v>-0.08</v>
      </c>
      <c r="E940" s="31">
        <v>-1.3600000000000001E-3</v>
      </c>
      <c r="F940" s="30">
        <v>45024676039</v>
      </c>
      <c r="G940" s="30" t="s">
        <v>5427</v>
      </c>
      <c r="H940" s="30">
        <v>2004</v>
      </c>
      <c r="I940" s="30">
        <v>7087624</v>
      </c>
      <c r="J940" s="30" t="s">
        <v>5442</v>
      </c>
      <c r="K940" s="30" t="s">
        <v>5704</v>
      </c>
    </row>
    <row r="941" spans="1:11" ht="12.5" x14ac:dyDescent="0.25">
      <c r="A941" s="30" t="s">
        <v>7148</v>
      </c>
      <c r="B941" s="30" t="s">
        <v>7147</v>
      </c>
      <c r="C941" s="32">
        <v>11.58</v>
      </c>
      <c r="D941" s="30">
        <v>0.03</v>
      </c>
      <c r="E941" s="31">
        <v>2.5999999999999999E-3</v>
      </c>
      <c r="F941" s="30">
        <v>3192875293</v>
      </c>
      <c r="G941" s="30" t="s">
        <v>5427</v>
      </c>
      <c r="H941" s="30"/>
      <c r="I941" s="30">
        <v>1757945</v>
      </c>
      <c r="J941" s="30" t="s">
        <v>5197</v>
      </c>
      <c r="K941" s="30" t="s">
        <v>5467</v>
      </c>
    </row>
    <row r="942" spans="1:11" ht="12.5" x14ac:dyDescent="0.25">
      <c r="A942" s="30" t="s">
        <v>7146</v>
      </c>
      <c r="B942" s="30" t="s">
        <v>7145</v>
      </c>
      <c r="C942" s="32">
        <v>12.51</v>
      </c>
      <c r="D942" s="30">
        <v>-0.2</v>
      </c>
      <c r="E942" s="31">
        <v>-1.5740000000000001E-2</v>
      </c>
      <c r="F942" s="30">
        <v>1025780406</v>
      </c>
      <c r="G942" s="30" t="s">
        <v>5427</v>
      </c>
      <c r="H942" s="30">
        <v>2003</v>
      </c>
      <c r="I942" s="30">
        <v>701553</v>
      </c>
      <c r="J942" s="30" t="s">
        <v>5457</v>
      </c>
      <c r="K942" s="30" t="s">
        <v>5438</v>
      </c>
    </row>
    <row r="943" spans="1:11" ht="12.5" x14ac:dyDescent="0.25">
      <c r="A943" s="30" t="s">
        <v>7144</v>
      </c>
      <c r="B943" s="30" t="s">
        <v>7143</v>
      </c>
      <c r="C943" s="32">
        <v>97.17</v>
      </c>
      <c r="D943" s="30">
        <v>0.48</v>
      </c>
      <c r="E943" s="31">
        <v>4.96E-3</v>
      </c>
      <c r="F943" s="30">
        <v>31640926155</v>
      </c>
      <c r="G943" s="30" t="s">
        <v>6073</v>
      </c>
      <c r="H943" s="30"/>
      <c r="I943" s="30">
        <v>1664285</v>
      </c>
      <c r="J943" s="30" t="s">
        <v>5457</v>
      </c>
      <c r="K943" s="30" t="s">
        <v>5555</v>
      </c>
    </row>
    <row r="944" spans="1:11" ht="12.5" x14ac:dyDescent="0.25">
      <c r="A944" s="30" t="s">
        <v>7142</v>
      </c>
      <c r="B944" s="30" t="s">
        <v>7141</v>
      </c>
      <c r="C944" s="32">
        <v>2.6</v>
      </c>
      <c r="D944" s="30">
        <v>0.01</v>
      </c>
      <c r="E944" s="31">
        <v>3.8600000000000001E-3</v>
      </c>
      <c r="F944" s="30">
        <v>43737103933</v>
      </c>
      <c r="G944" s="30" t="s">
        <v>5775</v>
      </c>
      <c r="H944" s="30"/>
      <c r="I944" s="30">
        <v>7374206</v>
      </c>
      <c r="J944" s="30" t="s">
        <v>5435</v>
      </c>
      <c r="K944" s="30" t="s">
        <v>5582</v>
      </c>
    </row>
    <row r="945" spans="1:11" ht="12.5" x14ac:dyDescent="0.25">
      <c r="A945" s="30" t="s">
        <v>7140</v>
      </c>
      <c r="B945" s="30" t="s">
        <v>7139</v>
      </c>
      <c r="C945" s="32">
        <v>81.319999999999993</v>
      </c>
      <c r="D945" s="30">
        <v>0.83</v>
      </c>
      <c r="E945" s="31">
        <v>1.031E-2</v>
      </c>
      <c r="F945" s="30">
        <v>18775151760</v>
      </c>
      <c r="G945" s="30" t="s">
        <v>5427</v>
      </c>
      <c r="H945" s="30"/>
      <c r="I945" s="30">
        <v>1944818</v>
      </c>
      <c r="J945" s="30" t="s">
        <v>5442</v>
      </c>
      <c r="K945" s="30" t="s">
        <v>5450</v>
      </c>
    </row>
    <row r="946" spans="1:11" ht="12.5" x14ac:dyDescent="0.25">
      <c r="A946" s="30" t="s">
        <v>7138</v>
      </c>
      <c r="B946" s="30" t="s">
        <v>7137</v>
      </c>
      <c r="C946" s="32">
        <v>28.81</v>
      </c>
      <c r="D946" s="30">
        <v>0.38</v>
      </c>
      <c r="E946" s="31">
        <v>1.337E-2</v>
      </c>
      <c r="F946" s="30">
        <v>1242749543</v>
      </c>
      <c r="G946" s="30" t="s">
        <v>5427</v>
      </c>
      <c r="H946" s="30"/>
      <c r="I946" s="30">
        <v>318354</v>
      </c>
      <c r="J946" s="30" t="s">
        <v>5442</v>
      </c>
      <c r="K946" s="30" t="s">
        <v>5894</v>
      </c>
    </row>
    <row r="947" spans="1:11" ht="12.5" x14ac:dyDescent="0.25">
      <c r="A947" s="30" t="s">
        <v>7136</v>
      </c>
      <c r="B947" s="30" t="s">
        <v>7135</v>
      </c>
      <c r="C947" s="32">
        <v>24.03</v>
      </c>
      <c r="D947" s="30">
        <v>0.4</v>
      </c>
      <c r="E947" s="31">
        <v>1.6930000000000001E-2</v>
      </c>
      <c r="F947" s="30">
        <v>6514820831</v>
      </c>
      <c r="G947" s="30" t="s">
        <v>5427</v>
      </c>
      <c r="H947" s="30"/>
      <c r="I947" s="30">
        <v>13218548</v>
      </c>
      <c r="J947" s="30" t="s">
        <v>5442</v>
      </c>
      <c r="K947" s="30" t="s">
        <v>5534</v>
      </c>
    </row>
    <row r="948" spans="1:11" ht="12.5" x14ac:dyDescent="0.25">
      <c r="A948" s="30" t="s">
        <v>7134</v>
      </c>
      <c r="B948" s="30" t="s">
        <v>7133</v>
      </c>
      <c r="C948" s="32">
        <v>374.08</v>
      </c>
      <c r="D948" s="30">
        <v>3.48</v>
      </c>
      <c r="E948" s="31">
        <v>9.3900000000000008E-3</v>
      </c>
      <c r="F948" s="30">
        <v>357620480000</v>
      </c>
      <c r="G948" s="30" t="s">
        <v>5427</v>
      </c>
      <c r="H948" s="30">
        <v>2006</v>
      </c>
      <c r="I948" s="30">
        <v>2951543</v>
      </c>
      <c r="J948" s="30" t="s">
        <v>5442</v>
      </c>
      <c r="K948" s="30" t="s">
        <v>5482</v>
      </c>
    </row>
    <row r="949" spans="1:11" ht="12.5" x14ac:dyDescent="0.25">
      <c r="A949" s="30" t="s">
        <v>7132</v>
      </c>
      <c r="B949" s="30" t="s">
        <v>7131</v>
      </c>
      <c r="C949" s="32">
        <v>168.44</v>
      </c>
      <c r="D949" s="30">
        <v>1.72</v>
      </c>
      <c r="E949" s="31">
        <v>1.0319999999999999E-2</v>
      </c>
      <c r="F949" s="30">
        <v>19450948912</v>
      </c>
      <c r="G949" s="30" t="s">
        <v>5427</v>
      </c>
      <c r="H949" s="30">
        <v>1994</v>
      </c>
      <c r="I949" s="30">
        <v>1301531</v>
      </c>
      <c r="J949" s="30" t="s">
        <v>5197</v>
      </c>
      <c r="K949" s="30" t="s">
        <v>5467</v>
      </c>
    </row>
    <row r="950" spans="1:11" ht="12.5" x14ac:dyDescent="0.25">
      <c r="A950" s="30" t="s">
        <v>7130</v>
      </c>
      <c r="B950" s="30" t="s">
        <v>7129</v>
      </c>
      <c r="C950" s="32">
        <v>13.89</v>
      </c>
      <c r="D950" s="30">
        <v>0.15</v>
      </c>
      <c r="E950" s="31">
        <v>1.0919999999999999E-2</v>
      </c>
      <c r="F950" s="30">
        <v>2983360289</v>
      </c>
      <c r="G950" s="30" t="s">
        <v>5427</v>
      </c>
      <c r="H950" s="30">
        <v>1994</v>
      </c>
      <c r="I950" s="30">
        <v>1909188</v>
      </c>
      <c r="J950" s="30" t="s">
        <v>5197</v>
      </c>
      <c r="K950" s="30" t="s">
        <v>5467</v>
      </c>
    </row>
    <row r="951" spans="1:11" ht="12.5" x14ac:dyDescent="0.25">
      <c r="A951" s="30" t="s">
        <v>7128</v>
      </c>
      <c r="B951" s="30" t="s">
        <v>7127</v>
      </c>
      <c r="C951" s="32">
        <v>39.71</v>
      </c>
      <c r="D951" s="30">
        <v>0.18</v>
      </c>
      <c r="E951" s="31">
        <v>4.5500000000000002E-3</v>
      </c>
      <c r="F951" s="30">
        <v>3067748120</v>
      </c>
      <c r="G951" s="30" t="s">
        <v>5427</v>
      </c>
      <c r="H951" s="30">
        <v>2007</v>
      </c>
      <c r="I951" s="30">
        <v>261122</v>
      </c>
      <c r="J951" s="30" t="s">
        <v>5435</v>
      </c>
      <c r="K951" s="30" t="s">
        <v>5985</v>
      </c>
    </row>
    <row r="952" spans="1:11" ht="12.5" x14ac:dyDescent="0.25">
      <c r="A952" s="30" t="s">
        <v>7126</v>
      </c>
      <c r="B952" s="30" t="s">
        <v>7125</v>
      </c>
      <c r="C952" s="32">
        <v>88.98</v>
      </c>
      <c r="D952" s="30">
        <v>1.82</v>
      </c>
      <c r="E952" s="31">
        <v>2.0879999999999999E-2</v>
      </c>
      <c r="F952" s="30">
        <v>4498573694</v>
      </c>
      <c r="G952" s="30" t="s">
        <v>5427</v>
      </c>
      <c r="H952" s="30"/>
      <c r="I952" s="30">
        <v>402077</v>
      </c>
      <c r="J952" s="30" t="s">
        <v>5442</v>
      </c>
      <c r="K952" s="30" t="s">
        <v>5994</v>
      </c>
    </row>
    <row r="953" spans="1:11" ht="12.5" x14ac:dyDescent="0.25">
      <c r="A953" s="30" t="s">
        <v>7124</v>
      </c>
      <c r="B953" s="30" t="s">
        <v>7123</v>
      </c>
      <c r="C953" s="32">
        <v>22.49</v>
      </c>
      <c r="D953" s="30">
        <v>-0.06</v>
      </c>
      <c r="E953" s="31">
        <v>-2.66E-3</v>
      </c>
      <c r="F953" s="30">
        <v>3667263773</v>
      </c>
      <c r="G953" s="30" t="s">
        <v>5775</v>
      </c>
      <c r="H953" s="30">
        <v>2012</v>
      </c>
      <c r="I953" s="30">
        <v>536649</v>
      </c>
      <c r="J953" s="30" t="s">
        <v>5442</v>
      </c>
      <c r="K953" s="30" t="s">
        <v>5450</v>
      </c>
    </row>
    <row r="954" spans="1:11" ht="12.5" x14ac:dyDescent="0.25">
      <c r="A954" s="30" t="s">
        <v>7122</v>
      </c>
      <c r="B954" s="30" t="s">
        <v>7121</v>
      </c>
      <c r="C954" s="32">
        <v>54.35</v>
      </c>
      <c r="D954" s="30">
        <v>1.1499999999999999</v>
      </c>
      <c r="E954" s="31">
        <v>2.162E-2</v>
      </c>
      <c r="F954" s="30">
        <v>12257507835</v>
      </c>
      <c r="G954" s="30" t="s">
        <v>5427</v>
      </c>
      <c r="H954" s="30"/>
      <c r="I954" s="30">
        <v>3233749</v>
      </c>
      <c r="J954" s="30" t="s">
        <v>5457</v>
      </c>
      <c r="K954" s="30" t="s">
        <v>5537</v>
      </c>
    </row>
    <row r="955" spans="1:11" ht="12.5" x14ac:dyDescent="0.25">
      <c r="A955" s="30" t="s">
        <v>7120</v>
      </c>
      <c r="B955" s="30" t="s">
        <v>7119</v>
      </c>
      <c r="C955" s="32">
        <v>27.33</v>
      </c>
      <c r="D955" s="30">
        <v>-0.23</v>
      </c>
      <c r="E955" s="31">
        <v>-8.3499999999999998E-3</v>
      </c>
      <c r="F955" s="30">
        <v>1501598503</v>
      </c>
      <c r="G955" s="30" t="s">
        <v>5427</v>
      </c>
      <c r="H955" s="30"/>
      <c r="I955" s="30">
        <v>508057</v>
      </c>
      <c r="J955" s="30" t="s">
        <v>6250</v>
      </c>
      <c r="K955" s="30" t="s">
        <v>6167</v>
      </c>
    </row>
    <row r="956" spans="1:11" ht="12.5" x14ac:dyDescent="0.25">
      <c r="A956" s="30" t="s">
        <v>7118</v>
      </c>
      <c r="B956" s="30" t="s">
        <v>7117</v>
      </c>
      <c r="C956" s="32">
        <v>68.61</v>
      </c>
      <c r="D956" s="30">
        <v>2.4900000000000002</v>
      </c>
      <c r="E956" s="31">
        <v>3.7659999999999999E-2</v>
      </c>
      <c r="F956" s="30">
        <v>2592132798</v>
      </c>
      <c r="G956" s="30" t="s">
        <v>5427</v>
      </c>
      <c r="H956" s="30"/>
      <c r="I956" s="30">
        <v>450274</v>
      </c>
      <c r="J956" s="30" t="s">
        <v>5442</v>
      </c>
      <c r="K956" s="30" t="s">
        <v>5910</v>
      </c>
    </row>
    <row r="957" spans="1:11" ht="12.5" x14ac:dyDescent="0.25">
      <c r="A957" s="30" t="s">
        <v>7116</v>
      </c>
      <c r="B957" s="30" t="s">
        <v>7115</v>
      </c>
      <c r="C957" s="32">
        <v>8.83</v>
      </c>
      <c r="D957" s="30">
        <v>7.0000000000000007E-2</v>
      </c>
      <c r="E957" s="31">
        <v>7.9900000000000006E-3</v>
      </c>
      <c r="F957" s="30">
        <v>211164496</v>
      </c>
      <c r="G957" s="30" t="s">
        <v>5427</v>
      </c>
      <c r="H957" s="30"/>
      <c r="I957" s="30">
        <v>76086</v>
      </c>
      <c r="J957" s="30" t="s">
        <v>5435</v>
      </c>
      <c r="K957" s="30" t="s">
        <v>5563</v>
      </c>
    </row>
    <row r="958" spans="1:11" ht="12.5" x14ac:dyDescent="0.25">
      <c r="A958" s="30" t="s">
        <v>7114</v>
      </c>
      <c r="B958" s="30" t="s">
        <v>7113</v>
      </c>
      <c r="C958" s="32">
        <v>13.04</v>
      </c>
      <c r="D958" s="30">
        <v>0.03</v>
      </c>
      <c r="E958" s="31">
        <v>2.31E-3</v>
      </c>
      <c r="F958" s="30">
        <v>715799739</v>
      </c>
      <c r="G958" s="30" t="s">
        <v>5427</v>
      </c>
      <c r="H958" s="30">
        <v>1987</v>
      </c>
      <c r="I958" s="30">
        <v>314648</v>
      </c>
      <c r="J958" s="30" t="s">
        <v>5435</v>
      </c>
      <c r="K958" s="30" t="s">
        <v>5493</v>
      </c>
    </row>
    <row r="959" spans="1:11" ht="12.5" x14ac:dyDescent="0.25">
      <c r="A959" s="30" t="s">
        <v>7112</v>
      </c>
      <c r="B959" s="30" t="s">
        <v>7111</v>
      </c>
      <c r="C959" s="32">
        <v>266.27</v>
      </c>
      <c r="D959" s="30">
        <v>-1.1299999999999999</v>
      </c>
      <c r="E959" s="31">
        <v>-4.2300000000000003E-3</v>
      </c>
      <c r="F959" s="30">
        <v>195022509723</v>
      </c>
      <c r="G959" s="30" t="s">
        <v>5427</v>
      </c>
      <c r="H959" s="30"/>
      <c r="I959" s="30">
        <v>3556710</v>
      </c>
      <c r="J959" s="30" t="s">
        <v>5442</v>
      </c>
      <c r="K959" s="30" t="s">
        <v>5441</v>
      </c>
    </row>
    <row r="960" spans="1:11" ht="12.5" x14ac:dyDescent="0.25">
      <c r="A960" s="30" t="s">
        <v>7110</v>
      </c>
      <c r="B960" s="30" t="s">
        <v>7109</v>
      </c>
      <c r="C960" s="32">
        <v>14.1</v>
      </c>
      <c r="D960" s="30">
        <v>0</v>
      </c>
      <c r="E960" s="31">
        <v>0</v>
      </c>
      <c r="F960" s="30">
        <v>285690238</v>
      </c>
      <c r="G960" s="30" t="s">
        <v>5427</v>
      </c>
      <c r="H960" s="30"/>
      <c r="I960" s="30">
        <v>16777</v>
      </c>
      <c r="J960" s="30" t="s">
        <v>5435</v>
      </c>
      <c r="K960" s="30" t="s">
        <v>5568</v>
      </c>
    </row>
    <row r="961" spans="1:11" ht="12.5" x14ac:dyDescent="0.25">
      <c r="A961" s="30" t="s">
        <v>7108</v>
      </c>
      <c r="B961" s="30" t="s">
        <v>7107</v>
      </c>
      <c r="C961" s="32">
        <v>370.98</v>
      </c>
      <c r="D961" s="30">
        <v>-7.7</v>
      </c>
      <c r="E961" s="31">
        <v>-2.0330000000000001E-2</v>
      </c>
      <c r="F961" s="30">
        <v>52602545210</v>
      </c>
      <c r="G961" s="30" t="s">
        <v>5427</v>
      </c>
      <c r="H961" s="30"/>
      <c r="I961" s="30">
        <v>1738617</v>
      </c>
      <c r="J961" s="30" t="s">
        <v>5431</v>
      </c>
      <c r="K961" s="30" t="s">
        <v>6734</v>
      </c>
    </row>
    <row r="962" spans="1:11" ht="12.5" x14ac:dyDescent="0.25">
      <c r="A962" s="30" t="s">
        <v>7106</v>
      </c>
      <c r="B962" s="30" t="s">
        <v>7105</v>
      </c>
      <c r="C962" s="32">
        <v>8.01</v>
      </c>
      <c r="D962" s="30">
        <v>-0.03</v>
      </c>
      <c r="E962" s="31">
        <v>-3.7299999999999998E-3</v>
      </c>
      <c r="F962" s="30">
        <v>168123204</v>
      </c>
      <c r="G962" s="30" t="s">
        <v>5427</v>
      </c>
      <c r="H962" s="30">
        <v>2004</v>
      </c>
      <c r="I962" s="30">
        <v>30604</v>
      </c>
      <c r="J962" s="30"/>
      <c r="K962" s="30"/>
    </row>
    <row r="963" spans="1:11" ht="12.5" x14ac:dyDescent="0.25">
      <c r="A963" s="30" t="s">
        <v>7104</v>
      </c>
      <c r="B963" s="30" t="s">
        <v>7103</v>
      </c>
      <c r="C963" s="32">
        <v>323.27</v>
      </c>
      <c r="D963" s="30">
        <v>0.52</v>
      </c>
      <c r="E963" s="31">
        <v>1.6100000000000001E-3</v>
      </c>
      <c r="F963" s="30">
        <v>59223064000</v>
      </c>
      <c r="G963" s="30" t="s">
        <v>5427</v>
      </c>
      <c r="H963" s="30"/>
      <c r="I963" s="30">
        <v>1515708</v>
      </c>
      <c r="J963" s="30" t="s">
        <v>5435</v>
      </c>
      <c r="K963" s="30" t="s">
        <v>5856</v>
      </c>
    </row>
    <row r="964" spans="1:11" ht="12.5" x14ac:dyDescent="0.25">
      <c r="A964" s="30" t="s">
        <v>7102</v>
      </c>
      <c r="B964" s="30" t="s">
        <v>7101</v>
      </c>
      <c r="C964" s="32">
        <v>6.79</v>
      </c>
      <c r="D964" s="30">
        <v>0.09</v>
      </c>
      <c r="E964" s="31">
        <v>1.3429999999999999E-2</v>
      </c>
      <c r="F964" s="30">
        <v>298816900</v>
      </c>
      <c r="G964" s="30" t="s">
        <v>5427</v>
      </c>
      <c r="H964" s="30">
        <v>1989</v>
      </c>
      <c r="I964" s="30">
        <v>121035</v>
      </c>
      <c r="J964" s="30" t="s">
        <v>5435</v>
      </c>
      <c r="K964" s="30" t="s">
        <v>5568</v>
      </c>
    </row>
    <row r="965" spans="1:11" ht="12.5" x14ac:dyDescent="0.25">
      <c r="A965" s="30" t="s">
        <v>7100</v>
      </c>
      <c r="B965" s="30" t="s">
        <v>7099</v>
      </c>
      <c r="C965" s="32">
        <v>15.16</v>
      </c>
      <c r="D965" s="30">
        <v>0.02</v>
      </c>
      <c r="E965" s="31">
        <v>1.32E-3</v>
      </c>
      <c r="F965" s="30">
        <v>477665707</v>
      </c>
      <c r="G965" s="30" t="s">
        <v>5427</v>
      </c>
      <c r="H965" s="30"/>
      <c r="I965" s="30">
        <v>509252</v>
      </c>
      <c r="J965" s="30" t="s">
        <v>5442</v>
      </c>
      <c r="K965" s="30" t="s">
        <v>5450</v>
      </c>
    </row>
    <row r="966" spans="1:11" ht="12.5" x14ac:dyDescent="0.25">
      <c r="A966" s="30" t="s">
        <v>7098</v>
      </c>
      <c r="B966" s="30" t="s">
        <v>7097</v>
      </c>
      <c r="C966" s="32">
        <v>37.18</v>
      </c>
      <c r="D966" s="30">
        <v>1.45</v>
      </c>
      <c r="E966" s="31">
        <v>4.0579999999999998E-2</v>
      </c>
      <c r="F966" s="30">
        <v>2058698502</v>
      </c>
      <c r="G966" s="30" t="s">
        <v>5427</v>
      </c>
      <c r="H966" s="30"/>
      <c r="I966" s="30">
        <v>388721</v>
      </c>
      <c r="J966" s="30" t="s">
        <v>5435</v>
      </c>
      <c r="K966" s="30" t="s">
        <v>5493</v>
      </c>
    </row>
    <row r="967" spans="1:11" ht="12.5" x14ac:dyDescent="0.25">
      <c r="A967" s="30" t="s">
        <v>7096</v>
      </c>
      <c r="B967" s="30" t="s">
        <v>7095</v>
      </c>
      <c r="C967" s="32">
        <v>15.75</v>
      </c>
      <c r="D967" s="30">
        <v>0.4</v>
      </c>
      <c r="E967" s="31">
        <v>2.606E-2</v>
      </c>
      <c r="F967" s="30">
        <v>1308348673</v>
      </c>
      <c r="G967" s="30" t="s">
        <v>5427</v>
      </c>
      <c r="H967" s="30"/>
      <c r="I967" s="30">
        <v>860193</v>
      </c>
      <c r="J967" s="30" t="s">
        <v>5431</v>
      </c>
      <c r="K967" s="30" t="s">
        <v>5610</v>
      </c>
    </row>
    <row r="968" spans="1:11" ht="12.5" x14ac:dyDescent="0.25">
      <c r="A968" s="30" t="s">
        <v>7094</v>
      </c>
      <c r="B968" s="30" t="s">
        <v>7093</v>
      </c>
      <c r="C968" s="32">
        <v>38.78</v>
      </c>
      <c r="D968" s="30">
        <v>1.02</v>
      </c>
      <c r="E968" s="31">
        <v>2.7009999999999999E-2</v>
      </c>
      <c r="F968" s="30">
        <v>2763624978</v>
      </c>
      <c r="G968" s="30" t="s">
        <v>5427</v>
      </c>
      <c r="H968" s="30"/>
      <c r="I968" s="30">
        <v>1183495</v>
      </c>
      <c r="J968" s="30" t="s">
        <v>5442</v>
      </c>
      <c r="K968" s="30" t="s">
        <v>5576</v>
      </c>
    </row>
    <row r="969" spans="1:11" ht="12.5" x14ac:dyDescent="0.25">
      <c r="A969" s="30" t="s">
        <v>7092</v>
      </c>
      <c r="B969" s="30" t="s">
        <v>7091</v>
      </c>
      <c r="C969" s="32">
        <v>85.77</v>
      </c>
      <c r="D969" s="30">
        <v>2.08</v>
      </c>
      <c r="E969" s="31">
        <v>2.4850000000000001E-2</v>
      </c>
      <c r="F969" s="30">
        <v>114089536713</v>
      </c>
      <c r="G969" s="30" t="s">
        <v>5427</v>
      </c>
      <c r="H969" s="30"/>
      <c r="I969" s="30">
        <v>8395401</v>
      </c>
      <c r="J969" s="30" t="s">
        <v>5431</v>
      </c>
      <c r="K969" s="30" t="s">
        <v>6537</v>
      </c>
    </row>
    <row r="970" spans="1:11" ht="12.5" x14ac:dyDescent="0.25">
      <c r="A970" s="30" t="s">
        <v>7090</v>
      </c>
      <c r="B970" s="30" t="s">
        <v>7089</v>
      </c>
      <c r="C970" s="32">
        <v>31.24</v>
      </c>
      <c r="D970" s="30">
        <v>0.33</v>
      </c>
      <c r="E970" s="31">
        <v>1.068E-2</v>
      </c>
      <c r="F970" s="30">
        <v>6352677118</v>
      </c>
      <c r="G970" s="30" t="s">
        <v>5427</v>
      </c>
      <c r="H970" s="30"/>
      <c r="I970" s="30">
        <v>732140</v>
      </c>
      <c r="J970" s="30" t="s">
        <v>5457</v>
      </c>
      <c r="K970" s="30" t="s">
        <v>5571</v>
      </c>
    </row>
    <row r="971" spans="1:11" ht="12.5" x14ac:dyDescent="0.25">
      <c r="A971" s="30" t="s">
        <v>5067</v>
      </c>
      <c r="B971" s="30" t="s">
        <v>7088</v>
      </c>
      <c r="C971" s="32">
        <v>115</v>
      </c>
      <c r="D971" s="30">
        <v>3.55</v>
      </c>
      <c r="E971" s="31">
        <v>3.1850000000000003E-2</v>
      </c>
      <c r="F971" s="30">
        <v>1256603735</v>
      </c>
      <c r="G971" s="30" t="s">
        <v>5427</v>
      </c>
      <c r="H971" s="30"/>
      <c r="I971" s="30">
        <v>235852</v>
      </c>
      <c r="J971" s="30" t="s">
        <v>5442</v>
      </c>
      <c r="K971" s="30" t="s">
        <v>5914</v>
      </c>
    </row>
    <row r="972" spans="1:11" ht="12.5" x14ac:dyDescent="0.25">
      <c r="A972" s="30" t="s">
        <v>7087</v>
      </c>
      <c r="B972" s="30" t="s">
        <v>7086</v>
      </c>
      <c r="C972" s="32">
        <v>53.99</v>
      </c>
      <c r="D972" s="30">
        <v>-0.17</v>
      </c>
      <c r="E972" s="31">
        <v>-3.14E-3</v>
      </c>
      <c r="F972" s="30">
        <v>1604127448</v>
      </c>
      <c r="G972" s="30" t="s">
        <v>5427</v>
      </c>
      <c r="H972" s="30">
        <v>2020</v>
      </c>
      <c r="I972" s="30">
        <v>112550</v>
      </c>
      <c r="J972" s="30"/>
      <c r="K972" s="30"/>
    </row>
    <row r="973" spans="1:11" ht="12.5" x14ac:dyDescent="0.25">
      <c r="A973" s="30" t="s">
        <v>7085</v>
      </c>
      <c r="B973" s="30" t="s">
        <v>7084</v>
      </c>
      <c r="C973" s="32">
        <v>49.38</v>
      </c>
      <c r="D973" s="30">
        <v>1.64</v>
      </c>
      <c r="E973" s="31">
        <v>3.4349999999999999E-2</v>
      </c>
      <c r="F973" s="30">
        <v>1782206813</v>
      </c>
      <c r="G973" s="30" t="s">
        <v>5427</v>
      </c>
      <c r="H973" s="30"/>
      <c r="I973" s="30">
        <v>222161</v>
      </c>
      <c r="J973" s="30" t="s">
        <v>5219</v>
      </c>
      <c r="K973" s="30" t="s">
        <v>5647</v>
      </c>
    </row>
    <row r="974" spans="1:11" ht="12.5" x14ac:dyDescent="0.25">
      <c r="A974" s="30" t="s">
        <v>7083</v>
      </c>
      <c r="B974" s="30" t="s">
        <v>7082</v>
      </c>
      <c r="C974" s="32">
        <v>72.680000000000007</v>
      </c>
      <c r="D974" s="30">
        <v>-0.34</v>
      </c>
      <c r="E974" s="31">
        <v>-4.6600000000000001E-3</v>
      </c>
      <c r="F974" s="30">
        <v>57025178979</v>
      </c>
      <c r="G974" s="30" t="s">
        <v>5427</v>
      </c>
      <c r="H974" s="30">
        <v>2000</v>
      </c>
      <c r="I974" s="30">
        <v>4962263</v>
      </c>
      <c r="J974" s="30" t="s">
        <v>5435</v>
      </c>
      <c r="K974" s="30" t="s">
        <v>6352</v>
      </c>
    </row>
    <row r="975" spans="1:11" ht="12.5" x14ac:dyDescent="0.25">
      <c r="A975" s="30" t="s">
        <v>7081</v>
      </c>
      <c r="B975" s="30" t="s">
        <v>7080</v>
      </c>
      <c r="C975" s="32">
        <v>12.16</v>
      </c>
      <c r="D975" s="30">
        <v>0.27</v>
      </c>
      <c r="E975" s="31">
        <v>2.2710000000000001E-2</v>
      </c>
      <c r="F975" s="30">
        <v>1237850803</v>
      </c>
      <c r="G975" s="30" t="s">
        <v>5427</v>
      </c>
      <c r="H975" s="30"/>
      <c r="I975" s="30">
        <v>1389389</v>
      </c>
      <c r="J975" s="30" t="s">
        <v>5197</v>
      </c>
      <c r="K975" s="30" t="s">
        <v>5467</v>
      </c>
    </row>
    <row r="976" spans="1:11" ht="12.5" x14ac:dyDescent="0.25">
      <c r="A976" s="30" t="s">
        <v>7079</v>
      </c>
      <c r="B976" s="30" t="s">
        <v>7078</v>
      </c>
      <c r="C976" s="32">
        <v>20.04</v>
      </c>
      <c r="D976" s="30">
        <v>0.24</v>
      </c>
      <c r="E976" s="31">
        <v>1.2120000000000001E-2</v>
      </c>
      <c r="F976" s="30">
        <v>37571938048</v>
      </c>
      <c r="G976" s="30" t="s">
        <v>5515</v>
      </c>
      <c r="H976" s="30"/>
      <c r="I976" s="30">
        <v>5295459</v>
      </c>
      <c r="J976" s="30" t="s">
        <v>5442</v>
      </c>
      <c r="K976" s="30" t="s">
        <v>5856</v>
      </c>
    </row>
    <row r="977" spans="1:11" ht="12.5" x14ac:dyDescent="0.25">
      <c r="A977" s="30" t="s">
        <v>7077</v>
      </c>
      <c r="B977" s="30" t="s">
        <v>7076</v>
      </c>
      <c r="C977" s="32">
        <v>8.64</v>
      </c>
      <c r="D977" s="30">
        <v>-0.15989999999999999</v>
      </c>
      <c r="E977" s="31">
        <v>-1.8169999999999999E-2</v>
      </c>
      <c r="F977" s="30">
        <v>73849899</v>
      </c>
      <c r="G977" s="30" t="s">
        <v>5427</v>
      </c>
      <c r="H977" s="30">
        <v>2004</v>
      </c>
      <c r="I977" s="30">
        <v>68930</v>
      </c>
      <c r="J977" s="30" t="s">
        <v>5435</v>
      </c>
      <c r="K977" s="30" t="s">
        <v>5568</v>
      </c>
    </row>
    <row r="978" spans="1:11" ht="12.5" x14ac:dyDescent="0.25">
      <c r="A978" s="30" t="s">
        <v>7075</v>
      </c>
      <c r="B978" s="30" t="s">
        <v>7074</v>
      </c>
      <c r="C978" s="32">
        <v>3.19</v>
      </c>
      <c r="D978" s="30">
        <v>0.03</v>
      </c>
      <c r="E978" s="31">
        <v>9.4900000000000002E-3</v>
      </c>
      <c r="F978" s="30">
        <v>40422386949</v>
      </c>
      <c r="G978" s="30" t="s">
        <v>5927</v>
      </c>
      <c r="H978" s="30"/>
      <c r="I978" s="30">
        <v>1042616</v>
      </c>
      <c r="J978" s="30" t="s">
        <v>5435</v>
      </c>
      <c r="K978" s="30" t="s">
        <v>5579</v>
      </c>
    </row>
    <row r="979" spans="1:11" ht="12.5" x14ac:dyDescent="0.25">
      <c r="A979" s="30" t="s">
        <v>7073</v>
      </c>
      <c r="B979" s="30" t="s">
        <v>7072</v>
      </c>
      <c r="C979" s="32">
        <v>5.42</v>
      </c>
      <c r="D979" s="30">
        <v>7.0000000000000007E-2</v>
      </c>
      <c r="E979" s="31">
        <v>1.308E-2</v>
      </c>
      <c r="F979" s="30">
        <v>223236960</v>
      </c>
      <c r="G979" s="30" t="s">
        <v>5427</v>
      </c>
      <c r="H979" s="30">
        <v>1986</v>
      </c>
      <c r="I979" s="30">
        <v>144680</v>
      </c>
      <c r="J979" s="30" t="s">
        <v>5435</v>
      </c>
      <c r="K979" s="30" t="s">
        <v>5563</v>
      </c>
    </row>
    <row r="980" spans="1:11" ht="12.5" x14ac:dyDescent="0.25">
      <c r="A980" s="30" t="s">
        <v>7071</v>
      </c>
      <c r="B980" s="30" t="s">
        <v>7070</v>
      </c>
      <c r="C980" s="32">
        <v>5.37</v>
      </c>
      <c r="D980" s="30">
        <v>7.0000000000000007E-2</v>
      </c>
      <c r="E980" s="31">
        <v>1.321E-2</v>
      </c>
      <c r="F980" s="30">
        <v>160707340</v>
      </c>
      <c r="G980" s="30" t="s">
        <v>5427</v>
      </c>
      <c r="H980" s="30">
        <v>2009</v>
      </c>
      <c r="I980" s="30">
        <v>96387</v>
      </c>
      <c r="J980" s="30" t="s">
        <v>5219</v>
      </c>
      <c r="K980" s="30" t="s">
        <v>6786</v>
      </c>
    </row>
    <row r="981" spans="1:11" ht="12.5" x14ac:dyDescent="0.25">
      <c r="A981" s="30" t="s">
        <v>7069</v>
      </c>
      <c r="B981" s="30" t="s">
        <v>7068</v>
      </c>
      <c r="C981" s="32">
        <v>67.680000000000007</v>
      </c>
      <c r="D981" s="30">
        <v>2.74</v>
      </c>
      <c r="E981" s="31">
        <v>4.2189999999999998E-2</v>
      </c>
      <c r="F981" s="30">
        <v>19344247111</v>
      </c>
      <c r="G981" s="30" t="s">
        <v>5515</v>
      </c>
      <c r="H981" s="30"/>
      <c r="I981" s="30">
        <v>1335341</v>
      </c>
      <c r="J981" s="30" t="s">
        <v>5442</v>
      </c>
      <c r="K981" s="30" t="s">
        <v>5853</v>
      </c>
    </row>
    <row r="982" spans="1:11" ht="12.5" x14ac:dyDescent="0.25">
      <c r="A982" s="30" t="s">
        <v>7067</v>
      </c>
      <c r="B982" s="30" t="s">
        <v>7066</v>
      </c>
      <c r="C982" s="32">
        <v>3.41</v>
      </c>
      <c r="D982" s="30">
        <v>-0.04</v>
      </c>
      <c r="E982" s="31">
        <v>-1.159E-2</v>
      </c>
      <c r="F982" s="30">
        <v>111157110</v>
      </c>
      <c r="G982" s="30" t="s">
        <v>5427</v>
      </c>
      <c r="H982" s="30">
        <v>1987</v>
      </c>
      <c r="I982" s="30">
        <v>51039</v>
      </c>
      <c r="J982" s="30" t="s">
        <v>5435</v>
      </c>
      <c r="K982" s="30" t="s">
        <v>5568</v>
      </c>
    </row>
    <row r="983" spans="1:11" ht="12.5" x14ac:dyDescent="0.25">
      <c r="A983" s="30" t="s">
        <v>7065</v>
      </c>
      <c r="B983" s="30" t="s">
        <v>7064</v>
      </c>
      <c r="C983" s="32">
        <v>41.91</v>
      </c>
      <c r="D983" s="30">
        <v>0.5</v>
      </c>
      <c r="E983" s="31">
        <v>1.2070000000000001E-2</v>
      </c>
      <c r="F983" s="30">
        <v>16094290605</v>
      </c>
      <c r="G983" s="30" t="s">
        <v>5427</v>
      </c>
      <c r="H983" s="30"/>
      <c r="I983" s="30">
        <v>3614103</v>
      </c>
      <c r="J983" s="30" t="s">
        <v>5442</v>
      </c>
      <c r="K983" s="30" t="s">
        <v>5704</v>
      </c>
    </row>
    <row r="984" spans="1:11" ht="12.5" x14ac:dyDescent="0.25">
      <c r="A984" s="30" t="s">
        <v>7063</v>
      </c>
      <c r="B984" s="30" t="s">
        <v>7062</v>
      </c>
      <c r="C984" s="32">
        <v>24.25</v>
      </c>
      <c r="D984" s="30">
        <v>0.15</v>
      </c>
      <c r="E984" s="31">
        <v>6.2199999999999998E-3</v>
      </c>
      <c r="F984" s="30">
        <v>298540974</v>
      </c>
      <c r="G984" s="30" t="s">
        <v>5427</v>
      </c>
      <c r="H984" s="30">
        <v>2005</v>
      </c>
      <c r="I984" s="30">
        <v>20848</v>
      </c>
      <c r="J984" s="30" t="s">
        <v>5435</v>
      </c>
      <c r="K984" s="30" t="s">
        <v>5568</v>
      </c>
    </row>
    <row r="985" spans="1:11" ht="12.5" x14ac:dyDescent="0.25">
      <c r="A985" s="30" t="s">
        <v>7061</v>
      </c>
      <c r="B985" s="30" t="s">
        <v>7060</v>
      </c>
      <c r="C985" s="32">
        <v>23.01</v>
      </c>
      <c r="D985" s="30">
        <v>-0.6</v>
      </c>
      <c r="E985" s="31">
        <v>-2.5409999999999999E-2</v>
      </c>
      <c r="F985" s="30">
        <v>4599057343</v>
      </c>
      <c r="G985" s="30" t="s">
        <v>5427</v>
      </c>
      <c r="H985" s="30">
        <v>2017</v>
      </c>
      <c r="I985" s="30">
        <v>1609615</v>
      </c>
      <c r="J985" s="30" t="s">
        <v>5464</v>
      </c>
      <c r="K985" s="30" t="s">
        <v>5463</v>
      </c>
    </row>
    <row r="986" spans="1:11" ht="12.5" x14ac:dyDescent="0.25">
      <c r="A986" s="30" t="s">
        <v>7059</v>
      </c>
      <c r="B986" s="30" t="s">
        <v>7058</v>
      </c>
      <c r="C986" s="32">
        <v>12.41</v>
      </c>
      <c r="D986" s="30">
        <v>0.01</v>
      </c>
      <c r="E986" s="31">
        <v>8.0999999999999996E-4</v>
      </c>
      <c r="F986" s="30">
        <v>662157739</v>
      </c>
      <c r="G986" s="30" t="s">
        <v>5427</v>
      </c>
      <c r="H986" s="30">
        <v>1997</v>
      </c>
      <c r="I986" s="30">
        <v>112538</v>
      </c>
      <c r="J986" s="30" t="s">
        <v>5435</v>
      </c>
      <c r="K986" s="30" t="s">
        <v>5568</v>
      </c>
    </row>
    <row r="987" spans="1:11" ht="12.5" x14ac:dyDescent="0.25">
      <c r="A987" s="30" t="s">
        <v>7057</v>
      </c>
      <c r="B987" s="30" t="s">
        <v>7056</v>
      </c>
      <c r="C987" s="32">
        <v>6.81</v>
      </c>
      <c r="D987" s="30">
        <v>7.0000000000000007E-2</v>
      </c>
      <c r="E987" s="31">
        <v>1.039E-2</v>
      </c>
      <c r="F987" s="30">
        <v>147444829</v>
      </c>
      <c r="G987" s="30" t="s">
        <v>5427</v>
      </c>
      <c r="H987" s="30">
        <v>1988</v>
      </c>
      <c r="I987" s="30">
        <v>20871</v>
      </c>
      <c r="J987" s="30" t="s">
        <v>5435</v>
      </c>
      <c r="K987" s="30" t="s">
        <v>5985</v>
      </c>
    </row>
    <row r="988" spans="1:11" ht="12.5" x14ac:dyDescent="0.25">
      <c r="A988" s="30" t="s">
        <v>7055</v>
      </c>
      <c r="B988" s="30" t="s">
        <v>7054</v>
      </c>
      <c r="C988" s="32">
        <v>9.4499999999999993</v>
      </c>
      <c r="D988" s="30">
        <v>0.06</v>
      </c>
      <c r="E988" s="31">
        <v>6.3899999999999998E-3</v>
      </c>
      <c r="F988" s="30">
        <v>215189248</v>
      </c>
      <c r="G988" s="30" t="s">
        <v>5427</v>
      </c>
      <c r="H988" s="30">
        <v>2003</v>
      </c>
      <c r="I988" s="30">
        <v>74822</v>
      </c>
      <c r="J988" s="30" t="s">
        <v>5435</v>
      </c>
      <c r="K988" s="30" t="s">
        <v>5434</v>
      </c>
    </row>
    <row r="989" spans="1:11" ht="12.5" x14ac:dyDescent="0.25">
      <c r="A989" s="30" t="s">
        <v>7053</v>
      </c>
      <c r="B989" s="30" t="s">
        <v>7052</v>
      </c>
      <c r="C989" s="32">
        <v>123.49</v>
      </c>
      <c r="D989" s="30">
        <v>3.43</v>
      </c>
      <c r="E989" s="31">
        <v>2.8570000000000002E-2</v>
      </c>
      <c r="F989" s="30">
        <v>7845817612</v>
      </c>
      <c r="G989" s="30" t="s">
        <v>5427</v>
      </c>
      <c r="H989" s="30"/>
      <c r="I989" s="30">
        <v>563677</v>
      </c>
      <c r="J989" s="30" t="s">
        <v>5442</v>
      </c>
      <c r="K989" s="30" t="s">
        <v>5894</v>
      </c>
    </row>
    <row r="990" spans="1:11" ht="12.5" x14ac:dyDescent="0.25">
      <c r="A990" s="30" t="s">
        <v>7051</v>
      </c>
      <c r="B990" s="30" t="s">
        <v>7050</v>
      </c>
      <c r="C990" s="32">
        <v>11.06</v>
      </c>
      <c r="D990" s="30">
        <v>0.05</v>
      </c>
      <c r="E990" s="31">
        <v>4.5399999999999998E-3</v>
      </c>
      <c r="F990" s="30">
        <v>344320174</v>
      </c>
      <c r="G990" s="30" t="s">
        <v>5427</v>
      </c>
      <c r="H990" s="30">
        <v>1997</v>
      </c>
      <c r="I990" s="30">
        <v>39456</v>
      </c>
      <c r="J990" s="30" t="s">
        <v>5435</v>
      </c>
      <c r="K990" s="30" t="s">
        <v>5563</v>
      </c>
    </row>
    <row r="991" spans="1:11" ht="12.5" x14ac:dyDescent="0.25">
      <c r="A991" s="30" t="s">
        <v>7049</v>
      </c>
      <c r="B991" s="30" t="s">
        <v>7048</v>
      </c>
      <c r="C991" s="32">
        <v>60.91</v>
      </c>
      <c r="D991" s="30">
        <v>1.1100000000000001</v>
      </c>
      <c r="E991" s="31">
        <v>1.856E-2</v>
      </c>
      <c r="F991" s="30">
        <v>1670699355</v>
      </c>
      <c r="G991" s="30" t="s">
        <v>5427</v>
      </c>
      <c r="H991" s="30">
        <v>1993</v>
      </c>
      <c r="I991" s="30">
        <v>752167</v>
      </c>
      <c r="J991" s="30" t="s">
        <v>5442</v>
      </c>
      <c r="K991" s="30" t="s">
        <v>5576</v>
      </c>
    </row>
    <row r="992" spans="1:11" ht="12.5" x14ac:dyDescent="0.25">
      <c r="A992" s="30" t="s">
        <v>7047</v>
      </c>
      <c r="B992" s="30" t="s">
        <v>7046</v>
      </c>
      <c r="C992" s="32">
        <v>2.91</v>
      </c>
      <c r="D992" s="30">
        <v>-0.03</v>
      </c>
      <c r="E992" s="31">
        <v>-1.0200000000000001E-2</v>
      </c>
      <c r="F992" s="30">
        <v>334352514</v>
      </c>
      <c r="G992" s="30" t="s">
        <v>5427</v>
      </c>
      <c r="H992" s="30">
        <v>1988</v>
      </c>
      <c r="I992" s="30">
        <v>301061</v>
      </c>
      <c r="J992" s="30" t="s">
        <v>5435</v>
      </c>
      <c r="K992" s="30" t="s">
        <v>5568</v>
      </c>
    </row>
    <row r="993" spans="1:11" ht="12.5" x14ac:dyDescent="0.25">
      <c r="A993" s="30" t="s">
        <v>7045</v>
      </c>
      <c r="B993" s="30" t="s">
        <v>7044</v>
      </c>
      <c r="C993" s="32">
        <v>8.06</v>
      </c>
      <c r="D993" s="30">
        <v>0.11</v>
      </c>
      <c r="E993" s="31">
        <v>1.384E-2</v>
      </c>
      <c r="F993" s="30">
        <v>1677720273</v>
      </c>
      <c r="G993" s="30" t="s">
        <v>5427</v>
      </c>
      <c r="H993" s="30">
        <v>2020</v>
      </c>
      <c r="I993" s="30">
        <v>1603793</v>
      </c>
      <c r="J993" s="30" t="s">
        <v>5219</v>
      </c>
      <c r="K993" s="30" t="s">
        <v>5644</v>
      </c>
    </row>
    <row r="994" spans="1:11" ht="12.5" x14ac:dyDescent="0.25">
      <c r="A994" s="30" t="s">
        <v>7043</v>
      </c>
      <c r="B994" s="30" t="s">
        <v>7042</v>
      </c>
      <c r="C994" s="32">
        <v>6.85</v>
      </c>
      <c r="D994" s="30">
        <v>0.1</v>
      </c>
      <c r="E994" s="31">
        <v>1.481E-2</v>
      </c>
      <c r="F994" s="30">
        <v>151126447</v>
      </c>
      <c r="G994" s="30" t="s">
        <v>5427</v>
      </c>
      <c r="H994" s="30">
        <v>2011</v>
      </c>
      <c r="I994" s="30">
        <v>170539</v>
      </c>
      <c r="J994" s="30" t="s">
        <v>5197</v>
      </c>
      <c r="K994" s="30" t="s">
        <v>5467</v>
      </c>
    </row>
    <row r="995" spans="1:11" ht="12.5" x14ac:dyDescent="0.25">
      <c r="A995" s="30" t="s">
        <v>7041</v>
      </c>
      <c r="B995" s="30" t="s">
        <v>7040</v>
      </c>
      <c r="C995" s="32">
        <v>11.9</v>
      </c>
      <c r="D995" s="30">
        <v>0.08</v>
      </c>
      <c r="E995" s="31">
        <v>6.77E-3</v>
      </c>
      <c r="F995" s="30">
        <v>351239448</v>
      </c>
      <c r="G995" s="30" t="s">
        <v>5427</v>
      </c>
      <c r="H995" s="30">
        <v>1992</v>
      </c>
      <c r="I995" s="30">
        <v>53673</v>
      </c>
      <c r="J995" s="30" t="s">
        <v>5435</v>
      </c>
      <c r="K995" s="30" t="s">
        <v>5563</v>
      </c>
    </row>
    <row r="996" spans="1:11" ht="12.5" x14ac:dyDescent="0.25">
      <c r="A996" s="30" t="s">
        <v>7039</v>
      </c>
      <c r="B996" s="30" t="s">
        <v>7038</v>
      </c>
      <c r="C996" s="32">
        <v>75.62</v>
      </c>
      <c r="D996" s="30">
        <v>0.5</v>
      </c>
      <c r="E996" s="31">
        <v>6.6600000000000001E-3</v>
      </c>
      <c r="F996" s="30">
        <v>20273839665</v>
      </c>
      <c r="G996" s="30" t="s">
        <v>5427</v>
      </c>
      <c r="H996" s="30"/>
      <c r="I996" s="30">
        <v>1436393</v>
      </c>
      <c r="J996" s="30" t="s">
        <v>5541</v>
      </c>
      <c r="K996" s="30" t="s">
        <v>5774</v>
      </c>
    </row>
    <row r="997" spans="1:11" ht="12.5" x14ac:dyDescent="0.25">
      <c r="A997" s="30" t="s">
        <v>7037</v>
      </c>
      <c r="B997" s="30" t="s">
        <v>7036</v>
      </c>
      <c r="C997" s="32">
        <v>1.46</v>
      </c>
      <c r="D997" s="30">
        <v>0.12</v>
      </c>
      <c r="E997" s="31">
        <v>8.9550000000000005E-2</v>
      </c>
      <c r="F997" s="30">
        <v>283439849</v>
      </c>
      <c r="G997" s="30" t="s">
        <v>5427</v>
      </c>
      <c r="H997" s="30">
        <v>2020</v>
      </c>
      <c r="I997" s="30">
        <v>878895</v>
      </c>
      <c r="J997" s="30" t="s">
        <v>5219</v>
      </c>
      <c r="K997" s="30" t="s">
        <v>5812</v>
      </c>
    </row>
    <row r="998" spans="1:11" ht="12.5" x14ac:dyDescent="0.25">
      <c r="A998" s="30" t="s">
        <v>7035</v>
      </c>
      <c r="B998" s="30" t="s">
        <v>7034</v>
      </c>
      <c r="C998" s="32">
        <v>1401.15</v>
      </c>
      <c r="D998" s="30">
        <v>-7.83</v>
      </c>
      <c r="E998" s="31">
        <v>-5.5599999999999998E-3</v>
      </c>
      <c r="F998" s="30">
        <v>18846029361</v>
      </c>
      <c r="G998" s="30" t="s">
        <v>5427</v>
      </c>
      <c r="H998" s="30">
        <v>1986</v>
      </c>
      <c r="I998" s="30">
        <v>37675</v>
      </c>
      <c r="J998" s="30" t="s">
        <v>5435</v>
      </c>
      <c r="K998" s="30" t="s">
        <v>5493</v>
      </c>
    </row>
    <row r="999" spans="1:11" ht="12.5" x14ac:dyDescent="0.25">
      <c r="A999" s="30" t="s">
        <v>7033</v>
      </c>
      <c r="B999" s="30" t="s">
        <v>7032</v>
      </c>
      <c r="C999" s="32">
        <v>0.79139999999999999</v>
      </c>
      <c r="D999" s="30">
        <v>4.3E-3</v>
      </c>
      <c r="E999" s="31">
        <v>5.4599999999999996E-3</v>
      </c>
      <c r="F999" s="30">
        <v>200661828</v>
      </c>
      <c r="G999" s="30" t="s">
        <v>5427</v>
      </c>
      <c r="H999" s="30">
        <v>2020</v>
      </c>
      <c r="I999" s="30">
        <v>658158</v>
      </c>
      <c r="J999" s="30" t="s">
        <v>5219</v>
      </c>
      <c r="K999" s="30" t="s">
        <v>5812</v>
      </c>
    </row>
    <row r="1000" spans="1:11" ht="12.5" x14ac:dyDescent="0.25">
      <c r="A1000" s="30" t="s">
        <v>7031</v>
      </c>
      <c r="B1000" s="30" t="s">
        <v>7030</v>
      </c>
      <c r="C1000" s="32">
        <v>68.55</v>
      </c>
      <c r="D1000" s="30">
        <v>3</v>
      </c>
      <c r="E1000" s="31">
        <v>4.5769999999999998E-2</v>
      </c>
      <c r="F1000" s="30">
        <v>3898074362</v>
      </c>
      <c r="G1000" s="30" t="s">
        <v>5427</v>
      </c>
      <c r="H1000" s="30"/>
      <c r="I1000" s="30">
        <v>391015</v>
      </c>
      <c r="J1000" s="30" t="s">
        <v>5457</v>
      </c>
      <c r="K1000" s="30" t="s">
        <v>5634</v>
      </c>
    </row>
    <row r="1001" spans="1:11" ht="12.5" x14ac:dyDescent="0.25">
      <c r="A1001" s="30" t="s">
        <v>7029</v>
      </c>
      <c r="B1001" s="30" t="s">
        <v>7028</v>
      </c>
      <c r="C1001" s="32">
        <v>362.01</v>
      </c>
      <c r="D1001" s="30">
        <v>2.37</v>
      </c>
      <c r="E1001" s="31">
        <v>6.5900000000000004E-3</v>
      </c>
      <c r="F1001" s="30">
        <v>22477452135</v>
      </c>
      <c r="G1001" s="30" t="s">
        <v>5427</v>
      </c>
      <c r="H1001" s="30">
        <v>1994</v>
      </c>
      <c r="I1001" s="30">
        <v>377949</v>
      </c>
      <c r="J1001" s="30" t="s">
        <v>5457</v>
      </c>
      <c r="K1001" s="30" t="s">
        <v>6035</v>
      </c>
    </row>
    <row r="1002" spans="1:11" ht="12.5" x14ac:dyDescent="0.25">
      <c r="A1002" s="30" t="s">
        <v>7027</v>
      </c>
      <c r="B1002" s="30" t="s">
        <v>7026</v>
      </c>
      <c r="C1002" s="32">
        <v>9.1</v>
      </c>
      <c r="D1002" s="30">
        <v>0.05</v>
      </c>
      <c r="E1002" s="31">
        <v>5.5199999999999997E-3</v>
      </c>
      <c r="F1002" s="30">
        <v>177619651</v>
      </c>
      <c r="G1002" s="30" t="s">
        <v>5427</v>
      </c>
      <c r="H1002" s="30">
        <v>1998</v>
      </c>
      <c r="I1002" s="30">
        <v>10835</v>
      </c>
      <c r="J1002" s="30" t="s">
        <v>5435</v>
      </c>
      <c r="K1002" s="30" t="s">
        <v>5197</v>
      </c>
    </row>
    <row r="1003" spans="1:11" ht="12.5" x14ac:dyDescent="0.25">
      <c r="A1003" s="30" t="s">
        <v>7025</v>
      </c>
      <c r="B1003" s="30" t="s">
        <v>7024</v>
      </c>
      <c r="C1003" s="32">
        <v>29.41</v>
      </c>
      <c r="D1003" s="30">
        <v>0.4</v>
      </c>
      <c r="E1003" s="31">
        <v>1.379E-2</v>
      </c>
      <c r="F1003" s="30">
        <v>335765618</v>
      </c>
      <c r="G1003" s="30" t="s">
        <v>5427</v>
      </c>
      <c r="H1003" s="30"/>
      <c r="I1003" s="30">
        <v>20260</v>
      </c>
      <c r="J1003" s="30" t="s">
        <v>5442</v>
      </c>
      <c r="K1003" s="30" t="s">
        <v>5460</v>
      </c>
    </row>
    <row r="1004" spans="1:11" ht="12.5" x14ac:dyDescent="0.25">
      <c r="A1004" s="30" t="s">
        <v>7023</v>
      </c>
      <c r="B1004" s="30" t="s">
        <v>7022</v>
      </c>
      <c r="C1004" s="32">
        <v>175.46</v>
      </c>
      <c r="D1004" s="30">
        <v>0.55000000000000004</v>
      </c>
      <c r="E1004" s="31">
        <v>3.14E-3</v>
      </c>
      <c r="F1004" s="30">
        <v>86852700000</v>
      </c>
      <c r="G1004" s="30" t="s">
        <v>5427</v>
      </c>
      <c r="H1004" s="30"/>
      <c r="I1004" s="30">
        <v>2100179</v>
      </c>
      <c r="J1004" s="30" t="s">
        <v>5435</v>
      </c>
      <c r="K1004" s="30" t="s">
        <v>6066</v>
      </c>
    </row>
    <row r="1005" spans="1:11" ht="12.5" x14ac:dyDescent="0.25">
      <c r="A1005" s="30" t="s">
        <v>7021</v>
      </c>
      <c r="B1005" s="30" t="s">
        <v>7020</v>
      </c>
      <c r="C1005" s="32">
        <v>17.72</v>
      </c>
      <c r="D1005" s="30">
        <v>-0.06</v>
      </c>
      <c r="E1005" s="31">
        <v>-3.3700000000000002E-3</v>
      </c>
      <c r="F1005" s="30">
        <v>493689035</v>
      </c>
      <c r="G1005" s="30" t="s">
        <v>5427</v>
      </c>
      <c r="H1005" s="30">
        <v>2012</v>
      </c>
      <c r="I1005" s="30">
        <v>99076</v>
      </c>
      <c r="J1005" s="30" t="s">
        <v>5435</v>
      </c>
      <c r="K1005" s="30" t="s">
        <v>5434</v>
      </c>
    </row>
    <row r="1006" spans="1:11" ht="12.5" x14ac:dyDescent="0.25">
      <c r="A1006" s="30" t="s">
        <v>7019</v>
      </c>
      <c r="B1006" s="30" t="s">
        <v>7018</v>
      </c>
      <c r="C1006" s="32">
        <v>115.86</v>
      </c>
      <c r="D1006" s="30">
        <v>0.78</v>
      </c>
      <c r="E1006" s="31">
        <v>6.7799999999999996E-3</v>
      </c>
      <c r="F1006" s="30">
        <v>63635537865</v>
      </c>
      <c r="G1006" s="30" t="s">
        <v>5427</v>
      </c>
      <c r="H1006" s="30"/>
      <c r="I1006" s="30">
        <v>3100021</v>
      </c>
      <c r="J1006" s="30" t="s">
        <v>5457</v>
      </c>
      <c r="K1006" s="30" t="s">
        <v>5571</v>
      </c>
    </row>
    <row r="1007" spans="1:11" ht="12.5" x14ac:dyDescent="0.25">
      <c r="A1007" s="30" t="s">
        <v>7017</v>
      </c>
      <c r="B1007" s="30" t="s">
        <v>7016</v>
      </c>
      <c r="C1007" s="32">
        <v>53.82</v>
      </c>
      <c r="D1007" s="30">
        <v>0.42</v>
      </c>
      <c r="E1007" s="31">
        <v>7.8700000000000003E-3</v>
      </c>
      <c r="F1007" s="30">
        <v>11029659664</v>
      </c>
      <c r="G1007" s="30" t="s">
        <v>5427</v>
      </c>
      <c r="H1007" s="30"/>
      <c r="I1007" s="30">
        <v>1178051</v>
      </c>
      <c r="J1007" s="30" t="s">
        <v>5464</v>
      </c>
      <c r="K1007" s="30" t="s">
        <v>5463</v>
      </c>
    </row>
    <row r="1008" spans="1:11" ht="12.5" x14ac:dyDescent="0.25">
      <c r="A1008" s="30" t="s">
        <v>7015</v>
      </c>
      <c r="B1008" s="30" t="s">
        <v>7014</v>
      </c>
      <c r="C1008" s="32">
        <v>75.75</v>
      </c>
      <c r="D1008" s="30">
        <v>0.9</v>
      </c>
      <c r="E1008" s="31">
        <v>1.2019999999999999E-2</v>
      </c>
      <c r="F1008" s="30">
        <v>4603574294</v>
      </c>
      <c r="G1008" s="30" t="s">
        <v>5427</v>
      </c>
      <c r="H1008" s="30">
        <v>1997</v>
      </c>
      <c r="I1008" s="30">
        <v>629701</v>
      </c>
      <c r="J1008" s="30" t="s">
        <v>5442</v>
      </c>
      <c r="K1008" s="30" t="s">
        <v>5482</v>
      </c>
    </row>
    <row r="1009" spans="1:11" ht="12.5" x14ac:dyDescent="0.25">
      <c r="A1009" s="30" t="s">
        <v>7013</v>
      </c>
      <c r="B1009" s="30" t="s">
        <v>7012</v>
      </c>
      <c r="C1009" s="32">
        <v>4.8600000000000003</v>
      </c>
      <c r="D1009" s="30">
        <v>-0.01</v>
      </c>
      <c r="E1009" s="31">
        <v>-2.0500000000000002E-3</v>
      </c>
      <c r="F1009" s="30">
        <v>289404762</v>
      </c>
      <c r="G1009" s="30" t="s">
        <v>5427</v>
      </c>
      <c r="H1009" s="30">
        <v>1987</v>
      </c>
      <c r="I1009" s="30">
        <v>146324</v>
      </c>
      <c r="J1009" s="30" t="s">
        <v>5435</v>
      </c>
      <c r="K1009" s="30" t="s">
        <v>5568</v>
      </c>
    </row>
    <row r="1010" spans="1:11" ht="12.5" x14ac:dyDescent="0.25">
      <c r="A1010" s="30" t="s">
        <v>7011</v>
      </c>
      <c r="B1010" s="30" t="s">
        <v>7010</v>
      </c>
      <c r="C1010" s="32">
        <v>10.63</v>
      </c>
      <c r="D1010" s="30">
        <v>7.0000000000000007E-2</v>
      </c>
      <c r="E1010" s="31">
        <v>6.6299999999999996E-3</v>
      </c>
      <c r="F1010" s="30">
        <v>461000256</v>
      </c>
      <c r="G1010" s="30" t="s">
        <v>5427</v>
      </c>
      <c r="H1010" s="30">
        <v>1992</v>
      </c>
      <c r="I1010" s="30">
        <v>52951</v>
      </c>
      <c r="J1010" s="30" t="s">
        <v>5435</v>
      </c>
      <c r="K1010" s="30" t="s">
        <v>5434</v>
      </c>
    </row>
    <row r="1011" spans="1:11" ht="12.5" x14ac:dyDescent="0.25">
      <c r="A1011" s="30" t="s">
        <v>7009</v>
      </c>
      <c r="B1011" s="30" t="s">
        <v>7008</v>
      </c>
      <c r="C1011" s="32">
        <v>12.58</v>
      </c>
      <c r="D1011" s="30">
        <v>0</v>
      </c>
      <c r="E1011" s="31">
        <v>0</v>
      </c>
      <c r="F1011" s="30">
        <v>122265813</v>
      </c>
      <c r="G1011" s="30" t="s">
        <v>5427</v>
      </c>
      <c r="H1011" s="30">
        <v>1993</v>
      </c>
      <c r="I1011" s="30">
        <v>29474</v>
      </c>
      <c r="J1011" s="30" t="s">
        <v>5435</v>
      </c>
      <c r="K1011" s="30" t="s">
        <v>5568</v>
      </c>
    </row>
    <row r="1012" spans="1:11" ht="12.5" x14ac:dyDescent="0.25">
      <c r="A1012" s="30" t="s">
        <v>5052</v>
      </c>
      <c r="B1012" s="30" t="s">
        <v>7007</v>
      </c>
      <c r="C1012" s="32">
        <v>47.54</v>
      </c>
      <c r="D1012" s="30">
        <v>2.5</v>
      </c>
      <c r="E1012" s="31">
        <v>5.5509999999999997E-2</v>
      </c>
      <c r="F1012" s="30">
        <v>85199886260</v>
      </c>
      <c r="G1012" s="30" t="s">
        <v>5427</v>
      </c>
      <c r="H1012" s="30"/>
      <c r="I1012" s="30">
        <v>14721400</v>
      </c>
      <c r="J1012" s="30" t="s">
        <v>5431</v>
      </c>
      <c r="K1012" s="30" t="s">
        <v>5685</v>
      </c>
    </row>
    <row r="1013" spans="1:11" ht="12.5" x14ac:dyDescent="0.25">
      <c r="A1013" s="30" t="s">
        <v>7006</v>
      </c>
      <c r="B1013" s="30" t="s">
        <v>7005</v>
      </c>
      <c r="C1013" s="32">
        <v>24.12</v>
      </c>
      <c r="D1013" s="30">
        <v>0.23</v>
      </c>
      <c r="E1013" s="31">
        <v>9.6299999999999997E-3</v>
      </c>
      <c r="F1013" s="30">
        <v>1256637239</v>
      </c>
      <c r="G1013" s="30" t="s">
        <v>5427</v>
      </c>
      <c r="H1013" s="30"/>
      <c r="I1013" s="30">
        <v>530559</v>
      </c>
      <c r="J1013" s="30" t="s">
        <v>5442</v>
      </c>
      <c r="K1013" s="30" t="s">
        <v>5853</v>
      </c>
    </row>
    <row r="1014" spans="1:11" ht="12.5" x14ac:dyDescent="0.25">
      <c r="A1014" s="30" t="s">
        <v>7004</v>
      </c>
      <c r="B1014" s="30" t="s">
        <v>7003</v>
      </c>
      <c r="C1014" s="32">
        <v>24.95</v>
      </c>
      <c r="D1014" s="30">
        <v>0.46</v>
      </c>
      <c r="E1014" s="31">
        <v>1.8780000000000002E-2</v>
      </c>
      <c r="F1014" s="30">
        <v>4611951338</v>
      </c>
      <c r="G1014" s="30" t="s">
        <v>5427</v>
      </c>
      <c r="H1014" s="30"/>
      <c r="I1014" s="30">
        <v>1725602</v>
      </c>
      <c r="J1014" s="30" t="s">
        <v>5442</v>
      </c>
      <c r="K1014" s="30" t="s">
        <v>5641</v>
      </c>
    </row>
    <row r="1015" spans="1:11" ht="12.5" x14ac:dyDescent="0.25">
      <c r="A1015" s="30" t="s">
        <v>7002</v>
      </c>
      <c r="B1015" s="30" t="s">
        <v>7001</v>
      </c>
      <c r="C1015" s="32">
        <v>39.56</v>
      </c>
      <c r="D1015" s="30">
        <v>-0.1</v>
      </c>
      <c r="E1015" s="31">
        <v>-2.5200000000000001E-3</v>
      </c>
      <c r="F1015" s="30">
        <v>1492784376</v>
      </c>
      <c r="G1015" s="30" t="s">
        <v>5427</v>
      </c>
      <c r="H1015" s="30">
        <v>2013</v>
      </c>
      <c r="I1015" s="30">
        <v>533932</v>
      </c>
      <c r="J1015" s="30" t="s">
        <v>5219</v>
      </c>
      <c r="K1015" s="30" t="s">
        <v>5447</v>
      </c>
    </row>
    <row r="1016" spans="1:11" ht="12.5" x14ac:dyDescent="0.25">
      <c r="A1016" s="30" t="s">
        <v>7000</v>
      </c>
      <c r="B1016" s="30" t="s">
        <v>6999</v>
      </c>
      <c r="C1016" s="32">
        <v>311.75</v>
      </c>
      <c r="D1016" s="30">
        <v>-0.08</v>
      </c>
      <c r="E1016" s="31">
        <v>-2.5999999999999998E-4</v>
      </c>
      <c r="F1016" s="30">
        <v>18206200000</v>
      </c>
      <c r="G1016" s="30" t="s">
        <v>5427</v>
      </c>
      <c r="H1016" s="30">
        <v>2003</v>
      </c>
      <c r="I1016" s="30">
        <v>502431</v>
      </c>
      <c r="J1016" s="30" t="s">
        <v>5431</v>
      </c>
      <c r="K1016" s="30" t="s">
        <v>5610</v>
      </c>
    </row>
    <row r="1017" spans="1:11" ht="12.5" x14ac:dyDescent="0.25">
      <c r="A1017" s="30" t="s">
        <v>6998</v>
      </c>
      <c r="B1017" s="30" t="s">
        <v>6997</v>
      </c>
      <c r="C1017" s="32">
        <v>49.86</v>
      </c>
      <c r="D1017" s="30">
        <v>0.32</v>
      </c>
      <c r="E1017" s="31">
        <v>6.4599999999999996E-3</v>
      </c>
      <c r="F1017" s="30">
        <v>16976384355</v>
      </c>
      <c r="G1017" s="30" t="s">
        <v>5427</v>
      </c>
      <c r="H1017" s="30"/>
      <c r="I1017" s="30">
        <v>3248372</v>
      </c>
      <c r="J1017" s="30" t="s">
        <v>5457</v>
      </c>
      <c r="K1017" s="30" t="s">
        <v>5805</v>
      </c>
    </row>
    <row r="1018" spans="1:11" ht="12.5" x14ac:dyDescent="0.25">
      <c r="A1018" s="30" t="s">
        <v>6996</v>
      </c>
      <c r="B1018" s="30" t="s">
        <v>6995</v>
      </c>
      <c r="C1018" s="32">
        <v>35.79</v>
      </c>
      <c r="D1018" s="30">
        <v>0.43</v>
      </c>
      <c r="E1018" s="31">
        <v>1.2160000000000001E-2</v>
      </c>
      <c r="F1018" s="30">
        <v>795624835</v>
      </c>
      <c r="G1018" s="30" t="s">
        <v>5427</v>
      </c>
      <c r="H1018" s="30"/>
      <c r="I1018" s="30">
        <v>103035</v>
      </c>
      <c r="J1018" s="30" t="s">
        <v>5442</v>
      </c>
      <c r="K1018" s="30" t="s">
        <v>6994</v>
      </c>
    </row>
    <row r="1019" spans="1:11" ht="12.5" x14ac:dyDescent="0.25">
      <c r="A1019" s="30" t="s">
        <v>6993</v>
      </c>
      <c r="B1019" s="30" t="s">
        <v>6992</v>
      </c>
      <c r="C1019" s="32">
        <v>11.69</v>
      </c>
      <c r="D1019" s="30">
        <v>0.13</v>
      </c>
      <c r="E1019" s="31">
        <v>1.125E-2</v>
      </c>
      <c r="F1019" s="30">
        <v>155656687</v>
      </c>
      <c r="G1019" s="30" t="s">
        <v>5427</v>
      </c>
      <c r="H1019" s="30">
        <v>1992</v>
      </c>
      <c r="I1019" s="30">
        <v>58231</v>
      </c>
      <c r="J1019" s="30" t="s">
        <v>5435</v>
      </c>
      <c r="K1019" s="30" t="s">
        <v>5563</v>
      </c>
    </row>
    <row r="1020" spans="1:11" ht="12.5" x14ac:dyDescent="0.25">
      <c r="A1020" s="30" t="s">
        <v>6991</v>
      </c>
      <c r="B1020" s="30" t="s">
        <v>6990</v>
      </c>
      <c r="C1020" s="32">
        <v>122.97</v>
      </c>
      <c r="D1020" s="30">
        <v>-5.55</v>
      </c>
      <c r="E1020" s="31">
        <v>-4.3180000000000003E-2</v>
      </c>
      <c r="F1020" s="30">
        <v>57631222634</v>
      </c>
      <c r="G1020" s="30" t="s">
        <v>5427</v>
      </c>
      <c r="H1020" s="30"/>
      <c r="I1020" s="30">
        <v>5184885</v>
      </c>
      <c r="J1020" s="30" t="s">
        <v>5464</v>
      </c>
      <c r="K1020" s="30" t="s">
        <v>5674</v>
      </c>
    </row>
    <row r="1021" spans="1:11" ht="12.5" x14ac:dyDescent="0.25">
      <c r="A1021" s="30" t="s">
        <v>6989</v>
      </c>
      <c r="B1021" s="30" t="s">
        <v>6988</v>
      </c>
      <c r="C1021" s="32">
        <v>34.799999999999997</v>
      </c>
      <c r="D1021" s="30">
        <v>-0.12</v>
      </c>
      <c r="E1021" s="31">
        <v>-3.4399999999999999E-3</v>
      </c>
      <c r="F1021" s="30">
        <v>34912853233</v>
      </c>
      <c r="G1021" s="30" t="s">
        <v>5427</v>
      </c>
      <c r="H1021" s="30">
        <v>2012</v>
      </c>
      <c r="I1021" s="30">
        <v>1959146</v>
      </c>
      <c r="J1021" s="30" t="s">
        <v>5464</v>
      </c>
      <c r="K1021" s="30" t="s">
        <v>5463</v>
      </c>
    </row>
    <row r="1022" spans="1:11" ht="12.5" x14ac:dyDescent="0.25">
      <c r="A1022" s="30" t="s">
        <v>6987</v>
      </c>
      <c r="B1022" s="30" t="s">
        <v>6986</v>
      </c>
      <c r="C1022" s="32">
        <v>13.06</v>
      </c>
      <c r="D1022" s="30">
        <v>-0.04</v>
      </c>
      <c r="E1022" s="31">
        <v>-3.0500000000000002E-3</v>
      </c>
      <c r="F1022" s="30">
        <v>138458202</v>
      </c>
      <c r="G1022" s="30" t="s">
        <v>5427</v>
      </c>
      <c r="H1022" s="30">
        <v>1988</v>
      </c>
      <c r="I1022" s="30">
        <v>9741</v>
      </c>
      <c r="J1022" s="30" t="s">
        <v>5435</v>
      </c>
      <c r="K1022" s="30" t="s">
        <v>5563</v>
      </c>
    </row>
    <row r="1023" spans="1:11" ht="12.5" x14ac:dyDescent="0.25">
      <c r="A1023" s="30" t="s">
        <v>6985</v>
      </c>
      <c r="B1023" s="30" t="s">
        <v>6984</v>
      </c>
      <c r="C1023" s="32">
        <v>12.93</v>
      </c>
      <c r="D1023" s="30">
        <v>-0.02</v>
      </c>
      <c r="E1023" s="31">
        <v>-1.5399999999999999E-3</v>
      </c>
      <c r="F1023" s="30">
        <v>7732140000</v>
      </c>
      <c r="G1023" s="30" t="s">
        <v>5427</v>
      </c>
      <c r="H1023" s="30">
        <v>2005</v>
      </c>
      <c r="I1023" s="30">
        <v>14304551</v>
      </c>
      <c r="J1023" s="30" t="s">
        <v>5197</v>
      </c>
      <c r="K1023" s="30" t="s">
        <v>5467</v>
      </c>
    </row>
    <row r="1024" spans="1:11" ht="12.5" x14ac:dyDescent="0.25">
      <c r="A1024" s="30" t="s">
        <v>6983</v>
      </c>
      <c r="B1024" s="30" t="s">
        <v>6982</v>
      </c>
      <c r="C1024" s="32">
        <v>13.61</v>
      </c>
      <c r="D1024" s="30">
        <v>0.31</v>
      </c>
      <c r="E1024" s="31">
        <v>2.3310000000000001E-2</v>
      </c>
      <c r="F1024" s="30">
        <v>465701291</v>
      </c>
      <c r="G1024" s="30" t="s">
        <v>5427</v>
      </c>
      <c r="H1024" s="30">
        <v>2001</v>
      </c>
      <c r="I1024" s="30">
        <v>26048</v>
      </c>
      <c r="J1024" s="30" t="s">
        <v>5442</v>
      </c>
      <c r="K1024" s="30" t="s">
        <v>5641</v>
      </c>
    </row>
    <row r="1025" spans="1:11" ht="12.5" x14ac:dyDescent="0.25">
      <c r="A1025" s="30" t="s">
        <v>6981</v>
      </c>
      <c r="B1025" s="30" t="s">
        <v>6980</v>
      </c>
      <c r="C1025" s="32">
        <v>10.89</v>
      </c>
      <c r="D1025" s="30">
        <v>0.05</v>
      </c>
      <c r="E1025" s="31">
        <v>4.6100000000000004E-3</v>
      </c>
      <c r="F1025" s="30">
        <v>246159531</v>
      </c>
      <c r="G1025" s="30" t="s">
        <v>5427</v>
      </c>
      <c r="H1025" s="30">
        <v>1992</v>
      </c>
      <c r="I1025" s="30">
        <v>35105</v>
      </c>
      <c r="J1025" s="30" t="s">
        <v>5435</v>
      </c>
      <c r="K1025" s="30" t="s">
        <v>5434</v>
      </c>
    </row>
    <row r="1026" spans="1:11" ht="12.5" x14ac:dyDescent="0.25">
      <c r="A1026" s="30" t="s">
        <v>6979</v>
      </c>
      <c r="B1026" s="30" t="s">
        <v>6978</v>
      </c>
      <c r="C1026" s="32">
        <v>12.34</v>
      </c>
      <c r="D1026" s="30">
        <v>0.06</v>
      </c>
      <c r="E1026" s="31">
        <v>4.8900000000000002E-3</v>
      </c>
      <c r="F1026" s="30">
        <v>903814647</v>
      </c>
      <c r="G1026" s="30" t="s">
        <v>5427</v>
      </c>
      <c r="H1026" s="30">
        <v>1992</v>
      </c>
      <c r="I1026" s="30">
        <v>167350</v>
      </c>
      <c r="J1026" s="30" t="s">
        <v>5435</v>
      </c>
      <c r="K1026" s="30" t="s">
        <v>5434</v>
      </c>
    </row>
    <row r="1027" spans="1:11" ht="12.5" x14ac:dyDescent="0.25">
      <c r="A1027" s="30" t="s">
        <v>6977</v>
      </c>
      <c r="B1027" s="30" t="s">
        <v>6976</v>
      </c>
      <c r="C1027" s="32">
        <v>13.34</v>
      </c>
      <c r="D1027" s="30">
        <v>-0.26</v>
      </c>
      <c r="E1027" s="31">
        <v>-1.9120000000000002E-2</v>
      </c>
      <c r="F1027" s="30">
        <v>1115338444</v>
      </c>
      <c r="G1027" s="30" t="s">
        <v>5427</v>
      </c>
      <c r="H1027" s="30">
        <v>2012</v>
      </c>
      <c r="I1027" s="30">
        <v>787229</v>
      </c>
      <c r="J1027" s="30" t="s">
        <v>5457</v>
      </c>
      <c r="K1027" s="30" t="s">
        <v>5456</v>
      </c>
    </row>
    <row r="1028" spans="1:11" ht="12.5" x14ac:dyDescent="0.25">
      <c r="A1028" s="30" t="s">
        <v>6975</v>
      </c>
      <c r="B1028" s="30" t="s">
        <v>6974</v>
      </c>
      <c r="C1028" s="32">
        <v>106.98</v>
      </c>
      <c r="D1028" s="30">
        <v>-0.43</v>
      </c>
      <c r="E1028" s="31">
        <v>-4.0000000000000001E-3</v>
      </c>
      <c r="F1028" s="30">
        <v>271236661299</v>
      </c>
      <c r="G1028" s="30" t="s">
        <v>5427</v>
      </c>
      <c r="H1028" s="30"/>
      <c r="I1028" s="30">
        <v>10098286</v>
      </c>
      <c r="J1028" s="30" t="s">
        <v>5431</v>
      </c>
      <c r="K1028" s="30" t="s">
        <v>5430</v>
      </c>
    </row>
    <row r="1029" spans="1:11" ht="12.5" x14ac:dyDescent="0.25">
      <c r="A1029" s="30" t="s">
        <v>6973</v>
      </c>
      <c r="B1029" s="30" t="s">
        <v>6972</v>
      </c>
      <c r="C1029" s="32">
        <v>26.78</v>
      </c>
      <c r="D1029" s="30">
        <v>-0.69</v>
      </c>
      <c r="E1029" s="31">
        <v>-2.512E-2</v>
      </c>
      <c r="F1029" s="30">
        <v>16955768756</v>
      </c>
      <c r="G1029" s="30" t="s">
        <v>5427</v>
      </c>
      <c r="H1029" s="30"/>
      <c r="I1029" s="30">
        <v>11927027</v>
      </c>
      <c r="J1029" s="30" t="s">
        <v>5464</v>
      </c>
      <c r="K1029" s="30" t="s">
        <v>5463</v>
      </c>
    </row>
    <row r="1030" spans="1:11" ht="12.5" x14ac:dyDescent="0.25">
      <c r="A1030" s="30" t="s">
        <v>6971</v>
      </c>
      <c r="B1030" s="30" t="s">
        <v>6970</v>
      </c>
      <c r="C1030" s="32">
        <v>98.19</v>
      </c>
      <c r="D1030" s="30">
        <v>0.86</v>
      </c>
      <c r="E1030" s="31">
        <v>8.8400000000000006E-3</v>
      </c>
      <c r="F1030" s="30">
        <v>164468250000</v>
      </c>
      <c r="G1030" s="30" t="s">
        <v>5427</v>
      </c>
      <c r="H1030" s="30"/>
      <c r="I1030" s="30">
        <v>9813911</v>
      </c>
      <c r="J1030" s="30" t="s">
        <v>5435</v>
      </c>
      <c r="K1030" s="30" t="s">
        <v>6221</v>
      </c>
    </row>
    <row r="1031" spans="1:11" ht="12.5" x14ac:dyDescent="0.25">
      <c r="A1031" s="30" t="s">
        <v>6969</v>
      </c>
      <c r="B1031" s="30" t="s">
        <v>6968</v>
      </c>
      <c r="C1031" s="32">
        <v>139.06</v>
      </c>
      <c r="D1031" s="30">
        <v>2.67</v>
      </c>
      <c r="E1031" s="31">
        <v>1.958E-2</v>
      </c>
      <c r="F1031" s="30">
        <v>5450922551</v>
      </c>
      <c r="G1031" s="30" t="s">
        <v>5427</v>
      </c>
      <c r="H1031" s="30">
        <v>2000</v>
      </c>
      <c r="I1031" s="30">
        <v>111582</v>
      </c>
      <c r="J1031" s="30" t="s">
        <v>5219</v>
      </c>
      <c r="K1031" s="30" t="s">
        <v>6786</v>
      </c>
    </row>
    <row r="1032" spans="1:11" ht="12.5" x14ac:dyDescent="0.25">
      <c r="A1032" s="30" t="s">
        <v>6967</v>
      </c>
      <c r="B1032" s="30" t="s">
        <v>6966</v>
      </c>
      <c r="C1032" s="32">
        <v>21.96</v>
      </c>
      <c r="D1032" s="30">
        <v>-1.07</v>
      </c>
      <c r="E1032" s="31">
        <v>-4.6460000000000001E-2</v>
      </c>
      <c r="F1032" s="30">
        <v>288115420</v>
      </c>
      <c r="G1032" s="30" t="s">
        <v>5427</v>
      </c>
      <c r="H1032" s="30"/>
      <c r="I1032" s="30">
        <v>130505</v>
      </c>
      <c r="J1032" s="30" t="s">
        <v>6250</v>
      </c>
      <c r="K1032" s="30" t="s">
        <v>6249</v>
      </c>
    </row>
    <row r="1033" spans="1:11" ht="12.5" x14ac:dyDescent="0.25">
      <c r="A1033" s="30" t="s">
        <v>6965</v>
      </c>
      <c r="B1033" s="30" t="s">
        <v>6964</v>
      </c>
      <c r="C1033" s="32">
        <v>554.52</v>
      </c>
      <c r="D1033" s="30">
        <v>22.96</v>
      </c>
      <c r="E1033" s="31">
        <v>4.3189999999999999E-2</v>
      </c>
      <c r="F1033" s="30">
        <v>44338402210</v>
      </c>
      <c r="G1033" s="30" t="s">
        <v>5427</v>
      </c>
      <c r="H1033" s="30"/>
      <c r="I1033" s="30">
        <v>913674</v>
      </c>
      <c r="J1033" s="30" t="s">
        <v>5435</v>
      </c>
      <c r="K1033" s="30" t="s">
        <v>5856</v>
      </c>
    </row>
    <row r="1034" spans="1:11" ht="12.5" x14ac:dyDescent="0.25">
      <c r="A1034" s="30" t="s">
        <v>6963</v>
      </c>
      <c r="B1034" s="30" t="s">
        <v>6962</v>
      </c>
      <c r="C1034" s="32">
        <v>7.0049999999999999</v>
      </c>
      <c r="D1034" s="30">
        <v>4.4999999999999998E-2</v>
      </c>
      <c r="E1034" s="31">
        <v>6.4700000000000001E-3</v>
      </c>
      <c r="F1034" s="30">
        <v>142808974</v>
      </c>
      <c r="G1034" s="30" t="s">
        <v>5427</v>
      </c>
      <c r="H1034" s="30">
        <v>1993</v>
      </c>
      <c r="I1034" s="30">
        <v>59344</v>
      </c>
      <c r="J1034" s="30" t="s">
        <v>5435</v>
      </c>
      <c r="K1034" s="30" t="s">
        <v>5568</v>
      </c>
    </row>
    <row r="1035" spans="1:11" ht="12.5" x14ac:dyDescent="0.25">
      <c r="A1035" s="30" t="s">
        <v>6961</v>
      </c>
      <c r="B1035" s="30" t="s">
        <v>6960</v>
      </c>
      <c r="C1035" s="32">
        <v>183.6</v>
      </c>
      <c r="D1035" s="30">
        <v>1.76</v>
      </c>
      <c r="E1035" s="31">
        <v>9.6799999999999994E-3</v>
      </c>
      <c r="F1035" s="30">
        <v>4467391920</v>
      </c>
      <c r="G1035" s="30" t="s">
        <v>5427</v>
      </c>
      <c r="H1035" s="30">
        <v>2015</v>
      </c>
      <c r="I1035" s="30">
        <v>125879</v>
      </c>
      <c r="J1035" s="30" t="s">
        <v>5442</v>
      </c>
      <c r="K1035" s="30" t="s">
        <v>5704</v>
      </c>
    </row>
    <row r="1036" spans="1:11" ht="12.5" x14ac:dyDescent="0.25">
      <c r="A1036" s="30" t="s">
        <v>6959</v>
      </c>
      <c r="B1036" s="30" t="s">
        <v>6958</v>
      </c>
      <c r="C1036" s="32">
        <v>259.77</v>
      </c>
      <c r="D1036" s="30">
        <v>2.76</v>
      </c>
      <c r="E1036" s="31">
        <v>1.074E-2</v>
      </c>
      <c r="F1036" s="30">
        <v>43434377602</v>
      </c>
      <c r="G1036" s="30" t="s">
        <v>5427</v>
      </c>
      <c r="H1036" s="30"/>
      <c r="I1036" s="30">
        <v>583025</v>
      </c>
      <c r="J1036" s="30" t="s">
        <v>5219</v>
      </c>
      <c r="K1036" s="30" t="s">
        <v>5780</v>
      </c>
    </row>
    <row r="1037" spans="1:11" ht="12.5" x14ac:dyDescent="0.25">
      <c r="A1037" s="30" t="s">
        <v>6957</v>
      </c>
      <c r="B1037" s="30" t="s">
        <v>6956</v>
      </c>
      <c r="C1037" s="32">
        <v>86.17</v>
      </c>
      <c r="D1037" s="30">
        <v>3.47</v>
      </c>
      <c r="E1037" s="31">
        <v>4.1959999999999997E-2</v>
      </c>
      <c r="F1037" s="30">
        <v>4823117580</v>
      </c>
      <c r="G1037" s="30" t="s">
        <v>5427</v>
      </c>
      <c r="H1037" s="30">
        <v>1995</v>
      </c>
      <c r="I1037" s="30">
        <v>572419</v>
      </c>
      <c r="J1037" s="30" t="s">
        <v>5457</v>
      </c>
      <c r="K1037" s="30" t="s">
        <v>5644</v>
      </c>
    </row>
    <row r="1038" spans="1:11" ht="12.5" x14ac:dyDescent="0.25">
      <c r="A1038" s="30" t="s">
        <v>6955</v>
      </c>
      <c r="B1038" s="30" t="s">
        <v>6954</v>
      </c>
      <c r="C1038" s="32">
        <v>31.45</v>
      </c>
      <c r="D1038" s="30">
        <v>0.51</v>
      </c>
      <c r="E1038" s="31">
        <v>1.6480000000000002E-2</v>
      </c>
      <c r="F1038" s="30">
        <v>25663200000</v>
      </c>
      <c r="G1038" s="30" t="s">
        <v>5823</v>
      </c>
      <c r="H1038" s="30"/>
      <c r="I1038" s="30">
        <v>2380007</v>
      </c>
      <c r="J1038" s="30" t="s">
        <v>5457</v>
      </c>
      <c r="K1038" s="30" t="s">
        <v>5472</v>
      </c>
    </row>
    <row r="1039" spans="1:11" ht="12.5" x14ac:dyDescent="0.25">
      <c r="A1039" s="30" t="s">
        <v>6953</v>
      </c>
      <c r="B1039" s="30" t="s">
        <v>6952</v>
      </c>
      <c r="C1039" s="32">
        <v>154.4</v>
      </c>
      <c r="D1039" s="30">
        <v>-1.6</v>
      </c>
      <c r="E1039" s="31">
        <v>-1.026E-2</v>
      </c>
      <c r="F1039" s="30">
        <v>26137604000</v>
      </c>
      <c r="G1039" s="30" t="s">
        <v>5427</v>
      </c>
      <c r="H1039" s="30"/>
      <c r="I1039" s="30">
        <v>2280150</v>
      </c>
      <c r="J1039" s="30" t="s">
        <v>5435</v>
      </c>
      <c r="K1039" s="30" t="s">
        <v>5579</v>
      </c>
    </row>
    <row r="1040" spans="1:11" ht="12.5" x14ac:dyDescent="0.25">
      <c r="A1040" s="30" t="s">
        <v>6951</v>
      </c>
      <c r="B1040" s="30" t="s">
        <v>6950</v>
      </c>
      <c r="C1040" s="32">
        <v>1560.54</v>
      </c>
      <c r="D1040" s="30">
        <v>27.62</v>
      </c>
      <c r="E1040" s="31">
        <v>1.8020000000000001E-2</v>
      </c>
      <c r="F1040" s="30">
        <v>34790973702</v>
      </c>
      <c r="G1040" s="30" t="s">
        <v>5799</v>
      </c>
      <c r="H1040" s="30">
        <v>1997</v>
      </c>
      <c r="I1040" s="30">
        <v>116444</v>
      </c>
      <c r="J1040" s="30" t="s">
        <v>5431</v>
      </c>
      <c r="K1040" s="30" t="s">
        <v>5610</v>
      </c>
    </row>
    <row r="1041" spans="1:11" ht="12.5" x14ac:dyDescent="0.25">
      <c r="A1041" s="30" t="s">
        <v>6949</v>
      </c>
      <c r="B1041" s="30" t="s">
        <v>6948</v>
      </c>
      <c r="C1041" s="32">
        <v>64.38</v>
      </c>
      <c r="D1041" s="30">
        <v>-1.78</v>
      </c>
      <c r="E1041" s="31">
        <v>-2.69E-2</v>
      </c>
      <c r="F1041" s="30">
        <v>7607238658</v>
      </c>
      <c r="G1041" s="30" t="s">
        <v>5427</v>
      </c>
      <c r="H1041" s="30">
        <v>2012</v>
      </c>
      <c r="I1041" s="30">
        <v>1269652</v>
      </c>
      <c r="J1041" s="30" t="s">
        <v>5464</v>
      </c>
      <c r="K1041" s="30" t="s">
        <v>5463</v>
      </c>
    </row>
    <row r="1042" spans="1:11" ht="12.5" x14ac:dyDescent="0.25">
      <c r="A1042" s="30" t="s">
        <v>6947</v>
      </c>
      <c r="B1042" s="30" t="s">
        <v>6946</v>
      </c>
      <c r="C1042" s="32">
        <v>14.23</v>
      </c>
      <c r="D1042" s="30">
        <v>0.11</v>
      </c>
      <c r="E1042" s="31">
        <v>7.79E-3</v>
      </c>
      <c r="F1042" s="30">
        <v>4226672723</v>
      </c>
      <c r="G1042" s="30" t="s">
        <v>5427</v>
      </c>
      <c r="H1042" s="30">
        <v>1991</v>
      </c>
      <c r="I1042" s="30">
        <v>2786017</v>
      </c>
      <c r="J1042" s="30" t="s">
        <v>5435</v>
      </c>
      <c r="K1042" s="30" t="s">
        <v>5493</v>
      </c>
    </row>
    <row r="1043" spans="1:11" ht="12.5" x14ac:dyDescent="0.25">
      <c r="A1043" s="30" t="s">
        <v>6945</v>
      </c>
      <c r="B1043" s="30" t="s">
        <v>6944</v>
      </c>
      <c r="C1043" s="32">
        <v>109.53</v>
      </c>
      <c r="D1043" s="30">
        <v>1.84</v>
      </c>
      <c r="E1043" s="31">
        <v>1.7090000000000001E-2</v>
      </c>
      <c r="F1043" s="30">
        <v>4005664675</v>
      </c>
      <c r="G1043" s="30" t="s">
        <v>5427</v>
      </c>
      <c r="H1043" s="30"/>
      <c r="I1043" s="30">
        <v>638927</v>
      </c>
      <c r="J1043" s="30" t="s">
        <v>5442</v>
      </c>
      <c r="K1043" s="30" t="s">
        <v>5576</v>
      </c>
    </row>
    <row r="1044" spans="1:11" ht="12.5" x14ac:dyDescent="0.25">
      <c r="A1044" s="30" t="s">
        <v>6943</v>
      </c>
      <c r="B1044" s="30" t="s">
        <v>6942</v>
      </c>
      <c r="C1044" s="32">
        <v>262.31</v>
      </c>
      <c r="D1044" s="30">
        <v>-0.03</v>
      </c>
      <c r="E1044" s="31">
        <v>-1.1E-4</v>
      </c>
      <c r="F1044" s="30">
        <v>10577365881</v>
      </c>
      <c r="G1044" s="30" t="s">
        <v>5427</v>
      </c>
      <c r="H1044" s="30">
        <v>1997</v>
      </c>
      <c r="I1044" s="30">
        <v>224792</v>
      </c>
      <c r="J1044" s="30" t="s">
        <v>5442</v>
      </c>
      <c r="K1044" s="30" t="s">
        <v>5450</v>
      </c>
    </row>
    <row r="1045" spans="1:11" ht="12.5" x14ac:dyDescent="0.25">
      <c r="A1045" s="30" t="s">
        <v>6941</v>
      </c>
      <c r="B1045" s="30" t="s">
        <v>6940</v>
      </c>
      <c r="C1045" s="32">
        <v>91</v>
      </c>
      <c r="D1045" s="30">
        <v>0.75</v>
      </c>
      <c r="E1045" s="31">
        <v>8.3099999999999997E-3</v>
      </c>
      <c r="F1045" s="30">
        <v>1868060558</v>
      </c>
      <c r="G1045" s="30" t="s">
        <v>5427</v>
      </c>
      <c r="H1045" s="30"/>
      <c r="I1045" s="30">
        <v>267526</v>
      </c>
      <c r="J1045" s="30"/>
      <c r="K1045" s="30"/>
    </row>
    <row r="1046" spans="1:11" ht="12.5" x14ac:dyDescent="0.25">
      <c r="A1046" s="30" t="s">
        <v>6939</v>
      </c>
      <c r="B1046" s="30" t="s">
        <v>6938</v>
      </c>
      <c r="C1046" s="32">
        <v>14.23</v>
      </c>
      <c r="D1046" s="30">
        <v>0.53</v>
      </c>
      <c r="E1046" s="31">
        <v>3.8690000000000002E-2</v>
      </c>
      <c r="F1046" s="30">
        <v>500676189</v>
      </c>
      <c r="G1046" s="30" t="s">
        <v>5427</v>
      </c>
      <c r="H1046" s="30"/>
      <c r="I1046" s="30">
        <v>279296</v>
      </c>
      <c r="J1046" s="30" t="s">
        <v>5457</v>
      </c>
      <c r="K1046" s="30" t="s">
        <v>5460</v>
      </c>
    </row>
    <row r="1047" spans="1:11" ht="12.5" x14ac:dyDescent="0.25">
      <c r="A1047" s="30" t="s">
        <v>6937</v>
      </c>
      <c r="B1047" s="30" t="s">
        <v>6936</v>
      </c>
      <c r="C1047" s="32">
        <v>70.989999999999995</v>
      </c>
      <c r="D1047" s="30">
        <v>1.54</v>
      </c>
      <c r="E1047" s="31">
        <v>2.2169999999999999E-2</v>
      </c>
      <c r="F1047" s="30">
        <v>2303644170</v>
      </c>
      <c r="G1047" s="30" t="s">
        <v>5427</v>
      </c>
      <c r="H1047" s="30">
        <v>1992</v>
      </c>
      <c r="I1047" s="30">
        <v>150698</v>
      </c>
      <c r="J1047" s="30" t="s">
        <v>5457</v>
      </c>
      <c r="K1047" s="30" t="s">
        <v>5555</v>
      </c>
    </row>
    <row r="1048" spans="1:11" ht="12.5" x14ac:dyDescent="0.25">
      <c r="A1048" s="30" t="s">
        <v>6935</v>
      </c>
      <c r="B1048" s="30" t="s">
        <v>6934</v>
      </c>
      <c r="C1048" s="32">
        <v>97.72</v>
      </c>
      <c r="D1048" s="30">
        <v>-0.51</v>
      </c>
      <c r="E1048" s="31">
        <v>-5.1900000000000002E-3</v>
      </c>
      <c r="F1048" s="30">
        <v>7681721904</v>
      </c>
      <c r="G1048" s="30" t="s">
        <v>5427</v>
      </c>
      <c r="H1048" s="30"/>
      <c r="I1048" s="30">
        <v>286701</v>
      </c>
      <c r="J1048" s="30" t="s">
        <v>5457</v>
      </c>
      <c r="K1048" s="30" t="s">
        <v>6933</v>
      </c>
    </row>
    <row r="1049" spans="1:11" ht="12.5" x14ac:dyDescent="0.25">
      <c r="A1049" s="30" t="s">
        <v>6932</v>
      </c>
      <c r="B1049" s="30" t="s">
        <v>6931</v>
      </c>
      <c r="C1049" s="32">
        <v>11.48</v>
      </c>
      <c r="D1049" s="30">
        <v>0.1</v>
      </c>
      <c r="E1049" s="31">
        <v>8.7899999999999992E-3</v>
      </c>
      <c r="F1049" s="30">
        <v>441299557</v>
      </c>
      <c r="G1049" s="30" t="s">
        <v>5427</v>
      </c>
      <c r="H1049" s="30">
        <v>1993</v>
      </c>
      <c r="I1049" s="30">
        <v>115587</v>
      </c>
      <c r="J1049" s="30" t="s">
        <v>5435</v>
      </c>
      <c r="K1049" s="30" t="s">
        <v>5568</v>
      </c>
    </row>
    <row r="1050" spans="1:11" ht="12.5" x14ac:dyDescent="0.25">
      <c r="A1050" s="30" t="s">
        <v>6930</v>
      </c>
      <c r="B1050" s="30" t="s">
        <v>6929</v>
      </c>
      <c r="C1050" s="32">
        <v>11.61</v>
      </c>
      <c r="D1050" s="30">
        <v>0.09</v>
      </c>
      <c r="E1050" s="31">
        <v>7.8100000000000001E-3</v>
      </c>
      <c r="F1050" s="30">
        <v>1132304306</v>
      </c>
      <c r="G1050" s="30" t="s">
        <v>5427</v>
      </c>
      <c r="H1050" s="30">
        <v>1998</v>
      </c>
      <c r="I1050" s="30">
        <v>169075</v>
      </c>
      <c r="J1050" s="30" t="s">
        <v>5435</v>
      </c>
      <c r="K1050" s="30" t="s">
        <v>5563</v>
      </c>
    </row>
    <row r="1051" spans="1:11" ht="12.5" x14ac:dyDescent="0.25">
      <c r="A1051" s="30" t="s">
        <v>6928</v>
      </c>
      <c r="B1051" s="30" t="s">
        <v>6927</v>
      </c>
      <c r="C1051" s="32">
        <v>10.48</v>
      </c>
      <c r="D1051" s="30">
        <v>0.05</v>
      </c>
      <c r="E1051" s="31">
        <v>4.79E-3</v>
      </c>
      <c r="F1051" s="30">
        <v>236070447</v>
      </c>
      <c r="G1051" s="30" t="s">
        <v>5427</v>
      </c>
      <c r="H1051" s="30"/>
      <c r="I1051" s="30">
        <v>37736</v>
      </c>
      <c r="J1051" s="30" t="s">
        <v>5435</v>
      </c>
      <c r="K1051" s="30" t="s">
        <v>5568</v>
      </c>
    </row>
    <row r="1052" spans="1:11" ht="12.5" x14ac:dyDescent="0.25">
      <c r="A1052" s="30" t="s">
        <v>6926</v>
      </c>
      <c r="B1052" s="30" t="s">
        <v>6925</v>
      </c>
      <c r="C1052" s="32">
        <v>7.4</v>
      </c>
      <c r="D1052" s="30">
        <v>0.03</v>
      </c>
      <c r="E1052" s="31">
        <v>4.0699999999999998E-3</v>
      </c>
      <c r="F1052" s="30">
        <v>95186709268</v>
      </c>
      <c r="G1052" s="30" t="s">
        <v>5927</v>
      </c>
      <c r="H1052" s="30"/>
      <c r="I1052" s="30">
        <v>9363515</v>
      </c>
      <c r="J1052" s="30" t="s">
        <v>5435</v>
      </c>
      <c r="K1052" s="30" t="s">
        <v>5582</v>
      </c>
    </row>
    <row r="1053" spans="1:11" ht="12.5" x14ac:dyDescent="0.25">
      <c r="A1053" s="30" t="s">
        <v>6924</v>
      </c>
      <c r="B1053" s="30" t="s">
        <v>6923</v>
      </c>
      <c r="C1053" s="32">
        <v>12.11</v>
      </c>
      <c r="D1053" s="30">
        <v>0.1</v>
      </c>
      <c r="E1053" s="31">
        <v>8.3300000000000006E-3</v>
      </c>
      <c r="F1053" s="30">
        <v>894577459</v>
      </c>
      <c r="G1053" s="30" t="s">
        <v>5427</v>
      </c>
      <c r="H1053" s="30">
        <v>2003</v>
      </c>
      <c r="I1053" s="30">
        <v>180402</v>
      </c>
      <c r="J1053" s="30" t="s">
        <v>5435</v>
      </c>
      <c r="K1053" s="30" t="s">
        <v>5568</v>
      </c>
    </row>
    <row r="1054" spans="1:11" ht="12.5" x14ac:dyDescent="0.25">
      <c r="A1054" s="30" t="s">
        <v>6922</v>
      </c>
      <c r="B1054" s="30" t="s">
        <v>6921</v>
      </c>
      <c r="C1054" s="32">
        <v>12.02</v>
      </c>
      <c r="D1054" s="30">
        <v>0.16</v>
      </c>
      <c r="E1054" s="31">
        <v>1.349E-2</v>
      </c>
      <c r="F1054" s="30">
        <v>655121829</v>
      </c>
      <c r="G1054" s="30" t="s">
        <v>5427</v>
      </c>
      <c r="H1054" s="30">
        <v>1998</v>
      </c>
      <c r="I1054" s="30">
        <v>102509</v>
      </c>
      <c r="J1054" s="30" t="s">
        <v>5435</v>
      </c>
      <c r="K1054" s="30" t="s">
        <v>5568</v>
      </c>
    </row>
    <row r="1055" spans="1:11" ht="12.5" x14ac:dyDescent="0.25">
      <c r="A1055" s="30" t="s">
        <v>6920</v>
      </c>
      <c r="B1055" s="30" t="s">
        <v>6919</v>
      </c>
      <c r="C1055" s="32">
        <v>42.2</v>
      </c>
      <c r="D1055" s="30">
        <v>-1.41</v>
      </c>
      <c r="E1055" s="31">
        <v>-3.2329999999999998E-2</v>
      </c>
      <c r="F1055" s="30">
        <v>6560212943</v>
      </c>
      <c r="G1055" s="30" t="s">
        <v>5427</v>
      </c>
      <c r="H1055" s="30"/>
      <c r="I1055" s="30">
        <v>2223991</v>
      </c>
      <c r="J1055" s="30" t="s">
        <v>5464</v>
      </c>
      <c r="K1055" s="30" t="s">
        <v>5463</v>
      </c>
    </row>
    <row r="1056" spans="1:11" ht="12.5" x14ac:dyDescent="0.25">
      <c r="A1056" s="30" t="s">
        <v>6918</v>
      </c>
      <c r="B1056" s="30" t="s">
        <v>6917</v>
      </c>
      <c r="C1056" s="32">
        <v>270.5</v>
      </c>
      <c r="D1056" s="30">
        <v>-1.53</v>
      </c>
      <c r="E1056" s="31">
        <v>-5.62E-3</v>
      </c>
      <c r="F1056" s="30">
        <v>6111677541</v>
      </c>
      <c r="G1056" s="30" t="s">
        <v>5427</v>
      </c>
      <c r="H1056" s="30">
        <v>2013</v>
      </c>
      <c r="I1056" s="30">
        <v>461697</v>
      </c>
      <c r="J1056" s="30" t="s">
        <v>5426</v>
      </c>
      <c r="K1056" s="30" t="s">
        <v>5546</v>
      </c>
    </row>
    <row r="1057" spans="1:11" ht="12.5" x14ac:dyDescent="0.25">
      <c r="A1057" s="30" t="s">
        <v>6916</v>
      </c>
      <c r="B1057" s="30" t="s">
        <v>6915</v>
      </c>
      <c r="C1057" s="32">
        <v>6.85</v>
      </c>
      <c r="D1057" s="30">
        <v>0.14000000000000001</v>
      </c>
      <c r="E1057" s="31">
        <v>2.086E-2</v>
      </c>
      <c r="F1057" s="30">
        <v>324878800</v>
      </c>
      <c r="G1057" s="30" t="s">
        <v>5515</v>
      </c>
      <c r="H1057" s="30"/>
      <c r="I1057" s="30">
        <v>345312</v>
      </c>
      <c r="J1057" s="30" t="s">
        <v>6250</v>
      </c>
      <c r="K1057" s="30" t="s">
        <v>6914</v>
      </c>
    </row>
    <row r="1058" spans="1:11" ht="12.5" x14ac:dyDescent="0.25">
      <c r="A1058" s="30" t="s">
        <v>6913</v>
      </c>
      <c r="B1058" s="30" t="s">
        <v>6912</v>
      </c>
      <c r="C1058" s="32">
        <v>7.19</v>
      </c>
      <c r="D1058" s="30">
        <v>0.04</v>
      </c>
      <c r="E1058" s="31">
        <v>5.5900000000000004E-3</v>
      </c>
      <c r="F1058" s="30">
        <v>466173507</v>
      </c>
      <c r="G1058" s="30" t="s">
        <v>5427</v>
      </c>
      <c r="H1058" s="30">
        <v>1988</v>
      </c>
      <c r="I1058" s="30">
        <v>176469</v>
      </c>
      <c r="J1058" s="30" t="s">
        <v>5435</v>
      </c>
      <c r="K1058" s="30" t="s">
        <v>5985</v>
      </c>
    </row>
    <row r="1059" spans="1:11" ht="12.5" x14ac:dyDescent="0.25">
      <c r="A1059" s="30" t="s">
        <v>6911</v>
      </c>
      <c r="B1059" s="30" t="s">
        <v>6910</v>
      </c>
      <c r="C1059" s="32">
        <v>14.59</v>
      </c>
      <c r="D1059" s="30">
        <v>-0.63</v>
      </c>
      <c r="E1059" s="31">
        <v>-4.1390000000000003E-2</v>
      </c>
      <c r="F1059" s="30">
        <v>167785000</v>
      </c>
      <c r="G1059" s="30" t="s">
        <v>5427</v>
      </c>
      <c r="H1059" s="30">
        <v>2007</v>
      </c>
      <c r="I1059" s="30">
        <v>122446</v>
      </c>
      <c r="J1059" s="30" t="s">
        <v>5464</v>
      </c>
      <c r="K1059" s="30" t="s">
        <v>5463</v>
      </c>
    </row>
    <row r="1060" spans="1:11" ht="12.5" x14ac:dyDescent="0.25">
      <c r="A1060" s="30" t="s">
        <v>6909</v>
      </c>
      <c r="B1060" s="30" t="s">
        <v>6908</v>
      </c>
      <c r="C1060" s="32">
        <v>11.15</v>
      </c>
      <c r="D1060" s="30">
        <v>-0.01</v>
      </c>
      <c r="E1060" s="31">
        <v>-8.9999999999999998E-4</v>
      </c>
      <c r="F1060" s="30">
        <v>238273303</v>
      </c>
      <c r="G1060" s="30" t="s">
        <v>5427</v>
      </c>
      <c r="H1060" s="30">
        <v>1993</v>
      </c>
      <c r="I1060" s="30">
        <v>90362</v>
      </c>
      <c r="J1060" s="30" t="s">
        <v>5435</v>
      </c>
      <c r="K1060" s="30" t="s">
        <v>5568</v>
      </c>
    </row>
    <row r="1061" spans="1:11" ht="12.5" x14ac:dyDescent="0.25">
      <c r="A1061" s="30" t="s">
        <v>6907</v>
      </c>
      <c r="B1061" s="30" t="s">
        <v>6906</v>
      </c>
      <c r="C1061" s="32">
        <v>13.02</v>
      </c>
      <c r="D1061" s="30">
        <v>0.37</v>
      </c>
      <c r="E1061" s="31">
        <v>2.9250000000000002E-2</v>
      </c>
      <c r="F1061" s="30">
        <v>2033665397</v>
      </c>
      <c r="G1061" s="30" t="s">
        <v>5427</v>
      </c>
      <c r="H1061" s="30">
        <v>2006</v>
      </c>
      <c r="I1061" s="30">
        <v>1169369</v>
      </c>
      <c r="J1061" s="30" t="s">
        <v>5457</v>
      </c>
      <c r="K1061" s="30" t="s">
        <v>5487</v>
      </c>
    </row>
    <row r="1062" spans="1:11" ht="12.5" x14ac:dyDescent="0.25">
      <c r="A1062" s="30" t="s">
        <v>6905</v>
      </c>
      <c r="B1062" s="30" t="s">
        <v>6904</v>
      </c>
      <c r="C1062" s="32">
        <v>11.04</v>
      </c>
      <c r="D1062" s="30">
        <v>0.44</v>
      </c>
      <c r="E1062" s="31">
        <v>4.1509999999999998E-2</v>
      </c>
      <c r="F1062" s="30">
        <v>509283215</v>
      </c>
      <c r="G1062" s="30" t="s">
        <v>5823</v>
      </c>
      <c r="H1062" s="30">
        <v>2011</v>
      </c>
      <c r="I1062" s="30">
        <v>283702</v>
      </c>
      <c r="J1062" s="30" t="s">
        <v>5219</v>
      </c>
      <c r="K1062" s="30" t="s">
        <v>5526</v>
      </c>
    </row>
    <row r="1063" spans="1:11" ht="12.5" x14ac:dyDescent="0.25">
      <c r="A1063" s="30" t="s">
        <v>6903</v>
      </c>
      <c r="B1063" s="30" t="s">
        <v>6902</v>
      </c>
      <c r="C1063" s="32">
        <v>16.920000000000002</v>
      </c>
      <c r="D1063" s="30">
        <v>0.22</v>
      </c>
      <c r="E1063" s="31">
        <v>1.3169999999999999E-2</v>
      </c>
      <c r="F1063" s="30">
        <v>253888390</v>
      </c>
      <c r="G1063" s="30" t="s">
        <v>5427</v>
      </c>
      <c r="H1063" s="30"/>
      <c r="I1063" s="30">
        <v>31379</v>
      </c>
      <c r="J1063" s="30" t="s">
        <v>5435</v>
      </c>
      <c r="K1063" s="30" t="s">
        <v>5568</v>
      </c>
    </row>
    <row r="1064" spans="1:11" ht="12.5" x14ac:dyDescent="0.25">
      <c r="A1064" s="30" t="s">
        <v>6901</v>
      </c>
      <c r="B1064" s="30" t="s">
        <v>6900</v>
      </c>
      <c r="C1064" s="32">
        <v>11.23</v>
      </c>
      <c r="D1064" s="30">
        <v>0.04</v>
      </c>
      <c r="E1064" s="31">
        <v>3.5699999999999998E-3</v>
      </c>
      <c r="F1064" s="30">
        <v>526908175</v>
      </c>
      <c r="G1064" s="30" t="s">
        <v>5427</v>
      </c>
      <c r="H1064" s="30">
        <v>1991</v>
      </c>
      <c r="I1064" s="30">
        <v>202972</v>
      </c>
      <c r="J1064" s="30" t="s">
        <v>5435</v>
      </c>
      <c r="K1064" s="30" t="s">
        <v>5568</v>
      </c>
    </row>
    <row r="1065" spans="1:11" ht="12.5" x14ac:dyDescent="0.25">
      <c r="A1065" s="30" t="s">
        <v>6899</v>
      </c>
      <c r="B1065" s="30" t="s">
        <v>6898</v>
      </c>
      <c r="C1065" s="32">
        <v>24.05</v>
      </c>
      <c r="D1065" s="30">
        <v>-0.03</v>
      </c>
      <c r="E1065" s="31">
        <v>-1.25E-3</v>
      </c>
      <c r="F1065" s="30">
        <v>877762085</v>
      </c>
      <c r="G1065" s="30" t="s">
        <v>5427</v>
      </c>
      <c r="H1065" s="30">
        <v>1983</v>
      </c>
      <c r="I1065" s="30">
        <v>199678</v>
      </c>
      <c r="J1065" s="30" t="s">
        <v>5442</v>
      </c>
      <c r="K1065" s="30" t="s">
        <v>5853</v>
      </c>
    </row>
    <row r="1066" spans="1:11" ht="12.5" x14ac:dyDescent="0.25">
      <c r="A1066" s="30" t="s">
        <v>6897</v>
      </c>
      <c r="B1066" s="30" t="s">
        <v>6896</v>
      </c>
      <c r="C1066" s="32">
        <v>11.57</v>
      </c>
      <c r="D1066" s="30">
        <v>0.05</v>
      </c>
      <c r="E1066" s="31">
        <v>4.3400000000000001E-3</v>
      </c>
      <c r="F1066" s="30">
        <v>788503379</v>
      </c>
      <c r="G1066" s="30" t="s">
        <v>5427</v>
      </c>
      <c r="H1066" s="30"/>
      <c r="I1066" s="30">
        <v>146415</v>
      </c>
      <c r="J1066" s="30" t="s">
        <v>5435</v>
      </c>
      <c r="K1066" s="30" t="s">
        <v>5563</v>
      </c>
    </row>
    <row r="1067" spans="1:11" ht="12.5" x14ac:dyDescent="0.25">
      <c r="A1067" s="30" t="s">
        <v>6895</v>
      </c>
      <c r="B1067" s="30" t="s">
        <v>6894</v>
      </c>
      <c r="C1067" s="32">
        <v>10.6</v>
      </c>
      <c r="D1067" s="30">
        <v>0.08</v>
      </c>
      <c r="E1067" s="31">
        <v>7.6E-3</v>
      </c>
      <c r="F1067" s="30">
        <v>419617790</v>
      </c>
      <c r="G1067" s="30" t="s">
        <v>5427</v>
      </c>
      <c r="H1067" s="30">
        <v>1992</v>
      </c>
      <c r="I1067" s="30">
        <v>54469</v>
      </c>
      <c r="J1067" s="30" t="s">
        <v>5435</v>
      </c>
      <c r="K1067" s="30" t="s">
        <v>5563</v>
      </c>
    </row>
    <row r="1068" spans="1:11" ht="12.5" x14ac:dyDescent="0.25">
      <c r="A1068" s="30" t="s">
        <v>6893</v>
      </c>
      <c r="B1068" s="30" t="s">
        <v>6892</v>
      </c>
      <c r="C1068" s="32">
        <v>26.89</v>
      </c>
      <c r="D1068" s="30">
        <v>0.01</v>
      </c>
      <c r="E1068" s="31">
        <v>3.6999999999999999E-4</v>
      </c>
      <c r="F1068" s="30">
        <v>2614657647</v>
      </c>
      <c r="G1068" s="30" t="s">
        <v>5427</v>
      </c>
      <c r="H1068" s="30">
        <v>2016</v>
      </c>
      <c r="I1068" s="30">
        <v>502742</v>
      </c>
      <c r="J1068" s="30" t="s">
        <v>5431</v>
      </c>
      <c r="K1068" s="30" t="s">
        <v>5430</v>
      </c>
    </row>
    <row r="1069" spans="1:11" ht="12.5" x14ac:dyDescent="0.25">
      <c r="A1069" s="30" t="s">
        <v>6891</v>
      </c>
      <c r="B1069" s="30" t="s">
        <v>6890</v>
      </c>
      <c r="C1069" s="32">
        <v>11.73</v>
      </c>
      <c r="D1069" s="30">
        <v>0.23</v>
      </c>
      <c r="E1069" s="31">
        <v>0.02</v>
      </c>
      <c r="F1069" s="30">
        <v>1697742242</v>
      </c>
      <c r="G1069" s="30" t="s">
        <v>5427</v>
      </c>
      <c r="H1069" s="30">
        <v>1999</v>
      </c>
      <c r="I1069" s="30">
        <v>429154</v>
      </c>
      <c r="J1069" s="30" t="s">
        <v>5435</v>
      </c>
      <c r="K1069" s="30" t="s">
        <v>5434</v>
      </c>
    </row>
    <row r="1070" spans="1:11" ht="12.5" x14ac:dyDescent="0.25">
      <c r="A1070" s="30" t="s">
        <v>6889</v>
      </c>
      <c r="B1070" s="30" t="s">
        <v>6888</v>
      </c>
      <c r="C1070" s="32">
        <v>12</v>
      </c>
      <c r="D1070" s="30">
        <v>0</v>
      </c>
      <c r="E1070" s="31">
        <v>0</v>
      </c>
      <c r="F1070" s="30">
        <v>2800855872</v>
      </c>
      <c r="G1070" s="30" t="s">
        <v>5427</v>
      </c>
      <c r="H1070" s="30">
        <v>1999</v>
      </c>
      <c r="I1070" s="30">
        <v>517812</v>
      </c>
      <c r="J1070" s="30" t="s">
        <v>5435</v>
      </c>
      <c r="K1070" s="30" t="s">
        <v>5434</v>
      </c>
    </row>
    <row r="1071" spans="1:11" ht="12.5" x14ac:dyDescent="0.25">
      <c r="A1071" s="30" t="s">
        <v>6887</v>
      </c>
      <c r="B1071" s="30" t="s">
        <v>6886</v>
      </c>
      <c r="C1071" s="32">
        <v>11.494999999999999</v>
      </c>
      <c r="D1071" s="30">
        <v>2.5000000000000001E-2</v>
      </c>
      <c r="E1071" s="31">
        <v>2.1800000000000001E-3</v>
      </c>
      <c r="F1071" s="30">
        <v>354636061</v>
      </c>
      <c r="G1071" s="30" t="s">
        <v>5427</v>
      </c>
      <c r="H1071" s="30">
        <v>1999</v>
      </c>
      <c r="I1071" s="30">
        <v>48742</v>
      </c>
      <c r="J1071" s="30" t="s">
        <v>5435</v>
      </c>
      <c r="K1071" s="30" t="s">
        <v>5434</v>
      </c>
    </row>
    <row r="1072" spans="1:11" ht="12.5" x14ac:dyDescent="0.25">
      <c r="A1072" s="30" t="s">
        <v>6885</v>
      </c>
      <c r="B1072" s="30" t="s">
        <v>6884</v>
      </c>
      <c r="C1072" s="32">
        <v>12.11</v>
      </c>
      <c r="D1072" s="30">
        <v>0.12</v>
      </c>
      <c r="E1072" s="31">
        <v>1.001E-2</v>
      </c>
      <c r="F1072" s="30">
        <v>140378442</v>
      </c>
      <c r="G1072" s="30" t="s">
        <v>5427</v>
      </c>
      <c r="H1072" s="30">
        <v>1992</v>
      </c>
      <c r="I1072" s="30">
        <v>15107</v>
      </c>
      <c r="J1072" s="30" t="s">
        <v>5435</v>
      </c>
      <c r="K1072" s="30" t="s">
        <v>5985</v>
      </c>
    </row>
    <row r="1073" spans="1:11" ht="12.5" x14ac:dyDescent="0.25">
      <c r="A1073" s="30" t="s">
        <v>6883</v>
      </c>
      <c r="B1073" s="30" t="s">
        <v>6882</v>
      </c>
      <c r="C1073" s="32">
        <v>16.989999999999998</v>
      </c>
      <c r="D1073" s="30">
        <v>0.13</v>
      </c>
      <c r="E1073" s="31">
        <v>7.7099999999999998E-3</v>
      </c>
      <c r="F1073" s="30">
        <v>499416836</v>
      </c>
      <c r="G1073" s="30" t="s">
        <v>5427</v>
      </c>
      <c r="H1073" s="30">
        <v>2010</v>
      </c>
      <c r="I1073" s="30">
        <v>101342</v>
      </c>
      <c r="J1073" s="30" t="s">
        <v>5435</v>
      </c>
      <c r="K1073" s="30" t="s">
        <v>5563</v>
      </c>
    </row>
    <row r="1074" spans="1:11" ht="12.5" x14ac:dyDescent="0.25">
      <c r="A1074" s="30" t="s">
        <v>6881</v>
      </c>
      <c r="B1074" s="30" t="s">
        <v>6880</v>
      </c>
      <c r="C1074" s="32">
        <v>42.96</v>
      </c>
      <c r="D1074" s="30">
        <v>0.73</v>
      </c>
      <c r="E1074" s="31">
        <v>1.729E-2</v>
      </c>
      <c r="F1074" s="30">
        <v>1615661976</v>
      </c>
      <c r="G1074" s="30" t="s">
        <v>5427</v>
      </c>
      <c r="H1074" s="30">
        <v>2012</v>
      </c>
      <c r="I1074" s="30">
        <v>261501</v>
      </c>
      <c r="J1074" s="30" t="s">
        <v>5435</v>
      </c>
      <c r="K1074" s="30" t="s">
        <v>5579</v>
      </c>
    </row>
    <row r="1075" spans="1:11" ht="12.5" x14ac:dyDescent="0.25">
      <c r="A1075" s="30" t="s">
        <v>6879</v>
      </c>
      <c r="B1075" s="30" t="s">
        <v>6878</v>
      </c>
      <c r="C1075" s="32">
        <v>39.39</v>
      </c>
      <c r="D1075" s="30">
        <v>0.42</v>
      </c>
      <c r="E1075" s="31">
        <v>1.078E-2</v>
      </c>
      <c r="F1075" s="30">
        <v>289480379</v>
      </c>
      <c r="G1075" s="30" t="s">
        <v>5427</v>
      </c>
      <c r="H1075" s="30"/>
      <c r="I1075" s="30">
        <v>17149</v>
      </c>
      <c r="J1075" s="30"/>
      <c r="K1075" s="30"/>
    </row>
    <row r="1076" spans="1:11" ht="12.5" x14ac:dyDescent="0.25">
      <c r="A1076" s="30" t="s">
        <v>6877</v>
      </c>
      <c r="B1076" s="30" t="s">
        <v>6876</v>
      </c>
      <c r="C1076" s="32">
        <v>9.02</v>
      </c>
      <c r="D1076" s="30">
        <v>7.0000000000000007E-2</v>
      </c>
      <c r="E1076" s="31">
        <v>7.8200000000000006E-3</v>
      </c>
      <c r="F1076" s="30">
        <v>298635919</v>
      </c>
      <c r="G1076" s="30" t="s">
        <v>5427</v>
      </c>
      <c r="H1076" s="30"/>
      <c r="I1076" s="30">
        <v>84785</v>
      </c>
      <c r="J1076" s="30" t="s">
        <v>5435</v>
      </c>
      <c r="K1076" s="30" t="s">
        <v>5434</v>
      </c>
    </row>
    <row r="1077" spans="1:11" ht="12.5" x14ac:dyDescent="0.25">
      <c r="A1077" s="30" t="s">
        <v>6875</v>
      </c>
      <c r="B1077" s="30" t="s">
        <v>6874</v>
      </c>
      <c r="C1077" s="32">
        <v>16.11</v>
      </c>
      <c r="D1077" s="30">
        <v>0.9</v>
      </c>
      <c r="E1077" s="31">
        <v>5.917E-2</v>
      </c>
      <c r="F1077" s="30">
        <v>6788691171</v>
      </c>
      <c r="G1077" s="30" t="s">
        <v>5427</v>
      </c>
      <c r="H1077" s="30"/>
      <c r="I1077" s="30">
        <v>18427537</v>
      </c>
      <c r="J1077" s="30" t="s">
        <v>5442</v>
      </c>
      <c r="K1077" s="30" t="s">
        <v>5910</v>
      </c>
    </row>
    <row r="1078" spans="1:11" ht="12.5" x14ac:dyDescent="0.25">
      <c r="A1078" s="30" t="s">
        <v>6873</v>
      </c>
      <c r="B1078" s="30" t="s">
        <v>6872</v>
      </c>
      <c r="C1078" s="32">
        <v>28.07</v>
      </c>
      <c r="D1078" s="30">
        <v>0.65</v>
      </c>
      <c r="E1078" s="31">
        <v>2.3709999999999998E-2</v>
      </c>
      <c r="F1078" s="30">
        <v>3856818000</v>
      </c>
      <c r="G1078" s="30" t="s">
        <v>5427</v>
      </c>
      <c r="H1078" s="30"/>
      <c r="I1078" s="30">
        <v>1227346</v>
      </c>
      <c r="J1078" s="30" t="s">
        <v>5682</v>
      </c>
      <c r="K1078" s="30" t="s">
        <v>5487</v>
      </c>
    </row>
    <row r="1079" spans="1:11" ht="12.5" x14ac:dyDescent="0.25">
      <c r="A1079" s="30" t="s">
        <v>6871</v>
      </c>
      <c r="B1079" s="30" t="s">
        <v>6870</v>
      </c>
      <c r="C1079" s="32">
        <v>4.03</v>
      </c>
      <c r="D1079" s="30">
        <v>7.0000000000000007E-2</v>
      </c>
      <c r="E1079" s="31">
        <v>1.7680000000000001E-2</v>
      </c>
      <c r="F1079" s="30">
        <v>364205483</v>
      </c>
      <c r="G1079" s="30" t="s">
        <v>5427</v>
      </c>
      <c r="H1079" s="30">
        <v>2003</v>
      </c>
      <c r="I1079" s="30">
        <v>453081</v>
      </c>
      <c r="J1079" s="30" t="s">
        <v>5435</v>
      </c>
      <c r="K1079" s="30" t="s">
        <v>5563</v>
      </c>
    </row>
    <row r="1080" spans="1:11" ht="12.5" x14ac:dyDescent="0.25">
      <c r="A1080" s="30" t="s">
        <v>6869</v>
      </c>
      <c r="B1080" s="30" t="s">
        <v>6868</v>
      </c>
      <c r="C1080" s="32">
        <v>3.38</v>
      </c>
      <c r="D1080" s="30">
        <v>0.05</v>
      </c>
      <c r="E1080" s="31">
        <v>1.502E-2</v>
      </c>
      <c r="F1080" s="30">
        <v>257271232</v>
      </c>
      <c r="G1080" s="30" t="s">
        <v>5427</v>
      </c>
      <c r="H1080" s="30">
        <v>2003</v>
      </c>
      <c r="I1080" s="30">
        <v>1122962</v>
      </c>
      <c r="J1080" s="30" t="s">
        <v>5435</v>
      </c>
      <c r="K1080" s="30" t="s">
        <v>5563</v>
      </c>
    </row>
    <row r="1081" spans="1:11" ht="12.5" x14ac:dyDescent="0.25">
      <c r="A1081" s="30" t="s">
        <v>6867</v>
      </c>
      <c r="B1081" s="30" t="s">
        <v>6866</v>
      </c>
      <c r="C1081" s="32">
        <v>30.89</v>
      </c>
      <c r="D1081" s="30">
        <v>0</v>
      </c>
      <c r="E1081" s="31">
        <v>0</v>
      </c>
      <c r="F1081" s="30">
        <v>57022847</v>
      </c>
      <c r="G1081" s="30" t="s">
        <v>5427</v>
      </c>
      <c r="H1081" s="30">
        <v>2012</v>
      </c>
      <c r="I1081" s="30">
        <v>2739</v>
      </c>
      <c r="J1081" s="30" t="s">
        <v>5435</v>
      </c>
      <c r="K1081" s="30" t="s">
        <v>5985</v>
      </c>
    </row>
    <row r="1082" spans="1:11" ht="12.5" x14ac:dyDescent="0.25">
      <c r="A1082" s="30" t="s">
        <v>6865</v>
      </c>
      <c r="B1082" s="30" t="s">
        <v>6864</v>
      </c>
      <c r="C1082" s="32">
        <v>11.68</v>
      </c>
      <c r="D1082" s="30">
        <v>0.08</v>
      </c>
      <c r="E1082" s="31">
        <v>6.8999999999999999E-3</v>
      </c>
      <c r="F1082" s="30">
        <v>3492756739</v>
      </c>
      <c r="G1082" s="30" t="s">
        <v>5427</v>
      </c>
      <c r="H1082" s="30">
        <v>2002</v>
      </c>
      <c r="I1082" s="30">
        <v>707262</v>
      </c>
      <c r="J1082" s="30" t="s">
        <v>5435</v>
      </c>
      <c r="K1082" s="30" t="s">
        <v>5985</v>
      </c>
    </row>
    <row r="1083" spans="1:11" ht="12.5" x14ac:dyDescent="0.25">
      <c r="A1083" s="30" t="s">
        <v>6863</v>
      </c>
      <c r="B1083" s="30" t="s">
        <v>6862</v>
      </c>
      <c r="C1083" s="32">
        <v>74.239999999999995</v>
      </c>
      <c r="D1083" s="30">
        <v>-0.39</v>
      </c>
      <c r="E1083" s="31">
        <v>-5.2300000000000003E-3</v>
      </c>
      <c r="F1083" s="30">
        <v>147527029524</v>
      </c>
      <c r="G1083" s="30" t="s">
        <v>5427</v>
      </c>
      <c r="H1083" s="30"/>
      <c r="I1083" s="30">
        <v>15188007</v>
      </c>
      <c r="J1083" s="30" t="s">
        <v>5426</v>
      </c>
      <c r="K1083" s="30" t="s">
        <v>6000</v>
      </c>
    </row>
    <row r="1084" spans="1:11" ht="12.5" x14ac:dyDescent="0.25">
      <c r="A1084" s="30" t="s">
        <v>6861</v>
      </c>
      <c r="B1084" s="30" t="s">
        <v>6860</v>
      </c>
      <c r="C1084" s="32">
        <v>54.19</v>
      </c>
      <c r="D1084" s="30">
        <v>1.26</v>
      </c>
      <c r="E1084" s="31">
        <v>2.3810000000000001E-2</v>
      </c>
      <c r="F1084" s="30">
        <v>43012701833</v>
      </c>
      <c r="G1084" s="30" t="s">
        <v>5427</v>
      </c>
      <c r="H1084" s="30"/>
      <c r="I1084" s="30">
        <v>6594250</v>
      </c>
      <c r="J1084" s="30" t="s">
        <v>6250</v>
      </c>
      <c r="K1084" s="30" t="s">
        <v>6859</v>
      </c>
    </row>
    <row r="1085" spans="1:11" ht="12.5" x14ac:dyDescent="0.25">
      <c r="A1085" s="30" t="s">
        <v>6858</v>
      </c>
      <c r="B1085" s="30" t="s">
        <v>6857</v>
      </c>
      <c r="C1085" s="32">
        <v>72.45</v>
      </c>
      <c r="D1085" s="30">
        <v>-0.85</v>
      </c>
      <c r="E1085" s="31">
        <v>-1.1599999999999999E-2</v>
      </c>
      <c r="F1085" s="30">
        <v>6269481326</v>
      </c>
      <c r="G1085" s="30" t="s">
        <v>5427</v>
      </c>
      <c r="H1085" s="30">
        <v>2014</v>
      </c>
      <c r="I1085" s="30">
        <v>877170</v>
      </c>
      <c r="J1085" s="30" t="s">
        <v>5426</v>
      </c>
      <c r="K1085" s="30" t="s">
        <v>6000</v>
      </c>
    </row>
    <row r="1086" spans="1:11" ht="12.5" x14ac:dyDescent="0.25">
      <c r="A1086" s="30" t="s">
        <v>6856</v>
      </c>
      <c r="B1086" s="30" t="s">
        <v>6855</v>
      </c>
      <c r="C1086" s="32">
        <v>55.51</v>
      </c>
      <c r="D1086" s="30">
        <v>2.6</v>
      </c>
      <c r="E1086" s="31">
        <v>4.9140000000000003E-2</v>
      </c>
      <c r="F1086" s="30">
        <v>18241971474</v>
      </c>
      <c r="G1086" s="30" t="s">
        <v>5427</v>
      </c>
      <c r="H1086" s="30">
        <v>2019</v>
      </c>
      <c r="I1086" s="30">
        <v>5093325</v>
      </c>
      <c r="J1086" s="30" t="s">
        <v>5219</v>
      </c>
      <c r="K1086" s="30" t="s">
        <v>5447</v>
      </c>
    </row>
    <row r="1087" spans="1:11" ht="12.5" x14ac:dyDescent="0.25">
      <c r="A1087" s="30" t="s">
        <v>6854</v>
      </c>
      <c r="B1087" s="30" t="s">
        <v>6853</v>
      </c>
      <c r="C1087" s="32">
        <v>367.81</v>
      </c>
      <c r="D1087" s="30">
        <v>23.3</v>
      </c>
      <c r="E1087" s="31">
        <v>6.7629999999999996E-2</v>
      </c>
      <c r="F1087" s="30">
        <v>3630814346</v>
      </c>
      <c r="G1087" s="30" t="s">
        <v>5427</v>
      </c>
      <c r="H1087" s="30"/>
      <c r="I1087" s="30">
        <v>89564</v>
      </c>
      <c r="J1087" s="30" t="s">
        <v>5457</v>
      </c>
      <c r="K1087" s="30" t="s">
        <v>5555</v>
      </c>
    </row>
    <row r="1088" spans="1:11" ht="12.5" x14ac:dyDescent="0.25">
      <c r="A1088" s="30" t="s">
        <v>6852</v>
      </c>
      <c r="B1088" s="30" t="s">
        <v>6851</v>
      </c>
      <c r="C1088" s="32">
        <v>64.540000000000006</v>
      </c>
      <c r="D1088" s="30">
        <v>3.49</v>
      </c>
      <c r="E1088" s="31">
        <v>5.7169999999999999E-2</v>
      </c>
      <c r="F1088" s="30">
        <v>4410539877</v>
      </c>
      <c r="G1088" s="30" t="s">
        <v>5427</v>
      </c>
      <c r="H1088" s="30">
        <v>2014</v>
      </c>
      <c r="I1088" s="30">
        <v>694412</v>
      </c>
      <c r="J1088" s="30" t="s">
        <v>5219</v>
      </c>
      <c r="K1088" s="30" t="s">
        <v>5560</v>
      </c>
    </row>
    <row r="1089" spans="1:11" ht="12.5" x14ac:dyDescent="0.25">
      <c r="A1089" s="30" t="s">
        <v>6850</v>
      </c>
      <c r="B1089" s="30" t="s">
        <v>6849</v>
      </c>
      <c r="C1089" s="32">
        <v>9.31</v>
      </c>
      <c r="D1089" s="30">
        <v>-0.11</v>
      </c>
      <c r="E1089" s="31">
        <v>-1.1679999999999999E-2</v>
      </c>
      <c r="F1089" s="30">
        <v>2285882913</v>
      </c>
      <c r="G1089" s="30" t="s">
        <v>5427</v>
      </c>
      <c r="H1089" s="30">
        <v>2017</v>
      </c>
      <c r="I1089" s="30">
        <v>2393650</v>
      </c>
      <c r="J1089" s="30" t="s">
        <v>5464</v>
      </c>
      <c r="K1089" s="30" t="s">
        <v>5588</v>
      </c>
    </row>
    <row r="1090" spans="1:11" ht="12.5" x14ac:dyDescent="0.25">
      <c r="A1090" s="30" t="s">
        <v>6848</v>
      </c>
      <c r="B1090" s="30" t="s">
        <v>6847</v>
      </c>
      <c r="C1090" s="32">
        <v>57.18</v>
      </c>
      <c r="D1090" s="30">
        <v>-0.88</v>
      </c>
      <c r="E1090" s="31">
        <v>-1.516E-2</v>
      </c>
      <c r="F1090" s="30">
        <v>5248775545</v>
      </c>
      <c r="G1090" s="30" t="s">
        <v>5427</v>
      </c>
      <c r="H1090" s="30"/>
      <c r="I1090" s="30">
        <v>700079</v>
      </c>
      <c r="J1090" s="30" t="s">
        <v>5464</v>
      </c>
      <c r="K1090" s="30" t="s">
        <v>5463</v>
      </c>
    </row>
    <row r="1091" spans="1:11" ht="12.5" x14ac:dyDescent="0.25">
      <c r="A1091" s="30" t="s">
        <v>6846</v>
      </c>
      <c r="B1091" s="30" t="s">
        <v>6845</v>
      </c>
      <c r="C1091" s="32">
        <v>12.49</v>
      </c>
      <c r="D1091" s="30">
        <v>0.18</v>
      </c>
      <c r="E1091" s="31">
        <v>1.4619999999999999E-2</v>
      </c>
      <c r="F1091" s="30">
        <v>1184071747</v>
      </c>
      <c r="G1091" s="30" t="s">
        <v>5427</v>
      </c>
      <c r="H1091" s="30">
        <v>2005</v>
      </c>
      <c r="I1091" s="30">
        <v>235552</v>
      </c>
      <c r="J1091" s="30" t="s">
        <v>5435</v>
      </c>
      <c r="K1091" s="30" t="s">
        <v>5568</v>
      </c>
    </row>
    <row r="1092" spans="1:11" ht="12.5" x14ac:dyDescent="0.25">
      <c r="A1092" s="30" t="s">
        <v>6844</v>
      </c>
      <c r="B1092" s="30" t="s">
        <v>6843</v>
      </c>
      <c r="C1092" s="32">
        <v>63.93</v>
      </c>
      <c r="D1092" s="30">
        <v>0.16</v>
      </c>
      <c r="E1092" s="31">
        <v>2.5100000000000001E-3</v>
      </c>
      <c r="F1092" s="30">
        <v>47005794159</v>
      </c>
      <c r="G1092" s="30" t="s">
        <v>5775</v>
      </c>
      <c r="H1092" s="30"/>
      <c r="I1092" s="30">
        <v>467877</v>
      </c>
      <c r="J1092" s="30" t="s">
        <v>5426</v>
      </c>
      <c r="K1092" s="30" t="s">
        <v>5546</v>
      </c>
    </row>
    <row r="1093" spans="1:11" ht="12.5" x14ac:dyDescent="0.25">
      <c r="A1093" s="30" t="s">
        <v>6842</v>
      </c>
      <c r="B1093" s="30" t="s">
        <v>6841</v>
      </c>
      <c r="C1093" s="32">
        <v>1.62</v>
      </c>
      <c r="D1093" s="30">
        <v>-0.01</v>
      </c>
      <c r="E1093" s="31">
        <v>-6.13E-3</v>
      </c>
      <c r="F1093" s="30">
        <v>211727471</v>
      </c>
      <c r="G1093" s="30" t="s">
        <v>5427</v>
      </c>
      <c r="H1093" s="30">
        <v>2011</v>
      </c>
      <c r="I1093" s="30">
        <v>351552</v>
      </c>
      <c r="J1093" s="30" t="s">
        <v>5464</v>
      </c>
      <c r="K1093" s="30" t="s">
        <v>5463</v>
      </c>
    </row>
    <row r="1094" spans="1:11" ht="12.5" x14ac:dyDescent="0.25">
      <c r="A1094" s="30" t="s">
        <v>6840</v>
      </c>
      <c r="B1094" s="30" t="s">
        <v>6839</v>
      </c>
      <c r="C1094" s="32">
        <v>11.66</v>
      </c>
      <c r="D1094" s="30">
        <v>0.21</v>
      </c>
      <c r="E1094" s="31">
        <v>1.8339999999999999E-2</v>
      </c>
      <c r="F1094" s="30">
        <v>144864143</v>
      </c>
      <c r="G1094" s="30" t="s">
        <v>5427</v>
      </c>
      <c r="H1094" s="30">
        <v>2002</v>
      </c>
      <c r="I1094" s="30">
        <v>27493</v>
      </c>
      <c r="J1094" s="30" t="s">
        <v>5457</v>
      </c>
      <c r="K1094" s="30" t="s">
        <v>5634</v>
      </c>
    </row>
    <row r="1095" spans="1:11" ht="12.5" x14ac:dyDescent="0.25">
      <c r="A1095" s="30" t="s">
        <v>6838</v>
      </c>
      <c r="B1095" s="30" t="s">
        <v>6837</v>
      </c>
      <c r="C1095" s="32">
        <v>10.09</v>
      </c>
      <c r="D1095" s="30">
        <v>0.16</v>
      </c>
      <c r="E1095" s="31">
        <v>1.6109999999999999E-2</v>
      </c>
      <c r="F1095" s="30">
        <v>229295159</v>
      </c>
      <c r="G1095" s="30" t="s">
        <v>5427</v>
      </c>
      <c r="H1095" s="30">
        <v>2012</v>
      </c>
      <c r="I1095" s="30">
        <v>70799</v>
      </c>
      <c r="J1095" s="30" t="s">
        <v>5541</v>
      </c>
      <c r="K1095" s="30" t="s">
        <v>5540</v>
      </c>
    </row>
    <row r="1096" spans="1:11" ht="12.5" x14ac:dyDescent="0.25">
      <c r="A1096" s="30" t="s">
        <v>6836</v>
      </c>
      <c r="B1096" s="30" t="s">
        <v>6835</v>
      </c>
      <c r="C1096" s="32">
        <v>59.02</v>
      </c>
      <c r="D1096" s="30">
        <v>0.19</v>
      </c>
      <c r="E1096" s="31">
        <v>3.2299999999999998E-3</v>
      </c>
      <c r="F1096" s="30">
        <v>2560803553</v>
      </c>
      <c r="G1096" s="30" t="s">
        <v>5427</v>
      </c>
      <c r="H1096" s="30"/>
      <c r="I1096" s="30">
        <v>209942</v>
      </c>
      <c r="J1096" s="30" t="s">
        <v>5197</v>
      </c>
      <c r="K1096" s="30" t="s">
        <v>5467</v>
      </c>
    </row>
    <row r="1097" spans="1:11" ht="12.5" x14ac:dyDescent="0.25">
      <c r="A1097" s="30" t="s">
        <v>6834</v>
      </c>
      <c r="B1097" s="30" t="s">
        <v>6833</v>
      </c>
      <c r="C1097" s="32">
        <v>27.86</v>
      </c>
      <c r="D1097" s="30">
        <v>0.11</v>
      </c>
      <c r="E1097" s="31">
        <v>3.96E-3</v>
      </c>
      <c r="F1097" s="30">
        <v>11314902768</v>
      </c>
      <c r="G1097" s="30" t="s">
        <v>5427</v>
      </c>
      <c r="H1097" s="30"/>
      <c r="I1097" s="30">
        <v>3763356</v>
      </c>
      <c r="J1097" s="30" t="s">
        <v>5426</v>
      </c>
      <c r="K1097" s="30" t="s">
        <v>5593</v>
      </c>
    </row>
    <row r="1098" spans="1:11" ht="12.5" x14ac:dyDescent="0.25">
      <c r="A1098" s="30" t="s">
        <v>6832</v>
      </c>
      <c r="B1098" s="30" t="s">
        <v>6831</v>
      </c>
      <c r="C1098" s="32">
        <v>73.31</v>
      </c>
      <c r="D1098" s="30">
        <v>0.42</v>
      </c>
      <c r="E1098" s="31">
        <v>5.7600000000000004E-3</v>
      </c>
      <c r="F1098" s="30">
        <v>1076968912</v>
      </c>
      <c r="G1098" s="30" t="s">
        <v>5427</v>
      </c>
      <c r="H1098" s="30">
        <v>2022</v>
      </c>
      <c r="I1098" s="30">
        <v>32507</v>
      </c>
      <c r="J1098" s="30" t="s">
        <v>5435</v>
      </c>
      <c r="K1098" s="30" t="s">
        <v>5579</v>
      </c>
    </row>
    <row r="1099" spans="1:11" ht="12.5" x14ac:dyDescent="0.25">
      <c r="A1099" s="30" t="s">
        <v>6830</v>
      </c>
      <c r="B1099" s="30" t="s">
        <v>6829</v>
      </c>
      <c r="C1099" s="32">
        <v>13.26</v>
      </c>
      <c r="D1099" s="30">
        <v>-0.04</v>
      </c>
      <c r="E1099" s="31">
        <v>-3.0100000000000001E-3</v>
      </c>
      <c r="F1099" s="30">
        <v>622213155</v>
      </c>
      <c r="G1099" s="30" t="s">
        <v>5427</v>
      </c>
      <c r="H1099" s="30">
        <v>2012</v>
      </c>
      <c r="I1099" s="30">
        <v>897521</v>
      </c>
      <c r="J1099" s="30" t="s">
        <v>5435</v>
      </c>
      <c r="K1099" s="30" t="s">
        <v>5563</v>
      </c>
    </row>
    <row r="1100" spans="1:11" ht="12.5" x14ac:dyDescent="0.25">
      <c r="A1100" s="30" t="s">
        <v>6828</v>
      </c>
      <c r="B1100" s="30" t="s">
        <v>6827</v>
      </c>
      <c r="C1100" s="32">
        <v>20.52</v>
      </c>
      <c r="D1100" s="30">
        <v>0.24</v>
      </c>
      <c r="E1100" s="31">
        <v>1.183E-2</v>
      </c>
      <c r="F1100" s="30">
        <v>568587962</v>
      </c>
      <c r="G1100" s="30" t="s">
        <v>5427</v>
      </c>
      <c r="H1100" s="30">
        <v>2007</v>
      </c>
      <c r="I1100" s="30">
        <v>94904</v>
      </c>
      <c r="J1100" s="30" t="s">
        <v>5435</v>
      </c>
      <c r="K1100" s="30" t="s">
        <v>5434</v>
      </c>
    </row>
    <row r="1101" spans="1:11" ht="12.5" x14ac:dyDescent="0.25">
      <c r="A1101" s="30" t="s">
        <v>6826</v>
      </c>
      <c r="B1101" s="30" t="s">
        <v>6825</v>
      </c>
      <c r="C1101" s="32">
        <v>9.49</v>
      </c>
      <c r="D1101" s="30">
        <v>0.05</v>
      </c>
      <c r="E1101" s="31">
        <v>5.3E-3</v>
      </c>
      <c r="F1101" s="30">
        <v>118118206</v>
      </c>
      <c r="G1101" s="30" t="s">
        <v>5427</v>
      </c>
      <c r="H1101" s="30">
        <v>1992</v>
      </c>
      <c r="I1101" s="30">
        <v>20146</v>
      </c>
      <c r="J1101" s="30" t="s">
        <v>5435</v>
      </c>
      <c r="K1101" s="30" t="s">
        <v>5568</v>
      </c>
    </row>
    <row r="1102" spans="1:11" ht="12.5" x14ac:dyDescent="0.25">
      <c r="A1102" s="30" t="s">
        <v>6824</v>
      </c>
      <c r="B1102" s="30" t="s">
        <v>6823</v>
      </c>
      <c r="C1102" s="32">
        <v>14.05</v>
      </c>
      <c r="D1102" s="30">
        <v>0.34</v>
      </c>
      <c r="E1102" s="31">
        <v>2.4799999999999999E-2</v>
      </c>
      <c r="F1102" s="30">
        <v>466758787</v>
      </c>
      <c r="G1102" s="30" t="s">
        <v>5427</v>
      </c>
      <c r="H1102" s="30">
        <v>2018</v>
      </c>
      <c r="I1102" s="30">
        <v>1376568</v>
      </c>
      <c r="J1102" s="30" t="s">
        <v>5464</v>
      </c>
      <c r="K1102" s="30" t="s">
        <v>5588</v>
      </c>
    </row>
    <row r="1103" spans="1:11" ht="12.5" x14ac:dyDescent="0.25">
      <c r="A1103" s="30" t="s">
        <v>6822</v>
      </c>
      <c r="B1103" s="30" t="s">
        <v>6821</v>
      </c>
      <c r="C1103" s="32">
        <v>49.81</v>
      </c>
      <c r="D1103" s="30">
        <v>-0.11</v>
      </c>
      <c r="E1103" s="31">
        <v>-2.2000000000000001E-3</v>
      </c>
      <c r="F1103" s="30">
        <v>4803197278</v>
      </c>
      <c r="G1103" s="30" t="s">
        <v>5427</v>
      </c>
      <c r="H1103" s="30"/>
      <c r="I1103" s="30">
        <v>871671</v>
      </c>
      <c r="J1103" s="30" t="s">
        <v>5426</v>
      </c>
      <c r="K1103" s="30" t="s">
        <v>6094</v>
      </c>
    </row>
    <row r="1104" spans="1:11" ht="12.5" x14ac:dyDescent="0.25">
      <c r="A1104" s="30" t="s">
        <v>6820</v>
      </c>
      <c r="B1104" s="30" t="s">
        <v>6819</v>
      </c>
      <c r="C1104" s="32">
        <v>129.5</v>
      </c>
      <c r="D1104" s="30">
        <v>2.17</v>
      </c>
      <c r="E1104" s="31">
        <v>1.704E-2</v>
      </c>
      <c r="F1104" s="30">
        <v>200797906299</v>
      </c>
      <c r="G1104" s="30" t="s">
        <v>5427</v>
      </c>
      <c r="H1104" s="30"/>
      <c r="I1104" s="30">
        <v>6384674</v>
      </c>
      <c r="J1104" s="30" t="s">
        <v>5442</v>
      </c>
      <c r="K1104" s="30" t="s">
        <v>5477</v>
      </c>
    </row>
    <row r="1105" spans="1:11" ht="12.5" x14ac:dyDescent="0.25">
      <c r="A1105" s="30" t="s">
        <v>6818</v>
      </c>
      <c r="B1105" s="30" t="s">
        <v>6817</v>
      </c>
      <c r="C1105" s="32">
        <v>10.58</v>
      </c>
      <c r="D1105" s="30">
        <v>0.02</v>
      </c>
      <c r="E1105" s="31">
        <v>1.89E-3</v>
      </c>
      <c r="F1105" s="30">
        <v>110030022</v>
      </c>
      <c r="G1105" s="30" t="s">
        <v>5427</v>
      </c>
      <c r="H1105" s="30">
        <v>2002</v>
      </c>
      <c r="I1105" s="30">
        <v>20884</v>
      </c>
      <c r="J1105" s="30" t="s">
        <v>5435</v>
      </c>
      <c r="K1105" s="30" t="s">
        <v>5985</v>
      </c>
    </row>
    <row r="1106" spans="1:11" ht="12.5" x14ac:dyDescent="0.25">
      <c r="A1106" s="30" t="s">
        <v>6816</v>
      </c>
      <c r="B1106" s="30" t="s">
        <v>6815</v>
      </c>
      <c r="C1106" s="32">
        <v>12.56</v>
      </c>
      <c r="D1106" s="30">
        <v>0.05</v>
      </c>
      <c r="E1106" s="31">
        <v>4.0000000000000001E-3</v>
      </c>
      <c r="F1106" s="30">
        <v>596855382</v>
      </c>
      <c r="G1106" s="30" t="s">
        <v>5427</v>
      </c>
      <c r="H1106" s="30">
        <v>2002</v>
      </c>
      <c r="I1106" s="30">
        <v>89152</v>
      </c>
      <c r="J1106" s="30" t="s">
        <v>5435</v>
      </c>
      <c r="K1106" s="30" t="s">
        <v>5985</v>
      </c>
    </row>
    <row r="1107" spans="1:11" ht="12.5" x14ac:dyDescent="0.25">
      <c r="A1107" s="30" t="s">
        <v>6814</v>
      </c>
      <c r="B1107" s="30" t="s">
        <v>6813</v>
      </c>
      <c r="C1107" s="32">
        <v>7.3</v>
      </c>
      <c r="D1107" s="30">
        <v>0.24</v>
      </c>
      <c r="E1107" s="31">
        <v>3.3989999999999999E-2</v>
      </c>
      <c r="F1107" s="30">
        <v>356354858</v>
      </c>
      <c r="G1107" s="30" t="s">
        <v>5427</v>
      </c>
      <c r="H1107" s="30"/>
      <c r="I1107" s="30">
        <v>28315</v>
      </c>
      <c r="J1107" s="30" t="s">
        <v>5442</v>
      </c>
      <c r="K1107" s="30" t="s">
        <v>5746</v>
      </c>
    </row>
    <row r="1108" spans="1:11" ht="12.5" x14ac:dyDescent="0.25">
      <c r="A1108" s="30" t="s">
        <v>6812</v>
      </c>
      <c r="B1108" s="30" t="s">
        <v>6811</v>
      </c>
      <c r="C1108" s="32">
        <v>2.0699999999999998</v>
      </c>
      <c r="D1108" s="30">
        <v>0.22</v>
      </c>
      <c r="E1108" s="31">
        <v>0.11892</v>
      </c>
      <c r="F1108" s="30">
        <v>65659344</v>
      </c>
      <c r="G1108" s="30" t="s">
        <v>5427</v>
      </c>
      <c r="H1108" s="30"/>
      <c r="I1108" s="30">
        <v>396841</v>
      </c>
      <c r="J1108" s="30" t="s">
        <v>5442</v>
      </c>
      <c r="K1108" s="30" t="s">
        <v>5641</v>
      </c>
    </row>
    <row r="1109" spans="1:11" ht="12.5" x14ac:dyDescent="0.25">
      <c r="A1109" s="30" t="s">
        <v>6810</v>
      </c>
      <c r="B1109" s="30" t="s">
        <v>6809</v>
      </c>
      <c r="C1109" s="32">
        <v>24</v>
      </c>
      <c r="D1109" s="30">
        <v>0.53</v>
      </c>
      <c r="E1109" s="31">
        <v>2.2579999999999999E-2</v>
      </c>
      <c r="F1109" s="30">
        <v>11228772960</v>
      </c>
      <c r="G1109" s="30" t="s">
        <v>5427</v>
      </c>
      <c r="H1109" s="30"/>
      <c r="I1109" s="30">
        <v>7091958</v>
      </c>
      <c r="J1109" s="30" t="s">
        <v>5197</v>
      </c>
      <c r="K1109" s="30" t="s">
        <v>5467</v>
      </c>
    </row>
    <row r="1110" spans="1:11" ht="12.5" x14ac:dyDescent="0.25">
      <c r="A1110" s="30" t="s">
        <v>6808</v>
      </c>
      <c r="B1110" s="30" t="s">
        <v>6807</v>
      </c>
      <c r="C1110" s="32">
        <v>9.82</v>
      </c>
      <c r="D1110" s="30">
        <v>-0.09</v>
      </c>
      <c r="E1110" s="31">
        <v>-9.0799999999999995E-3</v>
      </c>
      <c r="F1110" s="30">
        <v>98653114</v>
      </c>
      <c r="G1110" s="30" t="s">
        <v>5427</v>
      </c>
      <c r="H1110" s="30">
        <v>1988</v>
      </c>
      <c r="I1110" s="30">
        <v>17828</v>
      </c>
      <c r="J1110" s="30" t="s">
        <v>5435</v>
      </c>
      <c r="K1110" s="30" t="s">
        <v>5568</v>
      </c>
    </row>
    <row r="1111" spans="1:11" ht="12.5" x14ac:dyDescent="0.25">
      <c r="A1111" s="30" t="s">
        <v>6806</v>
      </c>
      <c r="B1111" s="30" t="s">
        <v>6805</v>
      </c>
      <c r="C1111" s="32">
        <v>27.47</v>
      </c>
      <c r="D1111" s="30">
        <v>0.31</v>
      </c>
      <c r="E1111" s="31">
        <v>1.141E-2</v>
      </c>
      <c r="F1111" s="30">
        <v>829165138</v>
      </c>
      <c r="G1111" s="30" t="s">
        <v>5911</v>
      </c>
      <c r="H1111" s="30">
        <v>2007</v>
      </c>
      <c r="I1111" s="30">
        <v>240666</v>
      </c>
      <c r="J1111" s="30" t="s">
        <v>5442</v>
      </c>
      <c r="K1111" s="30" t="s">
        <v>5910</v>
      </c>
    </row>
    <row r="1112" spans="1:11" ht="12.5" x14ac:dyDescent="0.25">
      <c r="A1112" s="30" t="s">
        <v>6804</v>
      </c>
      <c r="B1112" s="30" t="s">
        <v>6803</v>
      </c>
      <c r="C1112" s="32">
        <v>4.04</v>
      </c>
      <c r="D1112" s="30">
        <v>0</v>
      </c>
      <c r="E1112" s="31">
        <v>0</v>
      </c>
      <c r="F1112" s="30">
        <v>12128774706</v>
      </c>
      <c r="G1112" s="30" t="s">
        <v>5927</v>
      </c>
      <c r="H1112" s="30"/>
      <c r="I1112" s="30">
        <v>513262</v>
      </c>
      <c r="J1112" s="30" t="s">
        <v>5435</v>
      </c>
      <c r="K1112" s="30" t="s">
        <v>6221</v>
      </c>
    </row>
    <row r="1113" spans="1:11" ht="12.5" x14ac:dyDescent="0.25">
      <c r="A1113" s="30" t="s">
        <v>6802</v>
      </c>
      <c r="B1113" s="30" t="s">
        <v>6801</v>
      </c>
      <c r="C1113" s="32">
        <v>12.28</v>
      </c>
      <c r="D1113" s="30">
        <v>8.0600000000000005E-2</v>
      </c>
      <c r="E1113" s="31">
        <v>6.6100000000000004E-3</v>
      </c>
      <c r="F1113" s="30">
        <v>71041089</v>
      </c>
      <c r="G1113" s="30" t="s">
        <v>5427</v>
      </c>
      <c r="H1113" s="30">
        <v>2014</v>
      </c>
      <c r="I1113" s="30">
        <v>6591</v>
      </c>
      <c r="J1113" s="30" t="s">
        <v>5435</v>
      </c>
      <c r="K1113" s="30" t="s">
        <v>5563</v>
      </c>
    </row>
    <row r="1114" spans="1:11" ht="12.5" x14ac:dyDescent="0.25">
      <c r="A1114" s="30" t="s">
        <v>6800</v>
      </c>
      <c r="B1114" s="30" t="s">
        <v>6799</v>
      </c>
      <c r="C1114" s="32">
        <v>11.25</v>
      </c>
      <c r="D1114" s="30">
        <v>0.18</v>
      </c>
      <c r="E1114" s="31">
        <v>1.626E-2</v>
      </c>
      <c r="F1114" s="30">
        <v>104901919</v>
      </c>
      <c r="G1114" s="30" t="s">
        <v>5427</v>
      </c>
      <c r="H1114" s="30"/>
      <c r="I1114" s="30">
        <v>16069</v>
      </c>
      <c r="J1114" s="30" t="s">
        <v>5435</v>
      </c>
      <c r="K1114" s="30" t="s">
        <v>5985</v>
      </c>
    </row>
    <row r="1115" spans="1:11" ht="12.5" x14ac:dyDescent="0.25">
      <c r="A1115" s="30" t="s">
        <v>6798</v>
      </c>
      <c r="B1115" s="30" t="s">
        <v>6797</v>
      </c>
      <c r="C1115" s="32">
        <v>11.06</v>
      </c>
      <c r="D1115" s="30">
        <v>0.05</v>
      </c>
      <c r="E1115" s="31">
        <v>4.5399999999999998E-3</v>
      </c>
      <c r="F1115" s="30">
        <v>1212455862</v>
      </c>
      <c r="G1115" s="30" t="s">
        <v>5427</v>
      </c>
      <c r="H1115" s="30">
        <v>2003</v>
      </c>
      <c r="I1115" s="30">
        <v>567708</v>
      </c>
      <c r="J1115" s="30" t="s">
        <v>5435</v>
      </c>
      <c r="K1115" s="30" t="s">
        <v>5985</v>
      </c>
    </row>
    <row r="1116" spans="1:11" ht="12.5" x14ac:dyDescent="0.25">
      <c r="A1116" s="30" t="s">
        <v>6796</v>
      </c>
      <c r="B1116" s="30" t="s">
        <v>6795</v>
      </c>
      <c r="C1116" s="32">
        <v>95.72</v>
      </c>
      <c r="D1116" s="30">
        <v>0.23</v>
      </c>
      <c r="E1116" s="31">
        <v>2.4099999999999998E-3</v>
      </c>
      <c r="F1116" s="30">
        <v>3552238980</v>
      </c>
      <c r="G1116" s="30" t="s">
        <v>5427</v>
      </c>
      <c r="H1116" s="30">
        <v>2003</v>
      </c>
      <c r="I1116" s="30">
        <v>35217</v>
      </c>
      <c r="J1116" s="30" t="s">
        <v>5435</v>
      </c>
      <c r="K1116" s="30" t="s">
        <v>5598</v>
      </c>
    </row>
    <row r="1117" spans="1:11" ht="12.5" x14ac:dyDescent="0.25">
      <c r="A1117" s="30" t="s">
        <v>6794</v>
      </c>
      <c r="B1117" s="30" t="s">
        <v>6793</v>
      </c>
      <c r="C1117" s="32">
        <v>47.15</v>
      </c>
      <c r="D1117" s="30">
        <v>-0.2</v>
      </c>
      <c r="E1117" s="31">
        <v>-4.2199999999999998E-3</v>
      </c>
      <c r="F1117" s="30">
        <v>8427251001</v>
      </c>
      <c r="G1117" s="30" t="s">
        <v>5427</v>
      </c>
      <c r="H1117" s="30"/>
      <c r="I1117" s="30">
        <v>1088219</v>
      </c>
      <c r="J1117" s="30" t="s">
        <v>5197</v>
      </c>
      <c r="K1117" s="30" t="s">
        <v>5467</v>
      </c>
    </row>
    <row r="1118" spans="1:11" ht="12.5" x14ac:dyDescent="0.25">
      <c r="A1118" s="30" t="s">
        <v>6792</v>
      </c>
      <c r="B1118" s="30" t="s">
        <v>6791</v>
      </c>
      <c r="C1118" s="32">
        <v>8.76</v>
      </c>
      <c r="D1118" s="30">
        <v>-0.06</v>
      </c>
      <c r="E1118" s="31">
        <v>-6.7999999999999996E-3</v>
      </c>
      <c r="F1118" s="30">
        <v>165441824</v>
      </c>
      <c r="G1118" s="30" t="s">
        <v>5427</v>
      </c>
      <c r="H1118" s="30">
        <v>1988</v>
      </c>
      <c r="I1118" s="30">
        <v>30576</v>
      </c>
      <c r="J1118" s="30" t="s">
        <v>5435</v>
      </c>
      <c r="K1118" s="30" t="s">
        <v>5434</v>
      </c>
    </row>
    <row r="1119" spans="1:11" ht="12.5" x14ac:dyDescent="0.25">
      <c r="A1119" s="30" t="s">
        <v>6790</v>
      </c>
      <c r="B1119" s="30" t="s">
        <v>6789</v>
      </c>
      <c r="C1119" s="32">
        <v>15.36</v>
      </c>
      <c r="D1119" s="30">
        <v>0.54</v>
      </c>
      <c r="E1119" s="31">
        <v>3.644E-2</v>
      </c>
      <c r="F1119" s="30">
        <v>405823811</v>
      </c>
      <c r="G1119" s="30" t="s">
        <v>5515</v>
      </c>
      <c r="H1119" s="30">
        <v>2006</v>
      </c>
      <c r="I1119" s="30">
        <v>60774</v>
      </c>
      <c r="J1119" s="30" t="s">
        <v>5541</v>
      </c>
      <c r="K1119" s="30" t="s">
        <v>5859</v>
      </c>
    </row>
    <row r="1120" spans="1:11" ht="12.5" x14ac:dyDescent="0.25">
      <c r="A1120" s="30" t="s">
        <v>6788</v>
      </c>
      <c r="B1120" s="30" t="s">
        <v>6787</v>
      </c>
      <c r="C1120" s="32">
        <v>442.59</v>
      </c>
      <c r="D1120" s="30">
        <v>-5.45</v>
      </c>
      <c r="E1120" s="31">
        <v>-1.2160000000000001E-2</v>
      </c>
      <c r="F1120" s="30">
        <v>67739891471</v>
      </c>
      <c r="G1120" s="30" t="s">
        <v>5427</v>
      </c>
      <c r="H1120" s="30"/>
      <c r="I1120" s="30">
        <v>900967</v>
      </c>
      <c r="J1120" s="30" t="s">
        <v>5219</v>
      </c>
      <c r="K1120" s="30" t="s">
        <v>6786</v>
      </c>
    </row>
    <row r="1121" spans="1:11" ht="12.5" x14ac:dyDescent="0.25">
      <c r="A1121" s="30" t="s">
        <v>6785</v>
      </c>
      <c r="B1121" s="30" t="s">
        <v>6784</v>
      </c>
      <c r="C1121" s="32">
        <v>32.93</v>
      </c>
      <c r="D1121" s="30">
        <v>-0.59</v>
      </c>
      <c r="E1121" s="31">
        <v>-1.7600000000000001E-2</v>
      </c>
      <c r="F1121" s="30">
        <v>2807248483</v>
      </c>
      <c r="G1121" s="30" t="s">
        <v>5427</v>
      </c>
      <c r="H1121" s="30">
        <v>2022</v>
      </c>
      <c r="I1121" s="30">
        <v>17165789</v>
      </c>
      <c r="J1121" s="30" t="s">
        <v>5464</v>
      </c>
      <c r="K1121" s="30" t="s">
        <v>5463</v>
      </c>
    </row>
    <row r="1122" spans="1:11" ht="12.5" x14ac:dyDescent="0.25">
      <c r="A1122" s="30" t="s">
        <v>6783</v>
      </c>
      <c r="B1122" s="30" t="s">
        <v>6782</v>
      </c>
      <c r="C1122" s="32">
        <v>4.8600000000000003</v>
      </c>
      <c r="D1122" s="30">
        <v>0.1</v>
      </c>
      <c r="E1122" s="31">
        <v>2.1010000000000001E-2</v>
      </c>
      <c r="F1122" s="30">
        <v>27184860998</v>
      </c>
      <c r="G1122" s="30" t="s">
        <v>6781</v>
      </c>
      <c r="H1122" s="30">
        <v>1994</v>
      </c>
      <c r="I1122" s="30">
        <v>21417218</v>
      </c>
      <c r="J1122" s="30" t="s">
        <v>5219</v>
      </c>
      <c r="K1122" s="30" t="s">
        <v>5780</v>
      </c>
    </row>
    <row r="1123" spans="1:11" ht="12.5" x14ac:dyDescent="0.25">
      <c r="A1123" s="30" t="s">
        <v>6780</v>
      </c>
      <c r="B1123" s="30" t="s">
        <v>6779</v>
      </c>
      <c r="C1123" s="32">
        <v>24.27</v>
      </c>
      <c r="D1123" s="30">
        <v>-0.17</v>
      </c>
      <c r="E1123" s="31">
        <v>-6.96E-3</v>
      </c>
      <c r="F1123" s="30">
        <v>9533376355</v>
      </c>
      <c r="G1123" s="30" t="s">
        <v>5427</v>
      </c>
      <c r="H1123" s="30"/>
      <c r="I1123" s="30">
        <v>3869062</v>
      </c>
      <c r="J1123" s="30" t="s">
        <v>5457</v>
      </c>
      <c r="K1123" s="30" t="s">
        <v>5634</v>
      </c>
    </row>
    <row r="1124" spans="1:11" ht="12.5" x14ac:dyDescent="0.25">
      <c r="A1124" s="30" t="s">
        <v>6778</v>
      </c>
      <c r="B1124" s="30" t="s">
        <v>6777</v>
      </c>
      <c r="C1124" s="32">
        <v>20.079999999999998</v>
      </c>
      <c r="D1124" s="30">
        <v>0.6</v>
      </c>
      <c r="E1124" s="31">
        <v>3.0800000000000001E-2</v>
      </c>
      <c r="F1124" s="30">
        <v>2307390772</v>
      </c>
      <c r="G1124" s="30" t="s">
        <v>5427</v>
      </c>
      <c r="H1124" s="30">
        <v>2019</v>
      </c>
      <c r="I1124" s="30">
        <v>3320281</v>
      </c>
      <c r="J1124" s="30" t="s">
        <v>5426</v>
      </c>
      <c r="K1124" s="30" t="s">
        <v>6000</v>
      </c>
    </row>
    <row r="1125" spans="1:11" ht="12.5" x14ac:dyDescent="0.25">
      <c r="A1125" s="30" t="s">
        <v>6776</v>
      </c>
      <c r="B1125" s="30" t="s">
        <v>6775</v>
      </c>
      <c r="C1125" s="32">
        <v>473.81</v>
      </c>
      <c r="D1125" s="30">
        <v>18.68</v>
      </c>
      <c r="E1125" s="31">
        <v>4.104E-2</v>
      </c>
      <c r="F1125" s="30">
        <v>95709620000</v>
      </c>
      <c r="G1125" s="30" t="s">
        <v>5427</v>
      </c>
      <c r="H1125" s="30">
        <v>2012</v>
      </c>
      <c r="I1125" s="30">
        <v>2246258</v>
      </c>
      <c r="J1125" s="30" t="s">
        <v>5219</v>
      </c>
      <c r="K1125" s="30" t="s">
        <v>5560</v>
      </c>
    </row>
    <row r="1126" spans="1:11" ht="12.5" x14ac:dyDescent="0.25">
      <c r="A1126" s="30" t="s">
        <v>6774</v>
      </c>
      <c r="B1126" s="30" t="s">
        <v>6773</v>
      </c>
      <c r="C1126" s="32">
        <v>75.290000000000006</v>
      </c>
      <c r="D1126" s="30">
        <v>-1.32</v>
      </c>
      <c r="E1126" s="31">
        <v>-1.7229999999999999E-2</v>
      </c>
      <c r="F1126" s="30">
        <v>531562985</v>
      </c>
      <c r="G1126" s="30" t="s">
        <v>5427</v>
      </c>
      <c r="H1126" s="30"/>
      <c r="I1126" s="30">
        <v>37686</v>
      </c>
      <c r="J1126" s="30" t="s">
        <v>5442</v>
      </c>
      <c r="K1126" s="30" t="s">
        <v>5701</v>
      </c>
    </row>
    <row r="1127" spans="1:11" ht="12.5" x14ac:dyDescent="0.25">
      <c r="A1127" s="30" t="s">
        <v>6772</v>
      </c>
      <c r="B1127" s="30" t="s">
        <v>6771</v>
      </c>
      <c r="C1127" s="32">
        <v>119.53</v>
      </c>
      <c r="D1127" s="30">
        <v>-1.54</v>
      </c>
      <c r="E1127" s="31">
        <v>-1.272E-2</v>
      </c>
      <c r="F1127" s="30">
        <v>2486561911</v>
      </c>
      <c r="G1127" s="30" t="s">
        <v>5427</v>
      </c>
      <c r="H1127" s="30"/>
      <c r="I1127" s="30">
        <v>132200</v>
      </c>
      <c r="J1127" s="30"/>
      <c r="K1127" s="30"/>
    </row>
    <row r="1128" spans="1:11" ht="12.5" x14ac:dyDescent="0.25">
      <c r="A1128" s="30" t="s">
        <v>6770</v>
      </c>
      <c r="B1128" s="30" t="s">
        <v>6769</v>
      </c>
      <c r="C1128" s="32">
        <v>12.404999999999999</v>
      </c>
      <c r="D1128" s="30">
        <v>0.115</v>
      </c>
      <c r="E1128" s="31">
        <v>9.3600000000000003E-3</v>
      </c>
      <c r="F1128" s="30">
        <v>222259591</v>
      </c>
      <c r="G1128" s="30" t="s">
        <v>5427</v>
      </c>
      <c r="H1128" s="30">
        <v>1993</v>
      </c>
      <c r="I1128" s="30">
        <v>27543</v>
      </c>
      <c r="J1128" s="30" t="s">
        <v>5435</v>
      </c>
      <c r="K1128" s="30" t="s">
        <v>5434</v>
      </c>
    </row>
    <row r="1129" spans="1:11" ht="12.5" x14ac:dyDescent="0.25">
      <c r="A1129" s="30" t="s">
        <v>6768</v>
      </c>
      <c r="B1129" s="30" t="s">
        <v>6767</v>
      </c>
      <c r="C1129" s="32">
        <v>11.9701</v>
      </c>
      <c r="D1129" s="30">
        <v>8.0100000000000005E-2</v>
      </c>
      <c r="E1129" s="31">
        <v>6.7400000000000003E-3</v>
      </c>
      <c r="F1129" s="30">
        <v>447482330</v>
      </c>
      <c r="G1129" s="30" t="s">
        <v>5427</v>
      </c>
      <c r="H1129" s="30">
        <v>1991</v>
      </c>
      <c r="I1129" s="30">
        <v>69285</v>
      </c>
      <c r="J1129" s="30" t="s">
        <v>5435</v>
      </c>
      <c r="K1129" s="30" t="s">
        <v>5568</v>
      </c>
    </row>
    <row r="1130" spans="1:11" ht="12.5" x14ac:dyDescent="0.25">
      <c r="A1130" s="30" t="s">
        <v>6766</v>
      </c>
      <c r="B1130" s="30" t="s">
        <v>6765</v>
      </c>
      <c r="C1130" s="32">
        <v>4.53</v>
      </c>
      <c r="D1130" s="30">
        <v>-0.01</v>
      </c>
      <c r="E1130" s="31">
        <v>-2.2000000000000001E-3</v>
      </c>
      <c r="F1130" s="30">
        <v>426032353</v>
      </c>
      <c r="G1130" s="30" t="s">
        <v>5427</v>
      </c>
      <c r="H1130" s="30"/>
      <c r="I1130" s="30">
        <v>651429</v>
      </c>
      <c r="J1130" s="30" t="s">
        <v>5457</v>
      </c>
      <c r="K1130" s="30" t="s">
        <v>5634</v>
      </c>
    </row>
    <row r="1131" spans="1:11" ht="12.5" x14ac:dyDescent="0.25">
      <c r="A1131" s="30" t="s">
        <v>6764</v>
      </c>
      <c r="B1131" s="30" t="s">
        <v>6763</v>
      </c>
      <c r="C1131" s="32">
        <v>2.98</v>
      </c>
      <c r="D1131" s="30">
        <v>0.14000000000000001</v>
      </c>
      <c r="E1131" s="31">
        <v>4.9299999999999997E-2</v>
      </c>
      <c r="F1131" s="30">
        <v>277860674</v>
      </c>
      <c r="G1131" s="30" t="s">
        <v>5427</v>
      </c>
      <c r="H1131" s="30">
        <v>2020</v>
      </c>
      <c r="I1131" s="30">
        <v>658774</v>
      </c>
      <c r="J1131" s="30" t="s">
        <v>5219</v>
      </c>
      <c r="K1131" s="30" t="s">
        <v>5560</v>
      </c>
    </row>
    <row r="1132" spans="1:11" ht="12.5" x14ac:dyDescent="0.25">
      <c r="A1132" s="30" t="s">
        <v>6762</v>
      </c>
      <c r="B1132" s="30" t="s">
        <v>6761</v>
      </c>
      <c r="C1132" s="32">
        <v>34.6</v>
      </c>
      <c r="D1132" s="30">
        <v>0.38</v>
      </c>
      <c r="E1132" s="31">
        <v>1.11E-2</v>
      </c>
      <c r="F1132" s="30">
        <v>7971293493</v>
      </c>
      <c r="G1132" s="30" t="s">
        <v>5427</v>
      </c>
      <c r="H1132" s="30"/>
      <c r="I1132" s="30">
        <v>3155808</v>
      </c>
      <c r="J1132" s="30" t="s">
        <v>5426</v>
      </c>
      <c r="K1132" s="30" t="s">
        <v>6000</v>
      </c>
    </row>
    <row r="1133" spans="1:11" ht="12.5" x14ac:dyDescent="0.25">
      <c r="A1133" s="30" t="s">
        <v>6760</v>
      </c>
      <c r="B1133" s="30" t="s">
        <v>6759</v>
      </c>
      <c r="C1133" s="32">
        <v>11.14</v>
      </c>
      <c r="D1133" s="30">
        <v>-0.03</v>
      </c>
      <c r="E1133" s="31">
        <v>-2.6900000000000001E-3</v>
      </c>
      <c r="F1133" s="30">
        <v>971801287</v>
      </c>
      <c r="G1133" s="30" t="s">
        <v>5427</v>
      </c>
      <c r="H1133" s="30">
        <v>2002</v>
      </c>
      <c r="I1133" s="30">
        <v>212741</v>
      </c>
      <c r="J1133" s="30" t="s">
        <v>5435</v>
      </c>
      <c r="K1133" s="30" t="s">
        <v>5568</v>
      </c>
    </row>
    <row r="1134" spans="1:11" ht="12.5" x14ac:dyDescent="0.25">
      <c r="A1134" s="30" t="s">
        <v>6758</v>
      </c>
      <c r="B1134" s="30" t="s">
        <v>6757</v>
      </c>
      <c r="C1134" s="32">
        <v>53.52</v>
      </c>
      <c r="D1134" s="30">
        <v>-0.67</v>
      </c>
      <c r="E1134" s="31">
        <v>-1.2359999999999999E-2</v>
      </c>
      <c r="F1134" s="30">
        <v>669320906</v>
      </c>
      <c r="G1134" s="30" t="s">
        <v>5427</v>
      </c>
      <c r="H1134" s="30">
        <v>2002</v>
      </c>
      <c r="I1134" s="30">
        <v>57922</v>
      </c>
      <c r="J1134" s="30" t="s">
        <v>5464</v>
      </c>
      <c r="K1134" s="30" t="s">
        <v>6756</v>
      </c>
    </row>
    <row r="1135" spans="1:11" ht="12.5" x14ac:dyDescent="0.25">
      <c r="A1135" s="30" t="s">
        <v>6755</v>
      </c>
      <c r="B1135" s="30" t="s">
        <v>6754</v>
      </c>
      <c r="C1135" s="32">
        <v>14.52</v>
      </c>
      <c r="D1135" s="30">
        <v>-0.75</v>
      </c>
      <c r="E1135" s="31">
        <v>-4.9119999999999997E-2</v>
      </c>
      <c r="F1135" s="30">
        <v>133447367</v>
      </c>
      <c r="G1135" s="30" t="s">
        <v>5427</v>
      </c>
      <c r="H1135" s="30"/>
      <c r="I1135" s="30">
        <v>258552</v>
      </c>
      <c r="J1135" s="30" t="s">
        <v>5464</v>
      </c>
      <c r="K1135" s="30" t="s">
        <v>5463</v>
      </c>
    </row>
    <row r="1136" spans="1:11" ht="12.5" x14ac:dyDescent="0.25">
      <c r="A1136" s="30" t="s">
        <v>6753</v>
      </c>
      <c r="B1136" s="30" t="s">
        <v>6752</v>
      </c>
      <c r="C1136" s="32">
        <v>16.96</v>
      </c>
      <c r="D1136" s="30">
        <v>0.21</v>
      </c>
      <c r="E1136" s="31">
        <v>1.2540000000000001E-2</v>
      </c>
      <c r="F1136" s="30">
        <v>1870920098</v>
      </c>
      <c r="G1136" s="30" t="s">
        <v>5427</v>
      </c>
      <c r="H1136" s="30"/>
      <c r="I1136" s="30">
        <v>670260</v>
      </c>
      <c r="J1136" s="30"/>
      <c r="K1136" s="30"/>
    </row>
    <row r="1137" spans="1:11" ht="12.5" x14ac:dyDescent="0.25">
      <c r="A1137" s="30" t="s">
        <v>6751</v>
      </c>
      <c r="B1137" s="30" t="s">
        <v>6750</v>
      </c>
      <c r="C1137" s="32">
        <v>248.79</v>
      </c>
      <c r="D1137" s="30">
        <v>2.98</v>
      </c>
      <c r="E1137" s="31">
        <v>1.2120000000000001E-2</v>
      </c>
      <c r="F1137" s="30">
        <v>56743131288</v>
      </c>
      <c r="G1137" s="30" t="s">
        <v>5427</v>
      </c>
      <c r="H1137" s="30"/>
      <c r="I1137" s="30">
        <v>1093120</v>
      </c>
      <c r="J1137" s="30" t="s">
        <v>5457</v>
      </c>
      <c r="K1137" s="30" t="s">
        <v>5615</v>
      </c>
    </row>
    <row r="1138" spans="1:11" ht="12.5" x14ac:dyDescent="0.25">
      <c r="A1138" s="30" t="s">
        <v>6749</v>
      </c>
      <c r="B1138" s="30" t="s">
        <v>6748</v>
      </c>
      <c r="C1138" s="32">
        <v>4.9400000000000004</v>
      </c>
      <c r="D1138" s="30">
        <v>0.04</v>
      </c>
      <c r="E1138" s="31">
        <v>8.1600000000000006E-3</v>
      </c>
      <c r="F1138" s="30">
        <v>190740672</v>
      </c>
      <c r="G1138" s="30" t="s">
        <v>5427</v>
      </c>
      <c r="H1138" s="30">
        <v>1999</v>
      </c>
      <c r="I1138" s="30">
        <v>211638</v>
      </c>
      <c r="J1138" s="30" t="s">
        <v>5435</v>
      </c>
      <c r="K1138" s="30" t="s">
        <v>5568</v>
      </c>
    </row>
    <row r="1139" spans="1:11" ht="12.5" x14ac:dyDescent="0.25">
      <c r="A1139" s="30" t="s">
        <v>6747</v>
      </c>
      <c r="B1139" s="30" t="s">
        <v>6746</v>
      </c>
      <c r="C1139" s="32">
        <v>110.41</v>
      </c>
      <c r="D1139" s="30">
        <v>-0.14000000000000001</v>
      </c>
      <c r="E1139" s="31">
        <v>-1.2700000000000001E-3</v>
      </c>
      <c r="F1139" s="30">
        <v>4188330590</v>
      </c>
      <c r="G1139" s="30" t="s">
        <v>5427</v>
      </c>
      <c r="H1139" s="30"/>
      <c r="I1139" s="30">
        <v>203328</v>
      </c>
      <c r="J1139" s="30" t="s">
        <v>5442</v>
      </c>
      <c r="K1139" s="30" t="s">
        <v>5746</v>
      </c>
    </row>
    <row r="1140" spans="1:11" ht="12.5" x14ac:dyDescent="0.25">
      <c r="A1140" s="30" t="s">
        <v>6745</v>
      </c>
      <c r="B1140" s="30" t="s">
        <v>6744</v>
      </c>
      <c r="C1140" s="32">
        <v>20.29</v>
      </c>
      <c r="D1140" s="30">
        <v>0.16</v>
      </c>
      <c r="E1140" s="31">
        <v>7.9500000000000005E-3</v>
      </c>
      <c r="F1140" s="30">
        <v>1113440026</v>
      </c>
      <c r="G1140" s="30" t="s">
        <v>5427</v>
      </c>
      <c r="H1140" s="30">
        <v>2020</v>
      </c>
      <c r="I1140" s="30">
        <v>665562</v>
      </c>
      <c r="J1140" s="30" t="s">
        <v>5197</v>
      </c>
      <c r="K1140" s="30" t="s">
        <v>5467</v>
      </c>
    </row>
    <row r="1141" spans="1:11" ht="12.5" x14ac:dyDescent="0.25">
      <c r="A1141" s="30" t="s">
        <v>6743</v>
      </c>
      <c r="B1141" s="30" t="s">
        <v>6742</v>
      </c>
      <c r="C1141" s="32">
        <v>6.89</v>
      </c>
      <c r="D1141" s="30">
        <v>0.09</v>
      </c>
      <c r="E1141" s="31">
        <v>1.324E-2</v>
      </c>
      <c r="F1141" s="30">
        <v>75587496</v>
      </c>
      <c r="G1141" s="30" t="s">
        <v>6741</v>
      </c>
      <c r="H1141" s="30">
        <v>1993</v>
      </c>
      <c r="I1141" s="30">
        <v>4728</v>
      </c>
      <c r="J1141" s="30" t="s">
        <v>5442</v>
      </c>
      <c r="K1141" s="30" t="s">
        <v>5894</v>
      </c>
    </row>
    <row r="1142" spans="1:11" ht="12.5" x14ac:dyDescent="0.25">
      <c r="A1142" s="30" t="s">
        <v>6740</v>
      </c>
      <c r="B1142" s="30" t="s">
        <v>6739</v>
      </c>
      <c r="C1142" s="32">
        <v>174.98</v>
      </c>
      <c r="D1142" s="30">
        <v>5.96</v>
      </c>
      <c r="E1142" s="31">
        <v>3.526E-2</v>
      </c>
      <c r="F1142" s="30">
        <v>44269940000</v>
      </c>
      <c r="G1142" s="30" t="s">
        <v>5427</v>
      </c>
      <c r="H1142" s="30"/>
      <c r="I1142" s="30">
        <v>2397931</v>
      </c>
      <c r="J1142" s="30" t="s">
        <v>5457</v>
      </c>
      <c r="K1142" s="30" t="s">
        <v>5472</v>
      </c>
    </row>
    <row r="1143" spans="1:11" ht="12.5" x14ac:dyDescent="0.25">
      <c r="A1143" s="30" t="s">
        <v>6738</v>
      </c>
      <c r="B1143" s="30" t="s">
        <v>6737</v>
      </c>
      <c r="C1143" s="32">
        <v>13.18</v>
      </c>
      <c r="D1143" s="30">
        <v>0.04</v>
      </c>
      <c r="E1143" s="31">
        <v>3.0400000000000002E-3</v>
      </c>
      <c r="F1143" s="30">
        <v>240591081</v>
      </c>
      <c r="G1143" s="30" t="s">
        <v>5427</v>
      </c>
      <c r="H1143" s="30">
        <v>1991</v>
      </c>
      <c r="I1143" s="30">
        <v>88848</v>
      </c>
      <c r="J1143" s="30" t="s">
        <v>5435</v>
      </c>
      <c r="K1143" s="30" t="s">
        <v>5985</v>
      </c>
    </row>
    <row r="1144" spans="1:11" ht="12.5" x14ac:dyDescent="0.25">
      <c r="A1144" s="30" t="s">
        <v>6736</v>
      </c>
      <c r="B1144" s="30" t="s">
        <v>6735</v>
      </c>
      <c r="C1144" s="32">
        <v>44.28</v>
      </c>
      <c r="D1144" s="30">
        <v>1.4</v>
      </c>
      <c r="E1144" s="31">
        <v>3.2649999999999998E-2</v>
      </c>
      <c r="F1144" s="30">
        <v>2188326545</v>
      </c>
      <c r="G1144" s="30" t="s">
        <v>5427</v>
      </c>
      <c r="H1144" s="30">
        <v>1996</v>
      </c>
      <c r="I1144" s="30">
        <v>476809</v>
      </c>
      <c r="J1144" s="30" t="s">
        <v>5431</v>
      </c>
      <c r="K1144" s="30" t="s">
        <v>6734</v>
      </c>
    </row>
    <row r="1145" spans="1:11" ht="12.5" x14ac:dyDescent="0.25">
      <c r="A1145" s="30" t="s">
        <v>6733</v>
      </c>
      <c r="B1145" s="30" t="s">
        <v>6732</v>
      </c>
      <c r="C1145" s="32">
        <v>9.15</v>
      </c>
      <c r="D1145" s="30">
        <v>0.04</v>
      </c>
      <c r="E1145" s="31">
        <v>4.3899999999999998E-3</v>
      </c>
      <c r="F1145" s="30">
        <v>1899005594</v>
      </c>
      <c r="G1145" s="30" t="s">
        <v>5427</v>
      </c>
      <c r="H1145" s="30">
        <v>1987</v>
      </c>
      <c r="I1145" s="30">
        <v>386898</v>
      </c>
      <c r="J1145" s="30" t="s">
        <v>5435</v>
      </c>
      <c r="K1145" s="30" t="s">
        <v>5568</v>
      </c>
    </row>
    <row r="1146" spans="1:11" ht="12.5" x14ac:dyDescent="0.25">
      <c r="A1146" s="30" t="s">
        <v>6731</v>
      </c>
      <c r="B1146" s="30" t="s">
        <v>6730</v>
      </c>
      <c r="C1146" s="32">
        <v>2.48</v>
      </c>
      <c r="D1146" s="30">
        <v>0.02</v>
      </c>
      <c r="E1146" s="31">
        <v>8.1300000000000001E-3</v>
      </c>
      <c r="F1146" s="30">
        <v>541613665</v>
      </c>
      <c r="G1146" s="30" t="s">
        <v>5427</v>
      </c>
      <c r="H1146" s="30">
        <v>2020</v>
      </c>
      <c r="I1146" s="30">
        <v>273123</v>
      </c>
      <c r="J1146" s="30" t="s">
        <v>5431</v>
      </c>
      <c r="K1146" s="30" t="s">
        <v>5430</v>
      </c>
    </row>
    <row r="1147" spans="1:11" ht="12.5" x14ac:dyDescent="0.25">
      <c r="A1147" s="30" t="s">
        <v>6729</v>
      </c>
      <c r="B1147" s="30" t="s">
        <v>6728</v>
      </c>
      <c r="C1147" s="32">
        <v>14.37</v>
      </c>
      <c r="D1147" s="30">
        <v>0.09</v>
      </c>
      <c r="E1147" s="31">
        <v>6.3E-3</v>
      </c>
      <c r="F1147" s="30">
        <v>257960698</v>
      </c>
      <c r="G1147" s="30" t="s">
        <v>5427</v>
      </c>
      <c r="H1147" s="30">
        <v>2009</v>
      </c>
      <c r="I1147" s="30">
        <v>28081</v>
      </c>
      <c r="J1147" s="30" t="s">
        <v>5435</v>
      </c>
      <c r="K1147" s="30" t="s">
        <v>5434</v>
      </c>
    </row>
    <row r="1148" spans="1:11" ht="12.5" x14ac:dyDescent="0.25">
      <c r="A1148" s="30" t="s">
        <v>6727</v>
      </c>
      <c r="B1148" s="30" t="s">
        <v>6726</v>
      </c>
      <c r="C1148" s="32">
        <v>12.66</v>
      </c>
      <c r="D1148" s="30">
        <v>0.03</v>
      </c>
      <c r="E1148" s="31">
        <v>2.3800000000000002E-3</v>
      </c>
      <c r="F1148" s="30">
        <v>2703193116</v>
      </c>
      <c r="G1148" s="30" t="s">
        <v>5427</v>
      </c>
      <c r="H1148" s="30">
        <v>2002</v>
      </c>
      <c r="I1148" s="30">
        <v>467032</v>
      </c>
      <c r="J1148" s="30" t="s">
        <v>5435</v>
      </c>
      <c r="K1148" s="30" t="s">
        <v>5434</v>
      </c>
    </row>
    <row r="1149" spans="1:11" ht="12.5" x14ac:dyDescent="0.25">
      <c r="A1149" s="30" t="s">
        <v>6725</v>
      </c>
      <c r="B1149" s="30" t="s">
        <v>6724</v>
      </c>
      <c r="C1149" s="32">
        <v>139.08000000000001</v>
      </c>
      <c r="D1149" s="30">
        <v>0.3</v>
      </c>
      <c r="E1149" s="31">
        <v>2.16E-3</v>
      </c>
      <c r="F1149" s="30">
        <v>312809267016</v>
      </c>
      <c r="G1149" s="30" t="s">
        <v>6723</v>
      </c>
      <c r="H1149" s="30"/>
      <c r="I1149" s="30">
        <v>2293081</v>
      </c>
      <c r="J1149" s="30" t="s">
        <v>5431</v>
      </c>
      <c r="K1149" s="30" t="s">
        <v>6409</v>
      </c>
    </row>
    <row r="1150" spans="1:11" ht="12.5" x14ac:dyDescent="0.25">
      <c r="A1150" s="30" t="s">
        <v>6722</v>
      </c>
      <c r="B1150" s="30" t="s">
        <v>6721</v>
      </c>
      <c r="C1150" s="32">
        <v>5357.92</v>
      </c>
      <c r="D1150" s="30">
        <v>87.92</v>
      </c>
      <c r="E1150" s="31">
        <v>1.668E-2</v>
      </c>
      <c r="F1150" s="30">
        <v>17123306875</v>
      </c>
      <c r="G1150" s="30" t="s">
        <v>5427</v>
      </c>
      <c r="H1150" s="30">
        <v>1998</v>
      </c>
      <c r="I1150" s="30">
        <v>24423</v>
      </c>
      <c r="J1150" s="30" t="s">
        <v>5442</v>
      </c>
      <c r="K1150" s="30" t="s">
        <v>5576</v>
      </c>
    </row>
    <row r="1151" spans="1:11" ht="12.5" x14ac:dyDescent="0.25">
      <c r="A1151" s="30" t="s">
        <v>6720</v>
      </c>
      <c r="B1151" s="30" t="s">
        <v>6719</v>
      </c>
      <c r="C1151" s="32">
        <v>37.15</v>
      </c>
      <c r="D1151" s="30">
        <v>0.43</v>
      </c>
      <c r="E1151" s="31">
        <v>1.171E-2</v>
      </c>
      <c r="F1151" s="30">
        <v>1316227806</v>
      </c>
      <c r="G1151" s="30" t="s">
        <v>5427</v>
      </c>
      <c r="H1151" s="30">
        <v>2014</v>
      </c>
      <c r="I1151" s="30">
        <v>711730</v>
      </c>
      <c r="J1151" s="30" t="s">
        <v>5431</v>
      </c>
      <c r="K1151" s="30" t="s">
        <v>6537</v>
      </c>
    </row>
    <row r="1152" spans="1:11" ht="12.5" x14ac:dyDescent="0.25">
      <c r="A1152" s="30" t="s">
        <v>6718</v>
      </c>
      <c r="B1152" s="30" t="s">
        <v>6717</v>
      </c>
      <c r="C1152" s="32">
        <v>88.23</v>
      </c>
      <c r="D1152" s="30">
        <v>-2.39</v>
      </c>
      <c r="E1152" s="31">
        <v>-2.6370000000000001E-2</v>
      </c>
      <c r="F1152" s="30">
        <v>189782730000</v>
      </c>
      <c r="G1152" s="30" t="s">
        <v>5799</v>
      </c>
      <c r="H1152" s="30"/>
      <c r="I1152" s="30">
        <v>3068160</v>
      </c>
      <c r="J1152" s="30" t="s">
        <v>5431</v>
      </c>
      <c r="K1152" s="30" t="s">
        <v>5430</v>
      </c>
    </row>
    <row r="1153" spans="1:11" ht="12.5" x14ac:dyDescent="0.25">
      <c r="A1153" s="30" t="s">
        <v>6716</v>
      </c>
      <c r="B1153" s="30" t="s">
        <v>6715</v>
      </c>
      <c r="C1153" s="32">
        <v>2.41</v>
      </c>
      <c r="D1153" s="30">
        <v>0.05</v>
      </c>
      <c r="E1153" s="31">
        <v>2.1190000000000001E-2</v>
      </c>
      <c r="F1153" s="30">
        <v>585378432</v>
      </c>
      <c r="G1153" s="30" t="s">
        <v>5427</v>
      </c>
      <c r="H1153" s="30">
        <v>2015</v>
      </c>
      <c r="I1153" s="30">
        <v>8907715</v>
      </c>
      <c r="J1153" s="30" t="s">
        <v>5431</v>
      </c>
      <c r="K1153" s="30" t="s">
        <v>5610</v>
      </c>
    </row>
    <row r="1154" spans="1:11" ht="12.5" x14ac:dyDescent="0.25">
      <c r="A1154" s="30" t="s">
        <v>6714</v>
      </c>
      <c r="B1154" s="30" t="s">
        <v>6713</v>
      </c>
      <c r="C1154" s="32">
        <v>7.76</v>
      </c>
      <c r="D1154" s="30">
        <v>0.03</v>
      </c>
      <c r="E1154" s="31">
        <v>3.8800000000000002E-3</v>
      </c>
      <c r="F1154" s="30">
        <v>37527409811</v>
      </c>
      <c r="G1154" s="30" t="s">
        <v>5775</v>
      </c>
      <c r="H1154" s="30">
        <v>2022</v>
      </c>
      <c r="I1154" s="30">
        <v>1395811</v>
      </c>
      <c r="J1154" s="30" t="s">
        <v>5435</v>
      </c>
      <c r="K1154" s="30" t="s">
        <v>5582</v>
      </c>
    </row>
    <row r="1155" spans="1:11" ht="12.5" x14ac:dyDescent="0.25">
      <c r="A1155" s="30" t="s">
        <v>6712</v>
      </c>
      <c r="B1155" s="30" t="s">
        <v>6711</v>
      </c>
      <c r="C1155" s="32">
        <v>51.13</v>
      </c>
      <c r="D1155" s="30">
        <v>0.99</v>
      </c>
      <c r="E1155" s="31">
        <v>1.9740000000000001E-2</v>
      </c>
      <c r="F1155" s="30">
        <v>1794620102</v>
      </c>
      <c r="G1155" s="30" t="s">
        <v>5427</v>
      </c>
      <c r="H1155" s="30"/>
      <c r="I1155" s="30">
        <v>227021</v>
      </c>
      <c r="J1155" s="30" t="s">
        <v>5426</v>
      </c>
      <c r="K1155" s="30" t="s">
        <v>6094</v>
      </c>
    </row>
    <row r="1156" spans="1:11" ht="12.5" x14ac:dyDescent="0.25">
      <c r="A1156" s="30" t="s">
        <v>6710</v>
      </c>
      <c r="B1156" s="30" t="s">
        <v>6709</v>
      </c>
      <c r="C1156" s="32">
        <v>26.2</v>
      </c>
      <c r="D1156" s="30">
        <v>0.31</v>
      </c>
      <c r="E1156" s="31">
        <v>1.197E-2</v>
      </c>
      <c r="F1156" s="30">
        <v>870749926</v>
      </c>
      <c r="G1156" s="30" t="s">
        <v>5427</v>
      </c>
      <c r="H1156" s="30"/>
      <c r="I1156" s="30">
        <v>176206</v>
      </c>
      <c r="J1156" s="30" t="s">
        <v>5457</v>
      </c>
      <c r="K1156" s="30" t="s">
        <v>5634</v>
      </c>
    </row>
    <row r="1157" spans="1:11" ht="12.5" x14ac:dyDescent="0.25">
      <c r="A1157" s="30" t="s">
        <v>6708</v>
      </c>
      <c r="B1157" s="30" t="s">
        <v>6707</v>
      </c>
      <c r="C1157" s="32">
        <v>14.87</v>
      </c>
      <c r="D1157" s="30">
        <v>0.01</v>
      </c>
      <c r="E1157" s="31">
        <v>6.7000000000000002E-4</v>
      </c>
      <c r="F1157" s="30">
        <v>94586330</v>
      </c>
      <c r="G1157" s="30" t="s">
        <v>5427</v>
      </c>
      <c r="H1157" s="30">
        <v>1992</v>
      </c>
      <c r="I1157" s="30">
        <v>10951</v>
      </c>
      <c r="J1157" s="30" t="s">
        <v>5435</v>
      </c>
      <c r="K1157" s="30" t="s">
        <v>5434</v>
      </c>
    </row>
    <row r="1158" spans="1:11" ht="12.5" x14ac:dyDescent="0.25">
      <c r="A1158" s="30" t="s">
        <v>6706</v>
      </c>
      <c r="B1158" s="30" t="s">
        <v>6705</v>
      </c>
      <c r="C1158" s="32">
        <v>12.09</v>
      </c>
      <c r="D1158" s="30">
        <v>1.4999999999999999E-2</v>
      </c>
      <c r="E1158" s="31">
        <v>1.24E-3</v>
      </c>
      <c r="F1158" s="30">
        <v>501528684</v>
      </c>
      <c r="G1158" s="30" t="s">
        <v>5427</v>
      </c>
      <c r="H1158" s="30">
        <v>2001</v>
      </c>
      <c r="I1158" s="30">
        <v>73022</v>
      </c>
      <c r="J1158" s="30" t="s">
        <v>5435</v>
      </c>
      <c r="K1158" s="30" t="s">
        <v>5985</v>
      </c>
    </row>
    <row r="1159" spans="1:11" ht="12.5" x14ac:dyDescent="0.25">
      <c r="A1159" s="30" t="s">
        <v>6704</v>
      </c>
      <c r="B1159" s="30" t="s">
        <v>6703</v>
      </c>
      <c r="C1159" s="32">
        <v>14.77</v>
      </c>
      <c r="D1159" s="30">
        <v>0.1</v>
      </c>
      <c r="E1159" s="31">
        <v>6.8199999999999997E-3</v>
      </c>
      <c r="F1159" s="30">
        <v>691222899</v>
      </c>
      <c r="G1159" s="30" t="s">
        <v>5427</v>
      </c>
      <c r="H1159" s="30">
        <v>1992</v>
      </c>
      <c r="I1159" s="30">
        <v>79100</v>
      </c>
      <c r="J1159" s="30" t="s">
        <v>5435</v>
      </c>
      <c r="K1159" s="30" t="s">
        <v>5568</v>
      </c>
    </row>
    <row r="1160" spans="1:11" ht="12.5" x14ac:dyDescent="0.25">
      <c r="A1160" s="30" t="s">
        <v>6702</v>
      </c>
      <c r="B1160" s="30" t="s">
        <v>6701</v>
      </c>
      <c r="C1160" s="32">
        <v>50.63</v>
      </c>
      <c r="D1160" s="30">
        <v>0.13</v>
      </c>
      <c r="E1160" s="31">
        <v>2.5699999999999998E-3</v>
      </c>
      <c r="F1160" s="30">
        <v>1293562021</v>
      </c>
      <c r="G1160" s="30" t="s">
        <v>5427</v>
      </c>
      <c r="H1160" s="30">
        <v>2015</v>
      </c>
      <c r="I1160" s="30">
        <v>111954</v>
      </c>
      <c r="J1160" s="30" t="s">
        <v>5197</v>
      </c>
      <c r="K1160" s="30" t="s">
        <v>5467</v>
      </c>
    </row>
    <row r="1161" spans="1:11" ht="12.5" x14ac:dyDescent="0.25">
      <c r="A1161" s="30" t="s">
        <v>6700</v>
      </c>
      <c r="B1161" s="30" t="s">
        <v>6699</v>
      </c>
      <c r="C1161" s="32">
        <v>10.15</v>
      </c>
      <c r="D1161" s="30">
        <v>0.16</v>
      </c>
      <c r="E1161" s="31">
        <v>1.602E-2</v>
      </c>
      <c r="F1161" s="30">
        <v>6913528573</v>
      </c>
      <c r="G1161" s="30" t="s">
        <v>5427</v>
      </c>
      <c r="H1161" s="30"/>
      <c r="I1161" s="30">
        <v>11889770</v>
      </c>
      <c r="J1161" s="30" t="s">
        <v>5435</v>
      </c>
      <c r="K1161" s="30" t="s">
        <v>6698</v>
      </c>
    </row>
    <row r="1162" spans="1:11" ht="12.5" x14ac:dyDescent="0.25">
      <c r="A1162" s="30" t="s">
        <v>6697</v>
      </c>
      <c r="B1162" s="30" t="s">
        <v>6696</v>
      </c>
      <c r="C1162" s="32">
        <v>35.65</v>
      </c>
      <c r="D1162" s="30">
        <v>0.81</v>
      </c>
      <c r="E1162" s="31">
        <v>2.325E-2</v>
      </c>
      <c r="F1162" s="30">
        <v>5897156548</v>
      </c>
      <c r="G1162" s="30" t="s">
        <v>5427</v>
      </c>
      <c r="H1162" s="30"/>
      <c r="I1162" s="30">
        <v>779524</v>
      </c>
      <c r="J1162" s="30" t="s">
        <v>5442</v>
      </c>
      <c r="K1162" s="30" t="s">
        <v>6695</v>
      </c>
    </row>
    <row r="1163" spans="1:11" ht="12.5" x14ac:dyDescent="0.25">
      <c r="A1163" s="30" t="s">
        <v>6694</v>
      </c>
      <c r="B1163" s="30" t="s">
        <v>6693</v>
      </c>
      <c r="C1163" s="32">
        <v>12.47</v>
      </c>
      <c r="D1163" s="30">
        <v>0.01</v>
      </c>
      <c r="E1163" s="31">
        <v>8.0000000000000004E-4</v>
      </c>
      <c r="F1163" s="30">
        <v>2062418300</v>
      </c>
      <c r="G1163" s="30" t="s">
        <v>5427</v>
      </c>
      <c r="H1163" s="30">
        <v>2007</v>
      </c>
      <c r="I1163" s="30">
        <v>331555</v>
      </c>
      <c r="J1163" s="30" t="s">
        <v>5435</v>
      </c>
      <c r="K1163" s="30" t="s">
        <v>5563</v>
      </c>
    </row>
    <row r="1164" spans="1:11" ht="12.5" x14ac:dyDescent="0.25">
      <c r="A1164" s="30" t="s">
        <v>6692</v>
      </c>
      <c r="B1164" s="30" t="s">
        <v>6691</v>
      </c>
      <c r="C1164" s="32">
        <v>67.900000000000006</v>
      </c>
      <c r="D1164" s="30">
        <v>7.0000000000000007E-2</v>
      </c>
      <c r="E1164" s="31">
        <v>1.0300000000000001E-3</v>
      </c>
      <c r="F1164" s="30">
        <v>44831237162</v>
      </c>
      <c r="G1164" s="30" t="s">
        <v>5427</v>
      </c>
      <c r="H1164" s="30"/>
      <c r="I1164" s="30">
        <v>3302373</v>
      </c>
      <c r="J1164" s="30" t="s">
        <v>5197</v>
      </c>
      <c r="K1164" s="30" t="s">
        <v>5467</v>
      </c>
    </row>
    <row r="1165" spans="1:11" ht="12.5" x14ac:dyDescent="0.25">
      <c r="A1165" s="30" t="s">
        <v>6690</v>
      </c>
      <c r="B1165" s="30" t="s">
        <v>6689</v>
      </c>
      <c r="C1165" s="32">
        <v>99.11</v>
      </c>
      <c r="D1165" s="30">
        <v>2.46</v>
      </c>
      <c r="E1165" s="31">
        <v>2.545E-2</v>
      </c>
      <c r="F1165" s="30">
        <v>9262454289</v>
      </c>
      <c r="G1165" s="30" t="s">
        <v>5427</v>
      </c>
      <c r="H1165" s="30"/>
      <c r="I1165" s="30">
        <v>1014877</v>
      </c>
      <c r="J1165" s="30"/>
      <c r="K1165" s="30"/>
    </row>
    <row r="1166" spans="1:11" ht="12.5" x14ac:dyDescent="0.25">
      <c r="A1166" s="30" t="s">
        <v>6688</v>
      </c>
      <c r="B1166" s="30" t="s">
        <v>6687</v>
      </c>
      <c r="C1166" s="32">
        <v>35.340000000000003</v>
      </c>
      <c r="D1166" s="30">
        <v>-0.66</v>
      </c>
      <c r="E1166" s="31">
        <v>-1.8329999999999999E-2</v>
      </c>
      <c r="F1166" s="30">
        <v>268242898</v>
      </c>
      <c r="G1166" s="30" t="s">
        <v>5427</v>
      </c>
      <c r="H1166" s="30"/>
      <c r="I1166" s="30">
        <v>43957</v>
      </c>
      <c r="J1166" s="30" t="s">
        <v>5435</v>
      </c>
      <c r="K1166" s="30" t="s">
        <v>5598</v>
      </c>
    </row>
    <row r="1167" spans="1:11" ht="12.5" x14ac:dyDescent="0.25">
      <c r="A1167" s="30" t="s">
        <v>6686</v>
      </c>
      <c r="B1167" s="30" t="s">
        <v>6685</v>
      </c>
      <c r="C1167" s="32">
        <v>36.53</v>
      </c>
      <c r="D1167" s="30">
        <v>0.24</v>
      </c>
      <c r="E1167" s="31">
        <v>6.6100000000000004E-3</v>
      </c>
      <c r="F1167" s="30">
        <v>261325940</v>
      </c>
      <c r="G1167" s="30" t="s">
        <v>5427</v>
      </c>
      <c r="H1167" s="30"/>
      <c r="I1167" s="30">
        <v>16264</v>
      </c>
      <c r="J1167" s="30" t="s">
        <v>5457</v>
      </c>
      <c r="K1167" s="30" t="s">
        <v>5438</v>
      </c>
    </row>
    <row r="1168" spans="1:11" ht="12.5" x14ac:dyDescent="0.25">
      <c r="A1168" s="30" t="s">
        <v>6684</v>
      </c>
      <c r="B1168" s="30" t="s">
        <v>6683</v>
      </c>
      <c r="C1168" s="32">
        <v>21.24</v>
      </c>
      <c r="D1168" s="30">
        <v>0.22</v>
      </c>
      <c r="E1168" s="31">
        <v>1.047E-2</v>
      </c>
      <c r="F1168" s="30">
        <v>1284746365</v>
      </c>
      <c r="G1168" s="30" t="s">
        <v>5823</v>
      </c>
      <c r="H1168" s="30">
        <v>2014</v>
      </c>
      <c r="I1168" s="30">
        <v>442867</v>
      </c>
      <c r="J1168" s="30" t="s">
        <v>5457</v>
      </c>
      <c r="K1168" s="30" t="s">
        <v>5755</v>
      </c>
    </row>
    <row r="1169" spans="1:11" ht="12.5" x14ac:dyDescent="0.25">
      <c r="A1169" s="30" t="s">
        <v>6682</v>
      </c>
      <c r="B1169" s="30" t="s">
        <v>6681</v>
      </c>
      <c r="C1169" s="32">
        <v>27.59</v>
      </c>
      <c r="D1169" s="30">
        <v>-0.48</v>
      </c>
      <c r="E1169" s="31">
        <v>-1.7100000000000001E-2</v>
      </c>
      <c r="F1169" s="30">
        <v>3101757826</v>
      </c>
      <c r="G1169" s="30" t="s">
        <v>5427</v>
      </c>
      <c r="H1169" s="30"/>
      <c r="I1169" s="30">
        <v>969482</v>
      </c>
      <c r="J1169" s="30" t="s">
        <v>5197</v>
      </c>
      <c r="K1169" s="30" t="s">
        <v>5467</v>
      </c>
    </row>
    <row r="1170" spans="1:11" ht="12.5" x14ac:dyDescent="0.25">
      <c r="A1170" s="30" t="s">
        <v>6680</v>
      </c>
      <c r="B1170" s="30" t="s">
        <v>6679</v>
      </c>
      <c r="C1170" s="32">
        <v>39.83</v>
      </c>
      <c r="D1170" s="30">
        <v>0.51</v>
      </c>
      <c r="E1170" s="31">
        <v>1.2970000000000001E-2</v>
      </c>
      <c r="F1170" s="30">
        <v>7974072426</v>
      </c>
      <c r="G1170" s="30" t="s">
        <v>5427</v>
      </c>
      <c r="H1170" s="30"/>
      <c r="I1170" s="30">
        <v>1184319</v>
      </c>
      <c r="J1170" s="30" t="s">
        <v>5426</v>
      </c>
      <c r="K1170" s="30" t="s">
        <v>6000</v>
      </c>
    </row>
    <row r="1171" spans="1:11" ht="12.5" x14ac:dyDescent="0.25">
      <c r="A1171" s="30" t="s">
        <v>6678</v>
      </c>
      <c r="B1171" s="30" t="s">
        <v>6677</v>
      </c>
      <c r="C1171" s="32">
        <v>29.38</v>
      </c>
      <c r="D1171" s="30">
        <v>-0.06</v>
      </c>
      <c r="E1171" s="31">
        <v>-2.0400000000000001E-3</v>
      </c>
      <c r="F1171" s="30">
        <v>6880290811</v>
      </c>
      <c r="G1171" s="30" t="s">
        <v>5427</v>
      </c>
      <c r="H1171" s="30">
        <v>1992</v>
      </c>
      <c r="I1171" s="30">
        <v>2673983</v>
      </c>
      <c r="J1171" s="30" t="s">
        <v>5197</v>
      </c>
      <c r="K1171" s="30" t="s">
        <v>5467</v>
      </c>
    </row>
    <row r="1172" spans="1:11" ht="12.5" x14ac:dyDescent="0.25">
      <c r="A1172" s="30" t="s">
        <v>6676</v>
      </c>
      <c r="B1172" s="30" t="s">
        <v>6675</v>
      </c>
      <c r="C1172" s="32">
        <v>21.63</v>
      </c>
      <c r="D1172" s="30">
        <v>2.38</v>
      </c>
      <c r="E1172" s="31">
        <v>0.12364</v>
      </c>
      <c r="F1172" s="30">
        <v>3355626742</v>
      </c>
      <c r="G1172" s="30" t="s">
        <v>5427</v>
      </c>
      <c r="H1172" s="30"/>
      <c r="I1172" s="30">
        <v>4587781</v>
      </c>
      <c r="J1172" s="30" t="s">
        <v>5442</v>
      </c>
      <c r="K1172" s="30" t="s">
        <v>6129</v>
      </c>
    </row>
    <row r="1173" spans="1:11" ht="12.5" x14ac:dyDescent="0.25">
      <c r="A1173" s="30" t="s">
        <v>6674</v>
      </c>
      <c r="B1173" s="30" t="s">
        <v>6673</v>
      </c>
      <c r="C1173" s="32">
        <v>6.94</v>
      </c>
      <c r="D1173" s="30">
        <v>-0.01</v>
      </c>
      <c r="E1173" s="31">
        <v>-1.4400000000000001E-3</v>
      </c>
      <c r="F1173" s="30">
        <v>330382788</v>
      </c>
      <c r="G1173" s="30" t="s">
        <v>5427</v>
      </c>
      <c r="H1173" s="30"/>
      <c r="I1173" s="30">
        <v>93904</v>
      </c>
      <c r="J1173" s="30" t="s">
        <v>5435</v>
      </c>
      <c r="K1173" s="30" t="s">
        <v>5563</v>
      </c>
    </row>
    <row r="1174" spans="1:11" ht="12.5" x14ac:dyDescent="0.25">
      <c r="A1174" s="30" t="s">
        <v>6672</v>
      </c>
      <c r="B1174" s="30" t="s">
        <v>6671</v>
      </c>
      <c r="C1174" s="32">
        <v>20.96</v>
      </c>
      <c r="D1174" s="30">
        <v>-0.39</v>
      </c>
      <c r="E1174" s="31">
        <v>-1.8270000000000002E-2</v>
      </c>
      <c r="F1174" s="30">
        <v>2101439644</v>
      </c>
      <c r="G1174" s="30" t="s">
        <v>5427</v>
      </c>
      <c r="H1174" s="30"/>
      <c r="I1174" s="30">
        <v>1401913</v>
      </c>
      <c r="J1174" s="30" t="s">
        <v>5464</v>
      </c>
      <c r="K1174" s="30" t="s">
        <v>5588</v>
      </c>
    </row>
    <row r="1175" spans="1:11" ht="12.5" x14ac:dyDescent="0.25">
      <c r="A1175" s="30" t="s">
        <v>6670</v>
      </c>
      <c r="B1175" s="30" t="s">
        <v>6669</v>
      </c>
      <c r="C1175" s="32">
        <v>8.4600000000000009</v>
      </c>
      <c r="D1175" s="30">
        <v>-0.1</v>
      </c>
      <c r="E1175" s="31">
        <v>-1.1679999999999999E-2</v>
      </c>
      <c r="F1175" s="30">
        <v>540612130</v>
      </c>
      <c r="G1175" s="30" t="s">
        <v>5427</v>
      </c>
      <c r="H1175" s="30">
        <v>2001</v>
      </c>
      <c r="I1175" s="30">
        <v>561134</v>
      </c>
      <c r="J1175" s="30" t="s">
        <v>5457</v>
      </c>
      <c r="K1175" s="30" t="s">
        <v>5634</v>
      </c>
    </row>
    <row r="1176" spans="1:11" ht="12.5" x14ac:dyDescent="0.25">
      <c r="A1176" s="30" t="s">
        <v>6668</v>
      </c>
      <c r="B1176" s="30" t="s">
        <v>6667</v>
      </c>
      <c r="C1176" s="32">
        <v>68.239999999999995</v>
      </c>
      <c r="D1176" s="30">
        <v>-0.24</v>
      </c>
      <c r="E1176" s="31">
        <v>-3.5000000000000001E-3</v>
      </c>
      <c r="F1176" s="30">
        <v>30500130178</v>
      </c>
      <c r="G1176" s="30" t="s">
        <v>5427</v>
      </c>
      <c r="H1176" s="30"/>
      <c r="I1176" s="30">
        <v>2241563</v>
      </c>
      <c r="J1176" s="30" t="s">
        <v>5426</v>
      </c>
      <c r="K1176" s="30" t="s">
        <v>5463</v>
      </c>
    </row>
    <row r="1177" spans="1:11" ht="12.5" x14ac:dyDescent="0.25">
      <c r="A1177" s="30" t="s">
        <v>6666</v>
      </c>
      <c r="B1177" s="30" t="s">
        <v>6665</v>
      </c>
      <c r="C1177" s="32">
        <v>63.79</v>
      </c>
      <c r="D1177" s="30">
        <v>-0.8</v>
      </c>
      <c r="E1177" s="31">
        <v>-1.239E-2</v>
      </c>
      <c r="F1177" s="30">
        <v>8439417000</v>
      </c>
      <c r="G1177" s="30" t="s">
        <v>5427</v>
      </c>
      <c r="H1177" s="30"/>
      <c r="I1177" s="30">
        <v>1763861</v>
      </c>
      <c r="J1177" s="30" t="s">
        <v>5457</v>
      </c>
      <c r="K1177" s="30" t="s">
        <v>5438</v>
      </c>
    </row>
    <row r="1178" spans="1:11" ht="12.5" x14ac:dyDescent="0.25">
      <c r="A1178" s="30" t="s">
        <v>6664</v>
      </c>
      <c r="B1178" s="30" t="s">
        <v>6663</v>
      </c>
      <c r="C1178" s="32">
        <v>24.11</v>
      </c>
      <c r="D1178" s="30">
        <v>0</v>
      </c>
      <c r="E1178" s="31">
        <v>0</v>
      </c>
      <c r="F1178" s="30">
        <v>508092597</v>
      </c>
      <c r="G1178" s="30" t="s">
        <v>5427</v>
      </c>
      <c r="H1178" s="30">
        <v>1986</v>
      </c>
      <c r="I1178" s="30">
        <v>46884</v>
      </c>
      <c r="J1178" s="30" t="s">
        <v>5197</v>
      </c>
      <c r="K1178" s="30" t="s">
        <v>5467</v>
      </c>
    </row>
    <row r="1179" spans="1:11" ht="12.5" x14ac:dyDescent="0.25">
      <c r="A1179" s="30" t="s">
        <v>6662</v>
      </c>
      <c r="B1179" s="30" t="s">
        <v>6661</v>
      </c>
      <c r="C1179" s="32">
        <v>87.63</v>
      </c>
      <c r="D1179" s="30">
        <v>1.64</v>
      </c>
      <c r="E1179" s="31">
        <v>1.907E-2</v>
      </c>
      <c r="F1179" s="30">
        <v>17869170297</v>
      </c>
      <c r="G1179" s="30" t="s">
        <v>5427</v>
      </c>
      <c r="H1179" s="30"/>
      <c r="I1179" s="30">
        <v>2262559</v>
      </c>
      <c r="J1179" s="30" t="s">
        <v>5442</v>
      </c>
      <c r="K1179" s="30" t="s">
        <v>5856</v>
      </c>
    </row>
    <row r="1180" spans="1:11" ht="12.5" x14ac:dyDescent="0.25">
      <c r="A1180" s="30" t="s">
        <v>6660</v>
      </c>
      <c r="B1180" s="30" t="s">
        <v>6659</v>
      </c>
      <c r="C1180" s="32">
        <v>20.52</v>
      </c>
      <c r="D1180" s="30">
        <v>0.78</v>
      </c>
      <c r="E1180" s="31">
        <v>3.9510000000000003E-2</v>
      </c>
      <c r="F1180" s="30">
        <v>1564330996</v>
      </c>
      <c r="G1180" s="30" t="s">
        <v>5427</v>
      </c>
      <c r="H1180" s="30"/>
      <c r="I1180" s="30">
        <v>910799</v>
      </c>
      <c r="J1180" s="30" t="s">
        <v>5431</v>
      </c>
      <c r="K1180" s="30" t="s">
        <v>5610</v>
      </c>
    </row>
    <row r="1181" spans="1:11" ht="12.5" x14ac:dyDescent="0.25">
      <c r="A1181" s="30" t="s">
        <v>6658</v>
      </c>
      <c r="B1181" s="30" t="s">
        <v>6657</v>
      </c>
      <c r="C1181" s="32">
        <v>83.41</v>
      </c>
      <c r="D1181" s="30">
        <v>4.76</v>
      </c>
      <c r="E1181" s="31">
        <v>6.0519999999999997E-2</v>
      </c>
      <c r="F1181" s="30">
        <v>4130207048</v>
      </c>
      <c r="G1181" s="30" t="s">
        <v>5427</v>
      </c>
      <c r="H1181" s="30"/>
      <c r="I1181" s="30">
        <v>333018</v>
      </c>
      <c r="J1181" s="30" t="s">
        <v>5219</v>
      </c>
      <c r="K1181" s="30" t="s">
        <v>5526</v>
      </c>
    </row>
    <row r="1182" spans="1:11" ht="12.5" x14ac:dyDescent="0.25">
      <c r="A1182" s="30" t="s">
        <v>6656</v>
      </c>
      <c r="B1182" s="30" t="s">
        <v>6655</v>
      </c>
      <c r="C1182" s="32">
        <v>1.1499999999999999</v>
      </c>
      <c r="D1182" s="30">
        <v>0.23250000000000001</v>
      </c>
      <c r="E1182" s="31">
        <v>0.25341000000000002</v>
      </c>
      <c r="F1182" s="30">
        <v>284272821</v>
      </c>
      <c r="G1182" s="30" t="s">
        <v>5427</v>
      </c>
      <c r="H1182" s="30">
        <v>2020</v>
      </c>
      <c r="I1182" s="30">
        <v>3563459</v>
      </c>
      <c r="J1182" s="30" t="s">
        <v>5435</v>
      </c>
      <c r="K1182" s="30" t="s">
        <v>5197</v>
      </c>
    </row>
    <row r="1183" spans="1:11" ht="12.5" x14ac:dyDescent="0.25">
      <c r="A1183" s="30" t="s">
        <v>6654</v>
      </c>
      <c r="B1183" s="30" t="s">
        <v>6653</v>
      </c>
      <c r="C1183" s="32">
        <v>9.2200000000000006</v>
      </c>
      <c r="D1183" s="30">
        <v>0.06</v>
      </c>
      <c r="E1183" s="31">
        <v>6.5500000000000003E-3</v>
      </c>
      <c r="F1183" s="30">
        <v>179378677</v>
      </c>
      <c r="G1183" s="30" t="s">
        <v>5427</v>
      </c>
      <c r="H1183" s="30">
        <v>2016</v>
      </c>
      <c r="I1183" s="30">
        <v>190993</v>
      </c>
      <c r="J1183" s="30" t="s">
        <v>5435</v>
      </c>
      <c r="K1183" s="30" t="s">
        <v>5985</v>
      </c>
    </row>
    <row r="1184" spans="1:11" ht="12.5" x14ac:dyDescent="0.25">
      <c r="A1184" s="30" t="s">
        <v>6652</v>
      </c>
      <c r="B1184" s="30" t="s">
        <v>6651</v>
      </c>
      <c r="C1184" s="32">
        <v>46.78</v>
      </c>
      <c r="D1184" s="30">
        <v>-0.83</v>
      </c>
      <c r="E1184" s="31">
        <v>-1.7430000000000001E-2</v>
      </c>
      <c r="F1184" s="30">
        <v>513093378</v>
      </c>
      <c r="G1184" s="30" t="s">
        <v>5427</v>
      </c>
      <c r="H1184" s="30"/>
      <c r="I1184" s="30">
        <v>121207</v>
      </c>
      <c r="J1184" s="30" t="s">
        <v>5435</v>
      </c>
      <c r="K1184" s="30" t="s">
        <v>6221</v>
      </c>
    </row>
    <row r="1185" spans="1:11" ht="12.5" x14ac:dyDescent="0.25">
      <c r="A1185" s="30" t="s">
        <v>6650</v>
      </c>
      <c r="B1185" s="30" t="s">
        <v>6649</v>
      </c>
      <c r="C1185" s="32">
        <v>93.6</v>
      </c>
      <c r="D1185" s="30">
        <v>1.05</v>
      </c>
      <c r="E1185" s="31">
        <v>1.1350000000000001E-2</v>
      </c>
      <c r="F1185" s="30">
        <v>5249599805</v>
      </c>
      <c r="G1185" s="30" t="s">
        <v>5427</v>
      </c>
      <c r="H1185" s="30">
        <v>2004</v>
      </c>
      <c r="I1185" s="30">
        <v>292490</v>
      </c>
      <c r="J1185" s="30" t="s">
        <v>5426</v>
      </c>
      <c r="K1185" s="30" t="s">
        <v>6000</v>
      </c>
    </row>
    <row r="1186" spans="1:11" ht="12.5" x14ac:dyDescent="0.25">
      <c r="A1186" s="30" t="s">
        <v>6648</v>
      </c>
      <c r="B1186" s="30" t="s">
        <v>6647</v>
      </c>
      <c r="C1186" s="32">
        <v>10.7</v>
      </c>
      <c r="D1186" s="30">
        <v>0.1</v>
      </c>
      <c r="E1186" s="31">
        <v>9.4299999999999991E-3</v>
      </c>
      <c r="F1186" s="30">
        <v>28441578280</v>
      </c>
      <c r="G1186" s="30" t="s">
        <v>5847</v>
      </c>
      <c r="H1186" s="30"/>
      <c r="I1186" s="30">
        <v>533584</v>
      </c>
      <c r="J1186" s="30" t="s">
        <v>5732</v>
      </c>
      <c r="K1186" s="30" t="s">
        <v>5520</v>
      </c>
    </row>
    <row r="1187" spans="1:11" ht="12.5" x14ac:dyDescent="0.25">
      <c r="A1187" s="30" t="s">
        <v>6646</v>
      </c>
      <c r="B1187" s="30" t="s">
        <v>6645</v>
      </c>
      <c r="C1187" s="32">
        <v>12.47</v>
      </c>
      <c r="D1187" s="30">
        <v>0.28000000000000003</v>
      </c>
      <c r="E1187" s="31">
        <v>2.2970000000000001E-2</v>
      </c>
      <c r="F1187" s="30">
        <v>464095267</v>
      </c>
      <c r="G1187" s="30" t="s">
        <v>5427</v>
      </c>
      <c r="H1187" s="30">
        <v>2013</v>
      </c>
      <c r="I1187" s="30">
        <v>819014</v>
      </c>
      <c r="J1187" s="30" t="s">
        <v>5197</v>
      </c>
      <c r="K1187" s="30" t="s">
        <v>5467</v>
      </c>
    </row>
    <row r="1188" spans="1:11" ht="12.5" x14ac:dyDescent="0.25">
      <c r="A1188" s="30" t="s">
        <v>6644</v>
      </c>
      <c r="B1188" s="30" t="s">
        <v>6643</v>
      </c>
      <c r="C1188" s="32">
        <v>90.05</v>
      </c>
      <c r="D1188" s="30">
        <v>1.59</v>
      </c>
      <c r="E1188" s="31">
        <v>1.797E-2</v>
      </c>
      <c r="F1188" s="30">
        <v>242797582650</v>
      </c>
      <c r="G1188" s="30" t="s">
        <v>5427</v>
      </c>
      <c r="H1188" s="30">
        <v>1986</v>
      </c>
      <c r="I1188" s="30">
        <v>6140891</v>
      </c>
      <c r="J1188" s="30" t="s">
        <v>5219</v>
      </c>
      <c r="K1188" s="30" t="s">
        <v>5560</v>
      </c>
    </row>
    <row r="1189" spans="1:11" ht="12.5" x14ac:dyDescent="0.25">
      <c r="A1189" s="30" t="s">
        <v>6642</v>
      </c>
      <c r="B1189" s="30" t="s">
        <v>6641</v>
      </c>
      <c r="C1189" s="32">
        <v>26.3</v>
      </c>
      <c r="D1189" s="30">
        <v>-0.09</v>
      </c>
      <c r="E1189" s="31">
        <v>-3.4099999999999998E-3</v>
      </c>
      <c r="F1189" s="30">
        <v>8003186258</v>
      </c>
      <c r="G1189" s="30" t="s">
        <v>5427</v>
      </c>
      <c r="H1189" s="30"/>
      <c r="I1189" s="30">
        <v>1919376</v>
      </c>
      <c r="J1189" s="30" t="s">
        <v>5435</v>
      </c>
      <c r="K1189" s="30" t="s">
        <v>6066</v>
      </c>
    </row>
    <row r="1190" spans="1:11" ht="12.5" x14ac:dyDescent="0.25">
      <c r="A1190" s="30" t="s">
        <v>6640</v>
      </c>
      <c r="B1190" s="30" t="s">
        <v>6639</v>
      </c>
      <c r="C1190" s="32">
        <v>2.86</v>
      </c>
      <c r="D1190" s="30">
        <v>-0.01</v>
      </c>
      <c r="E1190" s="31">
        <v>-3.48E-3</v>
      </c>
      <c r="F1190" s="30">
        <v>91676971</v>
      </c>
      <c r="G1190" s="30" t="s">
        <v>5427</v>
      </c>
      <c r="H1190" s="30"/>
      <c r="I1190" s="30">
        <v>128482</v>
      </c>
      <c r="J1190" s="30" t="s">
        <v>5457</v>
      </c>
      <c r="K1190" s="30" t="s">
        <v>5588</v>
      </c>
    </row>
    <row r="1191" spans="1:11" ht="12.5" x14ac:dyDescent="0.25">
      <c r="A1191" s="30" t="s">
        <v>6638</v>
      </c>
      <c r="B1191" s="30" t="s">
        <v>6637</v>
      </c>
      <c r="C1191" s="32">
        <v>3.5</v>
      </c>
      <c r="D1191" s="30">
        <v>-0.23</v>
      </c>
      <c r="E1191" s="31">
        <v>-6.166E-2</v>
      </c>
      <c r="F1191" s="30">
        <v>295814932</v>
      </c>
      <c r="G1191" s="30" t="s">
        <v>5427</v>
      </c>
      <c r="H1191" s="30">
        <v>2015</v>
      </c>
      <c r="I1191" s="30">
        <v>894120</v>
      </c>
      <c r="J1191" s="30" t="s">
        <v>5464</v>
      </c>
      <c r="K1191" s="30" t="s">
        <v>5463</v>
      </c>
    </row>
    <row r="1192" spans="1:11" ht="12.5" x14ac:dyDescent="0.25">
      <c r="A1192" s="30" t="s">
        <v>6636</v>
      </c>
      <c r="B1192" s="30" t="s">
        <v>6635</v>
      </c>
      <c r="C1192" s="32">
        <v>28.66</v>
      </c>
      <c r="D1192" s="30">
        <v>-0.4</v>
      </c>
      <c r="E1192" s="31">
        <v>-1.376E-2</v>
      </c>
      <c r="F1192" s="30">
        <v>6961970124</v>
      </c>
      <c r="G1192" s="30" t="s">
        <v>5427</v>
      </c>
      <c r="H1192" s="30">
        <v>2020</v>
      </c>
      <c r="I1192" s="30">
        <v>3089225</v>
      </c>
      <c r="J1192" s="30" t="s">
        <v>5431</v>
      </c>
      <c r="K1192" s="30" t="s">
        <v>6634</v>
      </c>
    </row>
    <row r="1193" spans="1:11" ht="12.5" x14ac:dyDescent="0.25">
      <c r="A1193" s="30" t="s">
        <v>6633</v>
      </c>
      <c r="B1193" s="30" t="s">
        <v>6632</v>
      </c>
      <c r="C1193" s="32">
        <v>104.23</v>
      </c>
      <c r="D1193" s="30">
        <v>3.45</v>
      </c>
      <c r="E1193" s="31">
        <v>3.4229999999999997E-2</v>
      </c>
      <c r="F1193" s="30">
        <v>6815995566</v>
      </c>
      <c r="G1193" s="30" t="s">
        <v>5427</v>
      </c>
      <c r="H1193" s="30"/>
      <c r="I1193" s="30">
        <v>786680</v>
      </c>
      <c r="J1193" s="30" t="s">
        <v>5442</v>
      </c>
      <c r="K1193" s="30" t="s">
        <v>5926</v>
      </c>
    </row>
    <row r="1194" spans="1:11" ht="12.5" x14ac:dyDescent="0.25">
      <c r="A1194" s="30" t="s">
        <v>6631</v>
      </c>
      <c r="B1194" s="30" t="s">
        <v>6630</v>
      </c>
      <c r="C1194" s="32">
        <v>1.48</v>
      </c>
      <c r="D1194" s="30">
        <v>0.05</v>
      </c>
      <c r="E1194" s="31">
        <v>3.4970000000000001E-2</v>
      </c>
      <c r="F1194" s="30">
        <v>273424864</v>
      </c>
      <c r="G1194" s="30" t="s">
        <v>5427</v>
      </c>
      <c r="H1194" s="30">
        <v>2020</v>
      </c>
      <c r="I1194" s="30">
        <v>1568728</v>
      </c>
      <c r="J1194" s="30" t="s">
        <v>5219</v>
      </c>
      <c r="K1194" s="30" t="s">
        <v>5644</v>
      </c>
    </row>
    <row r="1195" spans="1:11" ht="12.5" x14ac:dyDescent="0.25">
      <c r="A1195" s="30" t="s">
        <v>6629</v>
      </c>
      <c r="B1195" s="30" t="s">
        <v>6628</v>
      </c>
      <c r="C1195" s="32">
        <v>47.5</v>
      </c>
      <c r="D1195" s="30">
        <v>-1.73</v>
      </c>
      <c r="E1195" s="31">
        <v>-3.5139999999999998E-2</v>
      </c>
      <c r="F1195" s="30">
        <v>11792447233</v>
      </c>
      <c r="G1195" s="30" t="s">
        <v>5515</v>
      </c>
      <c r="H1195" s="30"/>
      <c r="I1195" s="30">
        <v>3527026</v>
      </c>
      <c r="J1195" s="30" t="s">
        <v>5464</v>
      </c>
      <c r="K1195" s="30" t="s">
        <v>5463</v>
      </c>
    </row>
    <row r="1196" spans="1:11" ht="12.5" x14ac:dyDescent="0.25">
      <c r="A1196" s="30" t="s">
        <v>6627</v>
      </c>
      <c r="B1196" s="30" t="s">
        <v>6626</v>
      </c>
      <c r="C1196" s="32">
        <v>12.92</v>
      </c>
      <c r="D1196" s="30">
        <v>0.34</v>
      </c>
      <c r="E1196" s="31">
        <v>2.7029999999999998E-2</v>
      </c>
      <c r="F1196" s="30">
        <v>5751097055</v>
      </c>
      <c r="G1196" s="30" t="s">
        <v>5427</v>
      </c>
      <c r="H1196" s="30">
        <v>2020</v>
      </c>
      <c r="I1196" s="30">
        <v>1993005</v>
      </c>
      <c r="J1196" s="30" t="s">
        <v>5435</v>
      </c>
      <c r="K1196" s="30" t="s">
        <v>5434</v>
      </c>
    </row>
    <row r="1197" spans="1:11" ht="12.5" x14ac:dyDescent="0.25">
      <c r="A1197" s="30" t="s">
        <v>6625</v>
      </c>
      <c r="B1197" s="30" t="s">
        <v>6624</v>
      </c>
      <c r="C1197" s="32">
        <v>118.11</v>
      </c>
      <c r="D1197" s="30">
        <v>0.89</v>
      </c>
      <c r="E1197" s="31">
        <v>7.5900000000000004E-3</v>
      </c>
      <c r="F1197" s="30">
        <v>1862421078</v>
      </c>
      <c r="G1197" s="30" t="s">
        <v>5427</v>
      </c>
      <c r="H1197" s="30"/>
      <c r="I1197" s="30">
        <v>124753</v>
      </c>
      <c r="J1197" s="30" t="s">
        <v>5442</v>
      </c>
      <c r="K1197" s="30" t="s">
        <v>5692</v>
      </c>
    </row>
    <row r="1198" spans="1:11" ht="12.5" x14ac:dyDescent="0.25">
      <c r="A1198" s="30" t="s">
        <v>6623</v>
      </c>
      <c r="B1198" s="30" t="s">
        <v>6622</v>
      </c>
      <c r="C1198" s="32">
        <v>63.5</v>
      </c>
      <c r="D1198" s="30">
        <v>-1.29</v>
      </c>
      <c r="E1198" s="31">
        <v>-1.9910000000000001E-2</v>
      </c>
      <c r="F1198" s="30">
        <v>57716048462</v>
      </c>
      <c r="G1198" s="30" t="s">
        <v>5427</v>
      </c>
      <c r="H1198" s="30"/>
      <c r="I1198" s="30">
        <v>12678981</v>
      </c>
      <c r="J1198" s="30" t="s">
        <v>5464</v>
      </c>
      <c r="K1198" s="30" t="s">
        <v>5463</v>
      </c>
    </row>
    <row r="1199" spans="1:11" ht="12.5" x14ac:dyDescent="0.25">
      <c r="A1199" s="30" t="s">
        <v>6621</v>
      </c>
      <c r="B1199" s="30" t="s">
        <v>6620</v>
      </c>
      <c r="C1199" s="32">
        <v>180.01</v>
      </c>
      <c r="D1199" s="30">
        <v>7.44</v>
      </c>
      <c r="E1199" s="31">
        <v>4.3110000000000002E-2</v>
      </c>
      <c r="F1199" s="30">
        <v>9095499557</v>
      </c>
      <c r="G1199" s="30" t="s">
        <v>5835</v>
      </c>
      <c r="H1199" s="30">
        <v>2006</v>
      </c>
      <c r="I1199" s="30">
        <v>103141</v>
      </c>
      <c r="J1199" s="30" t="s">
        <v>5442</v>
      </c>
      <c r="K1199" s="30" t="s">
        <v>5523</v>
      </c>
    </row>
    <row r="1200" spans="1:11" ht="12.5" x14ac:dyDescent="0.25">
      <c r="A1200" s="30" t="s">
        <v>6619</v>
      </c>
      <c r="B1200" s="30" t="s">
        <v>6618</v>
      </c>
      <c r="C1200" s="32">
        <v>130.72</v>
      </c>
      <c r="D1200" s="30">
        <v>2.9</v>
      </c>
      <c r="E1200" s="31">
        <v>2.2689999999999998E-2</v>
      </c>
      <c r="F1200" s="30">
        <v>9320787768</v>
      </c>
      <c r="G1200" s="30" t="s">
        <v>5427</v>
      </c>
      <c r="H1200" s="30"/>
      <c r="I1200" s="30">
        <v>288490</v>
      </c>
      <c r="J1200" s="30" t="s">
        <v>5442</v>
      </c>
      <c r="K1200" s="30" t="s">
        <v>5508</v>
      </c>
    </row>
    <row r="1201" spans="1:11" ht="12.5" x14ac:dyDescent="0.25">
      <c r="A1201" s="30" t="s">
        <v>6617</v>
      </c>
      <c r="B1201" s="30" t="s">
        <v>6616</v>
      </c>
      <c r="C1201" s="32">
        <v>12.59</v>
      </c>
      <c r="D1201" s="30">
        <v>0.19</v>
      </c>
      <c r="E1201" s="31">
        <v>1.532E-2</v>
      </c>
      <c r="F1201" s="30">
        <v>119743012</v>
      </c>
      <c r="G1201" s="30" t="s">
        <v>5427</v>
      </c>
      <c r="H1201" s="30"/>
      <c r="I1201" s="30">
        <v>10299</v>
      </c>
      <c r="J1201" s="30" t="s">
        <v>5435</v>
      </c>
      <c r="K1201" s="30" t="s">
        <v>5568</v>
      </c>
    </row>
    <row r="1202" spans="1:11" ht="12.5" x14ac:dyDescent="0.25">
      <c r="A1202" s="30" t="s">
        <v>6615</v>
      </c>
      <c r="B1202" s="30" t="s">
        <v>6614</v>
      </c>
      <c r="C1202" s="32">
        <v>35.840000000000003</v>
      </c>
      <c r="D1202" s="30">
        <v>1.85</v>
      </c>
      <c r="E1202" s="31">
        <v>5.4429999999999999E-2</v>
      </c>
      <c r="F1202" s="30">
        <v>978065679</v>
      </c>
      <c r="G1202" s="30" t="s">
        <v>5427</v>
      </c>
      <c r="H1202" s="30"/>
      <c r="I1202" s="30">
        <v>300652</v>
      </c>
      <c r="J1202" s="30" t="s">
        <v>5219</v>
      </c>
      <c r="K1202" s="30" t="s">
        <v>5560</v>
      </c>
    </row>
    <row r="1203" spans="1:11" ht="12.5" x14ac:dyDescent="0.25">
      <c r="A1203" s="30" t="s">
        <v>6613</v>
      </c>
      <c r="B1203" s="30" t="s">
        <v>6612</v>
      </c>
      <c r="C1203" s="32">
        <v>26.52</v>
      </c>
      <c r="D1203" s="30">
        <v>-0.21</v>
      </c>
      <c r="E1203" s="31">
        <v>-7.8600000000000007E-3</v>
      </c>
      <c r="F1203" s="30">
        <v>1599625139</v>
      </c>
      <c r="G1203" s="30" t="s">
        <v>5427</v>
      </c>
      <c r="H1203" s="30"/>
      <c r="I1203" s="30">
        <v>809592</v>
      </c>
      <c r="J1203" s="30" t="s">
        <v>5464</v>
      </c>
      <c r="K1203" s="30" t="s">
        <v>5674</v>
      </c>
    </row>
    <row r="1204" spans="1:11" ht="12.5" x14ac:dyDescent="0.25">
      <c r="A1204" s="30" t="s">
        <v>6611</v>
      </c>
      <c r="B1204" s="30" t="s">
        <v>6610</v>
      </c>
      <c r="C1204" s="32">
        <v>76.7</v>
      </c>
      <c r="D1204" s="30">
        <v>0.84</v>
      </c>
      <c r="E1204" s="31">
        <v>1.107E-2</v>
      </c>
      <c r="F1204" s="30">
        <v>7003783800</v>
      </c>
      <c r="G1204" s="30" t="s">
        <v>5427</v>
      </c>
      <c r="H1204" s="30"/>
      <c r="I1204" s="30">
        <v>521597</v>
      </c>
      <c r="J1204" s="30" t="s">
        <v>5435</v>
      </c>
      <c r="K1204" s="30" t="s">
        <v>5579</v>
      </c>
    </row>
    <row r="1205" spans="1:11" ht="12.5" x14ac:dyDescent="0.25">
      <c r="A1205" s="30" t="s">
        <v>6609</v>
      </c>
      <c r="B1205" s="30" t="s">
        <v>6608</v>
      </c>
      <c r="C1205" s="32">
        <v>35.39</v>
      </c>
      <c r="D1205" s="30">
        <v>-0.11</v>
      </c>
      <c r="E1205" s="31">
        <v>-3.0999999999999999E-3</v>
      </c>
      <c r="F1205" s="30">
        <v>19519849960</v>
      </c>
      <c r="G1205" s="30" t="s">
        <v>5515</v>
      </c>
      <c r="H1205" s="30"/>
      <c r="I1205" s="30">
        <v>791628</v>
      </c>
      <c r="J1205" s="30" t="s">
        <v>5464</v>
      </c>
      <c r="K1205" s="30" t="s">
        <v>5463</v>
      </c>
    </row>
    <row r="1206" spans="1:11" ht="12.5" x14ac:dyDescent="0.25">
      <c r="A1206" s="30" t="s">
        <v>6607</v>
      </c>
      <c r="B1206" s="30" t="s">
        <v>6606</v>
      </c>
      <c r="C1206" s="32">
        <v>40.200000000000003</v>
      </c>
      <c r="D1206" s="30">
        <v>-1.79</v>
      </c>
      <c r="E1206" s="31">
        <v>-4.2630000000000001E-2</v>
      </c>
      <c r="F1206" s="30">
        <v>5606774159</v>
      </c>
      <c r="G1206" s="30" t="s">
        <v>5427</v>
      </c>
      <c r="H1206" s="30">
        <v>2012</v>
      </c>
      <c r="I1206" s="30">
        <v>2940450</v>
      </c>
      <c r="J1206" s="30" t="s">
        <v>5464</v>
      </c>
      <c r="K1206" s="30" t="s">
        <v>5674</v>
      </c>
    </row>
    <row r="1207" spans="1:11" ht="12.5" x14ac:dyDescent="0.25">
      <c r="A1207" s="30" t="s">
        <v>6605</v>
      </c>
      <c r="B1207" s="30" t="s">
        <v>6604</v>
      </c>
      <c r="C1207" s="32">
        <v>66.19</v>
      </c>
      <c r="D1207" s="30">
        <v>0.43</v>
      </c>
      <c r="E1207" s="31">
        <v>6.5399999999999998E-3</v>
      </c>
      <c r="F1207" s="30">
        <v>3278122763</v>
      </c>
      <c r="G1207" s="30" t="s">
        <v>5427</v>
      </c>
      <c r="H1207" s="30">
        <v>2005</v>
      </c>
      <c r="I1207" s="30">
        <v>277720</v>
      </c>
      <c r="J1207" s="30" t="s">
        <v>5431</v>
      </c>
      <c r="K1207" s="30" t="s">
        <v>5430</v>
      </c>
    </row>
    <row r="1208" spans="1:11" ht="12.5" x14ac:dyDescent="0.25">
      <c r="A1208" s="30" t="s">
        <v>6603</v>
      </c>
      <c r="B1208" s="30" t="s">
        <v>6602</v>
      </c>
      <c r="C1208" s="32">
        <v>4.45</v>
      </c>
      <c r="D1208" s="30">
        <v>0.14000000000000001</v>
      </c>
      <c r="E1208" s="31">
        <v>3.2480000000000002E-2</v>
      </c>
      <c r="F1208" s="30">
        <v>774317867</v>
      </c>
      <c r="G1208" s="30" t="s">
        <v>5427</v>
      </c>
      <c r="H1208" s="30"/>
      <c r="I1208" s="30">
        <v>2185370</v>
      </c>
      <c r="J1208" s="30" t="s">
        <v>5442</v>
      </c>
      <c r="K1208" s="30" t="s">
        <v>6032</v>
      </c>
    </row>
    <row r="1209" spans="1:11" ht="12.5" x14ac:dyDescent="0.25">
      <c r="A1209" s="30" t="s">
        <v>6601</v>
      </c>
      <c r="B1209" s="30" t="s">
        <v>6600</v>
      </c>
      <c r="C1209" s="32">
        <v>23.45</v>
      </c>
      <c r="D1209" s="30">
        <v>-0.09</v>
      </c>
      <c r="E1209" s="31">
        <v>-3.82E-3</v>
      </c>
      <c r="F1209" s="30">
        <v>1092976266</v>
      </c>
      <c r="G1209" s="30" t="s">
        <v>5427</v>
      </c>
      <c r="H1209" s="30"/>
      <c r="I1209" s="30">
        <v>91579</v>
      </c>
      <c r="J1209" s="30" t="s">
        <v>5464</v>
      </c>
      <c r="K1209" s="30" t="s">
        <v>5463</v>
      </c>
    </row>
    <row r="1210" spans="1:11" ht="12.5" x14ac:dyDescent="0.25">
      <c r="A1210" s="30" t="s">
        <v>6599</v>
      </c>
      <c r="B1210" s="30" t="s">
        <v>6598</v>
      </c>
      <c r="C1210" s="32">
        <v>7.0099</v>
      </c>
      <c r="D1210" s="30">
        <v>3.9899999999999998E-2</v>
      </c>
      <c r="E1210" s="31">
        <v>5.7200000000000003E-3</v>
      </c>
      <c r="F1210" s="30">
        <v>122886793</v>
      </c>
      <c r="G1210" s="30" t="s">
        <v>5427</v>
      </c>
      <c r="H1210" s="30"/>
      <c r="I1210" s="30">
        <v>73469</v>
      </c>
      <c r="J1210" s="30" t="s">
        <v>5435</v>
      </c>
      <c r="K1210" s="30" t="s">
        <v>5568</v>
      </c>
    </row>
    <row r="1211" spans="1:11" ht="12.5" x14ac:dyDescent="0.25">
      <c r="A1211" s="30" t="s">
        <v>6597</v>
      </c>
      <c r="B1211" s="30" t="s">
        <v>6596</v>
      </c>
      <c r="C1211" s="32">
        <v>15.64</v>
      </c>
      <c r="D1211" s="30">
        <v>-0.26</v>
      </c>
      <c r="E1211" s="31">
        <v>-1.635E-2</v>
      </c>
      <c r="F1211" s="30">
        <v>33199029329</v>
      </c>
      <c r="G1211" s="30" t="s">
        <v>5427</v>
      </c>
      <c r="H1211" s="30"/>
      <c r="I1211" s="30">
        <v>15548911</v>
      </c>
      <c r="J1211" s="30" t="s">
        <v>5426</v>
      </c>
      <c r="K1211" s="30" t="s">
        <v>5593</v>
      </c>
    </row>
    <row r="1212" spans="1:11" ht="12.5" x14ac:dyDescent="0.25">
      <c r="A1212" s="30" t="s">
        <v>6595</v>
      </c>
      <c r="B1212" s="30" t="s">
        <v>6594</v>
      </c>
      <c r="C1212" s="32">
        <v>6.55</v>
      </c>
      <c r="D1212" s="30">
        <v>0.04</v>
      </c>
      <c r="E1212" s="31">
        <v>6.1399999999999996E-3</v>
      </c>
      <c r="F1212" s="30">
        <v>211104273</v>
      </c>
      <c r="G1212" s="30" t="s">
        <v>5427</v>
      </c>
      <c r="H1212" s="30">
        <v>2002</v>
      </c>
      <c r="I1212" s="30">
        <v>58271</v>
      </c>
      <c r="J1212" s="30" t="s">
        <v>5435</v>
      </c>
      <c r="K1212" s="30" t="s">
        <v>5568</v>
      </c>
    </row>
    <row r="1213" spans="1:11" ht="12.5" x14ac:dyDescent="0.25">
      <c r="A1213" s="30" t="s">
        <v>6593</v>
      </c>
      <c r="B1213" s="30" t="s">
        <v>6592</v>
      </c>
      <c r="C1213" s="32">
        <v>9.1300000000000008</v>
      </c>
      <c r="D1213" s="30">
        <v>0.03</v>
      </c>
      <c r="E1213" s="31">
        <v>3.3E-3</v>
      </c>
      <c r="F1213" s="30">
        <v>107569660</v>
      </c>
      <c r="G1213" s="30" t="s">
        <v>5427</v>
      </c>
      <c r="H1213" s="30">
        <v>1993</v>
      </c>
      <c r="I1213" s="30">
        <v>27259</v>
      </c>
      <c r="J1213" s="30" t="s">
        <v>5435</v>
      </c>
      <c r="K1213" s="30" t="s">
        <v>5568</v>
      </c>
    </row>
    <row r="1214" spans="1:11" ht="12.5" x14ac:dyDescent="0.25">
      <c r="A1214" s="30" t="s">
        <v>6591</v>
      </c>
      <c r="B1214" s="30" t="s">
        <v>6590</v>
      </c>
      <c r="C1214" s="32">
        <v>13.49</v>
      </c>
      <c r="D1214" s="30">
        <v>0.11</v>
      </c>
      <c r="E1214" s="31">
        <v>8.2199999999999999E-3</v>
      </c>
      <c r="F1214" s="30">
        <v>624058192</v>
      </c>
      <c r="G1214" s="30" t="s">
        <v>5427</v>
      </c>
      <c r="H1214" s="30">
        <v>2001</v>
      </c>
      <c r="I1214" s="30">
        <v>199484</v>
      </c>
      <c r="J1214" s="30" t="s">
        <v>5435</v>
      </c>
      <c r="K1214" s="30" t="s">
        <v>5434</v>
      </c>
    </row>
    <row r="1215" spans="1:11" ht="12.5" x14ac:dyDescent="0.25">
      <c r="A1215" s="30" t="s">
        <v>6589</v>
      </c>
      <c r="B1215" s="30" t="s">
        <v>6588</v>
      </c>
      <c r="C1215" s="32">
        <v>11.13</v>
      </c>
      <c r="D1215" s="30">
        <v>0.06</v>
      </c>
      <c r="E1215" s="31">
        <v>5.4200000000000003E-3</v>
      </c>
      <c r="F1215" s="30">
        <v>210987359</v>
      </c>
      <c r="G1215" s="30" t="s">
        <v>5427</v>
      </c>
      <c r="H1215" s="30">
        <v>2001</v>
      </c>
      <c r="I1215" s="30">
        <v>130454</v>
      </c>
      <c r="J1215" s="30" t="s">
        <v>5435</v>
      </c>
      <c r="K1215" s="30" t="s">
        <v>5434</v>
      </c>
    </row>
    <row r="1216" spans="1:11" ht="12.5" x14ac:dyDescent="0.25">
      <c r="A1216" s="30" t="s">
        <v>6587</v>
      </c>
      <c r="B1216" s="30" t="s">
        <v>6586</v>
      </c>
      <c r="C1216" s="32">
        <v>20.7</v>
      </c>
      <c r="D1216" s="30">
        <v>0.11</v>
      </c>
      <c r="E1216" s="31">
        <v>5.3400000000000001E-3</v>
      </c>
      <c r="F1216" s="30">
        <v>4689750600</v>
      </c>
      <c r="G1216" s="30" t="s">
        <v>5427</v>
      </c>
      <c r="H1216" s="30">
        <v>2012</v>
      </c>
      <c r="I1216" s="30">
        <v>1493807</v>
      </c>
      <c r="J1216" s="30" t="s">
        <v>5435</v>
      </c>
      <c r="K1216" s="30" t="s">
        <v>5568</v>
      </c>
    </row>
    <row r="1217" spans="1:11" ht="12.5" x14ac:dyDescent="0.25">
      <c r="A1217" s="30" t="s">
        <v>6585</v>
      </c>
      <c r="B1217" s="30" t="s">
        <v>6584</v>
      </c>
      <c r="C1217" s="32">
        <v>10.48</v>
      </c>
      <c r="D1217" s="30">
        <v>-0.12</v>
      </c>
      <c r="E1217" s="31">
        <v>-1.132E-2</v>
      </c>
      <c r="F1217" s="30">
        <v>1293183593</v>
      </c>
      <c r="G1217" s="30" t="s">
        <v>5427</v>
      </c>
      <c r="H1217" s="30"/>
      <c r="I1217" s="30">
        <v>886724</v>
      </c>
      <c r="J1217" s="30" t="s">
        <v>5197</v>
      </c>
      <c r="K1217" s="30" t="s">
        <v>5467</v>
      </c>
    </row>
    <row r="1218" spans="1:11" ht="12.5" x14ac:dyDescent="0.25">
      <c r="A1218" s="30" t="s">
        <v>6583</v>
      </c>
      <c r="B1218" s="30" t="s">
        <v>6582</v>
      </c>
      <c r="C1218" s="32">
        <v>78.290000000000006</v>
      </c>
      <c r="D1218" s="30">
        <v>-1.38</v>
      </c>
      <c r="E1218" s="31">
        <v>-1.7319999999999999E-2</v>
      </c>
      <c r="F1218" s="30">
        <v>1058154331</v>
      </c>
      <c r="G1218" s="30" t="s">
        <v>5515</v>
      </c>
      <c r="H1218" s="30"/>
      <c r="I1218" s="30">
        <v>62920</v>
      </c>
      <c r="J1218" s="30"/>
      <c r="K1218" s="30"/>
    </row>
    <row r="1219" spans="1:11" ht="12.5" x14ac:dyDescent="0.25">
      <c r="A1219" s="30" t="s">
        <v>6581</v>
      </c>
      <c r="B1219" s="30" t="s">
        <v>6580</v>
      </c>
      <c r="C1219" s="32">
        <v>13.32</v>
      </c>
      <c r="D1219" s="30">
        <v>0.08</v>
      </c>
      <c r="E1219" s="31">
        <v>6.0400000000000002E-3</v>
      </c>
      <c r="F1219" s="30">
        <v>653905120</v>
      </c>
      <c r="G1219" s="30" t="s">
        <v>5427</v>
      </c>
      <c r="H1219" s="30"/>
      <c r="I1219" s="30">
        <v>200329</v>
      </c>
      <c r="J1219" s="30" t="s">
        <v>5435</v>
      </c>
      <c r="K1219" s="30" t="s">
        <v>5563</v>
      </c>
    </row>
    <row r="1220" spans="1:11" ht="12.5" x14ac:dyDescent="0.25">
      <c r="A1220" s="30" t="s">
        <v>6579</v>
      </c>
      <c r="B1220" s="30" t="s">
        <v>6578</v>
      </c>
      <c r="C1220" s="32">
        <v>27.42</v>
      </c>
      <c r="D1220" s="30">
        <v>-0.06</v>
      </c>
      <c r="E1220" s="31">
        <v>-2.1800000000000001E-3</v>
      </c>
      <c r="F1220" s="30">
        <v>14739350748</v>
      </c>
      <c r="G1220" s="30" t="s">
        <v>5427</v>
      </c>
      <c r="H1220" s="30"/>
      <c r="I1220" s="30">
        <v>4025057</v>
      </c>
      <c r="J1220" s="30" t="s">
        <v>5197</v>
      </c>
      <c r="K1220" s="30" t="s">
        <v>5467</v>
      </c>
    </row>
    <row r="1221" spans="1:11" ht="12.5" x14ac:dyDescent="0.25">
      <c r="A1221" s="30" t="s">
        <v>6577</v>
      </c>
      <c r="B1221" s="30" t="s">
        <v>6576</v>
      </c>
      <c r="C1221" s="32">
        <v>16.75</v>
      </c>
      <c r="D1221" s="30">
        <v>0.35</v>
      </c>
      <c r="E1221" s="31">
        <v>2.1340000000000001E-2</v>
      </c>
      <c r="F1221" s="30">
        <v>2202163521</v>
      </c>
      <c r="G1221" s="30" t="s">
        <v>5427</v>
      </c>
      <c r="H1221" s="30">
        <v>2009</v>
      </c>
      <c r="I1221" s="30">
        <v>4518017</v>
      </c>
      <c r="J1221" s="30" t="s">
        <v>5197</v>
      </c>
      <c r="K1221" s="30" t="s">
        <v>5467</v>
      </c>
    </row>
    <row r="1222" spans="1:11" ht="12.5" x14ac:dyDescent="0.25">
      <c r="A1222" s="30" t="s">
        <v>6575</v>
      </c>
      <c r="B1222" s="30" t="s">
        <v>6574</v>
      </c>
      <c r="C1222" s="32">
        <v>61.81</v>
      </c>
      <c r="D1222" s="30">
        <v>-0.12</v>
      </c>
      <c r="E1222" s="31">
        <v>-1.9400000000000001E-3</v>
      </c>
      <c r="F1222" s="30">
        <v>30840083677</v>
      </c>
      <c r="G1222" s="30" t="s">
        <v>5427</v>
      </c>
      <c r="H1222" s="30"/>
      <c r="I1222" s="30">
        <v>2642795</v>
      </c>
      <c r="J1222" s="30" t="s">
        <v>5426</v>
      </c>
      <c r="K1222" s="30" t="s">
        <v>5593</v>
      </c>
    </row>
    <row r="1223" spans="1:11" ht="12.5" x14ac:dyDescent="0.25">
      <c r="A1223" s="30" t="s">
        <v>6573</v>
      </c>
      <c r="B1223" s="30" t="s">
        <v>6572</v>
      </c>
      <c r="C1223" s="32">
        <v>22.3</v>
      </c>
      <c r="D1223" s="30">
        <v>-0.3</v>
      </c>
      <c r="E1223" s="31">
        <v>-1.3270000000000001E-2</v>
      </c>
      <c r="F1223" s="30">
        <v>546021410</v>
      </c>
      <c r="G1223" s="30" t="s">
        <v>5427</v>
      </c>
      <c r="H1223" s="30"/>
      <c r="I1223" s="30">
        <v>105399</v>
      </c>
      <c r="J1223" s="30" t="s">
        <v>5435</v>
      </c>
      <c r="K1223" s="30" t="s">
        <v>5985</v>
      </c>
    </row>
    <row r="1224" spans="1:11" ht="12.5" x14ac:dyDescent="0.25">
      <c r="A1224" s="30" t="s">
        <v>6571</v>
      </c>
      <c r="B1224" s="30" t="s">
        <v>6570</v>
      </c>
      <c r="C1224" s="32">
        <v>12.52</v>
      </c>
      <c r="D1224" s="30">
        <v>7.0000000000000007E-2</v>
      </c>
      <c r="E1224" s="31">
        <v>5.62E-3</v>
      </c>
      <c r="F1224" s="30">
        <v>157210836</v>
      </c>
      <c r="G1224" s="30" t="s">
        <v>5427</v>
      </c>
      <c r="H1224" s="30">
        <v>1991</v>
      </c>
      <c r="I1224" s="30">
        <v>25423</v>
      </c>
      <c r="J1224" s="30" t="s">
        <v>5435</v>
      </c>
      <c r="K1224" s="30" t="s">
        <v>5434</v>
      </c>
    </row>
    <row r="1225" spans="1:11" ht="12.5" x14ac:dyDescent="0.25">
      <c r="A1225" s="30" t="s">
        <v>5070</v>
      </c>
      <c r="B1225" s="30" t="s">
        <v>6569</v>
      </c>
      <c r="C1225" s="32">
        <v>43.97</v>
      </c>
      <c r="D1225" s="30">
        <v>-0.19</v>
      </c>
      <c r="E1225" s="31">
        <v>-4.3E-3</v>
      </c>
      <c r="F1225" s="30">
        <v>246817440192</v>
      </c>
      <c r="G1225" s="30" t="s">
        <v>5427</v>
      </c>
      <c r="H1225" s="30"/>
      <c r="I1225" s="30">
        <v>24468353</v>
      </c>
      <c r="J1225" s="30" t="s">
        <v>5431</v>
      </c>
      <c r="K1225" s="30" t="s">
        <v>5430</v>
      </c>
    </row>
    <row r="1226" spans="1:11" ht="12.5" x14ac:dyDescent="0.25">
      <c r="A1226" s="30" t="s">
        <v>6568</v>
      </c>
      <c r="B1226" s="30" t="s">
        <v>6567</v>
      </c>
      <c r="C1226" s="32">
        <v>62.67</v>
      </c>
      <c r="D1226" s="30">
        <v>1.35</v>
      </c>
      <c r="E1226" s="31">
        <v>2.2020000000000001E-2</v>
      </c>
      <c r="F1226" s="30">
        <v>9756022711</v>
      </c>
      <c r="G1226" s="30" t="s">
        <v>5427</v>
      </c>
      <c r="H1226" s="30">
        <v>2015</v>
      </c>
      <c r="I1226" s="30">
        <v>1254711</v>
      </c>
      <c r="J1226" s="30" t="s">
        <v>5442</v>
      </c>
      <c r="K1226" s="30" t="s">
        <v>5735</v>
      </c>
    </row>
    <row r="1227" spans="1:11" ht="12.5" x14ac:dyDescent="0.25">
      <c r="A1227" s="30" t="s">
        <v>6566</v>
      </c>
      <c r="B1227" s="30" t="s">
        <v>6565</v>
      </c>
      <c r="C1227" s="32">
        <v>8.85</v>
      </c>
      <c r="D1227" s="30">
        <v>7.0000000000000007E-2</v>
      </c>
      <c r="E1227" s="31">
        <v>7.9699999999999997E-3</v>
      </c>
      <c r="F1227" s="30">
        <v>314236950</v>
      </c>
      <c r="G1227" s="30" t="s">
        <v>5427</v>
      </c>
      <c r="H1227" s="30">
        <v>2003</v>
      </c>
      <c r="I1227" s="30">
        <v>121765</v>
      </c>
      <c r="J1227" s="30" t="s">
        <v>5435</v>
      </c>
      <c r="K1227" s="30" t="s">
        <v>5563</v>
      </c>
    </row>
    <row r="1228" spans="1:11" ht="12.5" x14ac:dyDescent="0.25">
      <c r="A1228" s="30" t="s">
        <v>6564</v>
      </c>
      <c r="B1228" s="30" t="s">
        <v>6563</v>
      </c>
      <c r="C1228" s="32">
        <v>10.99</v>
      </c>
      <c r="D1228" s="30">
        <v>0.12</v>
      </c>
      <c r="E1228" s="31">
        <v>1.1039999999999999E-2</v>
      </c>
      <c r="F1228" s="30">
        <v>546003147</v>
      </c>
      <c r="G1228" s="30" t="s">
        <v>5427</v>
      </c>
      <c r="H1228" s="30">
        <v>2022</v>
      </c>
      <c r="I1228" s="30">
        <v>532509</v>
      </c>
      <c r="J1228" s="30" t="s">
        <v>5435</v>
      </c>
      <c r="K1228" s="30" t="s">
        <v>5985</v>
      </c>
    </row>
    <row r="1229" spans="1:11" ht="12.5" x14ac:dyDescent="0.25">
      <c r="A1229" s="30" t="s">
        <v>6562</v>
      </c>
      <c r="B1229" s="30" t="s">
        <v>6561</v>
      </c>
      <c r="C1229" s="32">
        <v>7.72</v>
      </c>
      <c r="D1229" s="30">
        <v>7.0000000000000007E-2</v>
      </c>
      <c r="E1229" s="31">
        <v>9.1500000000000001E-3</v>
      </c>
      <c r="F1229" s="30">
        <v>609023080</v>
      </c>
      <c r="G1229" s="30" t="s">
        <v>5427</v>
      </c>
      <c r="H1229" s="30">
        <v>2004</v>
      </c>
      <c r="I1229" s="30">
        <v>217763</v>
      </c>
      <c r="J1229" s="30" t="s">
        <v>5435</v>
      </c>
      <c r="K1229" s="30" t="s">
        <v>5985</v>
      </c>
    </row>
    <row r="1230" spans="1:11" ht="12.5" x14ac:dyDescent="0.25">
      <c r="A1230" s="30" t="s">
        <v>6560</v>
      </c>
      <c r="B1230" s="30" t="s">
        <v>6559</v>
      </c>
      <c r="C1230" s="32">
        <v>9.74</v>
      </c>
      <c r="D1230" s="30">
        <v>0.16</v>
      </c>
      <c r="E1230" s="31">
        <v>1.67E-2</v>
      </c>
      <c r="F1230" s="30">
        <v>127323043</v>
      </c>
      <c r="G1230" s="30" t="s">
        <v>5427</v>
      </c>
      <c r="H1230" s="30">
        <v>1992</v>
      </c>
      <c r="I1230" s="30">
        <v>63613</v>
      </c>
      <c r="J1230" s="30" t="s">
        <v>5435</v>
      </c>
      <c r="K1230" s="30" t="s">
        <v>5563</v>
      </c>
    </row>
    <row r="1231" spans="1:11" ht="12.5" x14ac:dyDescent="0.25">
      <c r="A1231" s="30" t="s">
        <v>6558</v>
      </c>
      <c r="B1231" s="30" t="s">
        <v>6557</v>
      </c>
      <c r="C1231" s="32">
        <v>23.72</v>
      </c>
      <c r="D1231" s="30">
        <v>0.26</v>
      </c>
      <c r="E1231" s="31">
        <v>1.108E-2</v>
      </c>
      <c r="F1231" s="30">
        <v>1783013329</v>
      </c>
      <c r="G1231" s="30" t="s">
        <v>5427</v>
      </c>
      <c r="H1231" s="30">
        <v>2003</v>
      </c>
      <c r="I1231" s="30">
        <v>774503</v>
      </c>
      <c r="J1231" s="30" t="s">
        <v>5435</v>
      </c>
      <c r="K1231" s="30" t="s">
        <v>6556</v>
      </c>
    </row>
    <row r="1232" spans="1:11" ht="12.5" x14ac:dyDescent="0.25">
      <c r="A1232" s="30" t="s">
        <v>6555</v>
      </c>
      <c r="B1232" s="30" t="s">
        <v>6554</v>
      </c>
      <c r="C1232" s="32">
        <v>68.959999999999994</v>
      </c>
      <c r="D1232" s="30">
        <v>1.54</v>
      </c>
      <c r="E1232" s="31">
        <v>2.2839999999999999E-2</v>
      </c>
      <c r="F1232" s="30">
        <v>3453614309</v>
      </c>
      <c r="G1232" s="30" t="s">
        <v>5427</v>
      </c>
      <c r="H1232" s="30">
        <v>2013</v>
      </c>
      <c r="I1232" s="30">
        <v>465583</v>
      </c>
      <c r="J1232" s="30" t="s">
        <v>5435</v>
      </c>
      <c r="K1232" s="30" t="s">
        <v>5598</v>
      </c>
    </row>
    <row r="1233" spans="1:11" ht="12.5" x14ac:dyDescent="0.25">
      <c r="A1233" s="30" t="s">
        <v>6553</v>
      </c>
      <c r="B1233" s="30" t="s">
        <v>6552</v>
      </c>
      <c r="C1233" s="32">
        <v>143.19</v>
      </c>
      <c r="D1233" s="30">
        <v>0.81</v>
      </c>
      <c r="E1233" s="31">
        <v>5.6899999999999997E-3</v>
      </c>
      <c r="F1233" s="30">
        <v>337805843106</v>
      </c>
      <c r="G1233" s="30" t="s">
        <v>5427</v>
      </c>
      <c r="H1233" s="30"/>
      <c r="I1233" s="30">
        <v>7207866</v>
      </c>
      <c r="J1233" s="30" t="s">
        <v>5442</v>
      </c>
      <c r="K1233" s="30" t="s">
        <v>6240</v>
      </c>
    </row>
    <row r="1234" spans="1:11" ht="12.5" x14ac:dyDescent="0.25">
      <c r="A1234" s="30" t="s">
        <v>6551</v>
      </c>
      <c r="B1234" s="30" t="s">
        <v>6550</v>
      </c>
      <c r="C1234" s="32">
        <v>8.24</v>
      </c>
      <c r="D1234" s="30">
        <v>0.04</v>
      </c>
      <c r="E1234" s="31">
        <v>4.8799999999999998E-3</v>
      </c>
      <c r="F1234" s="30">
        <v>92263280</v>
      </c>
      <c r="G1234" s="30" t="s">
        <v>5427</v>
      </c>
      <c r="H1234" s="30">
        <v>2005</v>
      </c>
      <c r="I1234" s="30">
        <v>31719</v>
      </c>
      <c r="J1234" s="30" t="s">
        <v>5435</v>
      </c>
      <c r="K1234" s="30" t="s">
        <v>5563</v>
      </c>
    </row>
    <row r="1235" spans="1:11" ht="12.5" x14ac:dyDescent="0.25">
      <c r="A1235" s="30" t="s">
        <v>6549</v>
      </c>
      <c r="B1235" s="30" t="s">
        <v>6548</v>
      </c>
      <c r="C1235" s="32">
        <v>137.97999999999999</v>
      </c>
      <c r="D1235" s="30">
        <v>1.63</v>
      </c>
      <c r="E1235" s="31">
        <v>1.1950000000000001E-2</v>
      </c>
      <c r="F1235" s="30">
        <v>80704502000</v>
      </c>
      <c r="G1235" s="30" t="s">
        <v>5427</v>
      </c>
      <c r="H1235" s="30"/>
      <c r="I1235" s="30">
        <v>3087995</v>
      </c>
      <c r="J1235" s="30" t="s">
        <v>5435</v>
      </c>
      <c r="K1235" s="30" t="s">
        <v>5493</v>
      </c>
    </row>
    <row r="1236" spans="1:11" ht="12.5" x14ac:dyDescent="0.25">
      <c r="A1236" s="30" t="s">
        <v>6547</v>
      </c>
      <c r="B1236" s="30" t="s">
        <v>6546</v>
      </c>
      <c r="C1236" s="32">
        <v>6.44</v>
      </c>
      <c r="D1236" s="30">
        <v>-0.01</v>
      </c>
      <c r="E1236" s="31">
        <v>-1.5499999999999999E-3</v>
      </c>
      <c r="F1236" s="30">
        <v>1415665588</v>
      </c>
      <c r="G1236" s="30" t="s">
        <v>5427</v>
      </c>
      <c r="H1236" s="30">
        <v>2014</v>
      </c>
      <c r="I1236" s="30">
        <v>2096313</v>
      </c>
      <c r="J1236" s="30" t="s">
        <v>5197</v>
      </c>
      <c r="K1236" s="30" t="s">
        <v>5467</v>
      </c>
    </row>
    <row r="1237" spans="1:11" ht="12.5" x14ac:dyDescent="0.25">
      <c r="A1237" s="30" t="s">
        <v>6545</v>
      </c>
      <c r="B1237" s="30" t="s">
        <v>6544</v>
      </c>
      <c r="C1237" s="32">
        <v>22.11</v>
      </c>
      <c r="D1237" s="30">
        <v>0.41</v>
      </c>
      <c r="E1237" s="31">
        <v>1.8890000000000001E-2</v>
      </c>
      <c r="F1237" s="30">
        <v>1326548683</v>
      </c>
      <c r="G1237" s="30" t="s">
        <v>5427</v>
      </c>
      <c r="H1237" s="30">
        <v>2006</v>
      </c>
      <c r="I1237" s="30">
        <v>361541</v>
      </c>
      <c r="J1237" s="30" t="s">
        <v>5457</v>
      </c>
      <c r="K1237" s="30" t="s">
        <v>5537</v>
      </c>
    </row>
    <row r="1238" spans="1:11" ht="12.5" x14ac:dyDescent="0.25">
      <c r="A1238" s="30" t="s">
        <v>6543</v>
      </c>
      <c r="B1238" s="30" t="s">
        <v>6542</v>
      </c>
      <c r="C1238" s="32">
        <v>328.69</v>
      </c>
      <c r="D1238" s="30">
        <v>2.69</v>
      </c>
      <c r="E1238" s="31">
        <v>8.2500000000000004E-3</v>
      </c>
      <c r="F1238" s="30">
        <v>42205679722</v>
      </c>
      <c r="G1238" s="30" t="s">
        <v>5427</v>
      </c>
      <c r="H1238" s="30"/>
      <c r="I1238" s="30">
        <v>1188138</v>
      </c>
      <c r="J1238" s="30" t="s">
        <v>5457</v>
      </c>
      <c r="K1238" s="30" t="s">
        <v>5487</v>
      </c>
    </row>
    <row r="1239" spans="1:11" ht="12.5" x14ac:dyDescent="0.25">
      <c r="A1239" s="30" t="s">
        <v>6541</v>
      </c>
      <c r="B1239" s="30" t="s">
        <v>6540</v>
      </c>
      <c r="C1239" s="32">
        <v>9.15</v>
      </c>
      <c r="D1239" s="30">
        <v>0.02</v>
      </c>
      <c r="E1239" s="31">
        <v>2.1900000000000001E-3</v>
      </c>
      <c r="F1239" s="30">
        <v>113230637</v>
      </c>
      <c r="G1239" s="30" t="s">
        <v>5427</v>
      </c>
      <c r="H1239" s="30">
        <v>2004</v>
      </c>
      <c r="I1239" s="30">
        <v>86336</v>
      </c>
      <c r="J1239" s="30" t="s">
        <v>5435</v>
      </c>
      <c r="K1239" s="30" t="s">
        <v>5434</v>
      </c>
    </row>
    <row r="1240" spans="1:11" ht="12.5" x14ac:dyDescent="0.25">
      <c r="A1240" s="30" t="s">
        <v>6539</v>
      </c>
      <c r="B1240" s="30" t="s">
        <v>6538</v>
      </c>
      <c r="C1240" s="32">
        <v>17.89</v>
      </c>
      <c r="D1240" s="30">
        <v>0.77</v>
      </c>
      <c r="E1240" s="31">
        <v>4.4979999999999999E-2</v>
      </c>
      <c r="F1240" s="30">
        <v>15769695090</v>
      </c>
      <c r="G1240" s="30" t="s">
        <v>6073</v>
      </c>
      <c r="H1240" s="30"/>
      <c r="I1240" s="30">
        <v>2424080</v>
      </c>
      <c r="J1240" s="30" t="s">
        <v>5431</v>
      </c>
      <c r="K1240" s="30" t="s">
        <v>6537</v>
      </c>
    </row>
    <row r="1241" spans="1:11" ht="12.5" x14ac:dyDescent="0.25">
      <c r="A1241" s="30" t="s">
        <v>6536</v>
      </c>
      <c r="B1241" s="30" t="s">
        <v>6535</v>
      </c>
      <c r="C1241" s="32">
        <v>5.19</v>
      </c>
      <c r="D1241" s="30">
        <v>0.03</v>
      </c>
      <c r="E1241" s="31">
        <v>5.8100000000000001E-3</v>
      </c>
      <c r="F1241" s="30">
        <v>703530450</v>
      </c>
      <c r="G1241" s="30" t="s">
        <v>5427</v>
      </c>
      <c r="H1241" s="30">
        <v>2003</v>
      </c>
      <c r="I1241" s="30">
        <v>496681</v>
      </c>
      <c r="J1241" s="30" t="s">
        <v>5435</v>
      </c>
      <c r="K1241" s="30" t="s">
        <v>5985</v>
      </c>
    </row>
    <row r="1242" spans="1:11" ht="12.5" x14ac:dyDescent="0.25">
      <c r="A1242" s="30" t="s">
        <v>6534</v>
      </c>
      <c r="B1242" s="30" t="s">
        <v>6533</v>
      </c>
      <c r="C1242" s="32">
        <v>58.44</v>
      </c>
      <c r="D1242" s="30">
        <v>1.55</v>
      </c>
      <c r="E1242" s="31">
        <v>2.725E-2</v>
      </c>
      <c r="F1242" s="30">
        <v>13313784671</v>
      </c>
      <c r="G1242" s="30" t="s">
        <v>5427</v>
      </c>
      <c r="H1242" s="30"/>
      <c r="I1242" s="30">
        <v>5323899</v>
      </c>
      <c r="J1242" s="30"/>
      <c r="K1242" s="30"/>
    </row>
    <row r="1243" spans="1:11" ht="12.5" x14ac:dyDescent="0.25">
      <c r="A1243" s="30" t="s">
        <v>6532</v>
      </c>
      <c r="B1243" s="30" t="s">
        <v>6531</v>
      </c>
      <c r="C1243" s="32">
        <v>37.22</v>
      </c>
      <c r="D1243" s="30">
        <v>-0.27</v>
      </c>
      <c r="E1243" s="31">
        <v>-7.1999999999999998E-3</v>
      </c>
      <c r="F1243" s="30">
        <v>1963252831</v>
      </c>
      <c r="G1243" s="30" t="s">
        <v>5427</v>
      </c>
      <c r="H1243" s="30">
        <v>2019</v>
      </c>
      <c r="I1243" s="30">
        <v>559957</v>
      </c>
      <c r="J1243" s="30" t="s">
        <v>5431</v>
      </c>
      <c r="K1243" s="30" t="s">
        <v>6530</v>
      </c>
    </row>
    <row r="1244" spans="1:11" ht="12.5" x14ac:dyDescent="0.25">
      <c r="A1244" s="30" t="s">
        <v>6529</v>
      </c>
      <c r="B1244" s="30" t="s">
        <v>6528</v>
      </c>
      <c r="C1244" s="32">
        <v>7.12</v>
      </c>
      <c r="D1244" s="30">
        <v>0.06</v>
      </c>
      <c r="E1244" s="31">
        <v>8.5000000000000006E-3</v>
      </c>
      <c r="F1244" s="30">
        <v>208912441</v>
      </c>
      <c r="G1244" s="30" t="s">
        <v>5427</v>
      </c>
      <c r="H1244" s="30"/>
      <c r="I1244" s="30">
        <v>73822</v>
      </c>
      <c r="J1244" s="30" t="s">
        <v>5435</v>
      </c>
      <c r="K1244" s="30" t="s">
        <v>5434</v>
      </c>
    </row>
    <row r="1245" spans="1:11" ht="12.5" x14ac:dyDescent="0.25">
      <c r="A1245" s="30" t="s">
        <v>6527</v>
      </c>
      <c r="B1245" s="30" t="s">
        <v>6526</v>
      </c>
      <c r="C1245" s="32">
        <v>3.6</v>
      </c>
      <c r="D1245" s="30">
        <v>-0.01</v>
      </c>
      <c r="E1245" s="31">
        <v>-2.7699999999999999E-3</v>
      </c>
      <c r="F1245" s="30">
        <v>131368799</v>
      </c>
      <c r="G1245" s="30" t="s">
        <v>5427</v>
      </c>
      <c r="H1245" s="30">
        <v>2003</v>
      </c>
      <c r="I1245" s="30">
        <v>212398</v>
      </c>
      <c r="J1245" s="30" t="s">
        <v>5464</v>
      </c>
      <c r="K1245" s="30" t="s">
        <v>5463</v>
      </c>
    </row>
    <row r="1246" spans="1:11" ht="12.5" x14ac:dyDescent="0.25">
      <c r="A1246" s="30" t="s">
        <v>6525</v>
      </c>
      <c r="B1246" s="30" t="s">
        <v>6524</v>
      </c>
      <c r="C1246" s="32">
        <v>117.78</v>
      </c>
      <c r="D1246" s="30">
        <v>2.94</v>
      </c>
      <c r="E1246" s="31">
        <v>2.5600000000000001E-2</v>
      </c>
      <c r="F1246" s="30">
        <v>6826353779</v>
      </c>
      <c r="G1246" s="30" t="s">
        <v>5427</v>
      </c>
      <c r="H1246" s="30"/>
      <c r="I1246" s="30">
        <v>1283884</v>
      </c>
      <c r="J1246" s="30" t="s">
        <v>5442</v>
      </c>
      <c r="K1246" s="30" t="s">
        <v>5641</v>
      </c>
    </row>
    <row r="1247" spans="1:11" ht="12.5" x14ac:dyDescent="0.25">
      <c r="A1247" s="30" t="s">
        <v>6523</v>
      </c>
      <c r="B1247" s="30" t="s">
        <v>6522</v>
      </c>
      <c r="C1247" s="32">
        <v>3.36</v>
      </c>
      <c r="D1247" s="30">
        <v>0</v>
      </c>
      <c r="E1247" s="31">
        <v>0</v>
      </c>
      <c r="F1247" s="30">
        <v>168851404</v>
      </c>
      <c r="G1247" s="30" t="s">
        <v>5427</v>
      </c>
      <c r="H1247" s="30">
        <v>1988</v>
      </c>
      <c r="I1247" s="30">
        <v>80504</v>
      </c>
      <c r="J1247" s="30" t="s">
        <v>5435</v>
      </c>
      <c r="K1247" s="30" t="s">
        <v>5563</v>
      </c>
    </row>
    <row r="1248" spans="1:11" ht="12.5" x14ac:dyDescent="0.25">
      <c r="A1248" s="30" t="s">
        <v>6521</v>
      </c>
      <c r="B1248" s="30" t="s">
        <v>6520</v>
      </c>
      <c r="C1248" s="32">
        <v>20.63</v>
      </c>
      <c r="D1248" s="30">
        <v>0.13</v>
      </c>
      <c r="E1248" s="31">
        <v>6.3400000000000001E-3</v>
      </c>
      <c r="F1248" s="30">
        <v>245815445</v>
      </c>
      <c r="G1248" s="30" t="s">
        <v>5427</v>
      </c>
      <c r="H1248" s="30">
        <v>2019</v>
      </c>
      <c r="I1248" s="30">
        <v>71587</v>
      </c>
      <c r="J1248" s="30" t="s">
        <v>5197</v>
      </c>
      <c r="K1248" s="30" t="s">
        <v>5467</v>
      </c>
    </row>
    <row r="1249" spans="1:11" ht="12.5" x14ac:dyDescent="0.25">
      <c r="A1249" s="30" t="s">
        <v>6519</v>
      </c>
      <c r="B1249" s="30" t="s">
        <v>6518</v>
      </c>
      <c r="C1249" s="32">
        <v>143.46</v>
      </c>
      <c r="D1249" s="30">
        <v>1.36</v>
      </c>
      <c r="E1249" s="31">
        <v>9.5700000000000004E-3</v>
      </c>
      <c r="F1249" s="30">
        <v>2558315724</v>
      </c>
      <c r="G1249" s="30" t="s">
        <v>5427</v>
      </c>
      <c r="H1249" s="30"/>
      <c r="I1249" s="30">
        <v>84117</v>
      </c>
      <c r="J1249" s="30" t="s">
        <v>5435</v>
      </c>
      <c r="K1249" s="30" t="s">
        <v>6221</v>
      </c>
    </row>
    <row r="1250" spans="1:11" ht="12.5" x14ac:dyDescent="0.25">
      <c r="A1250" s="30" t="s">
        <v>6517</v>
      </c>
      <c r="B1250" s="30" t="s">
        <v>6516</v>
      </c>
      <c r="C1250" s="32">
        <v>79.97</v>
      </c>
      <c r="D1250" s="30">
        <v>-0.06</v>
      </c>
      <c r="E1250" s="31">
        <v>-7.5000000000000002E-4</v>
      </c>
      <c r="F1250" s="30">
        <v>1952371266</v>
      </c>
      <c r="G1250" s="30" t="s">
        <v>5427</v>
      </c>
      <c r="H1250" s="30">
        <v>2015</v>
      </c>
      <c r="I1250" s="30">
        <v>223159</v>
      </c>
      <c r="J1250" s="30" t="s">
        <v>5435</v>
      </c>
      <c r="K1250" s="30" t="s">
        <v>5434</v>
      </c>
    </row>
    <row r="1251" spans="1:11" ht="12.5" x14ac:dyDescent="0.25">
      <c r="A1251" s="30" t="s">
        <v>6515</v>
      </c>
      <c r="B1251" s="30" t="s">
        <v>6514</v>
      </c>
      <c r="C1251" s="32">
        <v>15.01</v>
      </c>
      <c r="D1251" s="30">
        <v>0.3</v>
      </c>
      <c r="E1251" s="31">
        <v>2.0389999999999998E-2</v>
      </c>
      <c r="F1251" s="30">
        <v>3374896867</v>
      </c>
      <c r="G1251" s="30" t="s">
        <v>5427</v>
      </c>
      <c r="H1251" s="30">
        <v>2016</v>
      </c>
      <c r="I1251" s="30">
        <v>3009076</v>
      </c>
      <c r="J1251" s="30" t="s">
        <v>5197</v>
      </c>
      <c r="K1251" s="30" t="s">
        <v>5467</v>
      </c>
    </row>
    <row r="1252" spans="1:11" ht="12.5" x14ac:dyDescent="0.25">
      <c r="A1252" s="30" t="s">
        <v>6513</v>
      </c>
      <c r="B1252" s="30" t="s">
        <v>6512</v>
      </c>
      <c r="C1252" s="32">
        <v>14.26</v>
      </c>
      <c r="D1252" s="30">
        <v>0.35</v>
      </c>
      <c r="E1252" s="31">
        <v>2.5159999999999998E-2</v>
      </c>
      <c r="F1252" s="30">
        <v>291919455</v>
      </c>
      <c r="G1252" s="30" t="s">
        <v>5427</v>
      </c>
      <c r="H1252" s="30"/>
      <c r="I1252" s="30">
        <v>76867</v>
      </c>
      <c r="J1252" s="30"/>
      <c r="K1252" s="30"/>
    </row>
    <row r="1253" spans="1:11" ht="12.5" x14ac:dyDescent="0.25">
      <c r="A1253" s="30" t="s">
        <v>6511</v>
      </c>
      <c r="B1253" s="30" t="s">
        <v>6510</v>
      </c>
      <c r="C1253" s="32">
        <v>142.15</v>
      </c>
      <c r="D1253" s="30">
        <v>-0.55000000000000004</v>
      </c>
      <c r="E1253" s="31">
        <v>-3.8500000000000001E-3</v>
      </c>
      <c r="F1253" s="30">
        <v>13153776332</v>
      </c>
      <c r="G1253" s="30" t="s">
        <v>5427</v>
      </c>
      <c r="H1253" s="30">
        <v>2000</v>
      </c>
      <c r="I1253" s="30">
        <v>897911</v>
      </c>
      <c r="J1253" s="30" t="s">
        <v>6250</v>
      </c>
      <c r="K1253" s="30" t="s">
        <v>6167</v>
      </c>
    </row>
    <row r="1254" spans="1:11" ht="12.5" x14ac:dyDescent="0.25">
      <c r="A1254" s="30" t="s">
        <v>6509</v>
      </c>
      <c r="B1254" s="30" t="s">
        <v>6508</v>
      </c>
      <c r="C1254" s="32">
        <v>139.27000000000001</v>
      </c>
      <c r="D1254" s="30">
        <v>1.74</v>
      </c>
      <c r="E1254" s="31">
        <v>1.265E-2</v>
      </c>
      <c r="F1254" s="30">
        <v>17592018178</v>
      </c>
      <c r="G1254" s="30" t="s">
        <v>5427</v>
      </c>
      <c r="H1254" s="30"/>
      <c r="I1254" s="30">
        <v>1238224</v>
      </c>
      <c r="J1254" s="30" t="s">
        <v>5431</v>
      </c>
      <c r="K1254" s="30" t="s">
        <v>5610</v>
      </c>
    </row>
    <row r="1255" spans="1:11" ht="12.5" x14ac:dyDescent="0.25">
      <c r="A1255" s="30" t="s">
        <v>6507</v>
      </c>
      <c r="B1255" s="30" t="s">
        <v>6506</v>
      </c>
      <c r="C1255" s="32">
        <v>63.02</v>
      </c>
      <c r="D1255" s="30">
        <v>1.1100000000000001</v>
      </c>
      <c r="E1255" s="31">
        <v>1.7930000000000001E-2</v>
      </c>
      <c r="F1255" s="30">
        <v>19111445200</v>
      </c>
      <c r="G1255" s="30" t="s">
        <v>5583</v>
      </c>
      <c r="H1255" s="30">
        <v>1994</v>
      </c>
      <c r="I1255" s="30">
        <v>131271</v>
      </c>
      <c r="J1255" s="30" t="s">
        <v>5457</v>
      </c>
      <c r="K1255" s="30" t="s">
        <v>5472</v>
      </c>
    </row>
    <row r="1256" spans="1:11" ht="12.5" x14ac:dyDescent="0.25">
      <c r="A1256" s="30" t="s">
        <v>6505</v>
      </c>
      <c r="B1256" s="30" t="s">
        <v>6504</v>
      </c>
      <c r="C1256" s="32">
        <v>130.9</v>
      </c>
      <c r="D1256" s="30">
        <v>1.62</v>
      </c>
      <c r="E1256" s="31">
        <v>1.2529999999999999E-2</v>
      </c>
      <c r="F1256" s="30">
        <v>120830985729</v>
      </c>
      <c r="G1256" s="30" t="s">
        <v>5427</v>
      </c>
      <c r="H1256" s="30"/>
      <c r="I1256" s="30">
        <v>2845289</v>
      </c>
      <c r="J1256" s="30" t="s">
        <v>5197</v>
      </c>
      <c r="K1256" s="30" t="s">
        <v>5467</v>
      </c>
    </row>
    <row r="1257" spans="1:11" ht="12.5" x14ac:dyDescent="0.25">
      <c r="A1257" s="30" t="s">
        <v>6503</v>
      </c>
      <c r="B1257" s="30" t="s">
        <v>6502</v>
      </c>
      <c r="C1257" s="32">
        <v>83.8</v>
      </c>
      <c r="D1257" s="30">
        <v>-0.85</v>
      </c>
      <c r="E1257" s="31">
        <v>-1.004E-2</v>
      </c>
      <c r="F1257" s="30">
        <v>6990235576</v>
      </c>
      <c r="G1257" s="30" t="s">
        <v>5427</v>
      </c>
      <c r="H1257" s="30">
        <v>2015</v>
      </c>
      <c r="I1257" s="30">
        <v>543739</v>
      </c>
      <c r="J1257" s="30" t="s">
        <v>5442</v>
      </c>
      <c r="K1257" s="30" t="s">
        <v>5914</v>
      </c>
    </row>
    <row r="1258" spans="1:11" ht="12.5" x14ac:dyDescent="0.25">
      <c r="A1258" s="30" t="s">
        <v>6501</v>
      </c>
      <c r="B1258" s="30" t="s">
        <v>6500</v>
      </c>
      <c r="C1258" s="32">
        <v>40.799999999999997</v>
      </c>
      <c r="D1258" s="30">
        <v>0.39</v>
      </c>
      <c r="E1258" s="31">
        <v>9.6500000000000006E-3</v>
      </c>
      <c r="F1258" s="30">
        <v>933781154</v>
      </c>
      <c r="G1258" s="30" t="s">
        <v>5427</v>
      </c>
      <c r="H1258" s="30">
        <v>2010</v>
      </c>
      <c r="I1258" s="30">
        <v>64937</v>
      </c>
      <c r="J1258" s="30" t="s">
        <v>5457</v>
      </c>
      <c r="K1258" s="30" t="s">
        <v>5460</v>
      </c>
    </row>
    <row r="1259" spans="1:11" ht="12.5" x14ac:dyDescent="0.25">
      <c r="A1259" s="30" t="s">
        <v>6499</v>
      </c>
      <c r="B1259" s="30" t="s">
        <v>6498</v>
      </c>
      <c r="C1259" s="32">
        <v>22.15</v>
      </c>
      <c r="D1259" s="30">
        <v>-0.23</v>
      </c>
      <c r="E1259" s="31">
        <v>-1.0279999999999999E-2</v>
      </c>
      <c r="F1259" s="30">
        <v>949116181</v>
      </c>
      <c r="G1259" s="30" t="s">
        <v>5427</v>
      </c>
      <c r="H1259" s="30">
        <v>2017</v>
      </c>
      <c r="I1259" s="30">
        <v>374053</v>
      </c>
      <c r="J1259" s="30" t="s">
        <v>5197</v>
      </c>
      <c r="K1259" s="30" t="s">
        <v>5467</v>
      </c>
    </row>
    <row r="1260" spans="1:11" ht="12.5" x14ac:dyDescent="0.25">
      <c r="A1260" s="30" t="s">
        <v>6497</v>
      </c>
      <c r="B1260" s="30" t="s">
        <v>6496</v>
      </c>
      <c r="C1260" s="32">
        <v>105.39</v>
      </c>
      <c r="D1260" s="30">
        <v>1.1499999999999999</v>
      </c>
      <c r="E1260" s="31">
        <v>1.103E-2</v>
      </c>
      <c r="F1260" s="30">
        <v>163375820924</v>
      </c>
      <c r="G1260" s="30" t="s">
        <v>5427</v>
      </c>
      <c r="H1260" s="30"/>
      <c r="I1260" s="30">
        <v>3791686</v>
      </c>
      <c r="J1260" s="30" t="s">
        <v>5431</v>
      </c>
      <c r="K1260" s="30" t="s">
        <v>5685</v>
      </c>
    </row>
    <row r="1261" spans="1:11" ht="12.5" x14ac:dyDescent="0.25">
      <c r="A1261" s="30" t="s">
        <v>6495</v>
      </c>
      <c r="B1261" s="30" t="s">
        <v>6494</v>
      </c>
      <c r="C1261" s="32">
        <v>10.85</v>
      </c>
      <c r="D1261" s="30">
        <v>0.17</v>
      </c>
      <c r="E1261" s="31">
        <v>1.592E-2</v>
      </c>
      <c r="F1261" s="30">
        <v>283454481</v>
      </c>
      <c r="G1261" s="30" t="s">
        <v>5427</v>
      </c>
      <c r="H1261" s="30">
        <v>2001</v>
      </c>
      <c r="I1261" s="30">
        <v>61761</v>
      </c>
      <c r="J1261" s="30" t="s">
        <v>5435</v>
      </c>
      <c r="K1261" s="30" t="s">
        <v>5985</v>
      </c>
    </row>
    <row r="1262" spans="1:11" ht="12.5" x14ac:dyDescent="0.25">
      <c r="A1262" s="30" t="s">
        <v>6493</v>
      </c>
      <c r="B1262" s="30" t="s">
        <v>6492</v>
      </c>
      <c r="C1262" s="32">
        <v>9.64</v>
      </c>
      <c r="D1262" s="30">
        <v>0.08</v>
      </c>
      <c r="E1262" s="31">
        <v>8.3700000000000007E-3</v>
      </c>
      <c r="F1262" s="30">
        <v>619224581</v>
      </c>
      <c r="G1262" s="30" t="s">
        <v>5427</v>
      </c>
      <c r="H1262" s="30">
        <v>2002</v>
      </c>
      <c r="I1262" s="30">
        <v>203035</v>
      </c>
      <c r="J1262" s="30" t="s">
        <v>5435</v>
      </c>
      <c r="K1262" s="30" t="s">
        <v>5434</v>
      </c>
    </row>
    <row r="1263" spans="1:11" ht="12.5" x14ac:dyDescent="0.25">
      <c r="A1263" s="30" t="s">
        <v>6491</v>
      </c>
      <c r="B1263" s="30" t="s">
        <v>6490</v>
      </c>
      <c r="C1263" s="32">
        <v>6.91</v>
      </c>
      <c r="D1263" s="30">
        <v>0.03</v>
      </c>
      <c r="E1263" s="31">
        <v>4.3600000000000002E-3</v>
      </c>
      <c r="F1263" s="30">
        <v>336785170</v>
      </c>
      <c r="G1263" s="30" t="s">
        <v>5427</v>
      </c>
      <c r="H1263" s="30">
        <v>1989</v>
      </c>
      <c r="I1263" s="30">
        <v>97120</v>
      </c>
      <c r="J1263" s="30" t="s">
        <v>5435</v>
      </c>
      <c r="K1263" s="30" t="s">
        <v>5434</v>
      </c>
    </row>
    <row r="1264" spans="1:11" ht="12.5" x14ac:dyDescent="0.25">
      <c r="A1264" s="30" t="s">
        <v>6489</v>
      </c>
      <c r="B1264" s="30" t="s">
        <v>6488</v>
      </c>
      <c r="C1264" s="32">
        <v>11.87</v>
      </c>
      <c r="D1264" s="30">
        <v>-0.04</v>
      </c>
      <c r="E1264" s="31">
        <v>-3.3600000000000001E-3</v>
      </c>
      <c r="F1264" s="30">
        <v>403361200</v>
      </c>
      <c r="G1264" s="30" t="s">
        <v>5427</v>
      </c>
      <c r="H1264" s="30">
        <v>1993</v>
      </c>
      <c r="I1264" s="30">
        <v>55725</v>
      </c>
      <c r="J1264" s="30" t="s">
        <v>5435</v>
      </c>
      <c r="K1264" s="30" t="s">
        <v>5563</v>
      </c>
    </row>
    <row r="1265" spans="1:11" ht="12.5" x14ac:dyDescent="0.25">
      <c r="A1265" s="30" t="s">
        <v>6487</v>
      </c>
      <c r="B1265" s="30" t="s">
        <v>6486</v>
      </c>
      <c r="C1265" s="32">
        <v>15.4</v>
      </c>
      <c r="D1265" s="30">
        <v>0.15</v>
      </c>
      <c r="E1265" s="31">
        <v>9.8399999999999998E-3</v>
      </c>
      <c r="F1265" s="30">
        <v>1369498453</v>
      </c>
      <c r="G1265" s="30" t="s">
        <v>5427</v>
      </c>
      <c r="H1265" s="30">
        <v>2009</v>
      </c>
      <c r="I1265" s="30">
        <v>850222</v>
      </c>
      <c r="J1265" s="30" t="s">
        <v>5197</v>
      </c>
      <c r="K1265" s="30" t="s">
        <v>5467</v>
      </c>
    </row>
    <row r="1266" spans="1:11" ht="12.5" x14ac:dyDescent="0.25">
      <c r="A1266" s="30" t="s">
        <v>6485</v>
      </c>
      <c r="B1266" s="30" t="s">
        <v>6484</v>
      </c>
      <c r="C1266" s="32">
        <v>8.67</v>
      </c>
      <c r="D1266" s="30">
        <v>-0.02</v>
      </c>
      <c r="E1266" s="31">
        <v>-2.3E-3</v>
      </c>
      <c r="F1266" s="30">
        <v>289218880</v>
      </c>
      <c r="G1266" s="30" t="s">
        <v>5427</v>
      </c>
      <c r="H1266" s="30">
        <v>2002</v>
      </c>
      <c r="I1266" s="30">
        <v>104066</v>
      </c>
      <c r="J1266" s="30" t="s">
        <v>5435</v>
      </c>
      <c r="K1266" s="30" t="s">
        <v>5568</v>
      </c>
    </row>
    <row r="1267" spans="1:11" ht="12.5" x14ac:dyDescent="0.25">
      <c r="A1267" s="30" t="s">
        <v>6483</v>
      </c>
      <c r="B1267" s="30" t="s">
        <v>6482</v>
      </c>
      <c r="C1267" s="32">
        <v>164.79</v>
      </c>
      <c r="D1267" s="30">
        <v>-0.64</v>
      </c>
      <c r="E1267" s="31">
        <v>-3.8700000000000002E-3</v>
      </c>
      <c r="F1267" s="30">
        <v>66080790000</v>
      </c>
      <c r="G1267" s="30" t="s">
        <v>5427</v>
      </c>
      <c r="H1267" s="30"/>
      <c r="I1267" s="30">
        <v>1844228</v>
      </c>
      <c r="J1267" s="30" t="s">
        <v>5435</v>
      </c>
      <c r="K1267" s="30" t="s">
        <v>5579</v>
      </c>
    </row>
    <row r="1268" spans="1:11" ht="12.5" x14ac:dyDescent="0.25">
      <c r="A1268" s="30" t="s">
        <v>6481</v>
      </c>
      <c r="B1268" s="30" t="s">
        <v>6480</v>
      </c>
      <c r="C1268" s="32">
        <v>9.74</v>
      </c>
      <c r="D1268" s="30">
        <v>0.03</v>
      </c>
      <c r="E1268" s="31">
        <v>3.0899999999999999E-3</v>
      </c>
      <c r="F1268" s="30">
        <v>76555738</v>
      </c>
      <c r="G1268" s="30" t="s">
        <v>5427</v>
      </c>
      <c r="H1268" s="30">
        <v>2001</v>
      </c>
      <c r="I1268" s="30">
        <v>25166</v>
      </c>
      <c r="J1268" s="30" t="s">
        <v>5435</v>
      </c>
      <c r="K1268" s="30" t="s">
        <v>5563</v>
      </c>
    </row>
    <row r="1269" spans="1:11" ht="12.5" x14ac:dyDescent="0.25">
      <c r="A1269" s="30" t="s">
        <v>6479</v>
      </c>
      <c r="B1269" s="30" t="s">
        <v>6478</v>
      </c>
      <c r="C1269" s="32">
        <v>8.2899999999999991</v>
      </c>
      <c r="D1269" s="30">
        <v>0.05</v>
      </c>
      <c r="E1269" s="31">
        <v>6.0699999999999999E-3</v>
      </c>
      <c r="F1269" s="30">
        <v>92923820</v>
      </c>
      <c r="G1269" s="30" t="s">
        <v>5427</v>
      </c>
      <c r="H1269" s="30">
        <v>2002</v>
      </c>
      <c r="I1269" s="30">
        <v>18642</v>
      </c>
      <c r="J1269" s="30" t="s">
        <v>5435</v>
      </c>
      <c r="K1269" s="30" t="s">
        <v>5568</v>
      </c>
    </row>
    <row r="1270" spans="1:11" ht="12.5" x14ac:dyDescent="0.25">
      <c r="A1270" s="30" t="s">
        <v>6477</v>
      </c>
      <c r="B1270" s="30" t="s">
        <v>6476</v>
      </c>
      <c r="C1270" s="32">
        <v>49.25</v>
      </c>
      <c r="D1270" s="30">
        <v>-0.23</v>
      </c>
      <c r="E1270" s="31">
        <v>-4.6499999999999996E-3</v>
      </c>
      <c r="F1270" s="30">
        <v>4227367545</v>
      </c>
      <c r="G1270" s="30" t="s">
        <v>5427</v>
      </c>
      <c r="H1270" s="30"/>
      <c r="I1270" s="30">
        <v>1376018</v>
      </c>
      <c r="J1270" s="30" t="s">
        <v>5426</v>
      </c>
      <c r="K1270" s="30" t="s">
        <v>6000</v>
      </c>
    </row>
    <row r="1271" spans="1:11" ht="12.5" x14ac:dyDescent="0.25">
      <c r="A1271" s="30" t="s">
        <v>6475</v>
      </c>
      <c r="B1271" s="30" t="s">
        <v>6474</v>
      </c>
      <c r="C1271" s="32">
        <v>6</v>
      </c>
      <c r="D1271" s="30">
        <v>0.06</v>
      </c>
      <c r="E1271" s="31">
        <v>1.01E-2</v>
      </c>
      <c r="F1271" s="30">
        <v>391347000</v>
      </c>
      <c r="G1271" s="30" t="s">
        <v>5427</v>
      </c>
      <c r="H1271" s="30">
        <v>2022</v>
      </c>
      <c r="I1271" s="30">
        <v>204727</v>
      </c>
      <c r="J1271" s="30" t="s">
        <v>5435</v>
      </c>
      <c r="K1271" s="30" t="s">
        <v>5985</v>
      </c>
    </row>
    <row r="1272" spans="1:11" ht="12.5" x14ac:dyDescent="0.25">
      <c r="A1272" s="30" t="s">
        <v>6473</v>
      </c>
      <c r="B1272" s="30" t="s">
        <v>6472</v>
      </c>
      <c r="C1272" s="32">
        <v>57.62</v>
      </c>
      <c r="D1272" s="30">
        <v>2.2400000000000002</v>
      </c>
      <c r="E1272" s="31">
        <v>4.045E-2</v>
      </c>
      <c r="F1272" s="30">
        <v>9478395157</v>
      </c>
      <c r="G1272" s="30" t="s">
        <v>5799</v>
      </c>
      <c r="H1272" s="30"/>
      <c r="I1272" s="30">
        <v>3155687</v>
      </c>
      <c r="J1272" s="30" t="s">
        <v>5457</v>
      </c>
      <c r="K1272" s="30" t="s">
        <v>5456</v>
      </c>
    </row>
    <row r="1273" spans="1:11" ht="12.5" x14ac:dyDescent="0.25">
      <c r="A1273" s="30" t="s">
        <v>6471</v>
      </c>
      <c r="B1273" s="30" t="s">
        <v>6470</v>
      </c>
      <c r="C1273" s="32">
        <v>76.53</v>
      </c>
      <c r="D1273" s="30">
        <v>1.98</v>
      </c>
      <c r="E1273" s="31">
        <v>2.656E-2</v>
      </c>
      <c r="F1273" s="30">
        <v>8658619736</v>
      </c>
      <c r="G1273" s="30" t="s">
        <v>5427</v>
      </c>
      <c r="H1273" s="30"/>
      <c r="I1273" s="30">
        <v>1761703</v>
      </c>
      <c r="J1273" s="30" t="s">
        <v>5426</v>
      </c>
      <c r="K1273" s="30" t="s">
        <v>6000</v>
      </c>
    </row>
    <row r="1274" spans="1:11" ht="12.5" x14ac:dyDescent="0.25">
      <c r="A1274" s="30" t="s">
        <v>6469</v>
      </c>
      <c r="B1274" s="30" t="s">
        <v>6468</v>
      </c>
      <c r="C1274" s="32">
        <v>48</v>
      </c>
      <c r="D1274" s="30">
        <v>0.42</v>
      </c>
      <c r="E1274" s="31">
        <v>8.8299999999999993E-3</v>
      </c>
      <c r="F1274" s="30">
        <v>4842619392</v>
      </c>
      <c r="G1274" s="30" t="s">
        <v>5427</v>
      </c>
      <c r="H1274" s="30"/>
      <c r="I1274" s="30">
        <v>924886</v>
      </c>
      <c r="J1274" s="30" t="s">
        <v>5426</v>
      </c>
      <c r="K1274" s="30" t="s">
        <v>6000</v>
      </c>
    </row>
    <row r="1275" spans="1:11" ht="12.5" x14ac:dyDescent="0.25">
      <c r="A1275" s="30" t="s">
        <v>6467</v>
      </c>
      <c r="B1275" s="30" t="s">
        <v>6466</v>
      </c>
      <c r="C1275" s="32">
        <v>95.16</v>
      </c>
      <c r="D1275" s="30">
        <v>0.21</v>
      </c>
      <c r="E1275" s="31">
        <v>2.2100000000000002E-3</v>
      </c>
      <c r="F1275" s="30">
        <v>5590232628</v>
      </c>
      <c r="G1275" s="30" t="s">
        <v>5427</v>
      </c>
      <c r="H1275" s="30">
        <v>2012</v>
      </c>
      <c r="I1275" s="30">
        <v>526156</v>
      </c>
      <c r="J1275" s="30" t="s">
        <v>5442</v>
      </c>
      <c r="K1275" s="30" t="s">
        <v>5735</v>
      </c>
    </row>
    <row r="1276" spans="1:11" ht="12.5" x14ac:dyDescent="0.25">
      <c r="A1276" s="30" t="s">
        <v>6465</v>
      </c>
      <c r="B1276" s="30" t="s">
        <v>6464</v>
      </c>
      <c r="C1276" s="32">
        <v>132.01</v>
      </c>
      <c r="D1276" s="30">
        <v>1.67</v>
      </c>
      <c r="E1276" s="31">
        <v>1.281E-2</v>
      </c>
      <c r="F1276" s="30">
        <v>31025966282</v>
      </c>
      <c r="G1276" s="30" t="s">
        <v>5427</v>
      </c>
      <c r="H1276" s="30"/>
      <c r="I1276" s="30">
        <v>1661331</v>
      </c>
      <c r="J1276" s="30" t="s">
        <v>5442</v>
      </c>
      <c r="K1276" s="30" t="s">
        <v>6204</v>
      </c>
    </row>
    <row r="1277" spans="1:11" ht="12.5" x14ac:dyDescent="0.25">
      <c r="A1277" s="30" t="s">
        <v>6463</v>
      </c>
      <c r="B1277" s="30" t="s">
        <v>6462</v>
      </c>
      <c r="C1277" s="32">
        <v>29.61</v>
      </c>
      <c r="D1277" s="30">
        <v>0.01</v>
      </c>
      <c r="E1277" s="31">
        <v>3.4000000000000002E-4</v>
      </c>
      <c r="F1277" s="30">
        <v>21802384389</v>
      </c>
      <c r="G1277" s="30" t="s">
        <v>5427</v>
      </c>
      <c r="H1277" s="30"/>
      <c r="I1277" s="30">
        <v>7074320</v>
      </c>
      <c r="J1277" s="30" t="s">
        <v>5426</v>
      </c>
      <c r="K1277" s="30" t="s">
        <v>6000</v>
      </c>
    </row>
    <row r="1278" spans="1:11" ht="12.5" x14ac:dyDescent="0.25">
      <c r="A1278" s="30" t="s">
        <v>6461</v>
      </c>
      <c r="B1278" s="30" t="s">
        <v>6460</v>
      </c>
      <c r="C1278" s="32">
        <v>3.82</v>
      </c>
      <c r="D1278" s="30">
        <v>0</v>
      </c>
      <c r="E1278" s="31">
        <v>0</v>
      </c>
      <c r="F1278" s="30">
        <v>380197965</v>
      </c>
      <c r="G1278" s="30" t="s">
        <v>5427</v>
      </c>
      <c r="H1278" s="30">
        <v>1988</v>
      </c>
      <c r="I1278" s="30">
        <v>178382</v>
      </c>
      <c r="J1278" s="30" t="s">
        <v>5435</v>
      </c>
      <c r="K1278" s="30" t="s">
        <v>5563</v>
      </c>
    </row>
    <row r="1279" spans="1:11" ht="12.5" x14ac:dyDescent="0.25">
      <c r="A1279" s="30" t="s">
        <v>6459</v>
      </c>
      <c r="B1279" s="30" t="s">
        <v>6458</v>
      </c>
      <c r="C1279" s="32">
        <v>10.64</v>
      </c>
      <c r="D1279" s="30">
        <v>-0.23</v>
      </c>
      <c r="E1279" s="31">
        <v>-2.1160000000000002E-2</v>
      </c>
      <c r="F1279" s="30">
        <v>3069645735</v>
      </c>
      <c r="G1279" s="30" t="s">
        <v>5427</v>
      </c>
      <c r="H1279" s="30">
        <v>2022</v>
      </c>
      <c r="I1279" s="30">
        <v>9255499</v>
      </c>
      <c r="J1279" s="30" t="s">
        <v>5464</v>
      </c>
      <c r="K1279" s="30" t="s">
        <v>5463</v>
      </c>
    </row>
    <row r="1280" spans="1:11" ht="12.5" x14ac:dyDescent="0.25">
      <c r="A1280" s="30" t="s">
        <v>6457</v>
      </c>
      <c r="B1280" s="30" t="s">
        <v>6456</v>
      </c>
      <c r="C1280" s="32">
        <v>19.55</v>
      </c>
      <c r="D1280" s="30">
        <v>0.16</v>
      </c>
      <c r="E1280" s="31">
        <v>8.2500000000000004E-3</v>
      </c>
      <c r="F1280" s="30">
        <v>1054987520</v>
      </c>
      <c r="G1280" s="30" t="s">
        <v>5427</v>
      </c>
      <c r="H1280" s="30"/>
      <c r="I1280" s="30">
        <v>273377</v>
      </c>
      <c r="J1280" s="30" t="s">
        <v>5435</v>
      </c>
      <c r="K1280" s="30" t="s">
        <v>5493</v>
      </c>
    </row>
    <row r="1281" spans="1:11" ht="12.5" x14ac:dyDescent="0.25">
      <c r="A1281" s="30" t="s">
        <v>6455</v>
      </c>
      <c r="B1281" s="30" t="s">
        <v>6454</v>
      </c>
      <c r="C1281" s="32">
        <v>23.15</v>
      </c>
      <c r="D1281" s="30">
        <v>0.86</v>
      </c>
      <c r="E1281" s="31">
        <v>3.8580000000000003E-2</v>
      </c>
      <c r="F1281" s="30">
        <v>1158255616</v>
      </c>
      <c r="G1281" s="30" t="s">
        <v>5427</v>
      </c>
      <c r="H1281" s="30"/>
      <c r="I1281" s="30">
        <v>562175</v>
      </c>
      <c r="J1281" s="30" t="s">
        <v>5442</v>
      </c>
      <c r="K1281" s="30" t="s">
        <v>5746</v>
      </c>
    </row>
    <row r="1282" spans="1:11" ht="12.5" x14ac:dyDescent="0.25">
      <c r="A1282" s="30" t="s">
        <v>6453</v>
      </c>
      <c r="B1282" s="30" t="s">
        <v>6452</v>
      </c>
      <c r="C1282" s="32">
        <v>37.72</v>
      </c>
      <c r="D1282" s="30">
        <v>0.3</v>
      </c>
      <c r="E1282" s="31">
        <v>8.0199999999999994E-3</v>
      </c>
      <c r="F1282" s="30">
        <v>5078611219</v>
      </c>
      <c r="G1282" s="30" t="s">
        <v>5427</v>
      </c>
      <c r="H1282" s="30"/>
      <c r="I1282" s="30">
        <v>679660</v>
      </c>
      <c r="J1282" s="30" t="s">
        <v>5431</v>
      </c>
      <c r="K1282" s="30" t="s">
        <v>5430</v>
      </c>
    </row>
    <row r="1283" spans="1:11" ht="12.5" x14ac:dyDescent="0.25">
      <c r="A1283" s="30" t="s">
        <v>6451</v>
      </c>
      <c r="B1283" s="30" t="s">
        <v>6450</v>
      </c>
      <c r="C1283" s="32">
        <v>162.57</v>
      </c>
      <c r="D1283" s="30">
        <v>0.82</v>
      </c>
      <c r="E1283" s="31">
        <v>5.0699999999999999E-3</v>
      </c>
      <c r="F1283" s="30">
        <v>5998535497</v>
      </c>
      <c r="G1283" s="30" t="s">
        <v>5427</v>
      </c>
      <c r="H1283" s="30">
        <v>2010</v>
      </c>
      <c r="I1283" s="30">
        <v>183278</v>
      </c>
      <c r="J1283" s="30" t="s">
        <v>5435</v>
      </c>
      <c r="K1283" s="30" t="s">
        <v>6352</v>
      </c>
    </row>
    <row r="1284" spans="1:11" ht="12.5" x14ac:dyDescent="0.25">
      <c r="A1284" s="30" t="s">
        <v>6449</v>
      </c>
      <c r="B1284" s="30" t="s">
        <v>6448</v>
      </c>
      <c r="C1284" s="32">
        <v>30.89</v>
      </c>
      <c r="D1284" s="30">
        <v>0.28999999999999998</v>
      </c>
      <c r="E1284" s="31">
        <v>9.4800000000000006E-3</v>
      </c>
      <c r="F1284" s="30">
        <v>837640763</v>
      </c>
      <c r="G1284" s="30" t="s">
        <v>5427</v>
      </c>
      <c r="H1284" s="30">
        <v>2012</v>
      </c>
      <c r="I1284" s="30">
        <v>282655</v>
      </c>
      <c r="J1284" s="30" t="s">
        <v>5457</v>
      </c>
      <c r="K1284" s="30" t="s">
        <v>5487</v>
      </c>
    </row>
    <row r="1285" spans="1:11" ht="12.5" x14ac:dyDescent="0.25">
      <c r="A1285" s="30" t="s">
        <v>6447</v>
      </c>
      <c r="B1285" s="30" t="s">
        <v>6446</v>
      </c>
      <c r="C1285" s="32">
        <v>15.68</v>
      </c>
      <c r="D1285" s="30">
        <v>0.03</v>
      </c>
      <c r="E1285" s="31">
        <v>1.92E-3</v>
      </c>
      <c r="F1285" s="30">
        <v>2505482143</v>
      </c>
      <c r="G1285" s="30" t="s">
        <v>5515</v>
      </c>
      <c r="H1285" s="30"/>
      <c r="I1285" s="30">
        <v>956494</v>
      </c>
      <c r="J1285" s="30" t="s">
        <v>5541</v>
      </c>
      <c r="K1285" s="30" t="s">
        <v>5774</v>
      </c>
    </row>
    <row r="1286" spans="1:11" ht="12.5" x14ac:dyDescent="0.25">
      <c r="A1286" s="30" t="s">
        <v>6445</v>
      </c>
      <c r="B1286" s="30" t="s">
        <v>6444</v>
      </c>
      <c r="C1286" s="32">
        <v>26.42</v>
      </c>
      <c r="D1286" s="30">
        <v>1.22</v>
      </c>
      <c r="E1286" s="31">
        <v>4.8410000000000002E-2</v>
      </c>
      <c r="F1286" s="30">
        <v>1197410014</v>
      </c>
      <c r="G1286" s="30" t="s">
        <v>5427</v>
      </c>
      <c r="H1286" s="30">
        <v>2007</v>
      </c>
      <c r="I1286" s="30">
        <v>187263</v>
      </c>
      <c r="J1286" s="30" t="s">
        <v>5219</v>
      </c>
      <c r="K1286" s="30" t="s">
        <v>5447</v>
      </c>
    </row>
    <row r="1287" spans="1:11" ht="12.5" x14ac:dyDescent="0.25">
      <c r="A1287" s="30" t="s">
        <v>6443</v>
      </c>
      <c r="B1287" s="30" t="s">
        <v>6442</v>
      </c>
      <c r="C1287" s="32">
        <v>25</v>
      </c>
      <c r="D1287" s="30">
        <v>-0.04</v>
      </c>
      <c r="E1287" s="31">
        <v>-1.6000000000000001E-3</v>
      </c>
      <c r="F1287" s="30">
        <v>851539175</v>
      </c>
      <c r="G1287" s="30" t="s">
        <v>5427</v>
      </c>
      <c r="H1287" s="30">
        <v>2018</v>
      </c>
      <c r="I1287" s="30">
        <v>35722</v>
      </c>
      <c r="J1287" s="30" t="s">
        <v>5435</v>
      </c>
      <c r="K1287" s="30" t="s">
        <v>6352</v>
      </c>
    </row>
    <row r="1288" spans="1:11" ht="12.5" x14ac:dyDescent="0.25">
      <c r="A1288" s="30" t="s">
        <v>6441</v>
      </c>
      <c r="B1288" s="30" t="s">
        <v>6440</v>
      </c>
      <c r="C1288" s="32">
        <v>7.51</v>
      </c>
      <c r="D1288" s="30">
        <v>-0.15</v>
      </c>
      <c r="E1288" s="31">
        <v>-1.958E-2</v>
      </c>
      <c r="F1288" s="30">
        <v>91364647</v>
      </c>
      <c r="G1288" s="30" t="s">
        <v>5427</v>
      </c>
      <c r="H1288" s="30">
        <v>2018</v>
      </c>
      <c r="I1288" s="30">
        <v>99710</v>
      </c>
      <c r="J1288" s="30" t="s">
        <v>5464</v>
      </c>
      <c r="K1288" s="30" t="s">
        <v>5463</v>
      </c>
    </row>
    <row r="1289" spans="1:11" ht="12.5" x14ac:dyDescent="0.25">
      <c r="A1289" s="30" t="s">
        <v>6439</v>
      </c>
      <c r="B1289" s="30" t="s">
        <v>6438</v>
      </c>
      <c r="C1289" s="32">
        <v>104.26</v>
      </c>
      <c r="D1289" s="30">
        <v>-0.68</v>
      </c>
      <c r="E1289" s="31">
        <v>-6.4799999999999996E-3</v>
      </c>
      <c r="F1289" s="30">
        <v>38367680000</v>
      </c>
      <c r="G1289" s="30" t="s">
        <v>5427</v>
      </c>
      <c r="H1289" s="30">
        <v>2001</v>
      </c>
      <c r="I1289" s="30">
        <v>1412076</v>
      </c>
      <c r="J1289" s="30" t="s">
        <v>5435</v>
      </c>
      <c r="K1289" s="30" t="s">
        <v>6352</v>
      </c>
    </row>
    <row r="1290" spans="1:11" ht="12.5" x14ac:dyDescent="0.25">
      <c r="A1290" s="30" t="s">
        <v>6437</v>
      </c>
      <c r="B1290" s="30" t="s">
        <v>6436</v>
      </c>
      <c r="C1290" s="32">
        <v>305.94</v>
      </c>
      <c r="D1290" s="30">
        <v>1.6</v>
      </c>
      <c r="E1290" s="31">
        <v>5.2599999999999999E-3</v>
      </c>
      <c r="F1290" s="30">
        <v>53734808425</v>
      </c>
      <c r="G1290" s="30" t="s">
        <v>5427</v>
      </c>
      <c r="H1290" s="30"/>
      <c r="I1290" s="30">
        <v>680826</v>
      </c>
      <c r="J1290" s="30" t="s">
        <v>5197</v>
      </c>
      <c r="K1290" s="30" t="s">
        <v>5467</v>
      </c>
    </row>
    <row r="1291" spans="1:11" ht="12.5" x14ac:dyDescent="0.25">
      <c r="A1291" s="30" t="s">
        <v>6435</v>
      </c>
      <c r="B1291" s="30" t="s">
        <v>6434</v>
      </c>
      <c r="C1291" s="32">
        <v>11.24</v>
      </c>
      <c r="D1291" s="30">
        <v>-0.06</v>
      </c>
      <c r="E1291" s="31">
        <v>-5.3099999999999996E-3</v>
      </c>
      <c r="F1291" s="30">
        <v>8044841629</v>
      </c>
      <c r="G1291" s="30" t="s">
        <v>5775</v>
      </c>
      <c r="H1291" s="30"/>
      <c r="I1291" s="30">
        <v>2616051</v>
      </c>
      <c r="J1291" s="30" t="s">
        <v>5442</v>
      </c>
      <c r="K1291" s="30" t="s">
        <v>5551</v>
      </c>
    </row>
    <row r="1292" spans="1:11" ht="12.5" x14ac:dyDescent="0.25">
      <c r="A1292" s="30" t="s">
        <v>6433</v>
      </c>
      <c r="B1292" s="30" t="s">
        <v>6432</v>
      </c>
      <c r="C1292" s="32">
        <v>97.99</v>
      </c>
      <c r="D1292" s="30">
        <v>-2.2799999999999998</v>
      </c>
      <c r="E1292" s="31">
        <v>-2.274E-2</v>
      </c>
      <c r="F1292" s="30">
        <v>46313230552</v>
      </c>
      <c r="G1292" s="30" t="s">
        <v>5427</v>
      </c>
      <c r="H1292" s="30"/>
      <c r="I1292" s="30">
        <v>4465128</v>
      </c>
      <c r="J1292" s="30" t="s">
        <v>5464</v>
      </c>
      <c r="K1292" s="30" t="s">
        <v>5674</v>
      </c>
    </row>
    <row r="1293" spans="1:11" ht="12.5" x14ac:dyDescent="0.25">
      <c r="A1293" s="30" t="s">
        <v>6431</v>
      </c>
      <c r="B1293" s="30" t="s">
        <v>6430</v>
      </c>
      <c r="C1293" s="32">
        <v>13.87</v>
      </c>
      <c r="D1293" s="30">
        <v>0.12</v>
      </c>
      <c r="E1293" s="31">
        <v>8.7299999999999999E-3</v>
      </c>
      <c r="F1293" s="30">
        <v>1684761160</v>
      </c>
      <c r="G1293" s="30" t="s">
        <v>5427</v>
      </c>
      <c r="H1293" s="30">
        <v>2002</v>
      </c>
      <c r="I1293" s="30">
        <v>575850</v>
      </c>
      <c r="J1293" s="30" t="s">
        <v>5435</v>
      </c>
      <c r="K1293" s="30" t="s">
        <v>5434</v>
      </c>
    </row>
    <row r="1294" spans="1:11" ht="12.5" x14ac:dyDescent="0.25">
      <c r="A1294" s="30" t="s">
        <v>6429</v>
      </c>
      <c r="B1294" s="30" t="s">
        <v>6428</v>
      </c>
      <c r="C1294" s="32">
        <v>33.78</v>
      </c>
      <c r="D1294" s="30">
        <v>0.43</v>
      </c>
      <c r="E1294" s="31">
        <v>1.289E-2</v>
      </c>
      <c r="F1294" s="30">
        <v>46441915828</v>
      </c>
      <c r="G1294" s="30" t="s">
        <v>5775</v>
      </c>
      <c r="H1294" s="30"/>
      <c r="I1294" s="30">
        <v>679711</v>
      </c>
      <c r="J1294" s="30" t="s">
        <v>5435</v>
      </c>
      <c r="K1294" s="30" t="s">
        <v>6352</v>
      </c>
    </row>
    <row r="1295" spans="1:11" ht="12.5" x14ac:dyDescent="0.25">
      <c r="A1295" s="30" t="s">
        <v>6427</v>
      </c>
      <c r="B1295" s="30" t="s">
        <v>6426</v>
      </c>
      <c r="C1295" s="32">
        <v>9.75</v>
      </c>
      <c r="D1295" s="30">
        <v>-0.2</v>
      </c>
      <c r="E1295" s="31">
        <v>-2.01E-2</v>
      </c>
      <c r="F1295" s="30">
        <v>1116902329</v>
      </c>
      <c r="G1295" s="30" t="s">
        <v>5427</v>
      </c>
      <c r="H1295" s="30">
        <v>2017</v>
      </c>
      <c r="I1295" s="30">
        <v>1211531</v>
      </c>
      <c r="J1295" s="30" t="s">
        <v>5464</v>
      </c>
      <c r="K1295" s="30" t="s">
        <v>5588</v>
      </c>
    </row>
    <row r="1296" spans="1:11" ht="12.5" x14ac:dyDescent="0.25">
      <c r="A1296" s="30" t="s">
        <v>6425</v>
      </c>
      <c r="B1296" s="30" t="s">
        <v>6424</v>
      </c>
      <c r="C1296" s="32">
        <v>93.09</v>
      </c>
      <c r="D1296" s="30">
        <v>3.19</v>
      </c>
      <c r="E1296" s="31">
        <v>3.5479999999999998E-2</v>
      </c>
      <c r="F1296" s="30">
        <v>6642877266</v>
      </c>
      <c r="G1296" s="30" t="s">
        <v>5427</v>
      </c>
      <c r="H1296" s="30"/>
      <c r="I1296" s="30">
        <v>1017556</v>
      </c>
      <c r="J1296" s="30"/>
      <c r="K1296" s="30"/>
    </row>
    <row r="1297" spans="1:11" ht="12.5" x14ac:dyDescent="0.25">
      <c r="A1297" s="30" t="s">
        <v>6423</v>
      </c>
      <c r="B1297" s="30" t="s">
        <v>6422</v>
      </c>
      <c r="C1297" s="32">
        <v>3</v>
      </c>
      <c r="D1297" s="30">
        <v>-0.02</v>
      </c>
      <c r="E1297" s="31">
        <v>-6.62E-3</v>
      </c>
      <c r="F1297" s="30">
        <v>99000000</v>
      </c>
      <c r="G1297" s="30" t="s">
        <v>5427</v>
      </c>
      <c r="H1297" s="30">
        <v>2011</v>
      </c>
      <c r="I1297" s="30">
        <v>202609</v>
      </c>
      <c r="J1297" s="30" t="s">
        <v>5464</v>
      </c>
      <c r="K1297" s="30" t="s">
        <v>5463</v>
      </c>
    </row>
    <row r="1298" spans="1:11" ht="12.5" x14ac:dyDescent="0.25">
      <c r="A1298" s="30" t="s">
        <v>6421</v>
      </c>
      <c r="B1298" s="30" t="s">
        <v>6420</v>
      </c>
      <c r="C1298" s="32">
        <v>152.87</v>
      </c>
      <c r="D1298" s="30">
        <v>0.68</v>
      </c>
      <c r="E1298" s="31">
        <v>4.47E-3</v>
      </c>
      <c r="F1298" s="30">
        <v>21845299718</v>
      </c>
      <c r="G1298" s="30" t="s">
        <v>5427</v>
      </c>
      <c r="H1298" s="30"/>
      <c r="I1298" s="30">
        <v>569149</v>
      </c>
      <c r="J1298" s="30" t="s">
        <v>5457</v>
      </c>
      <c r="K1298" s="30" t="s">
        <v>5903</v>
      </c>
    </row>
    <row r="1299" spans="1:11" ht="12.5" x14ac:dyDescent="0.25">
      <c r="A1299" s="30" t="s">
        <v>6419</v>
      </c>
      <c r="B1299" s="30" t="s">
        <v>6418</v>
      </c>
      <c r="C1299" s="32">
        <v>23.29</v>
      </c>
      <c r="D1299" s="30">
        <v>0.77</v>
      </c>
      <c r="E1299" s="31">
        <v>3.4189999999999998E-2</v>
      </c>
      <c r="F1299" s="30">
        <v>4644533699</v>
      </c>
      <c r="G1299" s="30" t="s">
        <v>5427</v>
      </c>
      <c r="H1299" s="30">
        <v>2021</v>
      </c>
      <c r="I1299" s="30">
        <v>693224</v>
      </c>
      <c r="J1299" s="30" t="s">
        <v>5219</v>
      </c>
      <c r="K1299" s="30" t="s">
        <v>5560</v>
      </c>
    </row>
    <row r="1300" spans="1:11" ht="12.5" x14ac:dyDescent="0.25">
      <c r="A1300" s="30" t="s">
        <v>6417</v>
      </c>
      <c r="B1300" s="30" t="s">
        <v>6416</v>
      </c>
      <c r="C1300" s="32">
        <v>11.31</v>
      </c>
      <c r="D1300" s="30">
        <v>0.01</v>
      </c>
      <c r="E1300" s="31">
        <v>8.8000000000000003E-4</v>
      </c>
      <c r="F1300" s="30">
        <v>1323876872</v>
      </c>
      <c r="G1300" s="30" t="s">
        <v>5427</v>
      </c>
      <c r="H1300" s="30">
        <v>2021</v>
      </c>
      <c r="I1300" s="30">
        <v>293962</v>
      </c>
      <c r="J1300" s="30" t="s">
        <v>5435</v>
      </c>
      <c r="K1300" s="30" t="s">
        <v>5434</v>
      </c>
    </row>
    <row r="1301" spans="1:11" ht="12.5" x14ac:dyDescent="0.25">
      <c r="A1301" s="30" t="s">
        <v>6415</v>
      </c>
      <c r="B1301" s="30" t="s">
        <v>6414</v>
      </c>
      <c r="C1301" s="32">
        <v>223.96</v>
      </c>
      <c r="D1301" s="30">
        <v>-6.39</v>
      </c>
      <c r="E1301" s="31">
        <v>-2.7740000000000001E-2</v>
      </c>
      <c r="F1301" s="30">
        <v>53212612243</v>
      </c>
      <c r="G1301" s="30" t="s">
        <v>5427</v>
      </c>
      <c r="H1301" s="30"/>
      <c r="I1301" s="30">
        <v>2337513</v>
      </c>
      <c r="J1301" s="30" t="s">
        <v>5464</v>
      </c>
      <c r="K1301" s="30" t="s">
        <v>5463</v>
      </c>
    </row>
    <row r="1302" spans="1:11" ht="12.5" x14ac:dyDescent="0.25">
      <c r="A1302" s="30" t="s">
        <v>6413</v>
      </c>
      <c r="B1302" s="30" t="s">
        <v>6412</v>
      </c>
      <c r="C1302" s="32">
        <v>8.2100000000000009</v>
      </c>
      <c r="D1302" s="30">
        <v>0.06</v>
      </c>
      <c r="E1302" s="31">
        <v>7.3600000000000002E-3</v>
      </c>
      <c r="F1302" s="30">
        <v>184331954</v>
      </c>
      <c r="G1302" s="30" t="s">
        <v>5427</v>
      </c>
      <c r="H1302" s="30">
        <v>2002</v>
      </c>
      <c r="I1302" s="30">
        <v>80430</v>
      </c>
      <c r="J1302" s="30" t="s">
        <v>5435</v>
      </c>
      <c r="K1302" s="30" t="s">
        <v>5434</v>
      </c>
    </row>
    <row r="1303" spans="1:11" ht="12.5" x14ac:dyDescent="0.25">
      <c r="A1303" s="30" t="s">
        <v>6411</v>
      </c>
      <c r="B1303" s="30" t="s">
        <v>6410</v>
      </c>
      <c r="C1303" s="32">
        <v>49.44</v>
      </c>
      <c r="D1303" s="30">
        <v>0.44</v>
      </c>
      <c r="E1303" s="31">
        <v>8.9800000000000001E-3</v>
      </c>
      <c r="F1303" s="30">
        <v>11257488000</v>
      </c>
      <c r="G1303" s="30" t="s">
        <v>6073</v>
      </c>
      <c r="H1303" s="30"/>
      <c r="I1303" s="30">
        <v>634275</v>
      </c>
      <c r="J1303" s="30" t="s">
        <v>5431</v>
      </c>
      <c r="K1303" s="30" t="s">
        <v>6409</v>
      </c>
    </row>
    <row r="1304" spans="1:11" ht="12.5" x14ac:dyDescent="0.25">
      <c r="A1304" s="30" t="s">
        <v>6408</v>
      </c>
      <c r="B1304" s="30" t="s">
        <v>6407</v>
      </c>
      <c r="C1304" s="32">
        <v>8.74</v>
      </c>
      <c r="D1304" s="30">
        <v>0.23</v>
      </c>
      <c r="E1304" s="31">
        <v>2.7029999999999998E-2</v>
      </c>
      <c r="F1304" s="30">
        <v>3810267222</v>
      </c>
      <c r="G1304" s="30" t="s">
        <v>5427</v>
      </c>
      <c r="H1304" s="30">
        <v>2020</v>
      </c>
      <c r="I1304" s="30">
        <v>4419708</v>
      </c>
      <c r="J1304" s="30" t="s">
        <v>5442</v>
      </c>
      <c r="K1304" s="30" t="s">
        <v>5853</v>
      </c>
    </row>
    <row r="1305" spans="1:11" ht="12.5" x14ac:dyDescent="0.25">
      <c r="A1305" s="30" t="s">
        <v>6406</v>
      </c>
      <c r="B1305" s="30" t="s">
        <v>6405</v>
      </c>
      <c r="C1305" s="32">
        <v>67.05</v>
      </c>
      <c r="D1305" s="30">
        <v>0.12</v>
      </c>
      <c r="E1305" s="31">
        <v>1.7899999999999999E-3</v>
      </c>
      <c r="F1305" s="30">
        <v>20510904771</v>
      </c>
      <c r="G1305" s="30" t="s">
        <v>5515</v>
      </c>
      <c r="H1305" s="30">
        <v>2014</v>
      </c>
      <c r="I1305" s="30">
        <v>866241</v>
      </c>
      <c r="J1305" s="30"/>
      <c r="K1305" s="30"/>
    </row>
    <row r="1306" spans="1:11" ht="12.5" x14ac:dyDescent="0.25">
      <c r="A1306" s="30" t="s">
        <v>6404</v>
      </c>
      <c r="B1306" s="30" t="s">
        <v>6403</v>
      </c>
      <c r="C1306" s="32">
        <v>4.49</v>
      </c>
      <c r="D1306" s="30">
        <v>0.08</v>
      </c>
      <c r="E1306" s="31">
        <v>1.814E-2</v>
      </c>
      <c r="F1306" s="30">
        <v>243289087</v>
      </c>
      <c r="G1306" s="30" t="s">
        <v>5427</v>
      </c>
      <c r="H1306" s="30"/>
      <c r="I1306" s="30">
        <v>90796</v>
      </c>
      <c r="J1306" s="30" t="s">
        <v>5442</v>
      </c>
      <c r="K1306" s="30" t="s">
        <v>5641</v>
      </c>
    </row>
    <row r="1307" spans="1:11" ht="12.5" x14ac:dyDescent="0.25">
      <c r="A1307" s="30" t="s">
        <v>6402</v>
      </c>
      <c r="B1307" s="30" t="s">
        <v>6401</v>
      </c>
      <c r="C1307" s="32">
        <v>96.62</v>
      </c>
      <c r="D1307" s="30">
        <v>2.21</v>
      </c>
      <c r="E1307" s="31">
        <v>2.341E-2</v>
      </c>
      <c r="F1307" s="30">
        <v>4855260509</v>
      </c>
      <c r="G1307" s="30" t="s">
        <v>5427</v>
      </c>
      <c r="H1307" s="30"/>
      <c r="I1307" s="30">
        <v>259066</v>
      </c>
      <c r="J1307" s="30" t="s">
        <v>5442</v>
      </c>
      <c r="K1307" s="30" t="s">
        <v>5788</v>
      </c>
    </row>
    <row r="1308" spans="1:11" ht="12.5" x14ac:dyDescent="0.25">
      <c r="A1308" s="30" t="s">
        <v>6400</v>
      </c>
      <c r="B1308" s="30" t="s">
        <v>6399</v>
      </c>
      <c r="C1308" s="32">
        <v>3.69</v>
      </c>
      <c r="D1308" s="30">
        <v>0.04</v>
      </c>
      <c r="E1308" s="31">
        <v>1.0959999999999999E-2</v>
      </c>
      <c r="F1308" s="30">
        <v>208571176</v>
      </c>
      <c r="G1308" s="30" t="s">
        <v>5427</v>
      </c>
      <c r="H1308" s="30"/>
      <c r="I1308" s="30">
        <v>2283354</v>
      </c>
      <c r="J1308" s="30" t="s">
        <v>5541</v>
      </c>
      <c r="K1308" s="30" t="s">
        <v>6398</v>
      </c>
    </row>
    <row r="1309" spans="1:11" ht="12.5" x14ac:dyDescent="0.25">
      <c r="A1309" s="30" t="s">
        <v>6397</v>
      </c>
      <c r="B1309" s="30" t="s">
        <v>6396</v>
      </c>
      <c r="C1309" s="32">
        <v>27.53</v>
      </c>
      <c r="D1309" s="30">
        <v>0.77</v>
      </c>
      <c r="E1309" s="31">
        <v>2.877E-2</v>
      </c>
      <c r="F1309" s="30">
        <v>1830094108</v>
      </c>
      <c r="G1309" s="30" t="s">
        <v>5427</v>
      </c>
      <c r="H1309" s="30">
        <v>2018</v>
      </c>
      <c r="I1309" s="30">
        <v>369995</v>
      </c>
      <c r="J1309" s="30" t="s">
        <v>5219</v>
      </c>
      <c r="K1309" s="30" t="s">
        <v>5447</v>
      </c>
    </row>
    <row r="1310" spans="1:11" ht="12.5" x14ac:dyDescent="0.25">
      <c r="A1310" s="30" t="s">
        <v>6395</v>
      </c>
      <c r="B1310" s="30" t="s">
        <v>6394</v>
      </c>
      <c r="C1310" s="32">
        <v>62.05</v>
      </c>
      <c r="D1310" s="30">
        <v>1.58</v>
      </c>
      <c r="E1310" s="31">
        <v>2.613E-2</v>
      </c>
      <c r="F1310" s="30">
        <v>6880376524</v>
      </c>
      <c r="G1310" s="30" t="s">
        <v>5515</v>
      </c>
      <c r="H1310" s="30"/>
      <c r="I1310" s="30">
        <v>1100268</v>
      </c>
      <c r="J1310" s="30"/>
      <c r="K1310" s="30"/>
    </row>
    <row r="1311" spans="1:11" ht="12.5" x14ac:dyDescent="0.25">
      <c r="A1311" s="30" t="s">
        <v>6393</v>
      </c>
      <c r="B1311" s="30" t="s">
        <v>6392</v>
      </c>
      <c r="C1311" s="32">
        <v>247.77</v>
      </c>
      <c r="D1311" s="30">
        <v>3.8</v>
      </c>
      <c r="E1311" s="31">
        <v>1.558E-2</v>
      </c>
      <c r="F1311" s="30">
        <v>7189627818</v>
      </c>
      <c r="G1311" s="30" t="s">
        <v>5427</v>
      </c>
      <c r="H1311" s="30">
        <v>2022</v>
      </c>
      <c r="I1311" s="30">
        <v>193172</v>
      </c>
      <c r="J1311" s="30" t="s">
        <v>5457</v>
      </c>
      <c r="K1311" s="30" t="s">
        <v>5634</v>
      </c>
    </row>
    <row r="1312" spans="1:11" ht="12.5" x14ac:dyDescent="0.25">
      <c r="A1312" s="30" t="s">
        <v>6391</v>
      </c>
      <c r="B1312" s="30" t="s">
        <v>6390</v>
      </c>
      <c r="C1312" s="32">
        <v>38.24</v>
      </c>
      <c r="D1312" s="30">
        <v>1.03</v>
      </c>
      <c r="E1312" s="31">
        <v>2.768E-2</v>
      </c>
      <c r="F1312" s="30">
        <v>22975207320</v>
      </c>
      <c r="G1312" s="30" t="s">
        <v>5427</v>
      </c>
      <c r="H1312" s="30">
        <v>2021</v>
      </c>
      <c r="I1312" s="30">
        <v>11189891</v>
      </c>
      <c r="J1312" s="30" t="s">
        <v>5219</v>
      </c>
      <c r="K1312" s="30" t="s">
        <v>5447</v>
      </c>
    </row>
    <row r="1313" spans="1:11" ht="12.5" x14ac:dyDescent="0.25">
      <c r="A1313" s="30" t="s">
        <v>6389</v>
      </c>
      <c r="B1313" s="30" t="s">
        <v>6388</v>
      </c>
      <c r="C1313" s="32">
        <v>2.99</v>
      </c>
      <c r="D1313" s="30">
        <v>0.28000000000000003</v>
      </c>
      <c r="E1313" s="31">
        <v>0.10332</v>
      </c>
      <c r="F1313" s="30">
        <v>365885771</v>
      </c>
      <c r="G1313" s="30" t="s">
        <v>6387</v>
      </c>
      <c r="H1313" s="30">
        <v>2020</v>
      </c>
      <c r="I1313" s="30">
        <v>301043</v>
      </c>
      <c r="J1313" s="30" t="s">
        <v>5431</v>
      </c>
      <c r="K1313" s="30" t="s">
        <v>5610</v>
      </c>
    </row>
    <row r="1314" spans="1:11" ht="12.5" x14ac:dyDescent="0.25">
      <c r="A1314" s="30" t="s">
        <v>6386</v>
      </c>
      <c r="B1314" s="30" t="s">
        <v>6385</v>
      </c>
      <c r="C1314" s="32">
        <v>13.35</v>
      </c>
      <c r="D1314" s="30">
        <v>0.12</v>
      </c>
      <c r="E1314" s="31">
        <v>9.0699999999999999E-3</v>
      </c>
      <c r="F1314" s="30">
        <v>1475346815</v>
      </c>
      <c r="G1314" s="30" t="s">
        <v>5427</v>
      </c>
      <c r="H1314" s="30">
        <v>2013</v>
      </c>
      <c r="I1314" s="30">
        <v>908396</v>
      </c>
      <c r="J1314" s="30" t="s">
        <v>5197</v>
      </c>
      <c r="K1314" s="30" t="s">
        <v>5467</v>
      </c>
    </row>
    <row r="1315" spans="1:11" ht="12.5" x14ac:dyDescent="0.25">
      <c r="A1315" s="30" t="s">
        <v>6384</v>
      </c>
      <c r="B1315" s="30" t="s">
        <v>6383</v>
      </c>
      <c r="C1315" s="32">
        <v>48.68</v>
      </c>
      <c r="D1315" s="30">
        <v>0.03</v>
      </c>
      <c r="E1315" s="31">
        <v>6.2E-4</v>
      </c>
      <c r="F1315" s="30">
        <v>24579764480</v>
      </c>
      <c r="G1315" s="30" t="s">
        <v>5515</v>
      </c>
      <c r="H1315" s="30"/>
      <c r="I1315" s="30">
        <v>272802</v>
      </c>
      <c r="J1315" s="30"/>
      <c r="K1315" s="30"/>
    </row>
    <row r="1316" spans="1:11" ht="12.5" x14ac:dyDescent="0.25">
      <c r="A1316" s="30" t="s">
        <v>6382</v>
      </c>
      <c r="B1316" s="30" t="s">
        <v>6381</v>
      </c>
      <c r="C1316" s="32">
        <v>67.27</v>
      </c>
      <c r="D1316" s="30">
        <v>2.33</v>
      </c>
      <c r="E1316" s="31">
        <v>3.5880000000000002E-2</v>
      </c>
      <c r="F1316" s="30">
        <v>17166094149</v>
      </c>
      <c r="G1316" s="30" t="s">
        <v>5427</v>
      </c>
      <c r="H1316" s="30">
        <v>1993</v>
      </c>
      <c r="I1316" s="30">
        <v>3812557</v>
      </c>
      <c r="J1316" s="30" t="s">
        <v>5442</v>
      </c>
      <c r="K1316" s="30" t="s">
        <v>5704</v>
      </c>
    </row>
    <row r="1317" spans="1:11" ht="12.5" x14ac:dyDescent="0.25">
      <c r="A1317" s="30" t="s">
        <v>6380</v>
      </c>
      <c r="B1317" s="30" t="s">
        <v>6379</v>
      </c>
      <c r="C1317" s="32">
        <v>5.69</v>
      </c>
      <c r="D1317" s="30">
        <v>0.03</v>
      </c>
      <c r="E1317" s="31">
        <v>5.3E-3</v>
      </c>
      <c r="F1317" s="30">
        <v>255355820</v>
      </c>
      <c r="G1317" s="30" t="s">
        <v>5427</v>
      </c>
      <c r="H1317" s="30">
        <v>1994</v>
      </c>
      <c r="I1317" s="30">
        <v>123861</v>
      </c>
      <c r="J1317" s="30" t="s">
        <v>5435</v>
      </c>
      <c r="K1317" s="30" t="s">
        <v>5434</v>
      </c>
    </row>
    <row r="1318" spans="1:11" ht="12.5" x14ac:dyDescent="0.25">
      <c r="A1318" s="30" t="s">
        <v>6378</v>
      </c>
      <c r="B1318" s="30" t="s">
        <v>6377</v>
      </c>
      <c r="C1318" s="32">
        <v>22.41</v>
      </c>
      <c r="D1318" s="30">
        <v>0.31</v>
      </c>
      <c r="E1318" s="31">
        <v>1.4030000000000001E-2</v>
      </c>
      <c r="F1318" s="30">
        <v>3518939909</v>
      </c>
      <c r="G1318" s="30" t="s">
        <v>5427</v>
      </c>
      <c r="H1318" s="30"/>
      <c r="I1318" s="30">
        <v>1440286</v>
      </c>
      <c r="J1318" s="30" t="s">
        <v>5435</v>
      </c>
      <c r="K1318" s="30" t="s">
        <v>5493</v>
      </c>
    </row>
    <row r="1319" spans="1:11" ht="12.5" x14ac:dyDescent="0.25">
      <c r="A1319" s="30" t="s">
        <v>6376</v>
      </c>
      <c r="B1319" s="30" t="s">
        <v>6375</v>
      </c>
      <c r="C1319" s="32">
        <v>2.6</v>
      </c>
      <c r="D1319" s="30">
        <v>0.04</v>
      </c>
      <c r="E1319" s="31">
        <v>1.5630000000000002E-2</v>
      </c>
      <c r="F1319" s="30">
        <v>166016994</v>
      </c>
      <c r="G1319" s="30" t="s">
        <v>5427</v>
      </c>
      <c r="H1319" s="30">
        <v>2021</v>
      </c>
      <c r="I1319" s="30">
        <v>86469</v>
      </c>
      <c r="J1319" s="30" t="s">
        <v>5457</v>
      </c>
      <c r="K1319" s="30" t="s">
        <v>5523</v>
      </c>
    </row>
    <row r="1320" spans="1:11" ht="12.5" x14ac:dyDescent="0.25">
      <c r="A1320" s="30" t="s">
        <v>6374</v>
      </c>
      <c r="B1320" s="30" t="s">
        <v>6373</v>
      </c>
      <c r="C1320" s="32">
        <v>53.88</v>
      </c>
      <c r="D1320" s="30">
        <v>0.08</v>
      </c>
      <c r="E1320" s="31">
        <v>1.49E-3</v>
      </c>
      <c r="F1320" s="30">
        <v>8949515307</v>
      </c>
      <c r="G1320" s="30" t="s">
        <v>5529</v>
      </c>
      <c r="H1320" s="30"/>
      <c r="I1320" s="30">
        <v>163305</v>
      </c>
      <c r="J1320" s="30" t="s">
        <v>5431</v>
      </c>
      <c r="K1320" s="30" t="s">
        <v>5430</v>
      </c>
    </row>
    <row r="1321" spans="1:11" ht="12.5" x14ac:dyDescent="0.25">
      <c r="A1321" s="30" t="s">
        <v>6372</v>
      </c>
      <c r="B1321" s="30" t="s">
        <v>6371</v>
      </c>
      <c r="C1321" s="32">
        <v>29.88</v>
      </c>
      <c r="D1321" s="30">
        <v>0.17</v>
      </c>
      <c r="E1321" s="31">
        <v>5.7200000000000003E-3</v>
      </c>
      <c r="F1321" s="30">
        <v>57106864503</v>
      </c>
      <c r="G1321" s="30" t="s">
        <v>5775</v>
      </c>
      <c r="H1321" s="30">
        <v>2015</v>
      </c>
      <c r="I1321" s="30">
        <v>751696</v>
      </c>
      <c r="J1321" s="30" t="s">
        <v>5442</v>
      </c>
      <c r="K1321" s="30" t="s">
        <v>5482</v>
      </c>
    </row>
    <row r="1322" spans="1:11" ht="12.5" x14ac:dyDescent="0.25">
      <c r="A1322" s="30" t="s">
        <v>6370</v>
      </c>
      <c r="B1322" s="30" t="s">
        <v>6369</v>
      </c>
      <c r="C1322" s="32">
        <v>9.7100000000000009</v>
      </c>
      <c r="D1322" s="30">
        <v>-0.21</v>
      </c>
      <c r="E1322" s="31">
        <v>-2.1170000000000001E-2</v>
      </c>
      <c r="F1322" s="30">
        <v>2103488369</v>
      </c>
      <c r="G1322" s="30" t="s">
        <v>5427</v>
      </c>
      <c r="H1322" s="30"/>
      <c r="I1322" s="30">
        <v>1174191</v>
      </c>
      <c r="J1322" s="30" t="s">
        <v>5464</v>
      </c>
      <c r="K1322" s="30" t="s">
        <v>5588</v>
      </c>
    </row>
    <row r="1323" spans="1:11" ht="12.5" x14ac:dyDescent="0.25">
      <c r="A1323" s="30" t="s">
        <v>6368</v>
      </c>
      <c r="B1323" s="30" t="s">
        <v>6367</v>
      </c>
      <c r="C1323" s="32">
        <v>12.92</v>
      </c>
      <c r="D1323" s="30">
        <v>0.11</v>
      </c>
      <c r="E1323" s="31">
        <v>8.5900000000000004E-3</v>
      </c>
      <c r="F1323" s="30">
        <v>773165087</v>
      </c>
      <c r="G1323" s="30" t="s">
        <v>5427</v>
      </c>
      <c r="H1323" s="30">
        <v>2017</v>
      </c>
      <c r="I1323" s="30">
        <v>185368</v>
      </c>
      <c r="J1323" s="30" t="s">
        <v>5457</v>
      </c>
      <c r="K1323" s="30" t="s">
        <v>5644</v>
      </c>
    </row>
    <row r="1324" spans="1:11" ht="12.5" x14ac:dyDescent="0.25">
      <c r="A1324" s="30" t="s">
        <v>6366</v>
      </c>
      <c r="B1324" s="30" t="s">
        <v>6365</v>
      </c>
      <c r="C1324" s="32">
        <v>33.369999999999997</v>
      </c>
      <c r="D1324" s="30">
        <v>0.65</v>
      </c>
      <c r="E1324" s="31">
        <v>1.9869999999999999E-2</v>
      </c>
      <c r="F1324" s="30">
        <v>580319951</v>
      </c>
      <c r="G1324" s="30" t="s">
        <v>5427</v>
      </c>
      <c r="H1324" s="30"/>
      <c r="I1324" s="30">
        <v>151856</v>
      </c>
      <c r="J1324" s="30" t="s">
        <v>5457</v>
      </c>
      <c r="K1324" s="30" t="s">
        <v>5555</v>
      </c>
    </row>
    <row r="1325" spans="1:11" ht="12.5" x14ac:dyDescent="0.25">
      <c r="A1325" s="30" t="s">
        <v>6364</v>
      </c>
      <c r="B1325" s="30" t="s">
        <v>6363</v>
      </c>
      <c r="C1325" s="32">
        <v>64.59</v>
      </c>
      <c r="D1325" s="30">
        <v>1.1200000000000001</v>
      </c>
      <c r="E1325" s="31">
        <v>1.7649999999999999E-2</v>
      </c>
      <c r="F1325" s="30">
        <v>11851764621</v>
      </c>
      <c r="G1325" s="30" t="s">
        <v>5427</v>
      </c>
      <c r="H1325" s="30">
        <v>2013</v>
      </c>
      <c r="I1325" s="30">
        <v>1331337</v>
      </c>
      <c r="J1325" s="30" t="s">
        <v>5197</v>
      </c>
      <c r="K1325" s="30" t="s">
        <v>5467</v>
      </c>
    </row>
    <row r="1326" spans="1:11" ht="12.5" x14ac:dyDescent="0.25">
      <c r="A1326" s="30" t="s">
        <v>6362</v>
      </c>
      <c r="B1326" s="30" t="s">
        <v>6361</v>
      </c>
      <c r="C1326" s="32">
        <v>23.78</v>
      </c>
      <c r="D1326" s="30">
        <v>0.24</v>
      </c>
      <c r="E1326" s="31">
        <v>1.0200000000000001E-2</v>
      </c>
      <c r="F1326" s="30">
        <v>22221116511</v>
      </c>
      <c r="G1326" s="30" t="s">
        <v>5427</v>
      </c>
      <c r="H1326" s="30"/>
      <c r="I1326" s="30">
        <v>8606361</v>
      </c>
      <c r="J1326" s="30" t="s">
        <v>5435</v>
      </c>
      <c r="K1326" s="30" t="s">
        <v>5579</v>
      </c>
    </row>
    <row r="1327" spans="1:11" ht="12.5" x14ac:dyDescent="0.25">
      <c r="A1327" s="30" t="s">
        <v>6360</v>
      </c>
      <c r="B1327" s="30" t="s">
        <v>6359</v>
      </c>
      <c r="C1327" s="32">
        <v>13.9</v>
      </c>
      <c r="D1327" s="30">
        <v>0.09</v>
      </c>
      <c r="E1327" s="31">
        <v>6.5199999999999998E-3</v>
      </c>
      <c r="F1327" s="30">
        <v>366238507</v>
      </c>
      <c r="G1327" s="30" t="s">
        <v>5427</v>
      </c>
      <c r="H1327" s="30">
        <v>1993</v>
      </c>
      <c r="I1327" s="30">
        <v>42806</v>
      </c>
      <c r="J1327" s="30" t="s">
        <v>5435</v>
      </c>
      <c r="K1327" s="30" t="s">
        <v>5434</v>
      </c>
    </row>
    <row r="1328" spans="1:11" ht="12.5" x14ac:dyDescent="0.25">
      <c r="A1328" s="30" t="s">
        <v>6358</v>
      </c>
      <c r="B1328" s="30" t="s">
        <v>6357</v>
      </c>
      <c r="C1328" s="32">
        <v>2.08</v>
      </c>
      <c r="D1328" s="30">
        <v>0.02</v>
      </c>
      <c r="E1328" s="31">
        <v>9.7099999999999999E-3</v>
      </c>
      <c r="F1328" s="30">
        <v>50903120</v>
      </c>
      <c r="G1328" s="30" t="s">
        <v>5427</v>
      </c>
      <c r="H1328" s="30">
        <v>2018</v>
      </c>
      <c r="I1328" s="30">
        <v>10565</v>
      </c>
      <c r="J1328" s="30" t="s">
        <v>5197</v>
      </c>
      <c r="K1328" s="30" t="s">
        <v>5197</v>
      </c>
    </row>
    <row r="1329" spans="1:11" ht="12.5" x14ac:dyDescent="0.25">
      <c r="A1329" s="30" t="s">
        <v>6356</v>
      </c>
      <c r="B1329" s="30" t="s">
        <v>6355</v>
      </c>
      <c r="C1329" s="32">
        <v>21.84</v>
      </c>
      <c r="D1329" s="30">
        <v>0.13</v>
      </c>
      <c r="E1329" s="31">
        <v>5.9899999999999997E-3</v>
      </c>
      <c r="F1329" s="30">
        <v>1677569952</v>
      </c>
      <c r="G1329" s="30" t="s">
        <v>5515</v>
      </c>
      <c r="H1329" s="30"/>
      <c r="I1329" s="30">
        <v>239009</v>
      </c>
      <c r="J1329" s="30" t="s">
        <v>6250</v>
      </c>
      <c r="K1329" s="30" t="s">
        <v>6167</v>
      </c>
    </row>
    <row r="1330" spans="1:11" ht="12.5" x14ac:dyDescent="0.25">
      <c r="A1330" s="30" t="s">
        <v>6354</v>
      </c>
      <c r="B1330" s="30" t="s">
        <v>6353</v>
      </c>
      <c r="C1330" s="32">
        <v>151.87</v>
      </c>
      <c r="D1330" s="30">
        <v>0.1</v>
      </c>
      <c r="E1330" s="31">
        <v>6.6E-4</v>
      </c>
      <c r="F1330" s="30">
        <v>10150383168</v>
      </c>
      <c r="G1330" s="30" t="s">
        <v>5427</v>
      </c>
      <c r="H1330" s="30"/>
      <c r="I1330" s="30">
        <v>549864</v>
      </c>
      <c r="J1330" s="30" t="s">
        <v>5435</v>
      </c>
      <c r="K1330" s="30" t="s">
        <v>6352</v>
      </c>
    </row>
    <row r="1331" spans="1:11" ht="12.5" x14ac:dyDescent="0.25">
      <c r="A1331" s="30" t="s">
        <v>6351</v>
      </c>
      <c r="B1331" s="30" t="s">
        <v>6350</v>
      </c>
      <c r="C1331" s="32">
        <v>57.28</v>
      </c>
      <c r="D1331" s="30">
        <v>0.38</v>
      </c>
      <c r="E1331" s="31">
        <v>6.6800000000000002E-3</v>
      </c>
      <c r="F1331" s="30">
        <v>1011939068</v>
      </c>
      <c r="G1331" s="30" t="s">
        <v>5427</v>
      </c>
      <c r="H1331" s="30"/>
      <c r="I1331" s="30">
        <v>118192</v>
      </c>
      <c r="J1331" s="30"/>
      <c r="K1331" s="30"/>
    </row>
    <row r="1332" spans="1:11" ht="12.5" x14ac:dyDescent="0.25">
      <c r="A1332" s="30" t="s">
        <v>6349</v>
      </c>
      <c r="B1332" s="30" t="s">
        <v>6348</v>
      </c>
      <c r="C1332" s="32">
        <v>1.79</v>
      </c>
      <c r="D1332" s="30">
        <v>0.15</v>
      </c>
      <c r="E1332" s="31">
        <v>9.146E-2</v>
      </c>
      <c r="F1332" s="30">
        <v>81510380</v>
      </c>
      <c r="G1332" s="30" t="s">
        <v>5427</v>
      </c>
      <c r="H1332" s="30">
        <v>1991</v>
      </c>
      <c r="I1332" s="30">
        <v>1115262</v>
      </c>
      <c r="J1332" s="30"/>
      <c r="K1332" s="30"/>
    </row>
    <row r="1333" spans="1:11" ht="12.5" x14ac:dyDescent="0.25">
      <c r="A1333" s="30" t="s">
        <v>6347</v>
      </c>
      <c r="B1333" s="30" t="s">
        <v>6346</v>
      </c>
      <c r="C1333" s="32">
        <v>323.99</v>
      </c>
      <c r="D1333" s="30">
        <v>12</v>
      </c>
      <c r="E1333" s="31">
        <v>3.8460000000000001E-2</v>
      </c>
      <c r="F1333" s="30">
        <v>7472575018</v>
      </c>
      <c r="G1333" s="30" t="s">
        <v>5427</v>
      </c>
      <c r="H1333" s="30">
        <v>2012</v>
      </c>
      <c r="I1333" s="30">
        <v>817589</v>
      </c>
      <c r="J1333" s="30" t="s">
        <v>5442</v>
      </c>
      <c r="K1333" s="30" t="s">
        <v>5508</v>
      </c>
    </row>
    <row r="1334" spans="1:11" ht="12.5" x14ac:dyDescent="0.25">
      <c r="A1334" s="30" t="s">
        <v>5071</v>
      </c>
      <c r="B1334" s="30" t="s">
        <v>6345</v>
      </c>
      <c r="C1334" s="32">
        <v>85.59</v>
      </c>
      <c r="D1334" s="30">
        <v>1.63</v>
      </c>
      <c r="E1334" s="31">
        <v>1.941E-2</v>
      </c>
      <c r="F1334" s="30">
        <v>9286389696</v>
      </c>
      <c r="G1334" s="30" t="s">
        <v>5427</v>
      </c>
      <c r="H1334" s="30"/>
      <c r="I1334" s="30">
        <v>1254719</v>
      </c>
      <c r="J1334" s="30" t="s">
        <v>5442</v>
      </c>
      <c r="K1334" s="30" t="s">
        <v>5746</v>
      </c>
    </row>
    <row r="1335" spans="1:11" ht="12.5" x14ac:dyDescent="0.25">
      <c r="A1335" s="30" t="s">
        <v>6344</v>
      </c>
      <c r="B1335" s="30" t="s">
        <v>6343</v>
      </c>
      <c r="C1335" s="32">
        <v>92.51</v>
      </c>
      <c r="D1335" s="30">
        <v>-0.38</v>
      </c>
      <c r="E1335" s="31">
        <v>-4.0899999999999999E-3</v>
      </c>
      <c r="F1335" s="30">
        <v>5103159103</v>
      </c>
      <c r="G1335" s="30" t="s">
        <v>5427</v>
      </c>
      <c r="H1335" s="30"/>
      <c r="I1335" s="30">
        <v>346673</v>
      </c>
      <c r="J1335" s="30" t="s">
        <v>5197</v>
      </c>
      <c r="K1335" s="30" t="s">
        <v>5467</v>
      </c>
    </row>
    <row r="1336" spans="1:11" ht="12.5" x14ac:dyDescent="0.25">
      <c r="A1336" s="30" t="s">
        <v>6342</v>
      </c>
      <c r="B1336" s="30" t="s">
        <v>6341</v>
      </c>
      <c r="C1336" s="32">
        <v>7.14</v>
      </c>
      <c r="D1336" s="30">
        <v>0.4</v>
      </c>
      <c r="E1336" s="31">
        <v>5.935E-2</v>
      </c>
      <c r="F1336" s="30">
        <v>5154283369</v>
      </c>
      <c r="G1336" s="30" t="s">
        <v>5799</v>
      </c>
      <c r="H1336" s="30"/>
      <c r="I1336" s="30">
        <v>38206917</v>
      </c>
      <c r="J1336" s="30" t="s">
        <v>5464</v>
      </c>
      <c r="K1336" s="30" t="s">
        <v>5463</v>
      </c>
    </row>
    <row r="1337" spans="1:11" ht="12.5" x14ac:dyDescent="0.25">
      <c r="A1337" s="30" t="s">
        <v>6340</v>
      </c>
      <c r="B1337" s="30" t="s">
        <v>6339</v>
      </c>
      <c r="C1337" s="32">
        <v>79.09</v>
      </c>
      <c r="D1337" s="30">
        <v>-0.26</v>
      </c>
      <c r="E1337" s="31">
        <v>-3.2799999999999999E-3</v>
      </c>
      <c r="F1337" s="30">
        <v>128193400200</v>
      </c>
      <c r="G1337" s="30" t="s">
        <v>6338</v>
      </c>
      <c r="H1337" s="30">
        <v>2002</v>
      </c>
      <c r="I1337" s="30">
        <v>4120386</v>
      </c>
      <c r="J1337" s="30" t="s">
        <v>6250</v>
      </c>
      <c r="K1337" s="30" t="s">
        <v>6249</v>
      </c>
    </row>
    <row r="1338" spans="1:11" ht="12.5" x14ac:dyDescent="0.25">
      <c r="A1338" s="30" t="s">
        <v>6337</v>
      </c>
      <c r="B1338" s="30" t="s">
        <v>6336</v>
      </c>
      <c r="C1338" s="32">
        <v>9.5</v>
      </c>
      <c r="D1338" s="30">
        <v>0.09</v>
      </c>
      <c r="E1338" s="31">
        <v>9.5600000000000008E-3</v>
      </c>
      <c r="F1338" s="30">
        <v>4500293450</v>
      </c>
      <c r="G1338" s="30" t="s">
        <v>5427</v>
      </c>
      <c r="H1338" s="30"/>
      <c r="I1338" s="30">
        <v>6388384</v>
      </c>
      <c r="J1338" s="30" t="s">
        <v>5197</v>
      </c>
      <c r="K1338" s="30" t="s">
        <v>5467</v>
      </c>
    </row>
    <row r="1339" spans="1:11" ht="12.5" x14ac:dyDescent="0.25">
      <c r="A1339" s="30" t="s">
        <v>6335</v>
      </c>
      <c r="B1339" s="30" t="s">
        <v>6334</v>
      </c>
      <c r="C1339" s="32">
        <v>112.1</v>
      </c>
      <c r="D1339" s="30">
        <v>-0.67</v>
      </c>
      <c r="E1339" s="31">
        <v>-5.94E-3</v>
      </c>
      <c r="F1339" s="30">
        <v>24101500000</v>
      </c>
      <c r="G1339" s="30" t="s">
        <v>5427</v>
      </c>
      <c r="H1339" s="30"/>
      <c r="I1339" s="30">
        <v>1147113</v>
      </c>
      <c r="J1339" s="30" t="s">
        <v>5435</v>
      </c>
      <c r="K1339" s="30" t="s">
        <v>6221</v>
      </c>
    </row>
    <row r="1340" spans="1:11" ht="12.5" x14ac:dyDescent="0.25">
      <c r="A1340" s="30" t="s">
        <v>6333</v>
      </c>
      <c r="B1340" s="30" t="s">
        <v>6332</v>
      </c>
      <c r="C1340" s="32">
        <v>9.73</v>
      </c>
      <c r="D1340" s="30">
        <v>0.32</v>
      </c>
      <c r="E1340" s="31">
        <v>3.4009999999999999E-2</v>
      </c>
      <c r="F1340" s="30">
        <v>1184905389</v>
      </c>
      <c r="G1340" s="30" t="s">
        <v>5427</v>
      </c>
      <c r="H1340" s="30">
        <v>2020</v>
      </c>
      <c r="I1340" s="30">
        <v>5086721</v>
      </c>
      <c r="J1340" s="30" t="s">
        <v>5435</v>
      </c>
      <c r="K1340" s="30" t="s">
        <v>5598</v>
      </c>
    </row>
    <row r="1341" spans="1:11" ht="12.5" x14ac:dyDescent="0.25">
      <c r="A1341" s="30" t="s">
        <v>6331</v>
      </c>
      <c r="B1341" s="30" t="s">
        <v>6330</v>
      </c>
      <c r="C1341" s="32">
        <v>127.73</v>
      </c>
      <c r="D1341" s="30">
        <v>3.88</v>
      </c>
      <c r="E1341" s="31">
        <v>3.1329999999999997E-2</v>
      </c>
      <c r="F1341" s="30">
        <v>8426666275</v>
      </c>
      <c r="G1341" s="30" t="s">
        <v>5427</v>
      </c>
      <c r="H1341" s="30">
        <v>1997</v>
      </c>
      <c r="I1341" s="30">
        <v>1160437</v>
      </c>
      <c r="J1341" s="30" t="s">
        <v>5442</v>
      </c>
      <c r="K1341" s="30" t="s">
        <v>5692</v>
      </c>
    </row>
    <row r="1342" spans="1:11" ht="12.5" x14ac:dyDescent="0.25">
      <c r="A1342" s="30" t="s">
        <v>6329</v>
      </c>
      <c r="B1342" s="30" t="s">
        <v>6328</v>
      </c>
      <c r="C1342" s="32">
        <v>131.78</v>
      </c>
      <c r="D1342" s="30">
        <v>-0.67</v>
      </c>
      <c r="E1342" s="31">
        <v>-5.0600000000000003E-3</v>
      </c>
      <c r="F1342" s="30">
        <v>5992036600</v>
      </c>
      <c r="G1342" s="30" t="s">
        <v>5427</v>
      </c>
      <c r="H1342" s="30"/>
      <c r="I1342" s="30">
        <v>241947</v>
      </c>
      <c r="J1342" s="30" t="s">
        <v>5435</v>
      </c>
      <c r="K1342" s="30" t="s">
        <v>5493</v>
      </c>
    </row>
    <row r="1343" spans="1:11" ht="12.5" x14ac:dyDescent="0.25">
      <c r="A1343" s="30" t="s">
        <v>6327</v>
      </c>
      <c r="B1343" s="30" t="s">
        <v>6326</v>
      </c>
      <c r="C1343" s="32">
        <v>12.6</v>
      </c>
      <c r="D1343" s="30">
        <v>0.03</v>
      </c>
      <c r="E1343" s="31">
        <v>2.3900000000000002E-3</v>
      </c>
      <c r="F1343" s="30">
        <v>2041879808</v>
      </c>
      <c r="G1343" s="30" t="s">
        <v>5427</v>
      </c>
      <c r="H1343" s="30">
        <v>2011</v>
      </c>
      <c r="I1343" s="30">
        <v>1481702</v>
      </c>
      <c r="J1343" s="30" t="s">
        <v>5197</v>
      </c>
      <c r="K1343" s="30" t="s">
        <v>5467</v>
      </c>
    </row>
    <row r="1344" spans="1:11" ht="12.5" x14ac:dyDescent="0.25">
      <c r="A1344" s="30" t="s">
        <v>6325</v>
      </c>
      <c r="B1344" s="30" t="s">
        <v>6324</v>
      </c>
      <c r="C1344" s="32">
        <v>35.979999999999997</v>
      </c>
      <c r="D1344" s="30">
        <v>1.49</v>
      </c>
      <c r="E1344" s="31">
        <v>4.3200000000000002E-2</v>
      </c>
      <c r="F1344" s="30">
        <v>344896436</v>
      </c>
      <c r="G1344" s="30" t="s">
        <v>5427</v>
      </c>
      <c r="H1344" s="30">
        <v>2012</v>
      </c>
      <c r="I1344" s="30">
        <v>171067</v>
      </c>
      <c r="J1344" s="30" t="s">
        <v>5435</v>
      </c>
      <c r="K1344" s="30" t="s">
        <v>5598</v>
      </c>
    </row>
    <row r="1345" spans="1:11" ht="12.5" x14ac:dyDescent="0.25">
      <c r="A1345" s="30" t="s">
        <v>6323</v>
      </c>
      <c r="B1345" s="30" t="s">
        <v>6322</v>
      </c>
      <c r="C1345" s="32">
        <v>229.02</v>
      </c>
      <c r="D1345" s="30">
        <v>0.65</v>
      </c>
      <c r="E1345" s="31">
        <v>2.8500000000000001E-3</v>
      </c>
      <c r="F1345" s="30">
        <v>33645193765</v>
      </c>
      <c r="G1345" s="30" t="s">
        <v>5427</v>
      </c>
      <c r="H1345" s="30"/>
      <c r="I1345" s="30">
        <v>835338</v>
      </c>
      <c r="J1345" s="30" t="s">
        <v>5431</v>
      </c>
      <c r="K1345" s="30" t="s">
        <v>5500</v>
      </c>
    </row>
    <row r="1346" spans="1:11" ht="12.5" x14ac:dyDescent="0.25">
      <c r="A1346" s="30" t="s">
        <v>6321</v>
      </c>
      <c r="B1346" s="30" t="s">
        <v>6320</v>
      </c>
      <c r="C1346" s="32">
        <v>9.64</v>
      </c>
      <c r="D1346" s="30">
        <v>0.17</v>
      </c>
      <c r="E1346" s="31">
        <v>1.7950000000000001E-2</v>
      </c>
      <c r="F1346" s="30">
        <v>446034220</v>
      </c>
      <c r="G1346" s="30" t="s">
        <v>5427</v>
      </c>
      <c r="H1346" s="30"/>
      <c r="I1346" s="30">
        <v>132857</v>
      </c>
      <c r="J1346" s="30" t="s">
        <v>5435</v>
      </c>
      <c r="K1346" s="30" t="s">
        <v>5434</v>
      </c>
    </row>
    <row r="1347" spans="1:11" ht="12.5" x14ac:dyDescent="0.25">
      <c r="A1347" s="30" t="s">
        <v>6319</v>
      </c>
      <c r="B1347" s="30" t="s">
        <v>6318</v>
      </c>
      <c r="C1347" s="32">
        <v>11.49</v>
      </c>
      <c r="D1347" s="30">
        <v>0.1</v>
      </c>
      <c r="E1347" s="31">
        <v>8.7799999999999996E-3</v>
      </c>
      <c r="F1347" s="30">
        <v>285801410</v>
      </c>
      <c r="G1347" s="30" t="s">
        <v>5427</v>
      </c>
      <c r="H1347" s="30">
        <v>2017</v>
      </c>
      <c r="I1347" s="30">
        <v>30931</v>
      </c>
      <c r="J1347" s="30" t="s">
        <v>5464</v>
      </c>
      <c r="K1347" s="30" t="s">
        <v>5588</v>
      </c>
    </row>
    <row r="1348" spans="1:11" ht="12.5" x14ac:dyDescent="0.25">
      <c r="A1348" s="30" t="s">
        <v>6317</v>
      </c>
      <c r="B1348" s="30" t="s">
        <v>6316</v>
      </c>
      <c r="C1348" s="32">
        <v>22.85</v>
      </c>
      <c r="D1348" s="30">
        <v>-0.23</v>
      </c>
      <c r="E1348" s="31">
        <v>-9.9699999999999997E-3</v>
      </c>
      <c r="F1348" s="30">
        <v>1087551622</v>
      </c>
      <c r="G1348" s="30" t="s">
        <v>5427</v>
      </c>
      <c r="H1348" s="30">
        <v>2003</v>
      </c>
      <c r="I1348" s="30">
        <v>130077</v>
      </c>
      <c r="J1348" s="30" t="s">
        <v>5435</v>
      </c>
      <c r="K1348" s="30" t="s">
        <v>5434</v>
      </c>
    </row>
    <row r="1349" spans="1:11" ht="12.5" x14ac:dyDescent="0.25">
      <c r="A1349" s="30" t="s">
        <v>6315</v>
      </c>
      <c r="B1349" s="30" t="s">
        <v>6314</v>
      </c>
      <c r="C1349" s="32">
        <v>139.16</v>
      </c>
      <c r="D1349" s="30">
        <v>-0.43</v>
      </c>
      <c r="E1349" s="31">
        <v>-3.0799999999999998E-3</v>
      </c>
      <c r="F1349" s="30">
        <v>2617860386</v>
      </c>
      <c r="G1349" s="30" t="s">
        <v>5427</v>
      </c>
      <c r="H1349" s="30">
        <v>1960</v>
      </c>
      <c r="I1349" s="30">
        <v>250997</v>
      </c>
      <c r="J1349" s="30" t="s">
        <v>5219</v>
      </c>
      <c r="K1349" s="30" t="s">
        <v>5644</v>
      </c>
    </row>
    <row r="1350" spans="1:11" ht="12.5" x14ac:dyDescent="0.25">
      <c r="A1350" s="30" t="s">
        <v>6313</v>
      </c>
      <c r="B1350" s="30" t="s">
        <v>6312</v>
      </c>
      <c r="C1350" s="32">
        <v>282.87</v>
      </c>
      <c r="D1350" s="30">
        <v>0.84</v>
      </c>
      <c r="E1350" s="31">
        <v>2.98E-3</v>
      </c>
      <c r="F1350" s="30">
        <v>32468510783</v>
      </c>
      <c r="G1350" s="30" t="s">
        <v>5427</v>
      </c>
      <c r="H1350" s="30"/>
      <c r="I1350" s="30">
        <v>831685</v>
      </c>
      <c r="J1350" s="30" t="s">
        <v>5457</v>
      </c>
      <c r="K1350" s="30" t="s">
        <v>5644</v>
      </c>
    </row>
    <row r="1351" spans="1:11" ht="12.5" x14ac:dyDescent="0.25">
      <c r="A1351" s="30" t="s">
        <v>6311</v>
      </c>
      <c r="B1351" s="30" t="s">
        <v>6310</v>
      </c>
      <c r="C1351" s="32">
        <v>36.340000000000003</v>
      </c>
      <c r="D1351" s="30">
        <v>-0.06</v>
      </c>
      <c r="E1351" s="31">
        <v>-1.65E-3</v>
      </c>
      <c r="F1351" s="30">
        <v>17896448324</v>
      </c>
      <c r="G1351" s="30" t="s">
        <v>5427</v>
      </c>
      <c r="H1351" s="30"/>
      <c r="I1351" s="30">
        <v>1202231</v>
      </c>
      <c r="J1351" s="30" t="s">
        <v>5442</v>
      </c>
      <c r="K1351" s="30" t="s">
        <v>5438</v>
      </c>
    </row>
    <row r="1352" spans="1:11" ht="12.5" x14ac:dyDescent="0.25">
      <c r="A1352" s="30" t="s">
        <v>6309</v>
      </c>
      <c r="B1352" s="30" t="s">
        <v>6308</v>
      </c>
      <c r="C1352" s="32">
        <v>433.91</v>
      </c>
      <c r="D1352" s="30">
        <v>7.16</v>
      </c>
      <c r="E1352" s="31">
        <v>1.678E-2</v>
      </c>
      <c r="F1352" s="30">
        <v>46017046751</v>
      </c>
      <c r="G1352" s="30" t="s">
        <v>5427</v>
      </c>
      <c r="H1352" s="30">
        <v>1992</v>
      </c>
      <c r="I1352" s="30">
        <v>832943</v>
      </c>
      <c r="J1352" s="30" t="s">
        <v>5457</v>
      </c>
      <c r="K1352" s="30" t="s">
        <v>5487</v>
      </c>
    </row>
    <row r="1353" spans="1:11" ht="12.5" x14ac:dyDescent="0.25">
      <c r="A1353" s="30" t="s">
        <v>6307</v>
      </c>
      <c r="B1353" s="30" t="s">
        <v>6306</v>
      </c>
      <c r="C1353" s="32">
        <v>90.84</v>
      </c>
      <c r="D1353" s="30">
        <v>0.93</v>
      </c>
      <c r="E1353" s="31">
        <v>1.034E-2</v>
      </c>
      <c r="F1353" s="30">
        <v>11726539143</v>
      </c>
      <c r="G1353" s="30" t="s">
        <v>5427</v>
      </c>
      <c r="H1353" s="30"/>
      <c r="I1353" s="30">
        <v>567947</v>
      </c>
      <c r="J1353" s="30" t="s">
        <v>5442</v>
      </c>
      <c r="K1353" s="30" t="s">
        <v>6204</v>
      </c>
    </row>
    <row r="1354" spans="1:11" ht="12.5" x14ac:dyDescent="0.25">
      <c r="A1354" s="30" t="s">
        <v>6305</v>
      </c>
      <c r="B1354" s="30" t="s">
        <v>6304</v>
      </c>
      <c r="C1354" s="32">
        <v>10.6</v>
      </c>
      <c r="D1354" s="30">
        <v>0.12</v>
      </c>
      <c r="E1354" s="31">
        <v>1.145E-2</v>
      </c>
      <c r="F1354" s="30">
        <v>903640121</v>
      </c>
      <c r="G1354" s="30" t="s">
        <v>5427</v>
      </c>
      <c r="H1354" s="30"/>
      <c r="I1354" s="30">
        <v>565021</v>
      </c>
      <c r="J1354" s="30" t="s">
        <v>5197</v>
      </c>
      <c r="K1354" s="30" t="s">
        <v>5467</v>
      </c>
    </row>
    <row r="1355" spans="1:11" ht="12.5" x14ac:dyDescent="0.25">
      <c r="A1355" s="30" t="s">
        <v>6303</v>
      </c>
      <c r="B1355" s="30" t="s">
        <v>6302</v>
      </c>
      <c r="C1355" s="32">
        <v>13.59</v>
      </c>
      <c r="D1355" s="30">
        <v>0.1</v>
      </c>
      <c r="E1355" s="31">
        <v>7.4099999999999999E-3</v>
      </c>
      <c r="F1355" s="30">
        <v>1825142545</v>
      </c>
      <c r="G1355" s="30" t="s">
        <v>5427</v>
      </c>
      <c r="H1355" s="30">
        <v>2002</v>
      </c>
      <c r="I1355" s="30">
        <v>518886</v>
      </c>
      <c r="J1355" s="30" t="s">
        <v>5435</v>
      </c>
      <c r="K1355" s="30" t="s">
        <v>5568</v>
      </c>
    </row>
    <row r="1356" spans="1:11" ht="12.5" x14ac:dyDescent="0.25">
      <c r="A1356" s="30" t="s">
        <v>6301</v>
      </c>
      <c r="B1356" s="30" t="s">
        <v>6300</v>
      </c>
      <c r="C1356" s="32">
        <v>24.33</v>
      </c>
      <c r="D1356" s="30">
        <v>-0.69</v>
      </c>
      <c r="E1356" s="31">
        <v>-2.758E-2</v>
      </c>
      <c r="F1356" s="30">
        <v>5878983321</v>
      </c>
      <c r="G1356" s="30" t="s">
        <v>5427</v>
      </c>
      <c r="H1356" s="30"/>
      <c r="I1356" s="30">
        <v>3252684</v>
      </c>
      <c r="J1356" s="30" t="s">
        <v>5464</v>
      </c>
      <c r="K1356" s="30" t="s">
        <v>5463</v>
      </c>
    </row>
    <row r="1357" spans="1:11" ht="12.5" x14ac:dyDescent="0.25">
      <c r="A1357" s="30" t="s">
        <v>6299</v>
      </c>
      <c r="B1357" s="30" t="s">
        <v>6298</v>
      </c>
      <c r="C1357" s="32">
        <v>142.72999999999999</v>
      </c>
      <c r="D1357" s="30">
        <v>3.53</v>
      </c>
      <c r="E1357" s="31">
        <v>2.5360000000000001E-2</v>
      </c>
      <c r="F1357" s="30">
        <v>9441766342</v>
      </c>
      <c r="G1357" s="30" t="s">
        <v>5427</v>
      </c>
      <c r="H1357" s="30">
        <v>1976</v>
      </c>
      <c r="I1357" s="30">
        <v>1098918</v>
      </c>
      <c r="J1357" s="30" t="s">
        <v>5442</v>
      </c>
      <c r="K1357" s="30" t="s">
        <v>5634</v>
      </c>
    </row>
    <row r="1358" spans="1:11" ht="12.5" x14ac:dyDescent="0.25">
      <c r="A1358" s="30" t="s">
        <v>6297</v>
      </c>
      <c r="B1358" s="30" t="s">
        <v>6296</v>
      </c>
      <c r="C1358" s="32">
        <v>231.31</v>
      </c>
      <c r="D1358" s="30">
        <v>3.86</v>
      </c>
      <c r="E1358" s="31">
        <v>1.6969999999999999E-2</v>
      </c>
      <c r="F1358" s="30">
        <v>13575792773</v>
      </c>
      <c r="G1358" s="30" t="s">
        <v>5427</v>
      </c>
      <c r="H1358" s="30">
        <v>1994</v>
      </c>
      <c r="I1358" s="30">
        <v>290875</v>
      </c>
      <c r="J1358" s="30" t="s">
        <v>5457</v>
      </c>
      <c r="K1358" s="30" t="s">
        <v>5472</v>
      </c>
    </row>
    <row r="1359" spans="1:11" ht="12.5" x14ac:dyDescent="0.25">
      <c r="A1359" s="30" t="s">
        <v>6295</v>
      </c>
      <c r="B1359" s="30" t="s">
        <v>6294</v>
      </c>
      <c r="C1359" s="32">
        <v>124.79</v>
      </c>
      <c r="D1359" s="30">
        <v>-0.03</v>
      </c>
      <c r="E1359" s="31">
        <v>-2.4000000000000001E-4</v>
      </c>
      <c r="F1359" s="30">
        <v>39433756803</v>
      </c>
      <c r="G1359" s="30" t="s">
        <v>5427</v>
      </c>
      <c r="H1359" s="30">
        <v>1998</v>
      </c>
      <c r="I1359" s="30">
        <v>2259492</v>
      </c>
      <c r="J1359" s="30" t="s">
        <v>5426</v>
      </c>
      <c r="K1359" s="30" t="s">
        <v>5425</v>
      </c>
    </row>
    <row r="1360" spans="1:11" ht="12.5" x14ac:dyDescent="0.25">
      <c r="A1360" s="30" t="s">
        <v>6293</v>
      </c>
      <c r="B1360" s="30" t="s">
        <v>6292</v>
      </c>
      <c r="C1360" s="32">
        <v>98.42</v>
      </c>
      <c r="D1360" s="30">
        <v>-1.43</v>
      </c>
      <c r="E1360" s="31">
        <v>-1.4319999999999999E-2</v>
      </c>
      <c r="F1360" s="30">
        <v>144683381476</v>
      </c>
      <c r="G1360" s="30" t="s">
        <v>5427</v>
      </c>
      <c r="H1360" s="30"/>
      <c r="I1360" s="30">
        <v>5154269</v>
      </c>
      <c r="J1360" s="30" t="s">
        <v>5457</v>
      </c>
      <c r="K1360" s="30" t="s">
        <v>5701</v>
      </c>
    </row>
    <row r="1361" spans="1:11" ht="12.5" x14ac:dyDescent="0.25">
      <c r="A1361" s="30" t="s">
        <v>6291</v>
      </c>
      <c r="B1361" s="30" t="s">
        <v>6290</v>
      </c>
      <c r="C1361" s="32">
        <v>14.91</v>
      </c>
      <c r="D1361" s="30">
        <v>0.28999999999999998</v>
      </c>
      <c r="E1361" s="31">
        <v>1.984E-2</v>
      </c>
      <c r="F1361" s="30">
        <v>1609634621</v>
      </c>
      <c r="G1361" s="30" t="s">
        <v>5427</v>
      </c>
      <c r="H1361" s="30">
        <v>1986</v>
      </c>
      <c r="I1361" s="30">
        <v>276345</v>
      </c>
      <c r="J1361" s="30" t="s">
        <v>5435</v>
      </c>
      <c r="K1361" s="30" t="s">
        <v>5568</v>
      </c>
    </row>
    <row r="1362" spans="1:11" ht="12.5" x14ac:dyDescent="0.25">
      <c r="A1362" s="30" t="s">
        <v>6289</v>
      </c>
      <c r="B1362" s="30" t="s">
        <v>6288</v>
      </c>
      <c r="C1362" s="32">
        <v>8.56</v>
      </c>
      <c r="D1362" s="30">
        <v>0.2</v>
      </c>
      <c r="E1362" s="31">
        <v>2.392E-2</v>
      </c>
      <c r="F1362" s="30">
        <v>971560000</v>
      </c>
      <c r="G1362" s="30" t="s">
        <v>5427</v>
      </c>
      <c r="H1362" s="30">
        <v>1995</v>
      </c>
      <c r="I1362" s="30">
        <v>1374277</v>
      </c>
      <c r="J1362" s="30" t="s">
        <v>5197</v>
      </c>
      <c r="K1362" s="30" t="s">
        <v>5467</v>
      </c>
    </row>
    <row r="1363" spans="1:11" ht="12.5" x14ac:dyDescent="0.25">
      <c r="A1363" s="30" t="s">
        <v>6287</v>
      </c>
      <c r="B1363" s="30" t="s">
        <v>6286</v>
      </c>
      <c r="C1363" s="32">
        <v>102.72</v>
      </c>
      <c r="D1363" s="30">
        <v>0.36</v>
      </c>
      <c r="E1363" s="31">
        <v>3.5200000000000001E-3</v>
      </c>
      <c r="F1363" s="30">
        <v>142048049653</v>
      </c>
      <c r="G1363" s="30" t="s">
        <v>5515</v>
      </c>
      <c r="H1363" s="30"/>
      <c r="I1363" s="30">
        <v>954324</v>
      </c>
      <c r="J1363" s="30"/>
      <c r="K1363" s="30"/>
    </row>
    <row r="1364" spans="1:11" ht="12.5" x14ac:dyDescent="0.25">
      <c r="A1364" s="30" t="s">
        <v>6285</v>
      </c>
      <c r="B1364" s="30" t="s">
        <v>6284</v>
      </c>
      <c r="C1364" s="32">
        <v>7.21</v>
      </c>
      <c r="D1364" s="30">
        <v>0.28000000000000003</v>
      </c>
      <c r="E1364" s="31">
        <v>4.0399999999999998E-2</v>
      </c>
      <c r="F1364" s="30">
        <v>461232107</v>
      </c>
      <c r="G1364" s="30" t="s">
        <v>5427</v>
      </c>
      <c r="H1364" s="30">
        <v>2014</v>
      </c>
      <c r="I1364" s="30">
        <v>749606</v>
      </c>
      <c r="J1364" s="30" t="s">
        <v>5457</v>
      </c>
      <c r="K1364" s="30" t="s">
        <v>5438</v>
      </c>
    </row>
    <row r="1365" spans="1:11" ht="12.5" x14ac:dyDescent="0.25">
      <c r="A1365" s="30" t="s">
        <v>6283</v>
      </c>
      <c r="B1365" s="30" t="s">
        <v>6282</v>
      </c>
      <c r="C1365" s="32">
        <v>39.17</v>
      </c>
      <c r="D1365" s="30">
        <v>1</v>
      </c>
      <c r="E1365" s="31">
        <v>2.6200000000000001E-2</v>
      </c>
      <c r="F1365" s="30">
        <v>1449794353</v>
      </c>
      <c r="G1365" s="30" t="s">
        <v>5427</v>
      </c>
      <c r="H1365" s="30">
        <v>2014</v>
      </c>
      <c r="I1365" s="30">
        <v>195086</v>
      </c>
      <c r="J1365" s="30" t="s">
        <v>5457</v>
      </c>
      <c r="K1365" s="30" t="s">
        <v>5487</v>
      </c>
    </row>
    <row r="1366" spans="1:11" ht="12.5" x14ac:dyDescent="0.25">
      <c r="A1366" s="30" t="s">
        <v>6281</v>
      </c>
      <c r="B1366" s="30" t="s">
        <v>6280</v>
      </c>
      <c r="C1366" s="32">
        <v>36.9</v>
      </c>
      <c r="D1366" s="30">
        <v>0.51</v>
      </c>
      <c r="E1366" s="31">
        <v>1.401E-2</v>
      </c>
      <c r="F1366" s="30">
        <v>5403049807</v>
      </c>
      <c r="G1366" s="30" t="s">
        <v>5427</v>
      </c>
      <c r="H1366" s="30"/>
      <c r="I1366" s="30">
        <v>724574</v>
      </c>
      <c r="J1366" s="30" t="s">
        <v>5197</v>
      </c>
      <c r="K1366" s="30" t="s">
        <v>5467</v>
      </c>
    </row>
    <row r="1367" spans="1:11" ht="12.5" x14ac:dyDescent="0.25">
      <c r="A1367" s="30" t="s">
        <v>6279</v>
      </c>
      <c r="B1367" s="30" t="s">
        <v>6278</v>
      </c>
      <c r="C1367" s="32">
        <v>15.82</v>
      </c>
      <c r="D1367" s="30">
        <v>0.73</v>
      </c>
      <c r="E1367" s="31">
        <v>4.8379999999999999E-2</v>
      </c>
      <c r="F1367" s="30">
        <v>4471961040</v>
      </c>
      <c r="G1367" s="30" t="s">
        <v>5427</v>
      </c>
      <c r="H1367" s="30">
        <v>2021</v>
      </c>
      <c r="I1367" s="30">
        <v>6166561</v>
      </c>
      <c r="J1367" s="30" t="s">
        <v>5219</v>
      </c>
      <c r="K1367" s="30" t="s">
        <v>5447</v>
      </c>
    </row>
    <row r="1368" spans="1:11" ht="12.5" x14ac:dyDescent="0.25">
      <c r="A1368" s="30" t="s">
        <v>6277</v>
      </c>
      <c r="B1368" s="30" t="s">
        <v>6276</v>
      </c>
      <c r="C1368" s="32">
        <v>13.48</v>
      </c>
      <c r="D1368" s="30">
        <v>0.32</v>
      </c>
      <c r="E1368" s="31">
        <v>2.4320000000000001E-2</v>
      </c>
      <c r="F1368" s="30">
        <v>1083773991</v>
      </c>
      <c r="G1368" s="30" t="s">
        <v>5515</v>
      </c>
      <c r="H1368" s="30"/>
      <c r="I1368" s="30">
        <v>203367</v>
      </c>
      <c r="J1368" s="30"/>
      <c r="K1368" s="30"/>
    </row>
    <row r="1369" spans="1:11" ht="12.5" x14ac:dyDescent="0.25">
      <c r="A1369" s="30" t="s">
        <v>6275</v>
      </c>
      <c r="B1369" s="30" t="s">
        <v>6274</v>
      </c>
      <c r="C1369" s="32">
        <v>35.33</v>
      </c>
      <c r="D1369" s="30">
        <v>0.37</v>
      </c>
      <c r="E1369" s="31">
        <v>1.0580000000000001E-2</v>
      </c>
      <c r="F1369" s="30">
        <v>2197082008</v>
      </c>
      <c r="G1369" s="30" t="s">
        <v>5427</v>
      </c>
      <c r="H1369" s="30">
        <v>2017</v>
      </c>
      <c r="I1369" s="30">
        <v>250278</v>
      </c>
      <c r="J1369" s="30" t="s">
        <v>5197</v>
      </c>
      <c r="K1369" s="30" t="s">
        <v>5467</v>
      </c>
    </row>
    <row r="1370" spans="1:11" ht="12.5" x14ac:dyDescent="0.25">
      <c r="A1370" s="30" t="s">
        <v>6273</v>
      </c>
      <c r="B1370" s="30" t="s">
        <v>6272</v>
      </c>
      <c r="C1370" s="32">
        <v>55.66</v>
      </c>
      <c r="D1370" s="30">
        <v>1.95</v>
      </c>
      <c r="E1370" s="31">
        <v>3.6310000000000002E-2</v>
      </c>
      <c r="F1370" s="30">
        <v>2035920404</v>
      </c>
      <c r="G1370" s="30" t="s">
        <v>5427</v>
      </c>
      <c r="H1370" s="30">
        <v>1997</v>
      </c>
      <c r="I1370" s="30">
        <v>322920</v>
      </c>
      <c r="J1370" s="30" t="s">
        <v>5442</v>
      </c>
      <c r="K1370" s="30" t="s">
        <v>5508</v>
      </c>
    </row>
    <row r="1371" spans="1:11" ht="12.5" x14ac:dyDescent="0.25">
      <c r="A1371" s="30" t="s">
        <v>6271</v>
      </c>
      <c r="B1371" s="30" t="s">
        <v>6270</v>
      </c>
      <c r="C1371" s="32">
        <v>401.73</v>
      </c>
      <c r="D1371" s="30">
        <v>13.12</v>
      </c>
      <c r="E1371" s="31">
        <v>3.3759999999999998E-2</v>
      </c>
      <c r="F1371" s="30">
        <v>4939325387</v>
      </c>
      <c r="G1371" s="30" t="s">
        <v>5427</v>
      </c>
      <c r="H1371" s="30"/>
      <c r="I1371" s="30">
        <v>159087</v>
      </c>
      <c r="J1371" s="30" t="s">
        <v>5541</v>
      </c>
      <c r="K1371" s="30" t="s">
        <v>5997</v>
      </c>
    </row>
    <row r="1372" spans="1:11" ht="12.5" x14ac:dyDescent="0.25">
      <c r="A1372" s="30" t="s">
        <v>6269</v>
      </c>
      <c r="B1372" s="30" t="s">
        <v>6268</v>
      </c>
      <c r="C1372" s="32">
        <v>3.51</v>
      </c>
      <c r="D1372" s="30">
        <v>0.06</v>
      </c>
      <c r="E1372" s="31">
        <v>1.7389999999999999E-2</v>
      </c>
      <c r="F1372" s="30">
        <v>58822388598</v>
      </c>
      <c r="G1372" s="30" t="s">
        <v>5605</v>
      </c>
      <c r="H1372" s="30"/>
      <c r="I1372" s="30">
        <v>7371877</v>
      </c>
      <c r="J1372" s="30" t="s">
        <v>5435</v>
      </c>
      <c r="K1372" s="30" t="s">
        <v>5582</v>
      </c>
    </row>
    <row r="1373" spans="1:11" ht="12.5" x14ac:dyDescent="0.25">
      <c r="A1373" s="30" t="s">
        <v>6267</v>
      </c>
      <c r="B1373" s="30" t="s">
        <v>6266</v>
      </c>
      <c r="C1373" s="32">
        <v>5.86</v>
      </c>
      <c r="D1373" s="30">
        <v>7.0000000000000007E-2</v>
      </c>
      <c r="E1373" s="31">
        <v>1.209E-2</v>
      </c>
      <c r="F1373" s="30">
        <v>1747333399</v>
      </c>
      <c r="G1373" s="30" t="s">
        <v>5515</v>
      </c>
      <c r="H1373" s="30"/>
      <c r="I1373" s="30">
        <v>2179274</v>
      </c>
      <c r="J1373" s="30"/>
      <c r="K1373" s="30"/>
    </row>
    <row r="1374" spans="1:11" ht="12.5" x14ac:dyDescent="0.25">
      <c r="A1374" s="30" t="s">
        <v>6265</v>
      </c>
      <c r="B1374" s="30" t="s">
        <v>6264</v>
      </c>
      <c r="C1374" s="32">
        <v>121.03</v>
      </c>
      <c r="D1374" s="30">
        <v>2.5</v>
      </c>
      <c r="E1374" s="31">
        <v>2.1090000000000001E-2</v>
      </c>
      <c r="F1374" s="30">
        <v>141556688000</v>
      </c>
      <c r="G1374" s="30" t="s">
        <v>6263</v>
      </c>
      <c r="H1374" s="30"/>
      <c r="I1374" s="30">
        <v>853936</v>
      </c>
      <c r="J1374" s="30" t="s">
        <v>5219</v>
      </c>
      <c r="K1374" s="30" t="s">
        <v>5447</v>
      </c>
    </row>
    <row r="1375" spans="1:11" ht="12.5" x14ac:dyDescent="0.25">
      <c r="A1375" s="30" t="s">
        <v>6262</v>
      </c>
      <c r="B1375" s="30" t="s">
        <v>6261</v>
      </c>
      <c r="C1375" s="32">
        <v>27.04</v>
      </c>
      <c r="D1375" s="30">
        <v>0.09</v>
      </c>
      <c r="E1375" s="31">
        <v>3.3400000000000001E-3</v>
      </c>
      <c r="F1375" s="30">
        <v>321519120</v>
      </c>
      <c r="G1375" s="30" t="s">
        <v>5427</v>
      </c>
      <c r="H1375" s="30"/>
      <c r="I1375" s="30">
        <v>41962</v>
      </c>
      <c r="J1375" s="30" t="s">
        <v>5435</v>
      </c>
      <c r="K1375" s="30" t="s">
        <v>5434</v>
      </c>
    </row>
    <row r="1376" spans="1:11" ht="12.5" x14ac:dyDescent="0.25">
      <c r="A1376" s="30" t="s">
        <v>6260</v>
      </c>
      <c r="B1376" s="30" t="s">
        <v>6259</v>
      </c>
      <c r="C1376" s="32">
        <v>19.96</v>
      </c>
      <c r="D1376" s="30">
        <v>0.12</v>
      </c>
      <c r="E1376" s="31">
        <v>6.0499999999999998E-3</v>
      </c>
      <c r="F1376" s="30">
        <v>2172788954</v>
      </c>
      <c r="G1376" s="30" t="s">
        <v>5427</v>
      </c>
      <c r="H1376" s="30"/>
      <c r="I1376" s="30">
        <v>1187900</v>
      </c>
      <c r="J1376" s="30" t="s">
        <v>5442</v>
      </c>
      <c r="K1376" s="30" t="s">
        <v>5749</v>
      </c>
    </row>
    <row r="1377" spans="1:11" ht="12.5" x14ac:dyDescent="0.25">
      <c r="A1377" s="30" t="s">
        <v>6258</v>
      </c>
      <c r="B1377" s="30" t="s">
        <v>6257</v>
      </c>
      <c r="C1377" s="32">
        <v>16.16</v>
      </c>
      <c r="D1377" s="30">
        <v>0.57999999999999996</v>
      </c>
      <c r="E1377" s="31">
        <v>3.7229999999999999E-2</v>
      </c>
      <c r="F1377" s="30">
        <v>1729809208</v>
      </c>
      <c r="G1377" s="30" t="s">
        <v>5427</v>
      </c>
      <c r="H1377" s="30"/>
      <c r="I1377" s="30">
        <v>1892038</v>
      </c>
      <c r="J1377" s="30" t="s">
        <v>5682</v>
      </c>
      <c r="K1377" s="30" t="s">
        <v>5746</v>
      </c>
    </row>
    <row r="1378" spans="1:11" ht="12.5" x14ac:dyDescent="0.25">
      <c r="A1378" s="30" t="s">
        <v>6256</v>
      </c>
      <c r="B1378" s="30" t="s">
        <v>6255</v>
      </c>
      <c r="C1378" s="32">
        <v>8.01</v>
      </c>
      <c r="D1378" s="30">
        <v>0.08</v>
      </c>
      <c r="E1378" s="31">
        <v>1.009E-2</v>
      </c>
      <c r="F1378" s="30">
        <v>112799343</v>
      </c>
      <c r="G1378" s="30" t="s">
        <v>5427</v>
      </c>
      <c r="H1378" s="30">
        <v>1992</v>
      </c>
      <c r="I1378" s="30">
        <v>45169</v>
      </c>
      <c r="J1378" s="30" t="s">
        <v>5435</v>
      </c>
      <c r="K1378" s="30" t="s">
        <v>5985</v>
      </c>
    </row>
    <row r="1379" spans="1:11" ht="12.5" x14ac:dyDescent="0.25">
      <c r="A1379" s="30" t="s">
        <v>6254</v>
      </c>
      <c r="B1379" s="30" t="s">
        <v>6253</v>
      </c>
      <c r="C1379" s="32">
        <v>84.87</v>
      </c>
      <c r="D1379" s="30">
        <v>-0.78</v>
      </c>
      <c r="E1379" s="31">
        <v>-9.11E-3</v>
      </c>
      <c r="F1379" s="30">
        <v>1237349010</v>
      </c>
      <c r="G1379" s="30" t="s">
        <v>5427</v>
      </c>
      <c r="H1379" s="30"/>
      <c r="I1379" s="30">
        <v>93021</v>
      </c>
      <c r="J1379" s="30" t="s">
        <v>5464</v>
      </c>
      <c r="K1379" s="30" t="s">
        <v>5463</v>
      </c>
    </row>
    <row r="1380" spans="1:11" ht="12.5" x14ac:dyDescent="0.25">
      <c r="A1380" s="30" t="s">
        <v>6252</v>
      </c>
      <c r="B1380" s="30" t="s">
        <v>6251</v>
      </c>
      <c r="C1380" s="32">
        <v>78.37</v>
      </c>
      <c r="D1380" s="30">
        <v>3.16</v>
      </c>
      <c r="E1380" s="31">
        <v>4.2020000000000002E-2</v>
      </c>
      <c r="F1380" s="30">
        <v>60587727016</v>
      </c>
      <c r="G1380" s="30" t="s">
        <v>5427</v>
      </c>
      <c r="H1380" s="30"/>
      <c r="I1380" s="30">
        <v>1842874</v>
      </c>
      <c r="J1380" s="30" t="s">
        <v>6250</v>
      </c>
      <c r="K1380" s="30" t="s">
        <v>6249</v>
      </c>
    </row>
    <row r="1381" spans="1:11" ht="12.5" x14ac:dyDescent="0.25">
      <c r="A1381" s="30" t="s">
        <v>6248</v>
      </c>
      <c r="B1381" s="30" t="s">
        <v>6247</v>
      </c>
      <c r="C1381" s="32">
        <v>12.74</v>
      </c>
      <c r="D1381" s="30">
        <v>0.1</v>
      </c>
      <c r="E1381" s="31">
        <v>7.9100000000000004E-3</v>
      </c>
      <c r="F1381" s="30">
        <v>222550639</v>
      </c>
      <c r="G1381" s="30" t="s">
        <v>5427</v>
      </c>
      <c r="H1381" s="30">
        <v>2004</v>
      </c>
      <c r="I1381" s="30">
        <v>52811</v>
      </c>
      <c r="J1381" s="30" t="s">
        <v>5435</v>
      </c>
      <c r="K1381" s="30" t="s">
        <v>5568</v>
      </c>
    </row>
    <row r="1382" spans="1:11" ht="12.5" x14ac:dyDescent="0.25">
      <c r="A1382" s="30" t="s">
        <v>6246</v>
      </c>
      <c r="B1382" s="30" t="s">
        <v>6245</v>
      </c>
      <c r="C1382" s="32">
        <v>78.25</v>
      </c>
      <c r="D1382" s="30">
        <v>0.83</v>
      </c>
      <c r="E1382" s="31">
        <v>1.072E-2</v>
      </c>
      <c r="F1382" s="30">
        <v>146072355859</v>
      </c>
      <c r="G1382" s="30" t="s">
        <v>5427</v>
      </c>
      <c r="H1382" s="30"/>
      <c r="I1382" s="30">
        <v>9718105</v>
      </c>
      <c r="J1382" s="30" t="s">
        <v>5435</v>
      </c>
      <c r="K1382" s="30" t="s">
        <v>6221</v>
      </c>
    </row>
    <row r="1383" spans="1:11" ht="12.5" x14ac:dyDescent="0.25">
      <c r="A1383" s="30" t="s">
        <v>6244</v>
      </c>
      <c r="B1383" s="30" t="s">
        <v>6243</v>
      </c>
      <c r="C1383" s="32">
        <v>74.25</v>
      </c>
      <c r="D1383" s="30">
        <v>0.1</v>
      </c>
      <c r="E1383" s="31">
        <v>1.3500000000000001E-3</v>
      </c>
      <c r="F1383" s="30">
        <v>11420059266</v>
      </c>
      <c r="G1383" s="30" t="s">
        <v>5427</v>
      </c>
      <c r="H1383" s="30"/>
      <c r="I1383" s="30">
        <v>1126076</v>
      </c>
      <c r="J1383" s="30" t="s">
        <v>5442</v>
      </c>
      <c r="K1383" s="30" t="s">
        <v>5914</v>
      </c>
    </row>
    <row r="1384" spans="1:11" ht="12.5" x14ac:dyDescent="0.25">
      <c r="A1384" s="30" t="s">
        <v>6242</v>
      </c>
      <c r="B1384" s="30" t="s">
        <v>6241</v>
      </c>
      <c r="C1384" s="32">
        <v>112.12</v>
      </c>
      <c r="D1384" s="30">
        <v>2.2799999999999998</v>
      </c>
      <c r="E1384" s="31">
        <v>2.0760000000000001E-2</v>
      </c>
      <c r="F1384" s="30">
        <v>2492238117</v>
      </c>
      <c r="G1384" s="30" t="s">
        <v>5427</v>
      </c>
      <c r="H1384" s="30"/>
      <c r="I1384" s="30">
        <v>78388</v>
      </c>
      <c r="J1384" s="30" t="s">
        <v>5442</v>
      </c>
      <c r="K1384" s="30" t="s">
        <v>6240</v>
      </c>
    </row>
    <row r="1385" spans="1:11" ht="12.5" x14ac:dyDescent="0.25">
      <c r="A1385" s="30" t="s">
        <v>6239</v>
      </c>
      <c r="B1385" s="30" t="s">
        <v>6238</v>
      </c>
      <c r="C1385" s="32">
        <v>14.32</v>
      </c>
      <c r="D1385" s="30">
        <v>0.06</v>
      </c>
      <c r="E1385" s="31">
        <v>4.2100000000000002E-3</v>
      </c>
      <c r="F1385" s="30">
        <v>279897789</v>
      </c>
      <c r="G1385" s="30" t="s">
        <v>5427</v>
      </c>
      <c r="H1385" s="30">
        <v>2012</v>
      </c>
      <c r="I1385" s="30">
        <v>142936</v>
      </c>
      <c r="J1385" s="30" t="s">
        <v>5435</v>
      </c>
      <c r="K1385" s="30" t="s">
        <v>5985</v>
      </c>
    </row>
    <row r="1386" spans="1:11" ht="12.5" x14ac:dyDescent="0.25">
      <c r="A1386" s="30" t="s">
        <v>6237</v>
      </c>
      <c r="B1386" s="30" t="s">
        <v>6236</v>
      </c>
      <c r="C1386" s="32">
        <v>7.8</v>
      </c>
      <c r="D1386" s="30">
        <v>0</v>
      </c>
      <c r="E1386" s="31">
        <v>0</v>
      </c>
      <c r="F1386" s="30">
        <v>881289731</v>
      </c>
      <c r="G1386" s="30" t="s">
        <v>5427</v>
      </c>
      <c r="H1386" s="30">
        <v>1998</v>
      </c>
      <c r="I1386" s="30">
        <v>502021</v>
      </c>
      <c r="J1386" s="30" t="s">
        <v>5442</v>
      </c>
      <c r="K1386" s="30" t="s">
        <v>5487</v>
      </c>
    </row>
    <row r="1387" spans="1:11" ht="12.5" x14ac:dyDescent="0.25">
      <c r="A1387" s="30" t="s">
        <v>6235</v>
      </c>
      <c r="B1387" s="30" t="s">
        <v>6234</v>
      </c>
      <c r="C1387" s="32">
        <v>9.5299999999999994</v>
      </c>
      <c r="D1387" s="30">
        <v>0.24</v>
      </c>
      <c r="E1387" s="31">
        <v>2.5829999999999999E-2</v>
      </c>
      <c r="F1387" s="30">
        <v>227985513</v>
      </c>
      <c r="G1387" s="30" t="s">
        <v>5427</v>
      </c>
      <c r="H1387" s="30"/>
      <c r="I1387" s="30">
        <v>116638</v>
      </c>
      <c r="J1387" s="30" t="s">
        <v>5435</v>
      </c>
      <c r="K1387" s="30" t="s">
        <v>5434</v>
      </c>
    </row>
    <row r="1388" spans="1:11" ht="12.5" x14ac:dyDescent="0.25">
      <c r="A1388" s="30" t="s">
        <v>6233</v>
      </c>
      <c r="B1388" s="30" t="s">
        <v>6232</v>
      </c>
      <c r="C1388" s="32">
        <v>8.34</v>
      </c>
      <c r="D1388" s="30">
        <v>9.9000000000000008E-3</v>
      </c>
      <c r="E1388" s="31">
        <v>1.1900000000000001E-3</v>
      </c>
      <c r="F1388" s="30">
        <v>61569266</v>
      </c>
      <c r="G1388" s="30" t="s">
        <v>5427</v>
      </c>
      <c r="H1388" s="30"/>
      <c r="I1388" s="30">
        <v>3409</v>
      </c>
      <c r="J1388" s="30" t="s">
        <v>5442</v>
      </c>
      <c r="K1388" s="30" t="s">
        <v>5894</v>
      </c>
    </row>
    <row r="1389" spans="1:11" ht="12.5" x14ac:dyDescent="0.25">
      <c r="A1389" s="30" t="s">
        <v>6231</v>
      </c>
      <c r="B1389" s="30" t="s">
        <v>6230</v>
      </c>
      <c r="C1389" s="32">
        <v>68.95</v>
      </c>
      <c r="D1389" s="30">
        <v>4.5</v>
      </c>
      <c r="E1389" s="31">
        <v>6.9819999999999993E-2</v>
      </c>
      <c r="F1389" s="30">
        <v>38731832342</v>
      </c>
      <c r="G1389" s="30" t="s">
        <v>5427</v>
      </c>
      <c r="H1389" s="30">
        <v>2017</v>
      </c>
      <c r="I1389" s="30">
        <v>4443235</v>
      </c>
      <c r="J1389" s="30" t="s">
        <v>5219</v>
      </c>
      <c r="K1389" s="30" t="s">
        <v>5560</v>
      </c>
    </row>
    <row r="1390" spans="1:11" ht="12.5" x14ac:dyDescent="0.25">
      <c r="A1390" s="30" t="s">
        <v>6229</v>
      </c>
      <c r="B1390" s="30" t="s">
        <v>6228</v>
      </c>
      <c r="C1390" s="32">
        <v>63.23</v>
      </c>
      <c r="D1390" s="30">
        <v>0.84</v>
      </c>
      <c r="E1390" s="31">
        <v>1.346E-2</v>
      </c>
      <c r="F1390" s="30">
        <v>4039544533</v>
      </c>
      <c r="G1390" s="30" t="s">
        <v>5427</v>
      </c>
      <c r="H1390" s="30">
        <v>2013</v>
      </c>
      <c r="I1390" s="30">
        <v>511867</v>
      </c>
      <c r="J1390" s="30" t="s">
        <v>5442</v>
      </c>
      <c r="K1390" s="30" t="s">
        <v>5450</v>
      </c>
    </row>
    <row r="1391" spans="1:11" ht="12.5" x14ac:dyDescent="0.25">
      <c r="A1391" s="30" t="s">
        <v>6227</v>
      </c>
      <c r="B1391" s="30" t="s">
        <v>6226</v>
      </c>
      <c r="C1391" s="32">
        <v>54.78</v>
      </c>
      <c r="D1391" s="30">
        <v>0.02</v>
      </c>
      <c r="E1391" s="31">
        <v>3.6999999999999999E-4</v>
      </c>
      <c r="F1391" s="30">
        <v>7924339055</v>
      </c>
      <c r="G1391" s="30" t="s">
        <v>5427</v>
      </c>
      <c r="H1391" s="30"/>
      <c r="I1391" s="30">
        <v>1140660</v>
      </c>
      <c r="J1391" s="30" t="s">
        <v>5457</v>
      </c>
      <c r="K1391" s="30" t="s">
        <v>6129</v>
      </c>
    </row>
    <row r="1392" spans="1:11" ht="12.5" x14ac:dyDescent="0.25">
      <c r="A1392" s="30" t="s">
        <v>6225</v>
      </c>
      <c r="B1392" s="30" t="s">
        <v>6224</v>
      </c>
      <c r="C1392" s="32">
        <v>29.69</v>
      </c>
      <c r="D1392" s="30">
        <v>0.62</v>
      </c>
      <c r="E1392" s="31">
        <v>2.1329999999999998E-2</v>
      </c>
      <c r="F1392" s="30">
        <v>3770143529</v>
      </c>
      <c r="G1392" s="30" t="s">
        <v>5427</v>
      </c>
      <c r="H1392" s="30">
        <v>2009</v>
      </c>
      <c r="I1392" s="30">
        <v>431172</v>
      </c>
      <c r="J1392" s="30" t="s">
        <v>5431</v>
      </c>
      <c r="K1392" s="30" t="s">
        <v>5785</v>
      </c>
    </row>
    <row r="1393" spans="1:11" ht="12.5" x14ac:dyDescent="0.25">
      <c r="A1393" s="30" t="s">
        <v>6223</v>
      </c>
      <c r="B1393" s="30" t="s">
        <v>6222</v>
      </c>
      <c r="C1393" s="32">
        <v>67.62</v>
      </c>
      <c r="D1393" s="30">
        <v>0.21</v>
      </c>
      <c r="E1393" s="31">
        <v>3.1199999999999999E-3</v>
      </c>
      <c r="F1393" s="30">
        <v>7123631760</v>
      </c>
      <c r="G1393" s="30" t="s">
        <v>5427</v>
      </c>
      <c r="H1393" s="30"/>
      <c r="I1393" s="30">
        <v>602636</v>
      </c>
      <c r="J1393" s="30" t="s">
        <v>5435</v>
      </c>
      <c r="K1393" s="30" t="s">
        <v>6221</v>
      </c>
    </row>
    <row r="1394" spans="1:11" ht="12.5" x14ac:dyDescent="0.25">
      <c r="A1394" s="30" t="s">
        <v>6220</v>
      </c>
      <c r="B1394" s="30" t="s">
        <v>6219</v>
      </c>
      <c r="C1394" s="32">
        <v>68.900000000000006</v>
      </c>
      <c r="D1394" s="30">
        <v>0.72</v>
      </c>
      <c r="E1394" s="31">
        <v>1.056E-2</v>
      </c>
      <c r="F1394" s="30">
        <v>3743097710</v>
      </c>
      <c r="G1394" s="30" t="s">
        <v>5427</v>
      </c>
      <c r="H1394" s="30"/>
      <c r="I1394" s="30">
        <v>223668</v>
      </c>
      <c r="J1394" s="30" t="s">
        <v>5435</v>
      </c>
      <c r="K1394" s="30" t="s">
        <v>5579</v>
      </c>
    </row>
    <row r="1395" spans="1:11" ht="12.5" x14ac:dyDescent="0.25">
      <c r="A1395" s="30" t="s">
        <v>6218</v>
      </c>
      <c r="B1395" s="30" t="s">
        <v>6217</v>
      </c>
      <c r="C1395" s="32">
        <v>11.59</v>
      </c>
      <c r="D1395" s="30">
        <v>-0.36</v>
      </c>
      <c r="E1395" s="31">
        <v>-3.0130000000000001E-2</v>
      </c>
      <c r="F1395" s="30">
        <v>414570823</v>
      </c>
      <c r="G1395" s="30" t="s">
        <v>5427</v>
      </c>
      <c r="H1395" s="30"/>
      <c r="I1395" s="30">
        <v>82652</v>
      </c>
      <c r="J1395" s="30" t="s">
        <v>5426</v>
      </c>
      <c r="K1395" s="30" t="s">
        <v>6032</v>
      </c>
    </row>
    <row r="1396" spans="1:11" ht="12.5" x14ac:dyDescent="0.25">
      <c r="A1396" s="30" t="s">
        <v>6216</v>
      </c>
      <c r="B1396" s="30" t="s">
        <v>6215</v>
      </c>
      <c r="C1396" s="32">
        <v>57.87</v>
      </c>
      <c r="D1396" s="30">
        <v>0.99</v>
      </c>
      <c r="E1396" s="31">
        <v>1.7409999999999998E-2</v>
      </c>
      <c r="F1396" s="30">
        <v>2273130070</v>
      </c>
      <c r="G1396" s="30" t="s">
        <v>5427</v>
      </c>
      <c r="H1396" s="30">
        <v>2015</v>
      </c>
      <c r="I1396" s="30">
        <v>633786</v>
      </c>
      <c r="J1396" s="30" t="s">
        <v>5442</v>
      </c>
      <c r="K1396" s="30" t="s">
        <v>5441</v>
      </c>
    </row>
    <row r="1397" spans="1:11" ht="12.5" x14ac:dyDescent="0.25">
      <c r="A1397" s="30" t="s">
        <v>6214</v>
      </c>
      <c r="B1397" s="30" t="s">
        <v>6213</v>
      </c>
      <c r="C1397" s="32">
        <v>58.32</v>
      </c>
      <c r="D1397" s="30">
        <v>-0.49</v>
      </c>
      <c r="E1397" s="31">
        <v>-8.3300000000000006E-3</v>
      </c>
      <c r="F1397" s="30">
        <v>203384190149</v>
      </c>
      <c r="G1397" s="30" t="s">
        <v>6073</v>
      </c>
      <c r="H1397" s="30">
        <v>2022</v>
      </c>
      <c r="I1397" s="30">
        <v>5280039</v>
      </c>
      <c r="J1397" s="30" t="s">
        <v>5464</v>
      </c>
      <c r="K1397" s="30" t="s">
        <v>5463</v>
      </c>
    </row>
    <row r="1398" spans="1:11" ht="12.5" x14ac:dyDescent="0.25">
      <c r="A1398" s="30" t="s">
        <v>6212</v>
      </c>
      <c r="B1398" s="30" t="s">
        <v>6211</v>
      </c>
      <c r="C1398" s="32">
        <v>35.090000000000003</v>
      </c>
      <c r="D1398" s="30">
        <v>1.07</v>
      </c>
      <c r="E1398" s="31">
        <v>3.1449999999999999E-2</v>
      </c>
      <c r="F1398" s="30">
        <v>17853038162</v>
      </c>
      <c r="G1398" s="30" t="s">
        <v>5583</v>
      </c>
      <c r="H1398" s="30"/>
      <c r="I1398" s="30">
        <v>108505</v>
      </c>
      <c r="J1398" s="30" t="s">
        <v>5435</v>
      </c>
      <c r="K1398" s="30" t="s">
        <v>5579</v>
      </c>
    </row>
    <row r="1399" spans="1:11" ht="12.5" x14ac:dyDescent="0.25">
      <c r="A1399" s="30" t="s">
        <v>6210</v>
      </c>
      <c r="B1399" s="30" t="s">
        <v>6209</v>
      </c>
      <c r="C1399" s="32">
        <v>11.04</v>
      </c>
      <c r="D1399" s="30">
        <v>0.05</v>
      </c>
      <c r="E1399" s="31">
        <v>4.5500000000000002E-3</v>
      </c>
      <c r="F1399" s="30">
        <v>2322810701</v>
      </c>
      <c r="G1399" s="30" t="s">
        <v>5427</v>
      </c>
      <c r="H1399" s="30">
        <v>2004</v>
      </c>
      <c r="I1399" s="30">
        <v>3058062</v>
      </c>
      <c r="J1399" s="30" t="s">
        <v>5197</v>
      </c>
      <c r="K1399" s="30" t="s">
        <v>5467</v>
      </c>
    </row>
    <row r="1400" spans="1:11" ht="12.5" x14ac:dyDescent="0.25">
      <c r="A1400" s="30" t="s">
        <v>6208</v>
      </c>
      <c r="B1400" s="30" t="s">
        <v>6207</v>
      </c>
      <c r="C1400" s="32">
        <v>50.26</v>
      </c>
      <c r="D1400" s="30">
        <v>0.99</v>
      </c>
      <c r="E1400" s="31">
        <v>2.009E-2</v>
      </c>
      <c r="F1400" s="30">
        <v>63935207464</v>
      </c>
      <c r="G1400" s="30" t="s">
        <v>5515</v>
      </c>
      <c r="H1400" s="30">
        <v>2015</v>
      </c>
      <c r="I1400" s="30">
        <v>26918008</v>
      </c>
      <c r="J1400" s="30"/>
      <c r="K1400" s="30"/>
    </row>
    <row r="1401" spans="1:11" ht="12.5" x14ac:dyDescent="0.25">
      <c r="A1401" s="30" t="s">
        <v>6206</v>
      </c>
      <c r="B1401" s="30" t="s">
        <v>6205</v>
      </c>
      <c r="C1401" s="32">
        <v>243.22</v>
      </c>
      <c r="D1401" s="30">
        <v>6.63</v>
      </c>
      <c r="E1401" s="31">
        <v>2.802E-2</v>
      </c>
      <c r="F1401" s="30">
        <v>63028861640</v>
      </c>
      <c r="G1401" s="30" t="s">
        <v>5427</v>
      </c>
      <c r="H1401" s="30"/>
      <c r="I1401" s="30">
        <v>1818075</v>
      </c>
      <c r="J1401" s="30" t="s">
        <v>5442</v>
      </c>
      <c r="K1401" s="30" t="s">
        <v>6204</v>
      </c>
    </row>
    <row r="1402" spans="1:11" ht="12.5" x14ac:dyDescent="0.25">
      <c r="A1402" s="30" t="s">
        <v>6203</v>
      </c>
      <c r="B1402" s="30" t="s">
        <v>6202</v>
      </c>
      <c r="C1402" s="32">
        <v>16.239999999999998</v>
      </c>
      <c r="D1402" s="30">
        <v>2</v>
      </c>
      <c r="E1402" s="31">
        <v>0.14044999999999999</v>
      </c>
      <c r="F1402" s="30">
        <v>514135713</v>
      </c>
      <c r="G1402" s="30" t="s">
        <v>5427</v>
      </c>
      <c r="H1402" s="30">
        <v>2019</v>
      </c>
      <c r="I1402" s="30">
        <v>13468687</v>
      </c>
      <c r="J1402" s="30"/>
      <c r="K1402" s="30"/>
    </row>
    <row r="1403" spans="1:11" ht="12.5" x14ac:dyDescent="0.25">
      <c r="A1403" s="30" t="s">
        <v>6201</v>
      </c>
      <c r="B1403" s="30" t="s">
        <v>6200</v>
      </c>
      <c r="C1403" s="32">
        <v>13.87</v>
      </c>
      <c r="D1403" s="30">
        <v>0.22</v>
      </c>
      <c r="E1403" s="31">
        <v>1.6119999999999999E-2</v>
      </c>
      <c r="F1403" s="30">
        <v>2947545934</v>
      </c>
      <c r="G1403" s="30" t="s">
        <v>5427</v>
      </c>
      <c r="H1403" s="30"/>
      <c r="I1403" s="30">
        <v>1771287</v>
      </c>
      <c r="J1403" s="30" t="s">
        <v>5197</v>
      </c>
      <c r="K1403" s="30" t="s">
        <v>5467</v>
      </c>
    </row>
    <row r="1404" spans="1:11" ht="12.5" x14ac:dyDescent="0.25">
      <c r="A1404" s="30" t="s">
        <v>6199</v>
      </c>
      <c r="B1404" s="30" t="s">
        <v>6198</v>
      </c>
      <c r="C1404" s="32">
        <v>153.84</v>
      </c>
      <c r="D1404" s="30">
        <v>2.33</v>
      </c>
      <c r="E1404" s="31">
        <v>1.538E-2</v>
      </c>
      <c r="F1404" s="30">
        <v>6938619521</v>
      </c>
      <c r="G1404" s="30" t="s">
        <v>5427</v>
      </c>
      <c r="H1404" s="30">
        <v>2016</v>
      </c>
      <c r="I1404" s="30">
        <v>513122</v>
      </c>
      <c r="J1404" s="30"/>
      <c r="K1404" s="30"/>
    </row>
    <row r="1405" spans="1:11" ht="12.5" x14ac:dyDescent="0.25">
      <c r="A1405" s="30" t="s">
        <v>6197</v>
      </c>
      <c r="B1405" s="30" t="s">
        <v>6196</v>
      </c>
      <c r="C1405" s="32">
        <v>27.41</v>
      </c>
      <c r="D1405" s="30">
        <v>0.56000000000000005</v>
      </c>
      <c r="E1405" s="31">
        <v>2.086E-2</v>
      </c>
      <c r="F1405" s="30">
        <v>2279319775</v>
      </c>
      <c r="G1405" s="30" t="s">
        <v>5427</v>
      </c>
      <c r="H1405" s="30"/>
      <c r="I1405" s="30">
        <v>1266650</v>
      </c>
      <c r="J1405" s="30" t="s">
        <v>5442</v>
      </c>
      <c r="K1405" s="30" t="s">
        <v>5450</v>
      </c>
    </row>
    <row r="1406" spans="1:11" ht="12.5" x14ac:dyDescent="0.25">
      <c r="A1406" s="30" t="s">
        <v>6195</v>
      </c>
      <c r="B1406" s="30" t="s">
        <v>6194</v>
      </c>
      <c r="C1406" s="32">
        <v>152.08000000000001</v>
      </c>
      <c r="D1406" s="30">
        <v>-0.72</v>
      </c>
      <c r="E1406" s="31">
        <v>-4.7099999999999998E-3</v>
      </c>
      <c r="F1406" s="30">
        <v>16217660793</v>
      </c>
      <c r="G1406" s="30" t="s">
        <v>5427</v>
      </c>
      <c r="H1406" s="30"/>
      <c r="I1406" s="30">
        <v>958057</v>
      </c>
      <c r="J1406" s="30" t="s">
        <v>5541</v>
      </c>
      <c r="K1406" s="30" t="s">
        <v>5938</v>
      </c>
    </row>
    <row r="1407" spans="1:11" ht="12.5" x14ac:dyDescent="0.25">
      <c r="A1407" s="30" t="s">
        <v>6193</v>
      </c>
      <c r="B1407" s="30" t="s">
        <v>6192</v>
      </c>
      <c r="C1407" s="32">
        <v>29.84</v>
      </c>
      <c r="D1407" s="30">
        <v>0.08</v>
      </c>
      <c r="E1407" s="31">
        <v>2.6900000000000001E-3</v>
      </c>
      <c r="F1407" s="30">
        <v>14912145485</v>
      </c>
      <c r="G1407" s="30" t="s">
        <v>5515</v>
      </c>
      <c r="H1407" s="30"/>
      <c r="I1407" s="30">
        <v>948948</v>
      </c>
      <c r="J1407" s="30"/>
      <c r="K1407" s="30"/>
    </row>
    <row r="1408" spans="1:11" ht="12.5" x14ac:dyDescent="0.25">
      <c r="A1408" s="30" t="s">
        <v>6191</v>
      </c>
      <c r="B1408" s="30" t="s">
        <v>6190</v>
      </c>
      <c r="C1408" s="32">
        <v>10.199999999999999</v>
      </c>
      <c r="D1408" s="30">
        <v>0.02</v>
      </c>
      <c r="E1408" s="31">
        <v>1.9599999999999999E-3</v>
      </c>
      <c r="F1408" s="30">
        <v>475409719</v>
      </c>
      <c r="G1408" s="30" t="s">
        <v>5427</v>
      </c>
      <c r="H1408" s="30"/>
      <c r="I1408" s="30">
        <v>798484</v>
      </c>
      <c r="J1408" s="30" t="s">
        <v>5464</v>
      </c>
      <c r="K1408" s="30" t="s">
        <v>5463</v>
      </c>
    </row>
    <row r="1409" spans="1:11" ht="12.5" x14ac:dyDescent="0.25">
      <c r="A1409" s="30" t="s">
        <v>6189</v>
      </c>
      <c r="B1409" s="30" t="s">
        <v>6188</v>
      </c>
      <c r="C1409" s="32">
        <v>79.81</v>
      </c>
      <c r="D1409" s="30">
        <v>2.4</v>
      </c>
      <c r="E1409" s="31">
        <v>3.1E-2</v>
      </c>
      <c r="F1409" s="30">
        <v>2419784690</v>
      </c>
      <c r="G1409" s="30" t="s">
        <v>5427</v>
      </c>
      <c r="H1409" s="30">
        <v>1972</v>
      </c>
      <c r="I1409" s="30">
        <v>459680</v>
      </c>
      <c r="J1409" s="30" t="s">
        <v>5426</v>
      </c>
      <c r="K1409" s="30" t="s">
        <v>5490</v>
      </c>
    </row>
    <row r="1410" spans="1:11" ht="12.5" x14ac:dyDescent="0.25">
      <c r="A1410" s="30" t="s">
        <v>6187</v>
      </c>
      <c r="B1410" s="30" t="s">
        <v>6186</v>
      </c>
      <c r="C1410" s="32">
        <v>21.26</v>
      </c>
      <c r="D1410" s="30">
        <v>0.05</v>
      </c>
      <c r="E1410" s="31">
        <v>2.3600000000000001E-3</v>
      </c>
      <c r="F1410" s="30">
        <v>8352002587</v>
      </c>
      <c r="G1410" s="30" t="s">
        <v>5583</v>
      </c>
      <c r="H1410" s="30"/>
      <c r="I1410" s="30">
        <v>441736</v>
      </c>
      <c r="J1410" s="30" t="s">
        <v>5732</v>
      </c>
      <c r="K1410" s="30" t="s">
        <v>5520</v>
      </c>
    </row>
    <row r="1411" spans="1:11" ht="12.5" x14ac:dyDescent="0.25">
      <c r="A1411" s="30" t="s">
        <v>6185</v>
      </c>
      <c r="B1411" s="30" t="s">
        <v>6184</v>
      </c>
      <c r="C1411" s="32">
        <v>19.48</v>
      </c>
      <c r="D1411" s="30">
        <v>0.37</v>
      </c>
      <c r="E1411" s="31">
        <v>1.9359999999999999E-2</v>
      </c>
      <c r="F1411" s="30">
        <v>2032678157</v>
      </c>
      <c r="G1411" s="30" t="s">
        <v>5427</v>
      </c>
      <c r="H1411" s="30">
        <v>1993</v>
      </c>
      <c r="I1411" s="30">
        <v>707720</v>
      </c>
      <c r="J1411" s="30" t="s">
        <v>5197</v>
      </c>
      <c r="K1411" s="30" t="s">
        <v>5467</v>
      </c>
    </row>
    <row r="1412" spans="1:11" ht="12.5" x14ac:dyDescent="0.25">
      <c r="A1412" s="30" t="s">
        <v>6183</v>
      </c>
      <c r="B1412" s="30" t="s">
        <v>6182</v>
      </c>
      <c r="C1412" s="32">
        <v>49.22</v>
      </c>
      <c r="D1412" s="30">
        <v>1.07</v>
      </c>
      <c r="E1412" s="31">
        <v>2.222E-2</v>
      </c>
      <c r="F1412" s="30">
        <v>7634061819</v>
      </c>
      <c r="G1412" s="30" t="s">
        <v>5427</v>
      </c>
      <c r="H1412" s="30">
        <v>1999</v>
      </c>
      <c r="I1412" s="30">
        <v>3165109</v>
      </c>
      <c r="J1412" s="30" t="s">
        <v>5442</v>
      </c>
      <c r="K1412" s="30" t="s">
        <v>5477</v>
      </c>
    </row>
    <row r="1413" spans="1:11" ht="12.5" x14ac:dyDescent="0.25">
      <c r="A1413" s="30" t="s">
        <v>6181</v>
      </c>
      <c r="B1413" s="30" t="s">
        <v>6180</v>
      </c>
      <c r="C1413" s="32">
        <v>59.96</v>
      </c>
      <c r="D1413" s="30">
        <v>1.01</v>
      </c>
      <c r="E1413" s="31">
        <v>1.7129999999999999E-2</v>
      </c>
      <c r="F1413" s="30">
        <v>3413194699</v>
      </c>
      <c r="G1413" s="30" t="s">
        <v>5427</v>
      </c>
      <c r="H1413" s="30"/>
      <c r="I1413" s="30">
        <v>425286</v>
      </c>
      <c r="J1413" s="30" t="s">
        <v>5442</v>
      </c>
      <c r="K1413" s="30" t="s">
        <v>5576</v>
      </c>
    </row>
    <row r="1414" spans="1:11" ht="12.5" x14ac:dyDescent="0.25">
      <c r="A1414" s="30" t="s">
        <v>6179</v>
      </c>
      <c r="B1414" s="30" t="s">
        <v>6178</v>
      </c>
      <c r="C1414" s="32">
        <v>55.7</v>
      </c>
      <c r="D1414" s="30">
        <v>-1.28</v>
      </c>
      <c r="E1414" s="31">
        <v>-2.2460000000000001E-2</v>
      </c>
      <c r="F1414" s="30">
        <v>79104499004</v>
      </c>
      <c r="G1414" s="30" t="s">
        <v>5847</v>
      </c>
      <c r="H1414" s="30"/>
      <c r="I1414" s="30">
        <v>10453278</v>
      </c>
      <c r="J1414" s="30" t="s">
        <v>5464</v>
      </c>
      <c r="K1414" s="30" t="s">
        <v>5588</v>
      </c>
    </row>
    <row r="1415" spans="1:11" ht="12.5" x14ac:dyDescent="0.25">
      <c r="A1415" s="30" t="s">
        <v>6177</v>
      </c>
      <c r="B1415" s="30" t="s">
        <v>6176</v>
      </c>
      <c r="C1415" s="32">
        <v>12.26</v>
      </c>
      <c r="D1415" s="30">
        <v>0.02</v>
      </c>
      <c r="E1415" s="31">
        <v>1.6299999999999999E-3</v>
      </c>
      <c r="F1415" s="30">
        <v>928190893</v>
      </c>
      <c r="G1415" s="30" t="s">
        <v>5427</v>
      </c>
      <c r="H1415" s="30">
        <v>2012</v>
      </c>
      <c r="I1415" s="30">
        <v>649654</v>
      </c>
      <c r="J1415" s="30" t="s">
        <v>5457</v>
      </c>
      <c r="K1415" s="30" t="s">
        <v>5634</v>
      </c>
    </row>
    <row r="1416" spans="1:11" ht="12.5" x14ac:dyDescent="0.25">
      <c r="A1416" s="30" t="s">
        <v>6175</v>
      </c>
      <c r="B1416" s="30" t="s">
        <v>6174</v>
      </c>
      <c r="C1416" s="32">
        <v>50.48</v>
      </c>
      <c r="D1416" s="30">
        <v>0.25</v>
      </c>
      <c r="E1416" s="31">
        <v>4.9800000000000001E-3</v>
      </c>
      <c r="F1416" s="30">
        <v>29601315916</v>
      </c>
      <c r="G1416" s="30" t="s">
        <v>5515</v>
      </c>
      <c r="H1416" s="30"/>
      <c r="I1416" s="30">
        <v>524243</v>
      </c>
      <c r="J1416" s="30" t="s">
        <v>5442</v>
      </c>
      <c r="K1416" s="30" t="s">
        <v>5856</v>
      </c>
    </row>
    <row r="1417" spans="1:11" ht="12.5" x14ac:dyDescent="0.25">
      <c r="A1417" s="30" t="s">
        <v>6173</v>
      </c>
      <c r="B1417" s="30" t="s">
        <v>6172</v>
      </c>
      <c r="C1417" s="32">
        <v>41.06</v>
      </c>
      <c r="D1417" s="30">
        <v>-0.09</v>
      </c>
      <c r="E1417" s="31">
        <v>-2.1900000000000001E-3</v>
      </c>
      <c r="F1417" s="30">
        <v>2643442800</v>
      </c>
      <c r="G1417" s="30" t="s">
        <v>5427</v>
      </c>
      <c r="H1417" s="30">
        <v>1997</v>
      </c>
      <c r="I1417" s="30">
        <v>1769986</v>
      </c>
      <c r="J1417" s="30" t="s">
        <v>5197</v>
      </c>
      <c r="K1417" s="30" t="s">
        <v>5467</v>
      </c>
    </row>
    <row r="1418" spans="1:11" ht="12.5" x14ac:dyDescent="0.25">
      <c r="A1418" s="30" t="s">
        <v>6171</v>
      </c>
      <c r="B1418" s="30" t="s">
        <v>6170</v>
      </c>
      <c r="C1418" s="32">
        <v>54.04</v>
      </c>
      <c r="D1418" s="30">
        <v>0.15</v>
      </c>
      <c r="E1418" s="31">
        <v>2.7799999999999999E-3</v>
      </c>
      <c r="F1418" s="30">
        <v>5948669538</v>
      </c>
      <c r="G1418" s="30" t="s">
        <v>5427</v>
      </c>
      <c r="H1418" s="30">
        <v>2022</v>
      </c>
      <c r="I1418" s="30">
        <v>465971</v>
      </c>
      <c r="J1418" s="30" t="s">
        <v>5457</v>
      </c>
      <c r="K1418" s="30" t="s">
        <v>6129</v>
      </c>
    </row>
    <row r="1419" spans="1:11" ht="12.5" x14ac:dyDescent="0.25">
      <c r="A1419" s="30" t="s">
        <v>6169</v>
      </c>
      <c r="B1419" s="30" t="s">
        <v>6168</v>
      </c>
      <c r="C1419" s="32">
        <v>48.02</v>
      </c>
      <c r="D1419" s="30">
        <v>0.49</v>
      </c>
      <c r="E1419" s="31">
        <v>1.031E-2</v>
      </c>
      <c r="F1419" s="30">
        <v>2119051578</v>
      </c>
      <c r="G1419" s="30" t="s">
        <v>5427</v>
      </c>
      <c r="H1419" s="30">
        <v>2021</v>
      </c>
      <c r="I1419" s="30">
        <v>359126</v>
      </c>
      <c r="J1419" s="30" t="s">
        <v>5541</v>
      </c>
      <c r="K1419" s="30" t="s">
        <v>6167</v>
      </c>
    </row>
    <row r="1420" spans="1:11" ht="12.5" x14ac:dyDescent="0.25">
      <c r="A1420" s="30" t="s">
        <v>6166</v>
      </c>
      <c r="B1420" s="30" t="s">
        <v>6165</v>
      </c>
      <c r="C1420" s="32">
        <v>32.46</v>
      </c>
      <c r="D1420" s="30">
        <v>-0.41</v>
      </c>
      <c r="E1420" s="31">
        <v>-1.247E-2</v>
      </c>
      <c r="F1420" s="30">
        <v>3985959653</v>
      </c>
      <c r="G1420" s="30" t="s">
        <v>5427</v>
      </c>
      <c r="H1420" s="30"/>
      <c r="I1420" s="30">
        <v>1600748</v>
      </c>
      <c r="J1420" s="30" t="s">
        <v>5464</v>
      </c>
      <c r="K1420" s="30" t="s">
        <v>5463</v>
      </c>
    </row>
    <row r="1421" spans="1:11" ht="12.5" x14ac:dyDescent="0.25">
      <c r="A1421" s="30" t="s">
        <v>6164</v>
      </c>
      <c r="B1421" s="30" t="s">
        <v>6163</v>
      </c>
      <c r="C1421" s="32">
        <v>45.04</v>
      </c>
      <c r="D1421" s="30">
        <v>1.83</v>
      </c>
      <c r="E1421" s="31">
        <v>4.2349999999999999E-2</v>
      </c>
      <c r="F1421" s="30">
        <v>5915101263</v>
      </c>
      <c r="G1421" s="30" t="s">
        <v>5427</v>
      </c>
      <c r="H1421" s="30">
        <v>2018</v>
      </c>
      <c r="I1421" s="30">
        <v>1264016</v>
      </c>
      <c r="J1421" s="30" t="s">
        <v>5219</v>
      </c>
      <c r="K1421" s="30" t="s">
        <v>5447</v>
      </c>
    </row>
    <row r="1422" spans="1:11" ht="12.5" x14ac:dyDescent="0.25">
      <c r="A1422" s="30" t="s">
        <v>6162</v>
      </c>
      <c r="B1422" s="30" t="s">
        <v>6161</v>
      </c>
      <c r="C1422" s="32">
        <v>8.76</v>
      </c>
      <c r="D1422" s="30">
        <v>0</v>
      </c>
      <c r="E1422" s="31">
        <v>0</v>
      </c>
      <c r="F1422" s="30">
        <v>59574596017</v>
      </c>
      <c r="G1422" s="30" t="s">
        <v>5927</v>
      </c>
      <c r="H1422" s="30"/>
      <c r="I1422" s="30">
        <v>5294678</v>
      </c>
      <c r="J1422" s="30" t="s">
        <v>5435</v>
      </c>
      <c r="K1422" s="30" t="s">
        <v>5582</v>
      </c>
    </row>
    <row r="1423" spans="1:11" ht="12.5" x14ac:dyDescent="0.25">
      <c r="A1423" s="30" t="s">
        <v>6160</v>
      </c>
      <c r="B1423" s="30" t="s">
        <v>6159</v>
      </c>
      <c r="C1423" s="32">
        <v>80.52</v>
      </c>
      <c r="D1423" s="30">
        <v>8.33</v>
      </c>
      <c r="E1423" s="31">
        <v>0.11539000000000001</v>
      </c>
      <c r="F1423" s="30">
        <v>4466019335</v>
      </c>
      <c r="G1423" s="30" t="s">
        <v>5427</v>
      </c>
      <c r="H1423" s="30">
        <v>1992</v>
      </c>
      <c r="I1423" s="30">
        <v>1847368</v>
      </c>
      <c r="J1423" s="30" t="s">
        <v>5457</v>
      </c>
      <c r="K1423" s="30" t="s">
        <v>5805</v>
      </c>
    </row>
    <row r="1424" spans="1:11" ht="12.5" x14ac:dyDescent="0.25">
      <c r="A1424" s="30" t="s">
        <v>6158</v>
      </c>
      <c r="B1424" s="30" t="s">
        <v>6157</v>
      </c>
      <c r="C1424" s="32">
        <v>17.41</v>
      </c>
      <c r="D1424" s="30">
        <v>-0.21</v>
      </c>
      <c r="E1424" s="31">
        <v>-1.192E-2</v>
      </c>
      <c r="F1424" s="30">
        <v>177174293</v>
      </c>
      <c r="G1424" s="30" t="s">
        <v>5427</v>
      </c>
      <c r="H1424" s="30">
        <v>2012</v>
      </c>
      <c r="I1424" s="30">
        <v>14855</v>
      </c>
      <c r="J1424" s="30" t="s">
        <v>5464</v>
      </c>
      <c r="K1424" s="30" t="s">
        <v>5588</v>
      </c>
    </row>
    <row r="1425" spans="1:11" ht="12.5" x14ac:dyDescent="0.25">
      <c r="A1425" s="30" t="s">
        <v>6156</v>
      </c>
      <c r="B1425" s="30" t="s">
        <v>6155</v>
      </c>
      <c r="C1425" s="32">
        <v>40.79</v>
      </c>
      <c r="D1425" s="30">
        <v>0.33</v>
      </c>
      <c r="E1425" s="31">
        <v>8.1600000000000006E-3</v>
      </c>
      <c r="F1425" s="30">
        <v>879844257</v>
      </c>
      <c r="G1425" s="30" t="s">
        <v>5427</v>
      </c>
      <c r="H1425" s="30"/>
      <c r="I1425" s="30">
        <v>86909</v>
      </c>
      <c r="J1425" s="30" t="s">
        <v>5442</v>
      </c>
      <c r="K1425" s="30" t="s">
        <v>5853</v>
      </c>
    </row>
    <row r="1426" spans="1:11" ht="12.5" x14ac:dyDescent="0.25">
      <c r="A1426" s="30" t="s">
        <v>6154</v>
      </c>
      <c r="B1426" s="30" t="s">
        <v>6153</v>
      </c>
      <c r="C1426" s="32">
        <v>3.15</v>
      </c>
      <c r="D1426" s="30">
        <v>0.23</v>
      </c>
      <c r="E1426" s="31">
        <v>7.8770000000000007E-2</v>
      </c>
      <c r="F1426" s="30">
        <v>624797690</v>
      </c>
      <c r="G1426" s="30" t="s">
        <v>5427</v>
      </c>
      <c r="H1426" s="30"/>
      <c r="I1426" s="30">
        <v>1555229</v>
      </c>
      <c r="J1426" s="30" t="s">
        <v>5219</v>
      </c>
      <c r="K1426" s="30" t="s">
        <v>5447</v>
      </c>
    </row>
    <row r="1427" spans="1:11" ht="12.5" x14ac:dyDescent="0.25">
      <c r="A1427" s="30" t="s">
        <v>6152</v>
      </c>
      <c r="B1427" s="30" t="s">
        <v>6151</v>
      </c>
      <c r="C1427" s="32">
        <v>250.37</v>
      </c>
      <c r="D1427" s="30">
        <v>1.64</v>
      </c>
      <c r="E1427" s="31">
        <v>6.5900000000000004E-3</v>
      </c>
      <c r="F1427" s="30">
        <v>13308326966</v>
      </c>
      <c r="G1427" s="30" t="s">
        <v>5427</v>
      </c>
      <c r="H1427" s="30"/>
      <c r="I1427" s="30">
        <v>443810</v>
      </c>
      <c r="J1427" s="30" t="s">
        <v>5442</v>
      </c>
      <c r="K1427" s="30" t="s">
        <v>6023</v>
      </c>
    </row>
    <row r="1428" spans="1:11" ht="12.5" x14ac:dyDescent="0.25">
      <c r="A1428" s="30" t="s">
        <v>6150</v>
      </c>
      <c r="B1428" s="30" t="s">
        <v>6149</v>
      </c>
      <c r="C1428" s="32">
        <v>10.37</v>
      </c>
      <c r="D1428" s="30">
        <v>-1.19</v>
      </c>
      <c r="E1428" s="31">
        <v>-0.10294</v>
      </c>
      <c r="F1428" s="30">
        <v>16727858106</v>
      </c>
      <c r="G1428" s="30" t="s">
        <v>5427</v>
      </c>
      <c r="H1428" s="30">
        <v>2017</v>
      </c>
      <c r="I1428" s="30">
        <v>117673175</v>
      </c>
      <c r="J1428" s="30" t="s">
        <v>5219</v>
      </c>
      <c r="K1428" s="30" t="s">
        <v>5453</v>
      </c>
    </row>
    <row r="1429" spans="1:11" ht="12.5" x14ac:dyDescent="0.25">
      <c r="A1429" s="30" t="s">
        <v>6148</v>
      </c>
      <c r="B1429" s="30" t="s">
        <v>6147</v>
      </c>
      <c r="C1429" s="32">
        <v>13.24</v>
      </c>
      <c r="D1429" s="30">
        <v>-0.99</v>
      </c>
      <c r="E1429" s="31">
        <v>-6.9570000000000007E-2</v>
      </c>
      <c r="F1429" s="30">
        <v>88310125</v>
      </c>
      <c r="G1429" s="30" t="s">
        <v>5427</v>
      </c>
      <c r="H1429" s="30"/>
      <c r="I1429" s="30">
        <v>4204</v>
      </c>
      <c r="J1429" s="30" t="s">
        <v>5431</v>
      </c>
      <c r="K1429" s="30" t="s">
        <v>5785</v>
      </c>
    </row>
    <row r="1430" spans="1:11" ht="12.5" x14ac:dyDescent="0.25">
      <c r="A1430" s="30" t="s">
        <v>6146</v>
      </c>
      <c r="B1430" s="30" t="s">
        <v>6145</v>
      </c>
      <c r="C1430" s="32">
        <v>27.41</v>
      </c>
      <c r="D1430" s="30">
        <v>0.91</v>
      </c>
      <c r="E1430" s="31">
        <v>3.4340000000000002E-2</v>
      </c>
      <c r="F1430" s="30">
        <v>4879316595</v>
      </c>
      <c r="G1430" s="30" t="s">
        <v>5427</v>
      </c>
      <c r="H1430" s="30">
        <v>2017</v>
      </c>
      <c r="I1430" s="30">
        <v>775848</v>
      </c>
      <c r="J1430" s="30" t="s">
        <v>5457</v>
      </c>
      <c r="K1430" s="30" t="s">
        <v>5725</v>
      </c>
    </row>
    <row r="1431" spans="1:11" ht="12.5" x14ac:dyDescent="0.25">
      <c r="A1431" s="30" t="s">
        <v>6144</v>
      </c>
      <c r="B1431" s="30" t="s">
        <v>6143</v>
      </c>
      <c r="C1431" s="32">
        <v>28.18</v>
      </c>
      <c r="D1431" s="30">
        <v>0.38</v>
      </c>
      <c r="E1431" s="31">
        <v>1.367E-2</v>
      </c>
      <c r="F1431" s="30">
        <v>12305404730</v>
      </c>
      <c r="G1431" s="30" t="s">
        <v>5775</v>
      </c>
      <c r="H1431" s="30"/>
      <c r="I1431" s="30">
        <v>645327</v>
      </c>
      <c r="J1431" s="30" t="s">
        <v>5431</v>
      </c>
      <c r="K1431" s="30" t="s">
        <v>5438</v>
      </c>
    </row>
    <row r="1432" spans="1:11" ht="12.5" x14ac:dyDescent="0.25">
      <c r="A1432" s="30" t="s">
        <v>6142</v>
      </c>
      <c r="B1432" s="30" t="s">
        <v>6141</v>
      </c>
      <c r="C1432" s="32">
        <v>165.22</v>
      </c>
      <c r="D1432" s="30">
        <v>8.7799999999999994</v>
      </c>
      <c r="E1432" s="31">
        <v>5.6120000000000003E-2</v>
      </c>
      <c r="F1432" s="30">
        <v>53134752000</v>
      </c>
      <c r="G1432" s="30" t="s">
        <v>5427</v>
      </c>
      <c r="H1432" s="30">
        <v>2020</v>
      </c>
      <c r="I1432" s="30">
        <v>5042997</v>
      </c>
      <c r="J1432" s="30" t="s">
        <v>5219</v>
      </c>
      <c r="K1432" s="30" t="s">
        <v>5560</v>
      </c>
    </row>
    <row r="1433" spans="1:11" ht="12.5" x14ac:dyDescent="0.25">
      <c r="A1433" s="30" t="s">
        <v>6140</v>
      </c>
      <c r="B1433" s="30" t="s">
        <v>6139</v>
      </c>
      <c r="C1433" s="32">
        <v>43.03</v>
      </c>
      <c r="D1433" s="30">
        <v>1.08</v>
      </c>
      <c r="E1433" s="31">
        <v>2.5739999999999999E-2</v>
      </c>
      <c r="F1433" s="30">
        <v>6260289861</v>
      </c>
      <c r="G1433" s="30" t="s">
        <v>5427</v>
      </c>
      <c r="H1433" s="30"/>
      <c r="I1433" s="30">
        <v>1394498</v>
      </c>
      <c r="J1433" s="30" t="s">
        <v>5435</v>
      </c>
      <c r="K1433" s="30" t="s">
        <v>5579</v>
      </c>
    </row>
    <row r="1434" spans="1:11" ht="12.5" x14ac:dyDescent="0.25">
      <c r="A1434" s="30" t="s">
        <v>6138</v>
      </c>
      <c r="B1434" s="30" t="s">
        <v>6137</v>
      </c>
      <c r="C1434" s="32">
        <v>104.16</v>
      </c>
      <c r="D1434" s="30">
        <v>2.0099999999999998</v>
      </c>
      <c r="E1434" s="31">
        <v>1.968E-2</v>
      </c>
      <c r="F1434" s="30">
        <v>9931126763</v>
      </c>
      <c r="G1434" s="30" t="s">
        <v>5427</v>
      </c>
      <c r="H1434" s="30">
        <v>2003</v>
      </c>
      <c r="I1434" s="30">
        <v>469582</v>
      </c>
      <c r="J1434" s="30" t="s">
        <v>5442</v>
      </c>
      <c r="K1434" s="30" t="s">
        <v>6136</v>
      </c>
    </row>
    <row r="1435" spans="1:11" ht="12.5" x14ac:dyDescent="0.25">
      <c r="A1435" s="30" t="s">
        <v>6135</v>
      </c>
      <c r="B1435" s="30" t="s">
        <v>6134</v>
      </c>
      <c r="C1435" s="32">
        <v>68.86</v>
      </c>
      <c r="D1435" s="30">
        <v>1.18</v>
      </c>
      <c r="E1435" s="31">
        <v>1.7430000000000001E-2</v>
      </c>
      <c r="F1435" s="30">
        <v>74966010936</v>
      </c>
      <c r="G1435" s="30" t="s">
        <v>5427</v>
      </c>
      <c r="H1435" s="30"/>
      <c r="I1435" s="30">
        <v>5792395</v>
      </c>
      <c r="J1435" s="30" t="s">
        <v>5426</v>
      </c>
      <c r="K1435" s="30" t="s">
        <v>5593</v>
      </c>
    </row>
    <row r="1436" spans="1:11" ht="12.5" x14ac:dyDescent="0.25">
      <c r="A1436" s="30" t="s">
        <v>6133</v>
      </c>
      <c r="B1436" s="30" t="s">
        <v>6132</v>
      </c>
      <c r="C1436" s="32">
        <v>10.44</v>
      </c>
      <c r="D1436" s="30">
        <v>-0.15</v>
      </c>
      <c r="E1436" s="31">
        <v>-1.4160000000000001E-2</v>
      </c>
      <c r="F1436" s="30">
        <v>343840669</v>
      </c>
      <c r="G1436" s="30" t="s">
        <v>5427</v>
      </c>
      <c r="H1436" s="30">
        <v>2017</v>
      </c>
      <c r="I1436" s="30">
        <v>217508</v>
      </c>
      <c r="J1436" s="30" t="s">
        <v>5457</v>
      </c>
      <c r="K1436" s="30" t="s">
        <v>5634</v>
      </c>
    </row>
    <row r="1437" spans="1:11" ht="12.5" x14ac:dyDescent="0.25">
      <c r="A1437" s="30" t="s">
        <v>6131</v>
      </c>
      <c r="B1437" s="30" t="s">
        <v>6130</v>
      </c>
      <c r="C1437" s="32">
        <v>61.2</v>
      </c>
      <c r="D1437" s="30">
        <v>0.09</v>
      </c>
      <c r="E1437" s="31">
        <v>1.47E-3</v>
      </c>
      <c r="F1437" s="30">
        <v>5967748231</v>
      </c>
      <c r="G1437" s="30" t="s">
        <v>5427</v>
      </c>
      <c r="H1437" s="30"/>
      <c r="I1437" s="30">
        <v>401113</v>
      </c>
      <c r="J1437" s="30" t="s">
        <v>5457</v>
      </c>
      <c r="K1437" s="30" t="s">
        <v>6129</v>
      </c>
    </row>
    <row r="1438" spans="1:11" ht="12.5" x14ac:dyDescent="0.25">
      <c r="A1438" s="30" t="s">
        <v>6128</v>
      </c>
      <c r="B1438" s="30" t="s">
        <v>6127</v>
      </c>
      <c r="C1438" s="32">
        <v>89.55</v>
      </c>
      <c r="D1438" s="30">
        <v>0.09</v>
      </c>
      <c r="E1438" s="31">
        <v>1.01E-3</v>
      </c>
      <c r="F1438" s="30">
        <v>110566519141</v>
      </c>
      <c r="G1438" s="30" t="s">
        <v>5927</v>
      </c>
      <c r="H1438" s="30"/>
      <c r="I1438" s="30">
        <v>963556</v>
      </c>
      <c r="J1438" s="30" t="s">
        <v>5541</v>
      </c>
      <c r="K1438" s="30" t="s">
        <v>5571</v>
      </c>
    </row>
    <row r="1439" spans="1:11" ht="12.5" x14ac:dyDescent="0.25">
      <c r="A1439" s="30" t="s">
        <v>6126</v>
      </c>
      <c r="B1439" s="30" t="s">
        <v>6125</v>
      </c>
      <c r="C1439" s="32">
        <v>39.409999999999997</v>
      </c>
      <c r="D1439" s="30">
        <v>0.35</v>
      </c>
      <c r="E1439" s="31">
        <v>8.9599999999999992E-3</v>
      </c>
      <c r="F1439" s="30">
        <v>328856075</v>
      </c>
      <c r="G1439" s="30" t="s">
        <v>5427</v>
      </c>
      <c r="H1439" s="30"/>
      <c r="I1439" s="30">
        <v>51874</v>
      </c>
      <c r="J1439" s="30" t="s">
        <v>5435</v>
      </c>
      <c r="K1439" s="30" t="s">
        <v>5434</v>
      </c>
    </row>
    <row r="1440" spans="1:11" ht="12.5" x14ac:dyDescent="0.25">
      <c r="A1440" s="30" t="s">
        <v>6124</v>
      </c>
      <c r="B1440" s="30" t="s">
        <v>6123</v>
      </c>
      <c r="C1440" s="32">
        <v>66.930000000000007</v>
      </c>
      <c r="D1440" s="30">
        <v>-0.95</v>
      </c>
      <c r="E1440" s="31">
        <v>-1.4E-2</v>
      </c>
      <c r="F1440" s="30">
        <v>2744170627</v>
      </c>
      <c r="G1440" s="30" t="s">
        <v>5427</v>
      </c>
      <c r="H1440" s="30"/>
      <c r="I1440" s="30">
        <v>483603</v>
      </c>
      <c r="J1440" s="30"/>
      <c r="K1440" s="30"/>
    </row>
    <row r="1441" spans="1:11" ht="12.5" x14ac:dyDescent="0.25">
      <c r="A1441" s="30" t="s">
        <v>6122</v>
      </c>
      <c r="B1441" s="30" t="s">
        <v>6121</v>
      </c>
      <c r="C1441" s="32">
        <v>11.75</v>
      </c>
      <c r="D1441" s="30">
        <v>0.05</v>
      </c>
      <c r="E1441" s="31">
        <v>4.2700000000000004E-3</v>
      </c>
      <c r="F1441" s="30">
        <v>134689827</v>
      </c>
      <c r="G1441" s="30" t="s">
        <v>5427</v>
      </c>
      <c r="H1441" s="30"/>
      <c r="I1441" s="30">
        <v>43952</v>
      </c>
      <c r="J1441" s="30" t="s">
        <v>5435</v>
      </c>
      <c r="K1441" s="30" t="s">
        <v>5985</v>
      </c>
    </row>
    <row r="1442" spans="1:11" ht="12.5" x14ac:dyDescent="0.25">
      <c r="A1442" s="30" t="s">
        <v>6120</v>
      </c>
      <c r="B1442" s="30" t="s">
        <v>6119</v>
      </c>
      <c r="C1442" s="32">
        <v>128.93</v>
      </c>
      <c r="D1442" s="30">
        <v>0.47</v>
      </c>
      <c r="E1442" s="31">
        <v>3.6600000000000001E-3</v>
      </c>
      <c r="F1442" s="30">
        <v>42154152274</v>
      </c>
      <c r="G1442" s="30" t="s">
        <v>5427</v>
      </c>
      <c r="H1442" s="30"/>
      <c r="I1442" s="30">
        <v>1467062</v>
      </c>
      <c r="J1442" s="30" t="s">
        <v>5197</v>
      </c>
      <c r="K1442" s="30" t="s">
        <v>5467</v>
      </c>
    </row>
    <row r="1443" spans="1:11" ht="12.5" x14ac:dyDescent="0.25">
      <c r="A1443" s="30" t="s">
        <v>6118</v>
      </c>
      <c r="B1443" s="30" t="s">
        <v>6117</v>
      </c>
      <c r="C1443" s="32">
        <v>377.18</v>
      </c>
      <c r="D1443" s="30">
        <v>2.2400000000000002</v>
      </c>
      <c r="E1443" s="31">
        <v>5.9699999999999996E-3</v>
      </c>
      <c r="F1443" s="30">
        <v>122885244000</v>
      </c>
      <c r="G1443" s="30" t="s">
        <v>5427</v>
      </c>
      <c r="H1443" s="30"/>
      <c r="I1443" s="30">
        <v>1465273</v>
      </c>
      <c r="J1443" s="30" t="s">
        <v>5435</v>
      </c>
      <c r="K1443" s="30" t="s">
        <v>5856</v>
      </c>
    </row>
    <row r="1444" spans="1:11" ht="12.5" x14ac:dyDescent="0.25">
      <c r="A1444" s="30" t="s">
        <v>6116</v>
      </c>
      <c r="B1444" s="30" t="s">
        <v>6115</v>
      </c>
      <c r="C1444" s="32">
        <v>15.76</v>
      </c>
      <c r="D1444" s="30">
        <v>-0.02</v>
      </c>
      <c r="E1444" s="31">
        <v>-1.2700000000000001E-3</v>
      </c>
      <c r="F1444" s="30">
        <v>1000535578</v>
      </c>
      <c r="G1444" s="30" t="s">
        <v>5427</v>
      </c>
      <c r="H1444" s="30">
        <v>1996</v>
      </c>
      <c r="I1444" s="30">
        <v>219193</v>
      </c>
      <c r="J1444" s="30" t="s">
        <v>5426</v>
      </c>
      <c r="K1444" s="30" t="s">
        <v>5508</v>
      </c>
    </row>
    <row r="1445" spans="1:11" ht="12.5" x14ac:dyDescent="0.25">
      <c r="A1445" s="30" t="s">
        <v>6114</v>
      </c>
      <c r="B1445" s="30" t="s">
        <v>6113</v>
      </c>
      <c r="C1445" s="32">
        <v>43.6</v>
      </c>
      <c r="D1445" s="30">
        <v>-0.53</v>
      </c>
      <c r="E1445" s="31">
        <v>-1.201E-2</v>
      </c>
      <c r="F1445" s="30">
        <v>944124341</v>
      </c>
      <c r="G1445" s="30" t="s">
        <v>5427</v>
      </c>
      <c r="H1445" s="30"/>
      <c r="I1445" s="30">
        <v>1639</v>
      </c>
      <c r="J1445" s="30" t="s">
        <v>5457</v>
      </c>
      <c r="K1445" s="30" t="s">
        <v>5571</v>
      </c>
    </row>
    <row r="1446" spans="1:11" ht="12.5" x14ac:dyDescent="0.25">
      <c r="A1446" s="30" t="s">
        <v>6112</v>
      </c>
      <c r="B1446" s="30" t="s">
        <v>6111</v>
      </c>
      <c r="C1446" s="32">
        <v>118.14</v>
      </c>
      <c r="D1446" s="30">
        <v>5.42</v>
      </c>
      <c r="E1446" s="31">
        <v>4.8079999999999998E-2</v>
      </c>
      <c r="F1446" s="30">
        <v>22816414351</v>
      </c>
      <c r="G1446" s="30" t="s">
        <v>5823</v>
      </c>
      <c r="H1446" s="30">
        <v>2018</v>
      </c>
      <c r="I1446" s="30">
        <v>4554640</v>
      </c>
      <c r="J1446" s="30" t="s">
        <v>5442</v>
      </c>
      <c r="K1446" s="30" t="s">
        <v>5834</v>
      </c>
    </row>
    <row r="1447" spans="1:11" ht="12.5" x14ac:dyDescent="0.25">
      <c r="A1447" s="30" t="s">
        <v>6110</v>
      </c>
      <c r="B1447" s="30" t="s">
        <v>6109</v>
      </c>
      <c r="C1447" s="32">
        <v>36.14</v>
      </c>
      <c r="D1447" s="30">
        <v>-0.01</v>
      </c>
      <c r="E1447" s="31">
        <v>-2.7999999999999998E-4</v>
      </c>
      <c r="F1447" s="30">
        <v>3803864128</v>
      </c>
      <c r="G1447" s="30" t="s">
        <v>5427</v>
      </c>
      <c r="H1447" s="30">
        <v>2006</v>
      </c>
      <c r="I1447" s="30">
        <v>1816612</v>
      </c>
      <c r="J1447" s="30" t="s">
        <v>5457</v>
      </c>
      <c r="K1447" s="30" t="s">
        <v>5701</v>
      </c>
    </row>
    <row r="1448" spans="1:11" ht="12.5" x14ac:dyDescent="0.25">
      <c r="A1448" s="30" t="s">
        <v>6108</v>
      </c>
      <c r="B1448" s="30" t="s">
        <v>6107</v>
      </c>
      <c r="C1448" s="32">
        <v>75.44</v>
      </c>
      <c r="D1448" s="30">
        <v>0.43</v>
      </c>
      <c r="E1448" s="31">
        <v>5.7299999999999999E-3</v>
      </c>
      <c r="F1448" s="30">
        <v>3408908940</v>
      </c>
      <c r="G1448" s="30" t="s">
        <v>5427</v>
      </c>
      <c r="H1448" s="30"/>
      <c r="I1448" s="30">
        <v>192278</v>
      </c>
      <c r="J1448" s="30" t="s">
        <v>5457</v>
      </c>
      <c r="K1448" s="30" t="s">
        <v>5644</v>
      </c>
    </row>
    <row r="1449" spans="1:11" ht="12.5" x14ac:dyDescent="0.25">
      <c r="A1449" s="30" t="s">
        <v>6106</v>
      </c>
      <c r="B1449" s="30" t="s">
        <v>6105</v>
      </c>
      <c r="C1449" s="32">
        <v>15.99</v>
      </c>
      <c r="D1449" s="30">
        <v>0.22</v>
      </c>
      <c r="E1449" s="31">
        <v>1.3950000000000001E-2</v>
      </c>
      <c r="F1449" s="30">
        <v>280070542</v>
      </c>
      <c r="G1449" s="30" t="s">
        <v>5427</v>
      </c>
      <c r="H1449" s="30"/>
      <c r="I1449" s="30">
        <v>43366</v>
      </c>
      <c r="J1449" s="30" t="s">
        <v>5435</v>
      </c>
      <c r="K1449" s="30" t="s">
        <v>5568</v>
      </c>
    </row>
    <row r="1450" spans="1:11" ht="12.5" x14ac:dyDescent="0.25">
      <c r="A1450" s="30" t="s">
        <v>6104</v>
      </c>
      <c r="B1450" s="30" t="s">
        <v>6103</v>
      </c>
      <c r="C1450" s="32">
        <v>83.9</v>
      </c>
      <c r="D1450" s="30">
        <v>2.1800000000000002</v>
      </c>
      <c r="E1450" s="31">
        <v>2.6679999999999999E-2</v>
      </c>
      <c r="F1450" s="30">
        <v>50178165122</v>
      </c>
      <c r="G1450" s="30" t="s">
        <v>5427</v>
      </c>
      <c r="H1450" s="30">
        <v>2015</v>
      </c>
      <c r="I1450" s="30">
        <v>11058521</v>
      </c>
      <c r="J1450" s="30" t="s">
        <v>5219</v>
      </c>
      <c r="K1450" s="30" t="s">
        <v>5560</v>
      </c>
    </row>
    <row r="1451" spans="1:11" ht="12.5" x14ac:dyDescent="0.25">
      <c r="A1451" s="30" t="s">
        <v>6102</v>
      </c>
      <c r="B1451" s="30" t="s">
        <v>6101</v>
      </c>
      <c r="C1451" s="32">
        <v>3.16</v>
      </c>
      <c r="D1451" s="30">
        <v>0.04</v>
      </c>
      <c r="E1451" s="31">
        <v>1.282E-2</v>
      </c>
      <c r="F1451" s="30">
        <v>151454354</v>
      </c>
      <c r="G1451" s="30" t="s">
        <v>5847</v>
      </c>
      <c r="H1451" s="30">
        <v>2011</v>
      </c>
      <c r="I1451" s="30">
        <v>39423</v>
      </c>
      <c r="J1451" s="30" t="s">
        <v>5219</v>
      </c>
      <c r="K1451" s="30" t="s">
        <v>5526</v>
      </c>
    </row>
    <row r="1452" spans="1:11" ht="12.5" x14ac:dyDescent="0.25">
      <c r="A1452" s="30" t="s">
        <v>6100</v>
      </c>
      <c r="B1452" s="30" t="s">
        <v>6099</v>
      </c>
      <c r="C1452" s="32">
        <v>74.25</v>
      </c>
      <c r="D1452" s="30">
        <v>2.0299999999999998</v>
      </c>
      <c r="E1452" s="31">
        <v>2.811E-2</v>
      </c>
      <c r="F1452" s="30">
        <v>3901106954</v>
      </c>
      <c r="G1452" s="30" t="s">
        <v>5427</v>
      </c>
      <c r="H1452" s="30"/>
      <c r="I1452" s="30">
        <v>759227</v>
      </c>
      <c r="J1452" s="30" t="s">
        <v>5426</v>
      </c>
      <c r="K1452" s="30" t="s">
        <v>6094</v>
      </c>
    </row>
    <row r="1453" spans="1:11" ht="12.5" x14ac:dyDescent="0.25">
      <c r="A1453" s="30" t="s">
        <v>6098</v>
      </c>
      <c r="B1453" s="30" t="s">
        <v>6097</v>
      </c>
      <c r="C1453" s="32">
        <v>43.39</v>
      </c>
      <c r="D1453" s="30">
        <v>-0.49</v>
      </c>
      <c r="E1453" s="31">
        <v>-1.1169999999999999E-2</v>
      </c>
      <c r="F1453" s="30">
        <v>6059857857</v>
      </c>
      <c r="G1453" s="30" t="s">
        <v>5427</v>
      </c>
      <c r="H1453" s="30">
        <v>2013</v>
      </c>
      <c r="I1453" s="30">
        <v>887134</v>
      </c>
      <c r="J1453" s="30" t="s">
        <v>5197</v>
      </c>
      <c r="K1453" s="30" t="s">
        <v>5467</v>
      </c>
    </row>
    <row r="1454" spans="1:11" ht="12.5" x14ac:dyDescent="0.25">
      <c r="A1454" s="30" t="s">
        <v>6096</v>
      </c>
      <c r="B1454" s="30" t="s">
        <v>6095</v>
      </c>
      <c r="C1454" s="32">
        <v>159.88</v>
      </c>
      <c r="D1454" s="30">
        <v>-0.45</v>
      </c>
      <c r="E1454" s="31">
        <v>-2.81E-3</v>
      </c>
      <c r="F1454" s="30">
        <v>50255618076</v>
      </c>
      <c r="G1454" s="30" t="s">
        <v>5427</v>
      </c>
      <c r="H1454" s="30"/>
      <c r="I1454" s="30">
        <v>1186100</v>
      </c>
      <c r="J1454" s="30" t="s">
        <v>5426</v>
      </c>
      <c r="K1454" s="30" t="s">
        <v>6094</v>
      </c>
    </row>
    <row r="1455" spans="1:11" ht="12.5" x14ac:dyDescent="0.25">
      <c r="A1455" s="30" t="s">
        <v>6093</v>
      </c>
      <c r="B1455" s="30" t="s">
        <v>6092</v>
      </c>
      <c r="C1455" s="32">
        <v>12.23</v>
      </c>
      <c r="D1455" s="30">
        <v>0.08</v>
      </c>
      <c r="E1455" s="31">
        <v>6.5799999999999999E-3</v>
      </c>
      <c r="F1455" s="30">
        <v>685276020</v>
      </c>
      <c r="G1455" s="30" t="s">
        <v>5427</v>
      </c>
      <c r="H1455" s="30">
        <v>2015</v>
      </c>
      <c r="I1455" s="30">
        <v>329240</v>
      </c>
      <c r="J1455" s="30" t="s">
        <v>5197</v>
      </c>
      <c r="K1455" s="30" t="s">
        <v>6091</v>
      </c>
    </row>
    <row r="1456" spans="1:11" ht="12.5" x14ac:dyDescent="0.25">
      <c r="A1456" s="30" t="s">
        <v>6090</v>
      </c>
      <c r="B1456" s="30" t="s">
        <v>6089</v>
      </c>
      <c r="C1456" s="32">
        <v>22.97</v>
      </c>
      <c r="D1456" s="30">
        <v>-1.69</v>
      </c>
      <c r="E1456" s="31">
        <v>-6.8529999999999994E-2</v>
      </c>
      <c r="F1456" s="30">
        <v>627691037</v>
      </c>
      <c r="G1456" s="30" t="s">
        <v>5427</v>
      </c>
      <c r="H1456" s="30">
        <v>1997</v>
      </c>
      <c r="I1456" s="30">
        <v>142096</v>
      </c>
      <c r="J1456" s="30" t="s">
        <v>5442</v>
      </c>
      <c r="K1456" s="30" t="s">
        <v>5853</v>
      </c>
    </row>
    <row r="1457" spans="1:11" ht="12.5" x14ac:dyDescent="0.25">
      <c r="A1457" s="30" t="s">
        <v>6088</v>
      </c>
      <c r="B1457" s="30" t="s">
        <v>6087</v>
      </c>
      <c r="C1457" s="32">
        <v>8.39</v>
      </c>
      <c r="D1457" s="30">
        <v>0</v>
      </c>
      <c r="E1457" s="31">
        <v>0</v>
      </c>
      <c r="F1457" s="30">
        <v>124358686</v>
      </c>
      <c r="G1457" s="30" t="s">
        <v>5515</v>
      </c>
      <c r="H1457" s="30"/>
      <c r="I1457" s="30">
        <v>270</v>
      </c>
      <c r="J1457" s="30" t="s">
        <v>5442</v>
      </c>
      <c r="K1457" s="30" t="s">
        <v>5994</v>
      </c>
    </row>
    <row r="1458" spans="1:11" ht="12.5" x14ac:dyDescent="0.25">
      <c r="A1458" s="30" t="s">
        <v>6086</v>
      </c>
      <c r="B1458" s="30" t="s">
        <v>6085</v>
      </c>
      <c r="C1458" s="32">
        <v>4.1399999999999997</v>
      </c>
      <c r="D1458" s="30">
        <v>-0.04</v>
      </c>
      <c r="E1458" s="31">
        <v>-9.5700000000000004E-3</v>
      </c>
      <c r="F1458" s="30">
        <v>166762202</v>
      </c>
      <c r="G1458" s="30" t="s">
        <v>5427</v>
      </c>
      <c r="H1458" s="30">
        <v>1997</v>
      </c>
      <c r="I1458" s="30">
        <v>8860</v>
      </c>
      <c r="J1458" s="30" t="s">
        <v>5219</v>
      </c>
      <c r="K1458" s="30" t="s">
        <v>5447</v>
      </c>
    </row>
    <row r="1459" spans="1:11" ht="12.5" x14ac:dyDescent="0.25">
      <c r="A1459" s="30" t="s">
        <v>6084</v>
      </c>
      <c r="B1459" s="30" t="s">
        <v>6083</v>
      </c>
      <c r="C1459" s="32">
        <v>35.909999999999997</v>
      </c>
      <c r="D1459" s="30">
        <v>-0.11</v>
      </c>
      <c r="E1459" s="31">
        <v>-3.0500000000000002E-3</v>
      </c>
      <c r="F1459" s="30">
        <v>78405571</v>
      </c>
      <c r="G1459" s="30" t="s">
        <v>5427</v>
      </c>
      <c r="H1459" s="30"/>
      <c r="I1459" s="30">
        <v>23221</v>
      </c>
      <c r="J1459" s="30" t="s">
        <v>5435</v>
      </c>
      <c r="K1459" s="30" t="s">
        <v>5563</v>
      </c>
    </row>
    <row r="1460" spans="1:11" ht="12.5" x14ac:dyDescent="0.25">
      <c r="A1460" s="30" t="s">
        <v>6082</v>
      </c>
      <c r="B1460" s="30" t="s">
        <v>6081</v>
      </c>
      <c r="C1460" s="32">
        <v>109.06</v>
      </c>
      <c r="D1460" s="30">
        <v>1.95</v>
      </c>
      <c r="E1460" s="31">
        <v>1.821E-2</v>
      </c>
      <c r="F1460" s="30">
        <v>4645725120</v>
      </c>
      <c r="G1460" s="30" t="s">
        <v>5427</v>
      </c>
      <c r="H1460" s="30"/>
      <c r="I1460" s="30">
        <v>198618</v>
      </c>
      <c r="J1460" s="30"/>
      <c r="K1460" s="30"/>
    </row>
    <row r="1461" spans="1:11" ht="12.5" x14ac:dyDescent="0.25">
      <c r="A1461" s="30" t="s">
        <v>6080</v>
      </c>
      <c r="B1461" s="30" t="s">
        <v>6079</v>
      </c>
      <c r="C1461" s="32">
        <v>4.5599999999999996</v>
      </c>
      <c r="D1461" s="30">
        <v>-0.18</v>
      </c>
      <c r="E1461" s="31">
        <v>-3.7969999999999997E-2</v>
      </c>
      <c r="F1461" s="30">
        <v>417038658</v>
      </c>
      <c r="G1461" s="30" t="s">
        <v>5427</v>
      </c>
      <c r="H1461" s="30">
        <v>2020</v>
      </c>
      <c r="I1461" s="30">
        <v>28203</v>
      </c>
      <c r="J1461" s="30" t="s">
        <v>5442</v>
      </c>
      <c r="K1461" s="30" t="s">
        <v>5746</v>
      </c>
    </row>
    <row r="1462" spans="1:11" ht="12.5" x14ac:dyDescent="0.25">
      <c r="A1462" s="30" t="s">
        <v>6078</v>
      </c>
      <c r="B1462" s="30" t="s">
        <v>6077</v>
      </c>
      <c r="C1462" s="32">
        <v>76.680000000000007</v>
      </c>
      <c r="D1462" s="30">
        <v>1.41</v>
      </c>
      <c r="E1462" s="31">
        <v>1.873E-2</v>
      </c>
      <c r="F1462" s="30">
        <v>2746298034</v>
      </c>
      <c r="G1462" s="30" t="s">
        <v>5427</v>
      </c>
      <c r="H1462" s="30">
        <v>2012</v>
      </c>
      <c r="I1462" s="30">
        <v>318156</v>
      </c>
      <c r="J1462" s="30" t="s">
        <v>5219</v>
      </c>
      <c r="K1462" s="30" t="s">
        <v>6076</v>
      </c>
    </row>
    <row r="1463" spans="1:11" ht="12.5" x14ac:dyDescent="0.25">
      <c r="A1463" s="30" t="s">
        <v>6075</v>
      </c>
      <c r="B1463" s="30" t="s">
        <v>6074</v>
      </c>
      <c r="C1463" s="32">
        <v>52.63</v>
      </c>
      <c r="D1463" s="30">
        <v>1.78</v>
      </c>
      <c r="E1463" s="31">
        <v>3.5000000000000003E-2</v>
      </c>
      <c r="F1463" s="30">
        <v>8050366482</v>
      </c>
      <c r="G1463" s="30" t="s">
        <v>6073</v>
      </c>
      <c r="H1463" s="30">
        <v>2010</v>
      </c>
      <c r="I1463" s="30">
        <v>2186281</v>
      </c>
      <c r="J1463" s="30" t="s">
        <v>5457</v>
      </c>
      <c r="K1463" s="30" t="s">
        <v>5644</v>
      </c>
    </row>
    <row r="1464" spans="1:11" ht="12.5" x14ac:dyDescent="0.25">
      <c r="A1464" s="30" t="s">
        <v>6072</v>
      </c>
      <c r="B1464" s="30" t="s">
        <v>6071</v>
      </c>
      <c r="C1464" s="32">
        <v>35.869999999999997</v>
      </c>
      <c r="D1464" s="30">
        <v>0.27</v>
      </c>
      <c r="E1464" s="31">
        <v>7.5799999999999999E-3</v>
      </c>
      <c r="F1464" s="30">
        <v>6428493559</v>
      </c>
      <c r="G1464" s="30" t="s">
        <v>5427</v>
      </c>
      <c r="H1464" s="30">
        <v>2011</v>
      </c>
      <c r="I1464" s="30">
        <v>1287439</v>
      </c>
      <c r="J1464" s="30" t="s">
        <v>5197</v>
      </c>
      <c r="K1464" s="30" t="s">
        <v>5467</v>
      </c>
    </row>
    <row r="1465" spans="1:11" ht="12.5" x14ac:dyDescent="0.25">
      <c r="A1465" s="30" t="s">
        <v>6070</v>
      </c>
      <c r="B1465" s="30" t="s">
        <v>6069</v>
      </c>
      <c r="C1465" s="32">
        <v>9.41</v>
      </c>
      <c r="D1465" s="30">
        <v>0.13</v>
      </c>
      <c r="E1465" s="31">
        <v>1.401E-2</v>
      </c>
      <c r="F1465" s="30">
        <v>815822035</v>
      </c>
      <c r="G1465" s="30" t="s">
        <v>5427</v>
      </c>
      <c r="H1465" s="30"/>
      <c r="I1465" s="30">
        <v>830030</v>
      </c>
      <c r="J1465" s="30" t="s">
        <v>5197</v>
      </c>
      <c r="K1465" s="30" t="s">
        <v>5467</v>
      </c>
    </row>
    <row r="1466" spans="1:11" ht="12.5" x14ac:dyDescent="0.25">
      <c r="A1466" s="30" t="s">
        <v>6068</v>
      </c>
      <c r="B1466" s="30" t="s">
        <v>6067</v>
      </c>
      <c r="C1466" s="32">
        <v>49.61</v>
      </c>
      <c r="D1466" s="30">
        <v>1.84</v>
      </c>
      <c r="E1466" s="31">
        <v>3.8519999999999999E-2</v>
      </c>
      <c r="F1466" s="30">
        <v>1345771115</v>
      </c>
      <c r="G1466" s="30" t="s">
        <v>5427</v>
      </c>
      <c r="H1466" s="30"/>
      <c r="I1466" s="30">
        <v>401533</v>
      </c>
      <c r="J1466" s="30" t="s">
        <v>5435</v>
      </c>
      <c r="K1466" s="30" t="s">
        <v>6066</v>
      </c>
    </row>
    <row r="1467" spans="1:11" ht="12.5" x14ac:dyDescent="0.25">
      <c r="A1467" s="30" t="s">
        <v>6065</v>
      </c>
      <c r="B1467" s="30" t="s">
        <v>6064</v>
      </c>
      <c r="C1467" s="32">
        <v>214.49</v>
      </c>
      <c r="D1467" s="30">
        <v>7.98</v>
      </c>
      <c r="E1467" s="31">
        <v>3.8640000000000001E-2</v>
      </c>
      <c r="F1467" s="30">
        <v>21411025189</v>
      </c>
      <c r="G1467" s="30" t="s">
        <v>5427</v>
      </c>
      <c r="H1467" s="30"/>
      <c r="I1467" s="30">
        <v>711880</v>
      </c>
      <c r="J1467" s="30" t="s">
        <v>5431</v>
      </c>
      <c r="K1467" s="30" t="s">
        <v>5438</v>
      </c>
    </row>
    <row r="1468" spans="1:11" ht="12.5" x14ac:dyDescent="0.25">
      <c r="A1468" s="30" t="s">
        <v>6063</v>
      </c>
      <c r="B1468" s="30" t="s">
        <v>6062</v>
      </c>
      <c r="C1468" s="32">
        <v>10.42</v>
      </c>
      <c r="D1468" s="30">
        <v>0.56000000000000005</v>
      </c>
      <c r="E1468" s="31">
        <v>5.6800000000000003E-2</v>
      </c>
      <c r="F1468" s="30">
        <v>1609773286</v>
      </c>
      <c r="G1468" s="30" t="s">
        <v>5427</v>
      </c>
      <c r="H1468" s="30">
        <v>2020</v>
      </c>
      <c r="I1468" s="30">
        <v>3938337</v>
      </c>
      <c r="J1468" s="30" t="s">
        <v>5219</v>
      </c>
      <c r="K1468" s="30" t="s">
        <v>5560</v>
      </c>
    </row>
    <row r="1469" spans="1:11" ht="12.5" x14ac:dyDescent="0.25">
      <c r="A1469" s="30" t="s">
        <v>6061</v>
      </c>
      <c r="B1469" s="30" t="s">
        <v>6060</v>
      </c>
      <c r="C1469" s="32">
        <v>12.93</v>
      </c>
      <c r="D1469" s="30">
        <v>0.03</v>
      </c>
      <c r="E1469" s="31">
        <v>2.33E-3</v>
      </c>
      <c r="F1469" s="30">
        <v>1258517216</v>
      </c>
      <c r="G1469" s="30" t="s">
        <v>5427</v>
      </c>
      <c r="H1469" s="30"/>
      <c r="I1469" s="30">
        <v>152653</v>
      </c>
      <c r="J1469" s="30" t="s">
        <v>5435</v>
      </c>
      <c r="K1469" s="30" t="s">
        <v>5434</v>
      </c>
    </row>
    <row r="1470" spans="1:11" ht="12.5" x14ac:dyDescent="0.25">
      <c r="A1470" s="30" t="s">
        <v>6059</v>
      </c>
      <c r="B1470" s="30" t="s">
        <v>6058</v>
      </c>
      <c r="C1470" s="32">
        <v>27.56</v>
      </c>
      <c r="D1470" s="30">
        <v>0.71</v>
      </c>
      <c r="E1470" s="31">
        <v>2.6440000000000002E-2</v>
      </c>
      <c r="F1470" s="30">
        <v>445461843</v>
      </c>
      <c r="G1470" s="30" t="s">
        <v>5427</v>
      </c>
      <c r="H1470" s="30">
        <v>2009</v>
      </c>
      <c r="I1470" s="30">
        <v>65358</v>
      </c>
      <c r="J1470" s="30" t="s">
        <v>5435</v>
      </c>
      <c r="K1470" s="30" t="s">
        <v>5434</v>
      </c>
    </row>
    <row r="1471" spans="1:11" ht="12.5" x14ac:dyDescent="0.25">
      <c r="A1471" s="30" t="s">
        <v>6057</v>
      </c>
      <c r="B1471" s="30" t="s">
        <v>6056</v>
      </c>
      <c r="C1471" s="32">
        <v>16.079999999999998</v>
      </c>
      <c r="D1471" s="30">
        <v>0.36</v>
      </c>
      <c r="E1471" s="31">
        <v>2.29E-2</v>
      </c>
      <c r="F1471" s="30">
        <v>51671025442</v>
      </c>
      <c r="G1471" s="30" t="s">
        <v>5775</v>
      </c>
      <c r="H1471" s="30">
        <v>2014</v>
      </c>
      <c r="I1471" s="30">
        <v>6263143</v>
      </c>
      <c r="J1471" s="30" t="s">
        <v>5442</v>
      </c>
      <c r="K1471" s="30" t="s">
        <v>5926</v>
      </c>
    </row>
    <row r="1472" spans="1:11" ht="12.5" x14ac:dyDescent="0.25">
      <c r="A1472" s="30" t="s">
        <v>6055</v>
      </c>
      <c r="B1472" s="30" t="s">
        <v>6054</v>
      </c>
      <c r="C1472" s="32">
        <v>49.27</v>
      </c>
      <c r="D1472" s="30">
        <v>2.0499999999999998</v>
      </c>
      <c r="E1472" s="31">
        <v>4.3409999999999997E-2</v>
      </c>
      <c r="F1472" s="30">
        <v>44499406827</v>
      </c>
      <c r="G1472" s="30" t="s">
        <v>5799</v>
      </c>
      <c r="H1472" s="30"/>
      <c r="I1472" s="30">
        <v>6233289</v>
      </c>
      <c r="J1472" s="30" t="s">
        <v>5219</v>
      </c>
      <c r="K1472" s="30" t="s">
        <v>5526</v>
      </c>
    </row>
    <row r="1473" spans="1:11" ht="12.5" x14ac:dyDescent="0.25">
      <c r="A1473" s="30" t="s">
        <v>6053</v>
      </c>
      <c r="B1473" s="30" t="s">
        <v>6052</v>
      </c>
      <c r="C1473" s="32">
        <v>53.01</v>
      </c>
      <c r="D1473" s="30">
        <v>0.85</v>
      </c>
      <c r="E1473" s="31">
        <v>1.6299999999999999E-2</v>
      </c>
      <c r="F1473" s="30">
        <v>5871715573</v>
      </c>
      <c r="G1473" s="30" t="s">
        <v>5515</v>
      </c>
      <c r="H1473" s="30"/>
      <c r="I1473" s="30">
        <v>100876</v>
      </c>
      <c r="J1473" s="30" t="s">
        <v>5442</v>
      </c>
      <c r="K1473" s="30" t="s">
        <v>5910</v>
      </c>
    </row>
    <row r="1474" spans="1:11" ht="12.5" x14ac:dyDescent="0.25">
      <c r="A1474" s="30" t="s">
        <v>6051</v>
      </c>
      <c r="B1474" s="30" t="s">
        <v>6050</v>
      </c>
      <c r="C1474" s="32">
        <v>32.21</v>
      </c>
      <c r="D1474" s="30">
        <v>0</v>
      </c>
      <c r="E1474" s="31">
        <v>0</v>
      </c>
      <c r="F1474" s="30">
        <v>9105309521</v>
      </c>
      <c r="G1474" s="30" t="s">
        <v>5427</v>
      </c>
      <c r="H1474" s="30">
        <v>2014</v>
      </c>
      <c r="I1474" s="30">
        <v>3068421</v>
      </c>
      <c r="J1474" s="30" t="s">
        <v>5197</v>
      </c>
      <c r="K1474" s="30" t="s">
        <v>5467</v>
      </c>
    </row>
    <row r="1475" spans="1:11" ht="12.5" x14ac:dyDescent="0.25">
      <c r="A1475" s="30" t="s">
        <v>6049</v>
      </c>
      <c r="B1475" s="30" t="s">
        <v>6048</v>
      </c>
      <c r="C1475" s="32">
        <v>26.93</v>
      </c>
      <c r="D1475" s="30">
        <v>0.36</v>
      </c>
      <c r="E1475" s="31">
        <v>1.355E-2</v>
      </c>
      <c r="F1475" s="30">
        <v>2076285576</v>
      </c>
      <c r="G1475" s="30" t="s">
        <v>5427</v>
      </c>
      <c r="H1475" s="30">
        <v>2022</v>
      </c>
      <c r="I1475" s="30">
        <v>827328</v>
      </c>
      <c r="J1475" s="30" t="s">
        <v>5464</v>
      </c>
      <c r="K1475" s="30" t="s">
        <v>5463</v>
      </c>
    </row>
    <row r="1476" spans="1:11" ht="12.5" x14ac:dyDescent="0.25">
      <c r="A1476" s="30" t="s">
        <v>6047</v>
      </c>
      <c r="B1476" s="30" t="s">
        <v>6046</v>
      </c>
      <c r="C1476" s="32">
        <v>92.28</v>
      </c>
      <c r="D1476" s="30">
        <v>0.95</v>
      </c>
      <c r="E1476" s="31">
        <v>1.04E-2</v>
      </c>
      <c r="F1476" s="30">
        <v>32207950131</v>
      </c>
      <c r="G1476" s="30" t="s">
        <v>5427</v>
      </c>
      <c r="H1476" s="30"/>
      <c r="I1476" s="30">
        <v>3589408</v>
      </c>
      <c r="J1476" s="30" t="s">
        <v>5435</v>
      </c>
      <c r="K1476" s="30" t="s">
        <v>5434</v>
      </c>
    </row>
    <row r="1477" spans="1:11" ht="12.5" x14ac:dyDescent="0.25">
      <c r="A1477" s="30" t="s">
        <v>6045</v>
      </c>
      <c r="B1477" s="30" t="s">
        <v>6044</v>
      </c>
      <c r="C1477" s="32">
        <v>21.32</v>
      </c>
      <c r="D1477" s="30">
        <v>0.43</v>
      </c>
      <c r="E1477" s="31">
        <v>2.0580000000000001E-2</v>
      </c>
      <c r="F1477" s="30">
        <v>6600337233</v>
      </c>
      <c r="G1477" s="30" t="s">
        <v>5427</v>
      </c>
      <c r="H1477" s="30">
        <v>2009</v>
      </c>
      <c r="I1477" s="30">
        <v>2280005</v>
      </c>
      <c r="J1477" s="30" t="s">
        <v>5197</v>
      </c>
      <c r="K1477" s="30" t="s">
        <v>5467</v>
      </c>
    </row>
    <row r="1478" spans="1:11" ht="12.5" x14ac:dyDescent="0.25">
      <c r="A1478" s="30" t="s">
        <v>6043</v>
      </c>
      <c r="B1478" s="30" t="s">
        <v>6042</v>
      </c>
      <c r="C1478" s="32">
        <v>233.59</v>
      </c>
      <c r="D1478" s="30">
        <v>2.0699999999999998</v>
      </c>
      <c r="E1478" s="31">
        <v>8.94E-3</v>
      </c>
      <c r="F1478" s="30">
        <v>43096938976</v>
      </c>
      <c r="G1478" s="30" t="s">
        <v>5427</v>
      </c>
      <c r="H1478" s="30"/>
      <c r="I1478" s="30">
        <v>1280697</v>
      </c>
      <c r="J1478" s="30" t="s">
        <v>5541</v>
      </c>
      <c r="K1478" s="30" t="s">
        <v>5997</v>
      </c>
    </row>
    <row r="1479" spans="1:11" ht="12.5" x14ac:dyDescent="0.25">
      <c r="A1479" s="30" t="s">
        <v>6041</v>
      </c>
      <c r="B1479" s="30" t="s">
        <v>6040</v>
      </c>
      <c r="C1479" s="32">
        <v>34.340000000000003</v>
      </c>
      <c r="D1479" s="30">
        <v>-0.38</v>
      </c>
      <c r="E1479" s="31">
        <v>-1.094E-2</v>
      </c>
      <c r="F1479" s="30">
        <v>46325115314</v>
      </c>
      <c r="G1479" s="30" t="s">
        <v>5515</v>
      </c>
      <c r="H1479" s="30"/>
      <c r="I1479" s="30">
        <v>4590068</v>
      </c>
      <c r="J1479" s="30"/>
      <c r="K1479" s="30"/>
    </row>
    <row r="1480" spans="1:11" ht="12.5" x14ac:dyDescent="0.25">
      <c r="A1480" s="30" t="s">
        <v>6039</v>
      </c>
      <c r="B1480" s="30" t="s">
        <v>6038</v>
      </c>
      <c r="C1480" s="32">
        <v>157.99</v>
      </c>
      <c r="D1480" s="30">
        <v>1.1299999999999999</v>
      </c>
      <c r="E1480" s="31">
        <v>7.1999999999999998E-3</v>
      </c>
      <c r="F1480" s="30">
        <v>19573417438</v>
      </c>
      <c r="G1480" s="30" t="s">
        <v>5427</v>
      </c>
      <c r="H1480" s="30">
        <v>1993</v>
      </c>
      <c r="I1480" s="30">
        <v>759880</v>
      </c>
      <c r="J1480" s="30" t="s">
        <v>5197</v>
      </c>
      <c r="K1480" s="30" t="s">
        <v>5467</v>
      </c>
    </row>
    <row r="1481" spans="1:11" ht="12.5" x14ac:dyDescent="0.25">
      <c r="A1481" s="30" t="s">
        <v>6037</v>
      </c>
      <c r="B1481" s="30" t="s">
        <v>6036</v>
      </c>
      <c r="C1481" s="32">
        <v>33.659999999999997</v>
      </c>
      <c r="D1481" s="30">
        <v>0.8</v>
      </c>
      <c r="E1481" s="31">
        <v>2.435E-2</v>
      </c>
      <c r="F1481" s="30">
        <v>3985488839</v>
      </c>
      <c r="G1481" s="30" t="s">
        <v>5427</v>
      </c>
      <c r="H1481" s="30">
        <v>2015</v>
      </c>
      <c r="I1481" s="30">
        <v>625762</v>
      </c>
      <c r="J1481" s="30" t="s">
        <v>5457</v>
      </c>
      <c r="K1481" s="30" t="s">
        <v>6035</v>
      </c>
    </row>
    <row r="1482" spans="1:11" ht="12.5" x14ac:dyDescent="0.25">
      <c r="A1482" s="30" t="s">
        <v>6034</v>
      </c>
      <c r="B1482" s="30" t="s">
        <v>6033</v>
      </c>
      <c r="C1482" s="32">
        <v>47.53</v>
      </c>
      <c r="D1482" s="30">
        <v>-0.2</v>
      </c>
      <c r="E1482" s="31">
        <v>-4.1900000000000001E-3</v>
      </c>
      <c r="F1482" s="30">
        <v>3981269649</v>
      </c>
      <c r="G1482" s="30" t="s">
        <v>5427</v>
      </c>
      <c r="H1482" s="30">
        <v>2012</v>
      </c>
      <c r="I1482" s="30">
        <v>254986</v>
      </c>
      <c r="J1482" s="30" t="s">
        <v>5464</v>
      </c>
      <c r="K1482" s="30" t="s">
        <v>6032</v>
      </c>
    </row>
    <row r="1483" spans="1:11" ht="12.5" x14ac:dyDescent="0.25">
      <c r="A1483" s="30" t="s">
        <v>6031</v>
      </c>
      <c r="B1483" s="30" t="s">
        <v>6030</v>
      </c>
      <c r="C1483" s="32">
        <v>1.32</v>
      </c>
      <c r="D1483" s="30">
        <v>0.03</v>
      </c>
      <c r="E1483" s="31">
        <v>2.3259999999999999E-2</v>
      </c>
      <c r="F1483" s="30">
        <v>108275513</v>
      </c>
      <c r="G1483" s="30" t="s">
        <v>5427</v>
      </c>
      <c r="H1483" s="30">
        <v>2021</v>
      </c>
      <c r="I1483" s="30">
        <v>87516</v>
      </c>
      <c r="J1483" s="30" t="s">
        <v>5435</v>
      </c>
      <c r="K1483" s="30" t="s">
        <v>6009</v>
      </c>
    </row>
    <row r="1484" spans="1:11" ht="12.5" x14ac:dyDescent="0.25">
      <c r="A1484" s="30" t="s">
        <v>6029</v>
      </c>
      <c r="B1484" s="30" t="s">
        <v>6028</v>
      </c>
      <c r="C1484" s="32">
        <v>5.74</v>
      </c>
      <c r="D1484" s="30">
        <v>0.09</v>
      </c>
      <c r="E1484" s="31">
        <v>1.593E-2</v>
      </c>
      <c r="F1484" s="30">
        <v>155072558</v>
      </c>
      <c r="G1484" s="30" t="s">
        <v>5427</v>
      </c>
      <c r="H1484" s="30"/>
      <c r="I1484" s="30">
        <v>83376</v>
      </c>
      <c r="J1484" s="30" t="s">
        <v>5442</v>
      </c>
      <c r="K1484" s="30" t="s">
        <v>5853</v>
      </c>
    </row>
    <row r="1485" spans="1:11" ht="12.5" x14ac:dyDescent="0.25">
      <c r="A1485" s="30" t="s">
        <v>6027</v>
      </c>
      <c r="B1485" s="30" t="s">
        <v>6026</v>
      </c>
      <c r="C1485" s="32">
        <v>10.53</v>
      </c>
      <c r="D1485" s="30">
        <v>0.37</v>
      </c>
      <c r="E1485" s="31">
        <v>3.6420000000000001E-2</v>
      </c>
      <c r="F1485" s="30">
        <v>1702408403</v>
      </c>
      <c r="G1485" s="30" t="s">
        <v>5427</v>
      </c>
      <c r="H1485" s="30">
        <v>2018</v>
      </c>
      <c r="I1485" s="30">
        <v>325159</v>
      </c>
      <c r="J1485" s="30" t="s">
        <v>5219</v>
      </c>
      <c r="K1485" s="30" t="s">
        <v>5560</v>
      </c>
    </row>
    <row r="1486" spans="1:11" ht="12.5" x14ac:dyDescent="0.25">
      <c r="A1486" s="30" t="s">
        <v>6025</v>
      </c>
      <c r="B1486" s="30" t="s">
        <v>6024</v>
      </c>
      <c r="C1486" s="32">
        <v>91.16</v>
      </c>
      <c r="D1486" s="30">
        <v>1.85</v>
      </c>
      <c r="E1486" s="31">
        <v>2.0709999999999999E-2</v>
      </c>
      <c r="F1486" s="30">
        <v>13486373212</v>
      </c>
      <c r="G1486" s="30" t="s">
        <v>5427</v>
      </c>
      <c r="H1486" s="30"/>
      <c r="I1486" s="30">
        <v>2327549</v>
      </c>
      <c r="J1486" s="30" t="s">
        <v>5442</v>
      </c>
      <c r="K1486" s="30" t="s">
        <v>6023</v>
      </c>
    </row>
    <row r="1487" spans="1:11" ht="12.5" x14ac:dyDescent="0.25">
      <c r="A1487" s="30" t="s">
        <v>5074</v>
      </c>
      <c r="B1487" s="30" t="s">
        <v>6022</v>
      </c>
      <c r="C1487" s="32">
        <v>5.35</v>
      </c>
      <c r="D1487" s="30">
        <v>-0.17</v>
      </c>
      <c r="E1487" s="31">
        <v>-3.0800000000000001E-2</v>
      </c>
      <c r="F1487" s="30">
        <v>5904145879</v>
      </c>
      <c r="G1487" s="30" t="s">
        <v>5427</v>
      </c>
      <c r="H1487" s="30"/>
      <c r="I1487" s="30">
        <v>32161386</v>
      </c>
      <c r="J1487" s="30" t="s">
        <v>5464</v>
      </c>
      <c r="K1487" s="30" t="s">
        <v>5463</v>
      </c>
    </row>
    <row r="1488" spans="1:11" ht="12.5" x14ac:dyDescent="0.25">
      <c r="A1488" s="30" t="s">
        <v>6021</v>
      </c>
      <c r="B1488" s="30" t="s">
        <v>6020</v>
      </c>
      <c r="C1488" s="32">
        <v>67.11</v>
      </c>
      <c r="D1488" s="30">
        <v>0.18</v>
      </c>
      <c r="E1488" s="31">
        <v>2.6900000000000001E-3</v>
      </c>
      <c r="F1488" s="30">
        <v>4500921534</v>
      </c>
      <c r="G1488" s="30" t="s">
        <v>5427</v>
      </c>
      <c r="H1488" s="30"/>
      <c r="I1488" s="30">
        <v>323122</v>
      </c>
      <c r="J1488" s="30" t="s">
        <v>5426</v>
      </c>
      <c r="K1488" s="30" t="s">
        <v>5463</v>
      </c>
    </row>
    <row r="1489" spans="1:11" ht="12.5" x14ac:dyDescent="0.25">
      <c r="A1489" s="30" t="s">
        <v>6019</v>
      </c>
      <c r="B1489" s="30" t="s">
        <v>6018</v>
      </c>
      <c r="C1489" s="32">
        <v>8.1</v>
      </c>
      <c r="D1489" s="30">
        <v>-0.06</v>
      </c>
      <c r="E1489" s="31">
        <v>-7.3499999999999998E-3</v>
      </c>
      <c r="F1489" s="30">
        <v>107019257</v>
      </c>
      <c r="G1489" s="30" t="s">
        <v>5427</v>
      </c>
      <c r="H1489" s="30"/>
      <c r="I1489" s="30">
        <v>12865</v>
      </c>
      <c r="J1489" s="30" t="s">
        <v>5435</v>
      </c>
      <c r="K1489" s="30" t="s">
        <v>5563</v>
      </c>
    </row>
    <row r="1490" spans="1:11" ht="12.5" x14ac:dyDescent="0.25">
      <c r="A1490" s="30" t="s">
        <v>6017</v>
      </c>
      <c r="B1490" s="30" t="s">
        <v>6016</v>
      </c>
      <c r="C1490" s="32">
        <v>9.0299999999999994</v>
      </c>
      <c r="D1490" s="30">
        <v>-0.08</v>
      </c>
      <c r="E1490" s="31">
        <v>-8.7799999999999996E-3</v>
      </c>
      <c r="F1490" s="30">
        <v>753122886</v>
      </c>
      <c r="G1490" s="30" t="s">
        <v>5427</v>
      </c>
      <c r="H1490" s="30">
        <v>2011</v>
      </c>
      <c r="I1490" s="30">
        <v>1053928</v>
      </c>
      <c r="J1490" s="30"/>
      <c r="K1490" s="30"/>
    </row>
    <row r="1491" spans="1:11" ht="12.5" x14ac:dyDescent="0.25">
      <c r="A1491" s="30" t="s">
        <v>6015</v>
      </c>
      <c r="B1491" s="30" t="s">
        <v>6014</v>
      </c>
      <c r="C1491" s="32">
        <v>119.15</v>
      </c>
      <c r="D1491" s="30">
        <v>3.58</v>
      </c>
      <c r="E1491" s="31">
        <v>3.0980000000000001E-2</v>
      </c>
      <c r="F1491" s="30">
        <v>1428156207</v>
      </c>
      <c r="G1491" s="30" t="s">
        <v>5427</v>
      </c>
      <c r="H1491" s="30"/>
      <c r="I1491" s="30">
        <v>74894</v>
      </c>
      <c r="J1491" s="30" t="s">
        <v>5457</v>
      </c>
      <c r="K1491" s="30" t="s">
        <v>5644</v>
      </c>
    </row>
    <row r="1492" spans="1:11" ht="12.5" x14ac:dyDescent="0.25">
      <c r="A1492" s="30" t="s">
        <v>6013</v>
      </c>
      <c r="B1492" s="30" t="s">
        <v>6012</v>
      </c>
      <c r="C1492" s="32">
        <v>76.989999999999995</v>
      </c>
      <c r="D1492" s="30">
        <v>1.3</v>
      </c>
      <c r="E1492" s="31">
        <v>1.7180000000000001E-2</v>
      </c>
      <c r="F1492" s="30">
        <v>3236481368</v>
      </c>
      <c r="G1492" s="30" t="s">
        <v>5427</v>
      </c>
      <c r="H1492" s="30"/>
      <c r="I1492" s="30">
        <v>181833</v>
      </c>
      <c r="J1492" s="30" t="s">
        <v>5457</v>
      </c>
      <c r="K1492" s="30" t="s">
        <v>5555</v>
      </c>
    </row>
    <row r="1493" spans="1:11" ht="12.5" x14ac:dyDescent="0.25">
      <c r="A1493" s="30" t="s">
        <v>6011</v>
      </c>
      <c r="B1493" s="30" t="s">
        <v>6010</v>
      </c>
      <c r="C1493" s="32">
        <v>35.31</v>
      </c>
      <c r="D1493" s="30">
        <v>-1.42</v>
      </c>
      <c r="E1493" s="31">
        <v>-3.866E-2</v>
      </c>
      <c r="F1493" s="30">
        <v>15472842000</v>
      </c>
      <c r="G1493" s="30" t="s">
        <v>5427</v>
      </c>
      <c r="H1493" s="30">
        <v>2014</v>
      </c>
      <c r="I1493" s="30">
        <v>14051978</v>
      </c>
      <c r="J1493" s="30" t="s">
        <v>5435</v>
      </c>
      <c r="K1493" s="30" t="s">
        <v>6009</v>
      </c>
    </row>
    <row r="1494" spans="1:11" ht="12.5" x14ac:dyDescent="0.25">
      <c r="A1494" s="30" t="s">
        <v>6008</v>
      </c>
      <c r="B1494" s="30" t="s">
        <v>6007</v>
      </c>
      <c r="C1494" s="32">
        <v>278.95</v>
      </c>
      <c r="D1494" s="30">
        <v>25.14</v>
      </c>
      <c r="E1494" s="31">
        <v>9.9049999999999999E-2</v>
      </c>
      <c r="F1494" s="30">
        <v>105563028695</v>
      </c>
      <c r="G1494" s="30" t="s">
        <v>5427</v>
      </c>
      <c r="H1494" s="30"/>
      <c r="I1494" s="30">
        <v>4666608</v>
      </c>
      <c r="J1494" s="30" t="s">
        <v>5431</v>
      </c>
      <c r="K1494" s="30" t="s">
        <v>5500</v>
      </c>
    </row>
    <row r="1495" spans="1:11" ht="12.5" x14ac:dyDescent="0.25">
      <c r="A1495" s="30" t="s">
        <v>6006</v>
      </c>
      <c r="B1495" s="30" t="s">
        <v>6005</v>
      </c>
      <c r="C1495" s="32">
        <v>77.92</v>
      </c>
      <c r="D1495" s="30">
        <v>0.46</v>
      </c>
      <c r="E1495" s="31">
        <v>5.94E-3</v>
      </c>
      <c r="F1495" s="30">
        <v>39487325626</v>
      </c>
      <c r="G1495" s="30" t="s">
        <v>5427</v>
      </c>
      <c r="H1495" s="30"/>
      <c r="I1495" s="30">
        <v>4640983</v>
      </c>
      <c r="J1495" s="30" t="s">
        <v>5442</v>
      </c>
      <c r="K1495" s="30" t="s">
        <v>5735</v>
      </c>
    </row>
    <row r="1496" spans="1:11" ht="12.5" x14ac:dyDescent="0.25">
      <c r="A1496" s="30" t="s">
        <v>6004</v>
      </c>
      <c r="B1496" s="30" t="s">
        <v>6003</v>
      </c>
      <c r="C1496" s="32">
        <v>20.18</v>
      </c>
      <c r="D1496" s="30">
        <v>-0.19</v>
      </c>
      <c r="E1496" s="31">
        <v>-9.3299999999999998E-3</v>
      </c>
      <c r="F1496" s="30">
        <v>143843040000</v>
      </c>
      <c r="G1496" s="30" t="s">
        <v>5427</v>
      </c>
      <c r="H1496" s="30"/>
      <c r="I1496" s="30">
        <v>40143510</v>
      </c>
      <c r="J1496" s="30" t="s">
        <v>5442</v>
      </c>
      <c r="K1496" s="30" t="s">
        <v>5520</v>
      </c>
    </row>
    <row r="1497" spans="1:11" ht="12.5" x14ac:dyDescent="0.25">
      <c r="A1497" s="30" t="s">
        <v>6002</v>
      </c>
      <c r="B1497" s="30" t="s">
        <v>6001</v>
      </c>
      <c r="C1497" s="32">
        <v>9.6300000000000008</v>
      </c>
      <c r="D1497" s="30">
        <v>-0.1</v>
      </c>
      <c r="E1497" s="31">
        <v>-1.0279999999999999E-2</v>
      </c>
      <c r="F1497" s="30">
        <v>2594322000</v>
      </c>
      <c r="G1497" s="30" t="s">
        <v>5515</v>
      </c>
      <c r="H1497" s="30"/>
      <c r="I1497" s="30">
        <v>527283</v>
      </c>
      <c r="J1497" s="30" t="s">
        <v>5426</v>
      </c>
      <c r="K1497" s="30" t="s">
        <v>6000</v>
      </c>
    </row>
    <row r="1498" spans="1:11" ht="12.5" x14ac:dyDescent="0.25">
      <c r="A1498" s="30" t="s">
        <v>5999</v>
      </c>
      <c r="B1498" s="30" t="s">
        <v>5998</v>
      </c>
      <c r="C1498" s="32">
        <v>53.31</v>
      </c>
      <c r="D1498" s="30">
        <v>0.73</v>
      </c>
      <c r="E1498" s="31">
        <v>1.388E-2</v>
      </c>
      <c r="F1498" s="30">
        <v>11542080663</v>
      </c>
      <c r="G1498" s="30" t="s">
        <v>5515</v>
      </c>
      <c r="H1498" s="30"/>
      <c r="I1498" s="30">
        <v>2016485</v>
      </c>
      <c r="J1498" s="30" t="s">
        <v>5541</v>
      </c>
      <c r="K1498" s="30" t="s">
        <v>5997</v>
      </c>
    </row>
    <row r="1499" spans="1:11" ht="12.5" x14ac:dyDescent="0.25">
      <c r="A1499" s="30" t="s">
        <v>5996</v>
      </c>
      <c r="B1499" s="30" t="s">
        <v>5995</v>
      </c>
      <c r="C1499" s="32">
        <v>20.09</v>
      </c>
      <c r="D1499" s="30">
        <v>0.46</v>
      </c>
      <c r="E1499" s="31">
        <v>2.3429999999999999E-2</v>
      </c>
      <c r="F1499" s="30">
        <v>657317478</v>
      </c>
      <c r="G1499" s="30" t="s">
        <v>5427</v>
      </c>
      <c r="H1499" s="30"/>
      <c r="I1499" s="30">
        <v>166141</v>
      </c>
      <c r="J1499" s="30" t="s">
        <v>5442</v>
      </c>
      <c r="K1499" s="30" t="s">
        <v>5994</v>
      </c>
    </row>
    <row r="1500" spans="1:11" ht="12.5" x14ac:dyDescent="0.25">
      <c r="A1500" s="30" t="s">
        <v>5993</v>
      </c>
      <c r="B1500" s="30" t="s">
        <v>5992</v>
      </c>
      <c r="C1500" s="32">
        <v>45.82</v>
      </c>
      <c r="D1500" s="30">
        <v>0.32</v>
      </c>
      <c r="E1500" s="31">
        <v>7.0299999999999998E-3</v>
      </c>
      <c r="F1500" s="30">
        <v>395853459</v>
      </c>
      <c r="G1500" s="30" t="s">
        <v>5427</v>
      </c>
      <c r="H1500" s="30"/>
      <c r="I1500" s="30">
        <v>11475</v>
      </c>
      <c r="J1500" s="30" t="s">
        <v>5435</v>
      </c>
      <c r="K1500" s="30" t="s">
        <v>5197</v>
      </c>
    </row>
    <row r="1501" spans="1:11" ht="12.5" x14ac:dyDescent="0.25">
      <c r="A1501" s="30" t="s">
        <v>5991</v>
      </c>
      <c r="B1501" s="30" t="s">
        <v>5990</v>
      </c>
      <c r="C1501" s="32">
        <v>68.84</v>
      </c>
      <c r="D1501" s="30">
        <v>-0.38</v>
      </c>
      <c r="E1501" s="31">
        <v>-5.4900000000000001E-3</v>
      </c>
      <c r="F1501" s="30">
        <v>125334839435</v>
      </c>
      <c r="G1501" s="30" t="s">
        <v>5515</v>
      </c>
      <c r="H1501" s="30"/>
      <c r="I1501" s="30">
        <v>1715956</v>
      </c>
      <c r="J1501" s="30"/>
      <c r="K1501" s="30"/>
    </row>
    <row r="1502" spans="1:11" ht="12.5" x14ac:dyDescent="0.25">
      <c r="A1502" s="30" t="s">
        <v>5989</v>
      </c>
      <c r="B1502" s="30" t="s">
        <v>5988</v>
      </c>
      <c r="C1502" s="32">
        <v>35.76</v>
      </c>
      <c r="D1502" s="30">
        <v>0.88</v>
      </c>
      <c r="E1502" s="31">
        <v>2.5229999999999999E-2</v>
      </c>
      <c r="F1502" s="30">
        <v>3640368000</v>
      </c>
      <c r="G1502" s="30" t="s">
        <v>5427</v>
      </c>
      <c r="H1502" s="30"/>
      <c r="I1502" s="30">
        <v>661934</v>
      </c>
      <c r="J1502" s="30" t="s">
        <v>5219</v>
      </c>
      <c r="K1502" s="30" t="s">
        <v>5447</v>
      </c>
    </row>
    <row r="1503" spans="1:11" ht="12.5" x14ac:dyDescent="0.25">
      <c r="A1503" s="30" t="s">
        <v>5987</v>
      </c>
      <c r="B1503" s="30" t="s">
        <v>5986</v>
      </c>
      <c r="C1503" s="32">
        <v>12.28</v>
      </c>
      <c r="D1503" s="30">
        <v>0.36</v>
      </c>
      <c r="E1503" s="31">
        <v>3.0200000000000001E-2</v>
      </c>
      <c r="F1503" s="30">
        <v>415114876</v>
      </c>
      <c r="G1503" s="30" t="s">
        <v>5427</v>
      </c>
      <c r="H1503" s="30"/>
      <c r="I1503" s="30">
        <v>69249</v>
      </c>
      <c r="J1503" s="30" t="s">
        <v>5435</v>
      </c>
      <c r="K1503" s="30" t="s">
        <v>5985</v>
      </c>
    </row>
    <row r="1504" spans="1:11" ht="12.5" x14ac:dyDescent="0.25">
      <c r="A1504" s="30" t="s">
        <v>5984</v>
      </c>
      <c r="B1504" s="30" t="s">
        <v>5983</v>
      </c>
      <c r="C1504" s="32">
        <v>728.15</v>
      </c>
      <c r="D1504" s="30">
        <v>10.4</v>
      </c>
      <c r="E1504" s="31">
        <v>1.4489999999999999E-2</v>
      </c>
      <c r="F1504" s="30">
        <v>39709963889</v>
      </c>
      <c r="G1504" s="30" t="s">
        <v>5427</v>
      </c>
      <c r="H1504" s="30">
        <v>2006</v>
      </c>
      <c r="I1504" s="30">
        <v>290606</v>
      </c>
      <c r="J1504" s="30" t="s">
        <v>5457</v>
      </c>
      <c r="K1504" s="30" t="s">
        <v>5701</v>
      </c>
    </row>
    <row r="1505" spans="1:11" ht="12.5" x14ac:dyDescent="0.25">
      <c r="A1505" s="30" t="s">
        <v>5982</v>
      </c>
      <c r="B1505" s="30" t="s">
        <v>5981</v>
      </c>
      <c r="C1505" s="32">
        <v>30.74</v>
      </c>
      <c r="D1505" s="30">
        <v>1.34</v>
      </c>
      <c r="E1505" s="31">
        <v>4.5580000000000002E-2</v>
      </c>
      <c r="F1505" s="30">
        <v>4977638654</v>
      </c>
      <c r="G1505" s="30" t="s">
        <v>5427</v>
      </c>
      <c r="H1505" s="30">
        <v>2015</v>
      </c>
      <c r="I1505" s="30">
        <v>4310820</v>
      </c>
      <c r="J1505" s="30" t="s">
        <v>5431</v>
      </c>
      <c r="K1505" s="30" t="s">
        <v>5980</v>
      </c>
    </row>
    <row r="1506" spans="1:11" ht="12.5" x14ac:dyDescent="0.25">
      <c r="A1506" s="30" t="s">
        <v>5979</v>
      </c>
      <c r="B1506" s="30" t="s">
        <v>5978</v>
      </c>
      <c r="C1506" s="32">
        <v>13.84</v>
      </c>
      <c r="D1506" s="30">
        <v>0.47</v>
      </c>
      <c r="E1506" s="31">
        <v>3.5150000000000001E-2</v>
      </c>
      <c r="F1506" s="30">
        <v>1571740984</v>
      </c>
      <c r="G1506" s="30" t="s">
        <v>5427</v>
      </c>
      <c r="H1506" s="30"/>
      <c r="I1506" s="30">
        <v>1822673</v>
      </c>
      <c r="J1506" s="30" t="s">
        <v>5732</v>
      </c>
      <c r="K1506" s="30" t="s">
        <v>5520</v>
      </c>
    </row>
    <row r="1507" spans="1:11" ht="12.5" x14ac:dyDescent="0.25">
      <c r="A1507" s="30" t="s">
        <v>5977</v>
      </c>
      <c r="B1507" s="30" t="s">
        <v>5976</v>
      </c>
      <c r="C1507" s="32">
        <v>44.39</v>
      </c>
      <c r="D1507" s="30">
        <v>0.99</v>
      </c>
      <c r="E1507" s="31">
        <v>2.281E-2</v>
      </c>
      <c r="F1507" s="30">
        <v>2241408951</v>
      </c>
      <c r="G1507" s="30" t="s">
        <v>5427</v>
      </c>
      <c r="H1507" s="30">
        <v>2017</v>
      </c>
      <c r="I1507" s="30">
        <v>865427</v>
      </c>
      <c r="J1507" s="30" t="s">
        <v>5464</v>
      </c>
      <c r="K1507" s="30" t="s">
        <v>5588</v>
      </c>
    </row>
    <row r="1508" spans="1:11" ht="12.5" x14ac:dyDescent="0.25">
      <c r="A1508" s="30" t="s">
        <v>5975</v>
      </c>
      <c r="B1508" s="30" t="s">
        <v>5974</v>
      </c>
      <c r="C1508" s="32">
        <v>429.67</v>
      </c>
      <c r="D1508" s="30">
        <v>5.41</v>
      </c>
      <c r="E1508" s="31">
        <v>1.2749999999999999E-2</v>
      </c>
      <c r="F1508" s="30">
        <v>20139102529</v>
      </c>
      <c r="G1508" s="30" t="s">
        <v>5427</v>
      </c>
      <c r="H1508" s="30"/>
      <c r="I1508" s="30">
        <v>262761</v>
      </c>
      <c r="J1508" s="30" t="s">
        <v>5457</v>
      </c>
      <c r="K1508" s="30" t="s">
        <v>5644</v>
      </c>
    </row>
    <row r="1509" spans="1:11" ht="12.5" x14ac:dyDescent="0.25">
      <c r="A1509" s="30" t="s">
        <v>5973</v>
      </c>
      <c r="B1509" s="30" t="s">
        <v>5972</v>
      </c>
      <c r="C1509" s="32">
        <v>43.82</v>
      </c>
      <c r="D1509" s="30">
        <v>0.52</v>
      </c>
      <c r="E1509" s="31">
        <v>1.201E-2</v>
      </c>
      <c r="F1509" s="30">
        <v>22448233874</v>
      </c>
      <c r="G1509" s="30" t="s">
        <v>5515</v>
      </c>
      <c r="H1509" s="30"/>
      <c r="I1509" s="30">
        <v>3885227</v>
      </c>
      <c r="J1509" s="30"/>
      <c r="K1509" s="30"/>
    </row>
    <row r="1510" spans="1:11" ht="12.5" x14ac:dyDescent="0.25">
      <c r="A1510" s="30" t="s">
        <v>5971</v>
      </c>
      <c r="B1510" s="30" t="s">
        <v>5970</v>
      </c>
      <c r="C1510" s="32">
        <v>3.89</v>
      </c>
      <c r="D1510" s="30">
        <v>0.05</v>
      </c>
      <c r="E1510" s="31">
        <v>1.302E-2</v>
      </c>
      <c r="F1510" s="30">
        <v>22465674085</v>
      </c>
      <c r="G1510" s="30" t="s">
        <v>5605</v>
      </c>
      <c r="H1510" s="30">
        <v>1988</v>
      </c>
      <c r="I1510" s="30">
        <v>963859</v>
      </c>
      <c r="J1510" s="30" t="s">
        <v>5732</v>
      </c>
      <c r="K1510" s="30" t="s">
        <v>5520</v>
      </c>
    </row>
    <row r="1511" spans="1:11" ht="12.5" x14ac:dyDescent="0.25">
      <c r="A1511" s="30" t="s">
        <v>5969</v>
      </c>
      <c r="B1511" s="30" t="s">
        <v>5968</v>
      </c>
      <c r="C1511" s="32">
        <v>5.74</v>
      </c>
      <c r="D1511" s="30">
        <v>0.03</v>
      </c>
      <c r="E1511" s="31">
        <v>5.2500000000000003E-3</v>
      </c>
      <c r="F1511" s="30">
        <v>274506000</v>
      </c>
      <c r="G1511" s="30" t="s">
        <v>5427</v>
      </c>
      <c r="H1511" s="30">
        <v>1993</v>
      </c>
      <c r="I1511" s="30">
        <v>152398</v>
      </c>
      <c r="J1511" s="30" t="s">
        <v>5435</v>
      </c>
      <c r="K1511" s="30" t="s">
        <v>5563</v>
      </c>
    </row>
    <row r="1512" spans="1:11" ht="12.5" x14ac:dyDescent="0.25">
      <c r="A1512" s="30" t="s">
        <v>5967</v>
      </c>
      <c r="B1512" s="30" t="s">
        <v>5966</v>
      </c>
      <c r="C1512" s="32">
        <v>130.19999999999999</v>
      </c>
      <c r="D1512" s="30">
        <v>3.05</v>
      </c>
      <c r="E1512" s="31">
        <v>2.3990000000000001E-2</v>
      </c>
      <c r="F1512" s="30">
        <v>41202651403</v>
      </c>
      <c r="G1512" s="30" t="s">
        <v>5799</v>
      </c>
      <c r="H1512" s="30"/>
      <c r="I1512" s="30">
        <v>2138485</v>
      </c>
      <c r="J1512" s="30" t="s">
        <v>5219</v>
      </c>
      <c r="K1512" s="30" t="s">
        <v>5965</v>
      </c>
    </row>
    <row r="1513" spans="1:11" ht="12.5" x14ac:dyDescent="0.25">
      <c r="A1513" s="30" t="s">
        <v>5964</v>
      </c>
      <c r="B1513" s="30" t="s">
        <v>5963</v>
      </c>
      <c r="C1513" s="32">
        <v>51.7</v>
      </c>
      <c r="D1513" s="30">
        <v>0.73</v>
      </c>
      <c r="E1513" s="31">
        <v>1.4319999999999999E-2</v>
      </c>
      <c r="F1513" s="30">
        <v>3489750000</v>
      </c>
      <c r="G1513" s="30" t="s">
        <v>5427</v>
      </c>
      <c r="H1513" s="30"/>
      <c r="I1513" s="30">
        <v>880933</v>
      </c>
      <c r="J1513" s="30" t="s">
        <v>5457</v>
      </c>
      <c r="K1513" s="30" t="s">
        <v>5460</v>
      </c>
    </row>
    <row r="1514" spans="1:11" ht="12.5" x14ac:dyDescent="0.25">
      <c r="A1514" s="30" t="s">
        <v>5962</v>
      </c>
      <c r="B1514" s="30" t="s">
        <v>5961</v>
      </c>
      <c r="C1514" s="32">
        <v>49.63</v>
      </c>
      <c r="D1514" s="30">
        <v>0.24</v>
      </c>
      <c r="E1514" s="31">
        <v>4.8599999999999997E-3</v>
      </c>
      <c r="F1514" s="30">
        <v>65850523270</v>
      </c>
      <c r="G1514" s="30" t="s">
        <v>5427</v>
      </c>
      <c r="H1514" s="30"/>
      <c r="I1514" s="30">
        <v>8538587</v>
      </c>
      <c r="J1514" s="30" t="s">
        <v>5435</v>
      </c>
      <c r="K1514" s="30" t="s">
        <v>5579</v>
      </c>
    </row>
    <row r="1515" spans="1:11" ht="12.5" x14ac:dyDescent="0.25">
      <c r="A1515" s="30" t="s">
        <v>5960</v>
      </c>
      <c r="B1515" s="30" t="s">
        <v>5959</v>
      </c>
      <c r="C1515" s="32">
        <v>250.18</v>
      </c>
      <c r="D1515" s="30">
        <v>6.76</v>
      </c>
      <c r="E1515" s="31">
        <v>2.777E-2</v>
      </c>
      <c r="F1515" s="30">
        <v>11735051908</v>
      </c>
      <c r="G1515" s="30" t="s">
        <v>5427</v>
      </c>
      <c r="H1515" s="30"/>
      <c r="I1515" s="30">
        <v>223679</v>
      </c>
      <c r="J1515" s="30" t="s">
        <v>5431</v>
      </c>
      <c r="K1515" s="30" t="s">
        <v>5500</v>
      </c>
    </row>
    <row r="1516" spans="1:11" ht="12.5" x14ac:dyDescent="0.25">
      <c r="A1516" s="30" t="s">
        <v>5958</v>
      </c>
      <c r="B1516" s="30" t="s">
        <v>5957</v>
      </c>
      <c r="C1516" s="32">
        <v>12.36</v>
      </c>
      <c r="D1516" s="30">
        <v>0.23</v>
      </c>
      <c r="E1516" s="31">
        <v>1.8960000000000001E-2</v>
      </c>
      <c r="F1516" s="30">
        <v>420247935</v>
      </c>
      <c r="G1516" s="30" t="s">
        <v>5427</v>
      </c>
      <c r="H1516" s="30"/>
      <c r="I1516" s="30">
        <v>111135</v>
      </c>
      <c r="J1516" s="30" t="s">
        <v>5457</v>
      </c>
      <c r="K1516" s="30" t="s">
        <v>5634</v>
      </c>
    </row>
    <row r="1517" spans="1:11" ht="12.5" x14ac:dyDescent="0.25">
      <c r="A1517" s="30" t="s">
        <v>5956</v>
      </c>
      <c r="B1517" s="30" t="s">
        <v>5955</v>
      </c>
      <c r="C1517" s="32">
        <v>12.24</v>
      </c>
      <c r="D1517" s="30">
        <v>0.85</v>
      </c>
      <c r="E1517" s="31">
        <v>7.4630000000000002E-2</v>
      </c>
      <c r="F1517" s="30">
        <v>1034294333</v>
      </c>
      <c r="G1517" s="30" t="s">
        <v>5427</v>
      </c>
      <c r="H1517" s="30">
        <v>1996</v>
      </c>
      <c r="I1517" s="30">
        <v>1765987</v>
      </c>
      <c r="J1517" s="30" t="s">
        <v>5457</v>
      </c>
      <c r="K1517" s="30" t="s">
        <v>5523</v>
      </c>
    </row>
    <row r="1518" spans="1:11" ht="12.5" x14ac:dyDescent="0.25">
      <c r="A1518" s="30" t="s">
        <v>5954</v>
      </c>
      <c r="B1518" s="30" t="s">
        <v>5953</v>
      </c>
      <c r="C1518" s="32">
        <v>20.11</v>
      </c>
      <c r="D1518" s="30">
        <v>0.18</v>
      </c>
      <c r="E1518" s="31">
        <v>9.0299999999999998E-3</v>
      </c>
      <c r="F1518" s="30">
        <v>4490428806</v>
      </c>
      <c r="G1518" s="30" t="s">
        <v>5427</v>
      </c>
      <c r="H1518" s="30"/>
      <c r="I1518" s="30">
        <v>1446977</v>
      </c>
      <c r="J1518" s="30" t="s">
        <v>5457</v>
      </c>
      <c r="K1518" s="30" t="s">
        <v>5834</v>
      </c>
    </row>
    <row r="1519" spans="1:11" ht="12.5" x14ac:dyDescent="0.25">
      <c r="A1519" s="30" t="s">
        <v>5952</v>
      </c>
      <c r="B1519" s="30" t="s">
        <v>5951</v>
      </c>
      <c r="C1519" s="32">
        <v>177.08</v>
      </c>
      <c r="D1519" s="30">
        <v>4.9400000000000004</v>
      </c>
      <c r="E1519" s="31">
        <v>2.87E-2</v>
      </c>
      <c r="F1519" s="30">
        <v>81511710383</v>
      </c>
      <c r="G1519" s="30" t="s">
        <v>5427</v>
      </c>
      <c r="H1519" s="30"/>
      <c r="I1519" s="30">
        <v>3998249</v>
      </c>
      <c r="J1519" s="30" t="s">
        <v>5442</v>
      </c>
      <c r="K1519" s="30" t="s">
        <v>5534</v>
      </c>
    </row>
    <row r="1520" spans="1:11" ht="12.5" x14ac:dyDescent="0.25">
      <c r="A1520" s="30" t="s">
        <v>5950</v>
      </c>
      <c r="B1520" s="30" t="s">
        <v>5949</v>
      </c>
      <c r="C1520" s="32">
        <v>56.76</v>
      </c>
      <c r="D1520" s="30">
        <v>1.91</v>
      </c>
      <c r="E1520" s="31">
        <v>3.4819999999999997E-2</v>
      </c>
      <c r="F1520" s="30">
        <v>6137072037</v>
      </c>
      <c r="G1520" s="30" t="s">
        <v>5427</v>
      </c>
      <c r="H1520" s="30"/>
      <c r="I1520" s="30">
        <v>2253164</v>
      </c>
      <c r="J1520" s="30" t="s">
        <v>5431</v>
      </c>
      <c r="K1520" s="30" t="s">
        <v>5785</v>
      </c>
    </row>
    <row r="1521" spans="1:11" ht="12.5" x14ac:dyDescent="0.25">
      <c r="A1521" s="30" t="s">
        <v>5948</v>
      </c>
      <c r="B1521" s="30" t="s">
        <v>5947</v>
      </c>
      <c r="C1521" s="32">
        <v>132.81</v>
      </c>
      <c r="D1521" s="30">
        <v>-1.77</v>
      </c>
      <c r="E1521" s="31">
        <v>-1.315E-2</v>
      </c>
      <c r="F1521" s="30">
        <v>4723029993</v>
      </c>
      <c r="G1521" s="30" t="s">
        <v>5427</v>
      </c>
      <c r="H1521" s="30"/>
      <c r="I1521" s="30">
        <v>262564</v>
      </c>
      <c r="J1521" s="30" t="s">
        <v>5435</v>
      </c>
      <c r="K1521" s="30" t="s">
        <v>5493</v>
      </c>
    </row>
    <row r="1522" spans="1:11" ht="12.5" x14ac:dyDescent="0.25">
      <c r="A1522" s="30" t="s">
        <v>5946</v>
      </c>
      <c r="B1522" s="30" t="s">
        <v>5945</v>
      </c>
      <c r="C1522" s="32">
        <v>98.93</v>
      </c>
      <c r="D1522" s="30">
        <v>3.6</v>
      </c>
      <c r="E1522" s="31">
        <v>3.7760000000000002E-2</v>
      </c>
      <c r="F1522" s="30">
        <v>5294608454</v>
      </c>
      <c r="G1522" s="30" t="s">
        <v>5427</v>
      </c>
      <c r="H1522" s="30"/>
      <c r="I1522" s="30">
        <v>727476</v>
      </c>
      <c r="J1522" s="30" t="s">
        <v>5457</v>
      </c>
      <c r="K1522" s="30" t="s">
        <v>5576</v>
      </c>
    </row>
    <row r="1523" spans="1:11" ht="12.5" x14ac:dyDescent="0.25">
      <c r="A1523" s="30" t="s">
        <v>5944</v>
      </c>
      <c r="B1523" s="30" t="s">
        <v>5943</v>
      </c>
      <c r="C1523" s="32">
        <v>19.84</v>
      </c>
      <c r="D1523" s="30">
        <v>0.19</v>
      </c>
      <c r="E1523" s="31">
        <v>9.6699999999999998E-3</v>
      </c>
      <c r="F1523" s="30">
        <v>820504191</v>
      </c>
      <c r="G1523" s="30" t="s">
        <v>5427</v>
      </c>
      <c r="H1523" s="30">
        <v>2014</v>
      </c>
      <c r="I1523" s="30">
        <v>105191</v>
      </c>
      <c r="J1523" s="30" t="s">
        <v>5435</v>
      </c>
      <c r="K1523" s="30" t="s">
        <v>5563</v>
      </c>
    </row>
    <row r="1524" spans="1:11" ht="12.5" x14ac:dyDescent="0.25">
      <c r="A1524" s="30" t="s">
        <v>5942</v>
      </c>
      <c r="B1524" s="30" t="s">
        <v>5941</v>
      </c>
      <c r="C1524" s="32">
        <v>23.15</v>
      </c>
      <c r="D1524" s="30">
        <v>0.03</v>
      </c>
      <c r="E1524" s="31">
        <v>1.2999999999999999E-3</v>
      </c>
      <c r="F1524" s="30">
        <v>775368367</v>
      </c>
      <c r="G1524" s="30" t="s">
        <v>5427</v>
      </c>
      <c r="H1524" s="30">
        <v>2011</v>
      </c>
      <c r="I1524" s="30">
        <v>164774</v>
      </c>
      <c r="J1524" s="30" t="s">
        <v>5442</v>
      </c>
      <c r="K1524" s="30" t="s">
        <v>5647</v>
      </c>
    </row>
    <row r="1525" spans="1:11" ht="12.5" x14ac:dyDescent="0.25">
      <c r="A1525" s="30" t="s">
        <v>5940</v>
      </c>
      <c r="B1525" s="30" t="s">
        <v>5939</v>
      </c>
      <c r="C1525" s="32">
        <v>47.89</v>
      </c>
      <c r="D1525" s="30">
        <v>-0.54</v>
      </c>
      <c r="E1525" s="31">
        <v>-1.115E-2</v>
      </c>
      <c r="F1525" s="30">
        <v>2685788147</v>
      </c>
      <c r="G1525" s="30" t="s">
        <v>5427</v>
      </c>
      <c r="H1525" s="30"/>
      <c r="I1525" s="30">
        <v>398370</v>
      </c>
      <c r="J1525" s="30" t="s">
        <v>5541</v>
      </c>
      <c r="K1525" s="30" t="s">
        <v>5938</v>
      </c>
    </row>
    <row r="1526" spans="1:11" ht="12.5" x14ac:dyDescent="0.25">
      <c r="A1526" s="30" t="s">
        <v>5937</v>
      </c>
      <c r="B1526" s="30" t="s">
        <v>5936</v>
      </c>
      <c r="C1526" s="32">
        <v>14.8</v>
      </c>
      <c r="D1526" s="30">
        <v>0.12</v>
      </c>
      <c r="E1526" s="31">
        <v>8.1700000000000002E-3</v>
      </c>
      <c r="F1526" s="30">
        <v>556030154</v>
      </c>
      <c r="G1526" s="30" t="s">
        <v>5427</v>
      </c>
      <c r="H1526" s="30">
        <v>2015</v>
      </c>
      <c r="I1526" s="30">
        <v>79023</v>
      </c>
      <c r="J1526" s="30" t="s">
        <v>5435</v>
      </c>
      <c r="K1526" s="30" t="s">
        <v>5563</v>
      </c>
    </row>
    <row r="1527" spans="1:11" ht="12.5" x14ac:dyDescent="0.25">
      <c r="A1527" s="30" t="s">
        <v>5935</v>
      </c>
      <c r="B1527" s="30" t="s">
        <v>5934</v>
      </c>
      <c r="C1527" s="32">
        <v>82.42</v>
      </c>
      <c r="D1527" s="30">
        <v>0.56000000000000005</v>
      </c>
      <c r="E1527" s="31">
        <v>6.8399999999999997E-3</v>
      </c>
      <c r="F1527" s="30">
        <v>95236651961</v>
      </c>
      <c r="G1527" s="30" t="s">
        <v>5427</v>
      </c>
      <c r="H1527" s="30"/>
      <c r="I1527" s="30">
        <v>5355353</v>
      </c>
      <c r="J1527" s="30" t="s">
        <v>5442</v>
      </c>
      <c r="K1527" s="30" t="s">
        <v>5534</v>
      </c>
    </row>
    <row r="1528" spans="1:11" ht="12.5" x14ac:dyDescent="0.25">
      <c r="A1528" s="30" t="s">
        <v>5933</v>
      </c>
      <c r="B1528" s="30" t="s">
        <v>5932</v>
      </c>
      <c r="C1528" s="32">
        <v>83.8</v>
      </c>
      <c r="D1528" s="30">
        <v>1.45</v>
      </c>
      <c r="E1528" s="31">
        <v>1.7610000000000001E-2</v>
      </c>
      <c r="F1528" s="30">
        <v>6095913010</v>
      </c>
      <c r="G1528" s="30" t="s">
        <v>5427</v>
      </c>
      <c r="H1528" s="30"/>
      <c r="I1528" s="30">
        <v>726405</v>
      </c>
      <c r="J1528" s="30" t="s">
        <v>5457</v>
      </c>
      <c r="K1528" s="30" t="s">
        <v>5634</v>
      </c>
    </row>
    <row r="1529" spans="1:11" ht="12.5" x14ac:dyDescent="0.25">
      <c r="A1529" s="30" t="s">
        <v>5931</v>
      </c>
      <c r="B1529" s="30" t="s">
        <v>5930</v>
      </c>
      <c r="C1529" s="32">
        <v>8.99</v>
      </c>
      <c r="D1529" s="30">
        <v>0.13</v>
      </c>
      <c r="E1529" s="31">
        <v>1.4670000000000001E-2</v>
      </c>
      <c r="F1529" s="30">
        <v>268293685</v>
      </c>
      <c r="G1529" s="30" t="s">
        <v>5427</v>
      </c>
      <c r="H1529" s="30">
        <v>2012</v>
      </c>
      <c r="I1529" s="30">
        <v>137049</v>
      </c>
      <c r="J1529" s="30"/>
      <c r="K1529" s="30"/>
    </row>
    <row r="1530" spans="1:11" ht="12.5" x14ac:dyDescent="0.25">
      <c r="A1530" s="30" t="s">
        <v>5929</v>
      </c>
      <c r="B1530" s="30" t="s">
        <v>5928</v>
      </c>
      <c r="C1530" s="32">
        <v>148.58000000000001</v>
      </c>
      <c r="D1530" s="30">
        <v>1.47</v>
      </c>
      <c r="E1530" s="31">
        <v>9.9900000000000006E-3</v>
      </c>
      <c r="F1530" s="30">
        <v>202727639231</v>
      </c>
      <c r="G1530" s="30" t="s">
        <v>5927</v>
      </c>
      <c r="H1530" s="30"/>
      <c r="I1530" s="30">
        <v>213145</v>
      </c>
      <c r="J1530" s="30" t="s">
        <v>5442</v>
      </c>
      <c r="K1530" s="30" t="s">
        <v>5926</v>
      </c>
    </row>
    <row r="1531" spans="1:11" ht="12.5" x14ac:dyDescent="0.25">
      <c r="A1531" s="30" t="s">
        <v>5925</v>
      </c>
      <c r="B1531" s="30" t="s">
        <v>5924</v>
      </c>
      <c r="C1531" s="32">
        <v>36.26</v>
      </c>
      <c r="D1531" s="30">
        <v>0.46</v>
      </c>
      <c r="E1531" s="31">
        <v>1.285E-2</v>
      </c>
      <c r="F1531" s="30">
        <v>3928648332</v>
      </c>
      <c r="G1531" s="30" t="s">
        <v>5427</v>
      </c>
      <c r="H1531" s="30">
        <v>2013</v>
      </c>
      <c r="I1531" s="30">
        <v>1297240</v>
      </c>
      <c r="J1531" s="30" t="s">
        <v>5442</v>
      </c>
      <c r="K1531" s="30" t="s">
        <v>5576</v>
      </c>
    </row>
    <row r="1532" spans="1:11" ht="12.5" x14ac:dyDescent="0.25">
      <c r="A1532" s="30" t="s">
        <v>5923</v>
      </c>
      <c r="B1532" s="30" t="s">
        <v>5922</v>
      </c>
      <c r="C1532" s="32">
        <v>587.36</v>
      </c>
      <c r="D1532" s="30">
        <v>17.03</v>
      </c>
      <c r="E1532" s="31">
        <v>2.9860000000000001E-2</v>
      </c>
      <c r="F1532" s="30">
        <v>230359982360</v>
      </c>
      <c r="G1532" s="30" t="s">
        <v>5427</v>
      </c>
      <c r="H1532" s="30"/>
      <c r="I1532" s="30">
        <v>2619989</v>
      </c>
      <c r="J1532" s="30" t="s">
        <v>5457</v>
      </c>
      <c r="K1532" s="30" t="s">
        <v>5921</v>
      </c>
    </row>
    <row r="1533" spans="1:11" ht="12.5" x14ac:dyDescent="0.25">
      <c r="A1533" s="30" t="s">
        <v>5920</v>
      </c>
      <c r="B1533" s="30" t="s">
        <v>5919</v>
      </c>
      <c r="C1533" s="32">
        <v>20.04</v>
      </c>
      <c r="D1533" s="30">
        <v>0.37</v>
      </c>
      <c r="E1533" s="31">
        <v>1.881E-2</v>
      </c>
      <c r="F1533" s="30">
        <v>891166656</v>
      </c>
      <c r="G1533" s="30" t="s">
        <v>5427</v>
      </c>
      <c r="H1533" s="30">
        <v>2014</v>
      </c>
      <c r="I1533" s="30">
        <v>927021</v>
      </c>
      <c r="J1533" s="30" t="s">
        <v>5457</v>
      </c>
      <c r="K1533" s="30" t="s">
        <v>5472</v>
      </c>
    </row>
    <row r="1534" spans="1:11" ht="12.5" x14ac:dyDescent="0.25">
      <c r="A1534" s="30" t="s">
        <v>5918</v>
      </c>
      <c r="B1534" s="30" t="s">
        <v>5917</v>
      </c>
      <c r="C1534" s="32">
        <v>70.59</v>
      </c>
      <c r="D1534" s="30">
        <v>0.46</v>
      </c>
      <c r="E1534" s="31">
        <v>6.5599999999999999E-3</v>
      </c>
      <c r="F1534" s="30">
        <v>1312721923</v>
      </c>
      <c r="G1534" s="30" t="s">
        <v>5427</v>
      </c>
      <c r="H1534" s="30"/>
      <c r="I1534" s="30">
        <v>59795</v>
      </c>
      <c r="J1534" s="30" t="s">
        <v>5457</v>
      </c>
      <c r="K1534" s="30" t="s">
        <v>5644</v>
      </c>
    </row>
    <row r="1535" spans="1:11" ht="12.5" x14ac:dyDescent="0.25">
      <c r="A1535" s="30" t="s">
        <v>5916</v>
      </c>
      <c r="B1535" s="30" t="s">
        <v>5915</v>
      </c>
      <c r="C1535" s="32">
        <v>42.9</v>
      </c>
      <c r="D1535" s="30">
        <v>0.53</v>
      </c>
      <c r="E1535" s="31">
        <v>1.251E-2</v>
      </c>
      <c r="F1535" s="30">
        <v>3486938813</v>
      </c>
      <c r="G1535" s="30" t="s">
        <v>5427</v>
      </c>
      <c r="H1535" s="30"/>
      <c r="I1535" s="30">
        <v>582702</v>
      </c>
      <c r="J1535" s="30" t="s">
        <v>5442</v>
      </c>
      <c r="K1535" s="30" t="s">
        <v>5914</v>
      </c>
    </row>
    <row r="1536" spans="1:11" ht="12.5" x14ac:dyDescent="0.25">
      <c r="A1536" s="30" t="s">
        <v>5913</v>
      </c>
      <c r="B1536" s="30" t="s">
        <v>5912</v>
      </c>
      <c r="C1536" s="32">
        <v>17.8</v>
      </c>
      <c r="D1536" s="30">
        <v>0.63</v>
      </c>
      <c r="E1536" s="31">
        <v>3.669E-2</v>
      </c>
      <c r="F1536" s="30">
        <v>509617667</v>
      </c>
      <c r="G1536" s="30" t="s">
        <v>5911</v>
      </c>
      <c r="H1536" s="30">
        <v>2002</v>
      </c>
      <c r="I1536" s="30">
        <v>327674</v>
      </c>
      <c r="J1536" s="30" t="s">
        <v>5442</v>
      </c>
      <c r="K1536" s="30" t="s">
        <v>5910</v>
      </c>
    </row>
    <row r="1537" spans="1:11" ht="12.5" x14ac:dyDescent="0.25">
      <c r="A1537" s="30" t="s">
        <v>5909</v>
      </c>
      <c r="B1537" s="30" t="s">
        <v>5908</v>
      </c>
      <c r="C1537" s="32">
        <v>60.26</v>
      </c>
      <c r="D1537" s="30">
        <v>0.77</v>
      </c>
      <c r="E1537" s="31">
        <v>1.294E-2</v>
      </c>
      <c r="F1537" s="30">
        <v>6662993214</v>
      </c>
      <c r="G1537" s="30" t="s">
        <v>5427</v>
      </c>
      <c r="H1537" s="30"/>
      <c r="I1537" s="30">
        <v>2222350</v>
      </c>
      <c r="J1537" s="30" t="s">
        <v>5442</v>
      </c>
      <c r="K1537" s="30" t="s">
        <v>5576</v>
      </c>
    </row>
    <row r="1538" spans="1:11" ht="12.5" x14ac:dyDescent="0.25">
      <c r="A1538" s="30" t="s">
        <v>5907</v>
      </c>
      <c r="B1538" s="30" t="s">
        <v>5906</v>
      </c>
      <c r="C1538" s="32">
        <v>23.79</v>
      </c>
      <c r="D1538" s="30">
        <v>0.57999999999999996</v>
      </c>
      <c r="E1538" s="31">
        <v>2.4989999999999998E-2</v>
      </c>
      <c r="F1538" s="30">
        <v>417847037</v>
      </c>
      <c r="G1538" s="30" t="s">
        <v>5427</v>
      </c>
      <c r="H1538" s="30">
        <v>2016</v>
      </c>
      <c r="I1538" s="30">
        <v>221503</v>
      </c>
      <c r="J1538" s="30" t="s">
        <v>5442</v>
      </c>
      <c r="K1538" s="30" t="s">
        <v>5711</v>
      </c>
    </row>
    <row r="1539" spans="1:11" ht="12.5" x14ac:dyDescent="0.25">
      <c r="A1539" s="30" t="s">
        <v>5905</v>
      </c>
      <c r="B1539" s="30" t="s">
        <v>5904</v>
      </c>
      <c r="C1539" s="32">
        <v>9.16</v>
      </c>
      <c r="D1539" s="30">
        <v>-0.01</v>
      </c>
      <c r="E1539" s="31">
        <v>-1.09E-3</v>
      </c>
      <c r="F1539" s="30">
        <v>471604579</v>
      </c>
      <c r="G1539" s="30" t="s">
        <v>5427</v>
      </c>
      <c r="H1539" s="30">
        <v>1970</v>
      </c>
      <c r="I1539" s="30">
        <v>231664</v>
      </c>
      <c r="J1539" s="30" t="s">
        <v>5457</v>
      </c>
      <c r="K1539" s="30" t="s">
        <v>5903</v>
      </c>
    </row>
    <row r="1540" spans="1:11" ht="12.5" x14ac:dyDescent="0.25">
      <c r="A1540" s="30" t="s">
        <v>5902</v>
      </c>
      <c r="B1540" s="30" t="s">
        <v>5901</v>
      </c>
      <c r="C1540" s="32">
        <v>22.58</v>
      </c>
      <c r="D1540" s="30">
        <v>0.49</v>
      </c>
      <c r="E1540" s="31">
        <v>2.2179999999999998E-2</v>
      </c>
      <c r="F1540" s="30">
        <v>2278637172</v>
      </c>
      <c r="G1540" s="30" t="s">
        <v>5427</v>
      </c>
      <c r="H1540" s="30">
        <v>2013</v>
      </c>
      <c r="I1540" s="30">
        <v>1051062</v>
      </c>
      <c r="J1540" s="30" t="s">
        <v>5442</v>
      </c>
      <c r="K1540" s="30" t="s">
        <v>5576</v>
      </c>
    </row>
    <row r="1541" spans="1:11" ht="12.5" x14ac:dyDescent="0.25">
      <c r="A1541" s="30" t="s">
        <v>5900</v>
      </c>
      <c r="B1541" s="30" t="s">
        <v>5899</v>
      </c>
      <c r="C1541" s="32">
        <v>1950.67</v>
      </c>
      <c r="D1541" s="30">
        <v>-45.18</v>
      </c>
      <c r="E1541" s="31">
        <v>-2.264E-2</v>
      </c>
      <c r="F1541" s="30">
        <v>15028929212</v>
      </c>
      <c r="G1541" s="30" t="s">
        <v>5427</v>
      </c>
      <c r="H1541" s="30"/>
      <c r="I1541" s="30">
        <v>90325</v>
      </c>
      <c r="J1541" s="30" t="s">
        <v>5464</v>
      </c>
      <c r="K1541" s="30" t="s">
        <v>5463</v>
      </c>
    </row>
    <row r="1542" spans="1:11" ht="12.5" x14ac:dyDescent="0.25">
      <c r="A1542" s="30" t="s">
        <v>5898</v>
      </c>
      <c r="B1542" s="30" t="s">
        <v>5897</v>
      </c>
      <c r="C1542" s="32">
        <v>46.62</v>
      </c>
      <c r="D1542" s="30">
        <v>1.05</v>
      </c>
      <c r="E1542" s="31">
        <v>2.3040000000000001E-2</v>
      </c>
      <c r="F1542" s="30">
        <v>11233615853</v>
      </c>
      <c r="G1542" s="30" t="s">
        <v>5427</v>
      </c>
      <c r="H1542" s="30"/>
      <c r="I1542" s="30">
        <v>4295088</v>
      </c>
      <c r="J1542" s="30" t="s">
        <v>5442</v>
      </c>
      <c r="K1542" s="30" t="s">
        <v>5692</v>
      </c>
    </row>
    <row r="1543" spans="1:11" ht="12.5" x14ac:dyDescent="0.25">
      <c r="A1543" s="30" t="s">
        <v>5896</v>
      </c>
      <c r="B1543" s="30" t="s">
        <v>5895</v>
      </c>
      <c r="C1543" s="32">
        <v>42.85</v>
      </c>
      <c r="D1543" s="30">
        <v>2.1</v>
      </c>
      <c r="E1543" s="31">
        <v>5.1529999999999999E-2</v>
      </c>
      <c r="F1543" s="30">
        <v>7326678283</v>
      </c>
      <c r="G1543" s="30" t="s">
        <v>5427</v>
      </c>
      <c r="H1543" s="30">
        <v>2003</v>
      </c>
      <c r="I1543" s="30">
        <v>4260725</v>
      </c>
      <c r="J1543" s="30" t="s">
        <v>5442</v>
      </c>
      <c r="K1543" s="30" t="s">
        <v>5894</v>
      </c>
    </row>
    <row r="1544" spans="1:11" ht="12.5" x14ac:dyDescent="0.25">
      <c r="A1544" s="30" t="s">
        <v>5893</v>
      </c>
      <c r="B1544" s="30" t="s">
        <v>5892</v>
      </c>
      <c r="C1544" s="32">
        <v>13.64</v>
      </c>
      <c r="D1544" s="30">
        <v>-0.02</v>
      </c>
      <c r="E1544" s="31">
        <v>-1.4599999999999999E-3</v>
      </c>
      <c r="F1544" s="30">
        <v>89021446</v>
      </c>
      <c r="G1544" s="30" t="s">
        <v>5427</v>
      </c>
      <c r="H1544" s="30">
        <v>2009</v>
      </c>
      <c r="I1544" s="30">
        <v>23482</v>
      </c>
      <c r="J1544" s="30" t="s">
        <v>5435</v>
      </c>
      <c r="K1544" s="30" t="s">
        <v>5434</v>
      </c>
    </row>
    <row r="1545" spans="1:11" ht="12.5" x14ac:dyDescent="0.25">
      <c r="A1545" s="30" t="s">
        <v>5891</v>
      </c>
      <c r="B1545" s="30" t="s">
        <v>5890</v>
      </c>
      <c r="C1545" s="32">
        <v>45.26</v>
      </c>
      <c r="D1545" s="30">
        <v>0.53</v>
      </c>
      <c r="E1545" s="31">
        <v>1.1849999999999999E-2</v>
      </c>
      <c r="F1545" s="30">
        <v>3119147800</v>
      </c>
      <c r="G1545" s="30" t="s">
        <v>5427</v>
      </c>
      <c r="H1545" s="30"/>
      <c r="I1545" s="30">
        <v>427673</v>
      </c>
      <c r="J1545" s="30" t="s">
        <v>5541</v>
      </c>
      <c r="K1545" s="30" t="s">
        <v>5716</v>
      </c>
    </row>
    <row r="1546" spans="1:11" ht="12.5" x14ac:dyDescent="0.25">
      <c r="A1546" s="30" t="s">
        <v>5889</v>
      </c>
      <c r="B1546" s="30" t="s">
        <v>5888</v>
      </c>
      <c r="C1546" s="32">
        <v>20.149999999999999</v>
      </c>
      <c r="D1546" s="30">
        <v>0.13</v>
      </c>
      <c r="E1546" s="31">
        <v>6.4900000000000001E-3</v>
      </c>
      <c r="F1546" s="30">
        <v>533967464</v>
      </c>
      <c r="G1546" s="30" t="s">
        <v>5427</v>
      </c>
      <c r="H1546" s="30">
        <v>2000</v>
      </c>
      <c r="I1546" s="30">
        <v>47960</v>
      </c>
      <c r="J1546" s="30" t="s">
        <v>5435</v>
      </c>
      <c r="K1546" s="30" t="s">
        <v>5579</v>
      </c>
    </row>
    <row r="1547" spans="1:11" ht="12.5" x14ac:dyDescent="0.25">
      <c r="A1547" s="30" t="s">
        <v>5887</v>
      </c>
      <c r="B1547" s="30" t="s">
        <v>5886</v>
      </c>
      <c r="C1547" s="32">
        <v>55.27</v>
      </c>
      <c r="D1547" s="30">
        <v>2.5499999999999998</v>
      </c>
      <c r="E1547" s="31">
        <v>4.8370000000000003E-2</v>
      </c>
      <c r="F1547" s="30">
        <v>6065240207</v>
      </c>
      <c r="G1547" s="30" t="s">
        <v>5427</v>
      </c>
      <c r="H1547" s="30"/>
      <c r="I1547" s="30">
        <v>1362972</v>
      </c>
      <c r="J1547" s="30"/>
      <c r="K1547" s="30"/>
    </row>
    <row r="1548" spans="1:11" ht="12.5" x14ac:dyDescent="0.25">
      <c r="A1548" s="30" t="s">
        <v>5885</v>
      </c>
      <c r="B1548" s="30" t="s">
        <v>5884</v>
      </c>
      <c r="C1548" s="32">
        <v>74.58</v>
      </c>
      <c r="D1548" s="30">
        <v>-0.44</v>
      </c>
      <c r="E1548" s="31">
        <v>-5.8700000000000002E-3</v>
      </c>
      <c r="F1548" s="30">
        <v>16883076362</v>
      </c>
      <c r="G1548" s="30" t="s">
        <v>5427</v>
      </c>
      <c r="H1548" s="30">
        <v>2010</v>
      </c>
      <c r="I1548" s="30">
        <v>1521240</v>
      </c>
      <c r="J1548" s="30" t="s">
        <v>5426</v>
      </c>
      <c r="K1548" s="30" t="s">
        <v>5546</v>
      </c>
    </row>
    <row r="1549" spans="1:11" ht="12.5" x14ac:dyDescent="0.25">
      <c r="A1549" s="30" t="s">
        <v>5883</v>
      </c>
      <c r="B1549" s="30" t="s">
        <v>5882</v>
      </c>
      <c r="C1549" s="32">
        <v>120.38</v>
      </c>
      <c r="D1549" s="30">
        <v>1.41</v>
      </c>
      <c r="E1549" s="31">
        <v>1.1849999999999999E-2</v>
      </c>
      <c r="F1549" s="30">
        <v>57709539523</v>
      </c>
      <c r="G1549" s="30" t="s">
        <v>5427</v>
      </c>
      <c r="H1549" s="30"/>
      <c r="I1549" s="30">
        <v>404155</v>
      </c>
      <c r="J1549" s="30"/>
      <c r="K1549" s="30"/>
    </row>
    <row r="1550" spans="1:11" ht="12.5" x14ac:dyDescent="0.25">
      <c r="A1550" s="30" t="s">
        <v>5881</v>
      </c>
      <c r="B1550" s="30" t="s">
        <v>5880</v>
      </c>
      <c r="C1550" s="32">
        <v>28.42</v>
      </c>
      <c r="D1550" s="30">
        <v>-0.35</v>
      </c>
      <c r="E1550" s="31">
        <v>-1.217E-2</v>
      </c>
      <c r="F1550" s="30">
        <v>2313483747</v>
      </c>
      <c r="G1550" s="30" t="s">
        <v>5427</v>
      </c>
      <c r="H1550" s="30"/>
      <c r="I1550" s="30">
        <v>663056</v>
      </c>
      <c r="J1550" s="30" t="s">
        <v>5457</v>
      </c>
      <c r="K1550" s="30" t="s">
        <v>5615</v>
      </c>
    </row>
    <row r="1551" spans="1:11" ht="12.5" x14ac:dyDescent="0.25">
      <c r="A1551" s="30" t="s">
        <v>5879</v>
      </c>
      <c r="B1551" s="30" t="s">
        <v>5878</v>
      </c>
      <c r="C1551" s="32">
        <v>64.88</v>
      </c>
      <c r="D1551" s="30">
        <v>0.45</v>
      </c>
      <c r="E1551" s="31">
        <v>6.9800000000000001E-3</v>
      </c>
      <c r="F1551" s="30">
        <v>4935209378</v>
      </c>
      <c r="G1551" s="30" t="s">
        <v>5427</v>
      </c>
      <c r="H1551" s="30">
        <v>2010</v>
      </c>
      <c r="I1551" s="30">
        <v>411084</v>
      </c>
      <c r="J1551" s="30" t="s">
        <v>5197</v>
      </c>
      <c r="K1551" s="30" t="s">
        <v>5467</v>
      </c>
    </row>
    <row r="1552" spans="1:11" ht="12.5" x14ac:dyDescent="0.25">
      <c r="A1552" s="30" t="s">
        <v>5877</v>
      </c>
      <c r="B1552" s="30" t="s">
        <v>5876</v>
      </c>
      <c r="C1552" s="32">
        <v>17.350000000000001</v>
      </c>
      <c r="D1552" s="30">
        <v>0.2</v>
      </c>
      <c r="E1552" s="31">
        <v>1.166E-2</v>
      </c>
      <c r="F1552" s="30">
        <v>2679968999</v>
      </c>
      <c r="G1552" s="30" t="s">
        <v>5427</v>
      </c>
      <c r="H1552" s="30"/>
      <c r="I1552" s="30">
        <v>877857</v>
      </c>
      <c r="J1552" s="30" t="s">
        <v>5457</v>
      </c>
      <c r="K1552" s="30" t="s">
        <v>5555</v>
      </c>
    </row>
    <row r="1553" spans="1:11" ht="12.5" x14ac:dyDescent="0.25">
      <c r="A1553" s="30" t="s">
        <v>5875</v>
      </c>
      <c r="B1553" s="30" t="s">
        <v>5874</v>
      </c>
      <c r="C1553" s="32">
        <v>40.729999999999997</v>
      </c>
      <c r="D1553" s="30">
        <v>-2.41</v>
      </c>
      <c r="E1553" s="31">
        <v>-5.586E-2</v>
      </c>
      <c r="F1553" s="30">
        <v>40730000000</v>
      </c>
      <c r="G1553" s="30" t="s">
        <v>5515</v>
      </c>
      <c r="H1553" s="30"/>
      <c r="I1553" s="30">
        <v>5715096</v>
      </c>
      <c r="J1553" s="30"/>
      <c r="K1553" s="30"/>
    </row>
    <row r="1554" spans="1:11" ht="12.5" x14ac:dyDescent="0.25">
      <c r="A1554" s="30" t="s">
        <v>5873</v>
      </c>
      <c r="B1554" s="30" t="s">
        <v>5872</v>
      </c>
      <c r="C1554" s="32">
        <v>8.74</v>
      </c>
      <c r="D1554" s="30">
        <v>0.03</v>
      </c>
      <c r="E1554" s="31">
        <v>3.4399999999999999E-3</v>
      </c>
      <c r="F1554" s="30">
        <v>676533859</v>
      </c>
      <c r="G1554" s="30" t="s">
        <v>5427</v>
      </c>
      <c r="H1554" s="30">
        <v>2017</v>
      </c>
      <c r="I1554" s="30">
        <v>286914</v>
      </c>
      <c r="J1554" s="30" t="s">
        <v>5197</v>
      </c>
      <c r="K1554" s="30" t="s">
        <v>5467</v>
      </c>
    </row>
    <row r="1555" spans="1:11" ht="12.5" x14ac:dyDescent="0.25">
      <c r="A1555" s="30" t="s">
        <v>5871</v>
      </c>
      <c r="B1555" s="30" t="s">
        <v>5870</v>
      </c>
      <c r="C1555" s="32">
        <v>74.2</v>
      </c>
      <c r="D1555" s="30">
        <v>2.4500000000000002</v>
      </c>
      <c r="E1555" s="31">
        <v>3.415E-2</v>
      </c>
      <c r="F1555" s="30">
        <v>14298340000</v>
      </c>
      <c r="G1555" s="30" t="s">
        <v>5427</v>
      </c>
      <c r="H1555" s="30">
        <v>2015</v>
      </c>
      <c r="I1555" s="30">
        <v>1581441</v>
      </c>
      <c r="J1555" s="30" t="s">
        <v>5435</v>
      </c>
      <c r="K1555" s="30" t="s">
        <v>5856</v>
      </c>
    </row>
    <row r="1556" spans="1:11" ht="12.5" x14ac:dyDescent="0.25">
      <c r="A1556" s="30" t="s">
        <v>5869</v>
      </c>
      <c r="B1556" s="30" t="s">
        <v>5868</v>
      </c>
      <c r="C1556" s="32">
        <v>185.23</v>
      </c>
      <c r="D1556" s="30">
        <v>-5.89</v>
      </c>
      <c r="E1556" s="31">
        <v>-3.082E-2</v>
      </c>
      <c r="F1556" s="30">
        <v>42991883000</v>
      </c>
      <c r="G1556" s="30" t="s">
        <v>5427</v>
      </c>
      <c r="H1556" s="30"/>
      <c r="I1556" s="30">
        <v>2405839</v>
      </c>
      <c r="J1556" s="30" t="s">
        <v>5435</v>
      </c>
      <c r="K1556" s="30" t="s">
        <v>5493</v>
      </c>
    </row>
    <row r="1557" spans="1:11" ht="12.5" x14ac:dyDescent="0.25">
      <c r="A1557" s="30" t="s">
        <v>5867</v>
      </c>
      <c r="B1557" s="30" t="s">
        <v>5866</v>
      </c>
      <c r="C1557" s="32">
        <v>34.69</v>
      </c>
      <c r="D1557" s="30">
        <v>-0.76</v>
      </c>
      <c r="E1557" s="31">
        <v>-2.1440000000000001E-2</v>
      </c>
      <c r="F1557" s="30">
        <v>20476411316</v>
      </c>
      <c r="G1557" s="30" t="s">
        <v>5823</v>
      </c>
      <c r="H1557" s="30"/>
      <c r="I1557" s="30">
        <v>2706598</v>
      </c>
      <c r="J1557" s="30" t="s">
        <v>5457</v>
      </c>
      <c r="K1557" s="30" t="s">
        <v>5472</v>
      </c>
    </row>
    <row r="1558" spans="1:11" ht="12.5" x14ac:dyDescent="0.25">
      <c r="A1558" s="30" t="s">
        <v>5865</v>
      </c>
      <c r="B1558" s="30" t="s">
        <v>5864</v>
      </c>
      <c r="C1558" s="32">
        <v>4.95</v>
      </c>
      <c r="D1558" s="30">
        <v>-0.01</v>
      </c>
      <c r="E1558" s="31">
        <v>-2.0200000000000001E-3</v>
      </c>
      <c r="F1558" s="30">
        <v>236537928</v>
      </c>
      <c r="G1558" s="30" t="s">
        <v>5427</v>
      </c>
      <c r="H1558" s="30"/>
      <c r="I1558" s="30">
        <v>58932</v>
      </c>
      <c r="J1558" s="30" t="s">
        <v>5435</v>
      </c>
      <c r="K1558" s="30" t="s">
        <v>5434</v>
      </c>
    </row>
    <row r="1559" spans="1:11" ht="12.5" x14ac:dyDescent="0.25">
      <c r="A1559" s="30" t="s">
        <v>5863</v>
      </c>
      <c r="B1559" s="30" t="s">
        <v>5862</v>
      </c>
      <c r="C1559" s="32">
        <v>94.74</v>
      </c>
      <c r="D1559" s="30">
        <v>2.0099999999999998</v>
      </c>
      <c r="E1559" s="31">
        <v>2.1680000000000001E-2</v>
      </c>
      <c r="F1559" s="30">
        <v>491321640000</v>
      </c>
      <c r="G1559" s="30" t="s">
        <v>5771</v>
      </c>
      <c r="H1559" s="30">
        <v>1997</v>
      </c>
      <c r="I1559" s="30">
        <v>16765919</v>
      </c>
      <c r="J1559" s="30" t="s">
        <v>5219</v>
      </c>
      <c r="K1559" s="30" t="s">
        <v>5526</v>
      </c>
    </row>
    <row r="1560" spans="1:11" ht="12.5" x14ac:dyDescent="0.25">
      <c r="A1560" s="30" t="s">
        <v>5861</v>
      </c>
      <c r="B1560" s="30" t="s">
        <v>5860</v>
      </c>
      <c r="C1560" s="32">
        <v>65.13</v>
      </c>
      <c r="D1560" s="30">
        <v>-0.62</v>
      </c>
      <c r="E1560" s="31">
        <v>-9.4299999999999991E-3</v>
      </c>
      <c r="F1560" s="30">
        <v>23305218843</v>
      </c>
      <c r="G1560" s="30" t="s">
        <v>5427</v>
      </c>
      <c r="H1560" s="30"/>
      <c r="I1560" s="30">
        <v>2575104</v>
      </c>
      <c r="J1560" s="30" t="s">
        <v>5541</v>
      </c>
      <c r="K1560" s="30" t="s">
        <v>5859</v>
      </c>
    </row>
    <row r="1561" spans="1:11" ht="12.5" x14ac:dyDescent="0.25">
      <c r="A1561" s="30" t="s">
        <v>5858</v>
      </c>
      <c r="B1561" s="30" t="s">
        <v>5857</v>
      </c>
      <c r="C1561" s="32">
        <v>7.36</v>
      </c>
      <c r="D1561" s="30">
        <v>-0.13</v>
      </c>
      <c r="E1561" s="31">
        <v>-1.736E-2</v>
      </c>
      <c r="F1561" s="30">
        <v>126893385</v>
      </c>
      <c r="G1561" s="30" t="s">
        <v>5427</v>
      </c>
      <c r="H1561" s="30">
        <v>2014</v>
      </c>
      <c r="I1561" s="30">
        <v>23258</v>
      </c>
      <c r="J1561" s="30" t="s">
        <v>5442</v>
      </c>
      <c r="K1561" s="30" t="s">
        <v>5856</v>
      </c>
    </row>
    <row r="1562" spans="1:11" ht="12.5" x14ac:dyDescent="0.25">
      <c r="A1562" s="30" t="s">
        <v>5855</v>
      </c>
      <c r="B1562" s="30" t="s">
        <v>5854</v>
      </c>
      <c r="C1562" s="32">
        <v>178.8</v>
      </c>
      <c r="D1562" s="30">
        <v>-0.32</v>
      </c>
      <c r="E1562" s="31">
        <v>-1.7899999999999999E-3</v>
      </c>
      <c r="F1562" s="30">
        <v>41178944525</v>
      </c>
      <c r="G1562" s="30" t="s">
        <v>5512</v>
      </c>
      <c r="H1562" s="30"/>
      <c r="I1562" s="30">
        <v>2313236</v>
      </c>
      <c r="J1562" s="30" t="s">
        <v>5457</v>
      </c>
      <c r="K1562" s="30" t="s">
        <v>5853</v>
      </c>
    </row>
    <row r="1563" spans="1:11" ht="12.5" x14ac:dyDescent="0.25">
      <c r="A1563" s="30" t="s">
        <v>5852</v>
      </c>
      <c r="B1563" s="30" t="s">
        <v>5851</v>
      </c>
      <c r="C1563" s="32">
        <v>112.28</v>
      </c>
      <c r="D1563" s="30">
        <v>0.76</v>
      </c>
      <c r="E1563" s="31">
        <v>6.8100000000000001E-3</v>
      </c>
      <c r="F1563" s="30">
        <v>11678072134</v>
      </c>
      <c r="G1563" s="30" t="s">
        <v>5427</v>
      </c>
      <c r="H1563" s="30"/>
      <c r="I1563" s="30">
        <v>500610</v>
      </c>
      <c r="J1563" s="30" t="s">
        <v>5442</v>
      </c>
      <c r="K1563" s="30" t="s">
        <v>5850</v>
      </c>
    </row>
    <row r="1564" spans="1:11" ht="12.5" x14ac:dyDescent="0.25">
      <c r="A1564" s="30" t="s">
        <v>5849</v>
      </c>
      <c r="B1564" s="30" t="s">
        <v>5848</v>
      </c>
      <c r="C1564" s="32">
        <v>61.06</v>
      </c>
      <c r="D1564" s="30">
        <v>-0.98</v>
      </c>
      <c r="E1564" s="31">
        <v>-1.5800000000000002E-2</v>
      </c>
      <c r="F1564" s="30">
        <v>150798218665</v>
      </c>
      <c r="G1564" s="30" t="s">
        <v>5847</v>
      </c>
      <c r="H1564" s="30"/>
      <c r="I1564" s="30">
        <v>2256819</v>
      </c>
      <c r="J1564" s="30" t="s">
        <v>5464</v>
      </c>
      <c r="K1564" s="30" t="s">
        <v>5463</v>
      </c>
    </row>
    <row r="1565" spans="1:11" ht="12.5" x14ac:dyDescent="0.25">
      <c r="A1565" s="30" t="s">
        <v>5846</v>
      </c>
      <c r="B1565" s="30" t="s">
        <v>5845</v>
      </c>
      <c r="C1565" s="32">
        <v>3.95</v>
      </c>
      <c r="D1565" s="30">
        <v>-0.01</v>
      </c>
      <c r="E1565" s="31">
        <v>-2.5300000000000001E-3</v>
      </c>
      <c r="F1565" s="30">
        <v>508048309</v>
      </c>
      <c r="G1565" s="30" t="s">
        <v>5427</v>
      </c>
      <c r="H1565" s="30"/>
      <c r="I1565" s="30">
        <v>734712</v>
      </c>
      <c r="J1565" s="30" t="s">
        <v>5464</v>
      </c>
      <c r="K1565" s="30" t="s">
        <v>5463</v>
      </c>
    </row>
    <row r="1566" spans="1:11" ht="12.5" x14ac:dyDescent="0.25">
      <c r="A1566" s="30" t="s">
        <v>5844</v>
      </c>
      <c r="B1566" s="30" t="s">
        <v>5843</v>
      </c>
      <c r="C1566" s="32">
        <v>28.34</v>
      </c>
      <c r="D1566" s="30">
        <v>-0.14000000000000001</v>
      </c>
      <c r="E1566" s="31">
        <v>-4.9199999999999999E-3</v>
      </c>
      <c r="F1566" s="30">
        <v>63135087</v>
      </c>
      <c r="G1566" s="30" t="s">
        <v>5427</v>
      </c>
      <c r="H1566" s="30">
        <v>2011</v>
      </c>
      <c r="I1566" s="30">
        <v>8354</v>
      </c>
      <c r="J1566" s="30" t="s">
        <v>5435</v>
      </c>
      <c r="K1566" s="30" t="s">
        <v>5568</v>
      </c>
    </row>
    <row r="1567" spans="1:11" ht="12.5" x14ac:dyDescent="0.25">
      <c r="A1567" s="30" t="s">
        <v>5842</v>
      </c>
      <c r="B1567" s="30" t="s">
        <v>5841</v>
      </c>
      <c r="C1567" s="32">
        <v>21.78</v>
      </c>
      <c r="D1567" s="30">
        <v>0.23</v>
      </c>
      <c r="E1567" s="31">
        <v>1.0670000000000001E-2</v>
      </c>
      <c r="F1567" s="30">
        <v>31158202850</v>
      </c>
      <c r="G1567" s="30" t="s">
        <v>5515</v>
      </c>
      <c r="H1567" s="30"/>
      <c r="I1567" s="30">
        <v>1989288</v>
      </c>
      <c r="J1567" s="30"/>
      <c r="K1567" s="30"/>
    </row>
    <row r="1568" spans="1:11" ht="12.5" x14ac:dyDescent="0.25">
      <c r="A1568" s="30" t="s">
        <v>5840</v>
      </c>
      <c r="B1568" s="30" t="s">
        <v>5839</v>
      </c>
      <c r="C1568" s="32">
        <v>4.4400000000000004</v>
      </c>
      <c r="D1568" s="30">
        <v>0.01</v>
      </c>
      <c r="E1568" s="31">
        <v>2.2599999999999999E-3</v>
      </c>
      <c r="F1568" s="30">
        <v>197482435</v>
      </c>
      <c r="G1568" s="30" t="s">
        <v>5427</v>
      </c>
      <c r="H1568" s="30"/>
      <c r="I1568" s="30">
        <v>610773</v>
      </c>
      <c r="J1568" s="30" t="s">
        <v>5457</v>
      </c>
      <c r="K1568" s="30" t="s">
        <v>5838</v>
      </c>
    </row>
    <row r="1569" spans="1:11" ht="12.5" x14ac:dyDescent="0.25">
      <c r="A1569" s="30" t="s">
        <v>5837</v>
      </c>
      <c r="B1569" s="30" t="s">
        <v>5836</v>
      </c>
      <c r="C1569" s="32">
        <v>6.46</v>
      </c>
      <c r="D1569" s="30">
        <v>0.31</v>
      </c>
      <c r="E1569" s="31">
        <v>5.0410000000000003E-2</v>
      </c>
      <c r="F1569" s="30">
        <v>3649315835</v>
      </c>
      <c r="G1569" s="30" t="s">
        <v>5835</v>
      </c>
      <c r="H1569" s="30">
        <v>1993</v>
      </c>
      <c r="I1569" s="30">
        <v>4287123</v>
      </c>
      <c r="J1569" s="30" t="s">
        <v>5457</v>
      </c>
      <c r="K1569" s="30" t="s">
        <v>5834</v>
      </c>
    </row>
    <row r="1570" spans="1:11" ht="12.5" x14ac:dyDescent="0.25">
      <c r="A1570" s="30" t="s">
        <v>5833</v>
      </c>
      <c r="B1570" s="30" t="s">
        <v>5832</v>
      </c>
      <c r="C1570" s="32">
        <v>16.61</v>
      </c>
      <c r="D1570" s="30">
        <v>-0.08</v>
      </c>
      <c r="E1570" s="31">
        <v>-4.79E-3</v>
      </c>
      <c r="F1570" s="30">
        <v>1043838192</v>
      </c>
      <c r="G1570" s="30" t="s">
        <v>5427</v>
      </c>
      <c r="H1570" s="30"/>
      <c r="I1570" s="30">
        <v>320952</v>
      </c>
      <c r="J1570" s="30" t="s">
        <v>5457</v>
      </c>
      <c r="K1570" s="30" t="s">
        <v>5644</v>
      </c>
    </row>
    <row r="1571" spans="1:11" ht="12.5" x14ac:dyDescent="0.25">
      <c r="A1571" s="30" t="s">
        <v>5831</v>
      </c>
      <c r="B1571" s="30" t="s">
        <v>5830</v>
      </c>
      <c r="C1571" s="32">
        <v>62.29</v>
      </c>
      <c r="D1571" s="30">
        <v>2.4500000000000002</v>
      </c>
      <c r="E1571" s="31">
        <v>4.0939999999999997E-2</v>
      </c>
      <c r="F1571" s="30">
        <v>11482563765</v>
      </c>
      <c r="G1571" s="30" t="s">
        <v>5427</v>
      </c>
      <c r="H1571" s="30">
        <v>2016</v>
      </c>
      <c r="I1571" s="30">
        <v>4360105</v>
      </c>
      <c r="J1571" s="30" t="s">
        <v>5457</v>
      </c>
      <c r="K1571" s="30" t="s">
        <v>5644</v>
      </c>
    </row>
    <row r="1572" spans="1:11" ht="12.5" x14ac:dyDescent="0.25">
      <c r="A1572" s="30" t="s">
        <v>5829</v>
      </c>
      <c r="B1572" s="30" t="s">
        <v>5828</v>
      </c>
      <c r="C1572" s="32">
        <v>26.313500000000001</v>
      </c>
      <c r="D1572" s="30">
        <v>0.35649999999999998</v>
      </c>
      <c r="E1572" s="31">
        <v>1.3729999999999999E-2</v>
      </c>
      <c r="F1572" s="30">
        <v>196574844</v>
      </c>
      <c r="G1572" s="30" t="s">
        <v>5427</v>
      </c>
      <c r="H1572" s="30">
        <v>1986</v>
      </c>
      <c r="I1572" s="30">
        <v>6285</v>
      </c>
      <c r="J1572" s="30" t="s">
        <v>5435</v>
      </c>
      <c r="K1572" s="30" t="s">
        <v>5568</v>
      </c>
    </row>
    <row r="1573" spans="1:11" ht="12.5" x14ac:dyDescent="0.25">
      <c r="A1573" s="30" t="s">
        <v>5827</v>
      </c>
      <c r="B1573" s="30" t="s">
        <v>5826</v>
      </c>
      <c r="C1573" s="32">
        <v>18.28</v>
      </c>
      <c r="D1573" s="30">
        <v>0.34</v>
      </c>
      <c r="E1573" s="31">
        <v>1.8950000000000002E-2</v>
      </c>
      <c r="F1573" s="30">
        <v>1578926847</v>
      </c>
      <c r="G1573" s="30" t="s">
        <v>5427</v>
      </c>
      <c r="H1573" s="30"/>
      <c r="I1573" s="30">
        <v>767311</v>
      </c>
      <c r="J1573" s="30" t="s">
        <v>5197</v>
      </c>
      <c r="K1573" s="30" t="s">
        <v>5467</v>
      </c>
    </row>
    <row r="1574" spans="1:11" ht="12.5" x14ac:dyDescent="0.25">
      <c r="A1574" s="30" t="s">
        <v>5825</v>
      </c>
      <c r="B1574" s="30" t="s">
        <v>5824</v>
      </c>
      <c r="C1574" s="32">
        <v>40.78</v>
      </c>
      <c r="D1574" s="30">
        <v>0.43</v>
      </c>
      <c r="E1574" s="31">
        <v>1.0659999999999999E-2</v>
      </c>
      <c r="F1574" s="30">
        <v>8005427068</v>
      </c>
      <c r="G1574" s="30" t="s">
        <v>5823</v>
      </c>
      <c r="H1574" s="30"/>
      <c r="I1574" s="30">
        <v>331996</v>
      </c>
      <c r="J1574" s="30" t="s">
        <v>5457</v>
      </c>
      <c r="K1574" s="30" t="s">
        <v>5472</v>
      </c>
    </row>
    <row r="1575" spans="1:11" ht="12.5" x14ac:dyDescent="0.25">
      <c r="A1575" s="30" t="s">
        <v>5822</v>
      </c>
      <c r="B1575" s="30" t="s">
        <v>5821</v>
      </c>
      <c r="C1575" s="32">
        <v>74.55</v>
      </c>
      <c r="D1575" s="30">
        <v>1.7</v>
      </c>
      <c r="E1575" s="31">
        <v>2.334E-2</v>
      </c>
      <c r="F1575" s="30">
        <v>15563913238</v>
      </c>
      <c r="G1575" s="30" t="s">
        <v>5427</v>
      </c>
      <c r="H1575" s="30"/>
      <c r="I1575" s="30">
        <v>2486599</v>
      </c>
      <c r="J1575" s="30" t="s">
        <v>5457</v>
      </c>
      <c r="K1575" s="30" t="s">
        <v>5523</v>
      </c>
    </row>
    <row r="1576" spans="1:11" ht="12.5" x14ac:dyDescent="0.25">
      <c r="A1576" s="30" t="s">
        <v>5820</v>
      </c>
      <c r="B1576" s="30" t="s">
        <v>5819</v>
      </c>
      <c r="C1576" s="32">
        <v>27.68</v>
      </c>
      <c r="D1576" s="30">
        <v>0.25</v>
      </c>
      <c r="E1576" s="31">
        <v>9.11E-3</v>
      </c>
      <c r="F1576" s="30">
        <v>1504433881</v>
      </c>
      <c r="G1576" s="30" t="s">
        <v>5427</v>
      </c>
      <c r="H1576" s="30"/>
      <c r="I1576" s="30">
        <v>71909</v>
      </c>
      <c r="J1576" s="30" t="s">
        <v>5435</v>
      </c>
      <c r="K1576" s="30" t="s">
        <v>5563</v>
      </c>
    </row>
    <row r="1577" spans="1:11" ht="12.5" x14ac:dyDescent="0.25">
      <c r="A1577" s="30" t="s">
        <v>5818</v>
      </c>
      <c r="B1577" s="30" t="s">
        <v>5817</v>
      </c>
      <c r="C1577" s="32">
        <v>33.54</v>
      </c>
      <c r="D1577" s="30">
        <v>-0.15</v>
      </c>
      <c r="E1577" s="31">
        <v>-4.45E-3</v>
      </c>
      <c r="F1577" s="30">
        <v>400061867</v>
      </c>
      <c r="G1577" s="30" t="s">
        <v>5427</v>
      </c>
      <c r="H1577" s="30">
        <v>2004</v>
      </c>
      <c r="I1577" s="30">
        <v>18838</v>
      </c>
      <c r="J1577" s="30" t="s">
        <v>5435</v>
      </c>
      <c r="K1577" s="30" t="s">
        <v>5434</v>
      </c>
    </row>
    <row r="1578" spans="1:11" ht="12.5" x14ac:dyDescent="0.25">
      <c r="A1578" s="30" t="s">
        <v>5816</v>
      </c>
      <c r="B1578" s="30" t="s">
        <v>5815</v>
      </c>
      <c r="C1578" s="32">
        <v>336.46</v>
      </c>
      <c r="D1578" s="30">
        <v>13.69</v>
      </c>
      <c r="E1578" s="31">
        <v>4.2410000000000003E-2</v>
      </c>
      <c r="F1578" s="30">
        <v>14010160081</v>
      </c>
      <c r="G1578" s="30" t="s">
        <v>5427</v>
      </c>
      <c r="H1578" s="30"/>
      <c r="I1578" s="30">
        <v>312592</v>
      </c>
      <c r="J1578" s="30" t="s">
        <v>5219</v>
      </c>
      <c r="K1578" s="30" t="s">
        <v>5560</v>
      </c>
    </row>
    <row r="1579" spans="1:11" ht="12.5" x14ac:dyDescent="0.25">
      <c r="A1579" s="30" t="s">
        <v>5814</v>
      </c>
      <c r="B1579" s="30" t="s">
        <v>5813</v>
      </c>
      <c r="C1579" s="32">
        <v>36.54</v>
      </c>
      <c r="D1579" s="30">
        <v>1.02</v>
      </c>
      <c r="E1579" s="31">
        <v>2.8719999999999999E-2</v>
      </c>
      <c r="F1579" s="30">
        <v>14727053903</v>
      </c>
      <c r="G1579" s="30" t="s">
        <v>5427</v>
      </c>
      <c r="H1579" s="30">
        <v>2020</v>
      </c>
      <c r="I1579" s="30">
        <v>13589024</v>
      </c>
      <c r="J1579" s="30" t="s">
        <v>5219</v>
      </c>
      <c r="K1579" s="30" t="s">
        <v>5812</v>
      </c>
    </row>
    <row r="1580" spans="1:11" ht="12.5" x14ac:dyDescent="0.25">
      <c r="A1580" s="30" t="s">
        <v>5811</v>
      </c>
      <c r="B1580" s="30" t="s">
        <v>5810</v>
      </c>
      <c r="C1580" s="32">
        <v>11.17</v>
      </c>
      <c r="D1580" s="30">
        <v>0.27</v>
      </c>
      <c r="E1580" s="31">
        <v>2.477E-2</v>
      </c>
      <c r="F1580" s="30">
        <v>5051482141</v>
      </c>
      <c r="G1580" s="30" t="s">
        <v>5427</v>
      </c>
      <c r="H1580" s="30">
        <v>2016</v>
      </c>
      <c r="I1580" s="30">
        <v>3025281</v>
      </c>
      <c r="J1580" s="30" t="s">
        <v>5442</v>
      </c>
      <c r="K1580" s="30" t="s">
        <v>5692</v>
      </c>
    </row>
    <row r="1581" spans="1:11" ht="12.5" x14ac:dyDescent="0.25">
      <c r="A1581" s="30" t="s">
        <v>5809</v>
      </c>
      <c r="B1581" s="30" t="s">
        <v>5808</v>
      </c>
      <c r="C1581" s="32">
        <v>12.78</v>
      </c>
      <c r="D1581" s="30">
        <v>0.39</v>
      </c>
      <c r="E1581" s="31">
        <v>3.1480000000000001E-2</v>
      </c>
      <c r="F1581" s="30">
        <v>5779582968</v>
      </c>
      <c r="G1581" s="30" t="s">
        <v>5427</v>
      </c>
      <c r="H1581" s="30"/>
      <c r="I1581" s="30">
        <v>7310908</v>
      </c>
      <c r="J1581" s="30" t="s">
        <v>5442</v>
      </c>
      <c r="K1581" s="30" t="s">
        <v>5692</v>
      </c>
    </row>
    <row r="1582" spans="1:11" ht="12.5" x14ac:dyDescent="0.25">
      <c r="A1582" s="30" t="s">
        <v>5807</v>
      </c>
      <c r="B1582" s="30" t="s">
        <v>5806</v>
      </c>
      <c r="C1582" s="32">
        <v>93.92</v>
      </c>
      <c r="D1582" s="30">
        <v>-5.21</v>
      </c>
      <c r="E1582" s="31">
        <v>-5.2560000000000003E-2</v>
      </c>
      <c r="F1582" s="30">
        <v>992700307</v>
      </c>
      <c r="G1582" s="30" t="s">
        <v>5427</v>
      </c>
      <c r="H1582" s="30">
        <v>2011</v>
      </c>
      <c r="I1582" s="30">
        <v>149757</v>
      </c>
      <c r="J1582" s="30" t="s">
        <v>5457</v>
      </c>
      <c r="K1582" s="30" t="s">
        <v>5805</v>
      </c>
    </row>
    <row r="1583" spans="1:11" ht="12.5" x14ac:dyDescent="0.25">
      <c r="A1583" s="30" t="s">
        <v>5804</v>
      </c>
      <c r="B1583" s="30" t="s">
        <v>5802</v>
      </c>
      <c r="C1583" s="32">
        <v>18.850000000000001</v>
      </c>
      <c r="D1583" s="30">
        <v>7.0000000000000007E-2</v>
      </c>
      <c r="E1583" s="31">
        <v>3.7299999999999998E-3</v>
      </c>
      <c r="F1583" s="30">
        <v>741271311</v>
      </c>
      <c r="G1583" s="30" t="s">
        <v>5427</v>
      </c>
      <c r="H1583" s="30"/>
      <c r="I1583" s="30">
        <v>134596</v>
      </c>
      <c r="J1583" s="30" t="s">
        <v>5197</v>
      </c>
      <c r="K1583" s="30" t="s">
        <v>5467</v>
      </c>
    </row>
    <row r="1584" spans="1:11" ht="12.5" x14ac:dyDescent="0.25">
      <c r="A1584" s="30" t="s">
        <v>5803</v>
      </c>
      <c r="B1584" s="30" t="s">
        <v>5802</v>
      </c>
      <c r="C1584" s="32">
        <v>16.89</v>
      </c>
      <c r="D1584" s="30">
        <v>0.14000000000000001</v>
      </c>
      <c r="E1584" s="31">
        <v>8.3599999999999994E-3</v>
      </c>
      <c r="F1584" s="30">
        <v>664194825</v>
      </c>
      <c r="G1584" s="30" t="s">
        <v>5427</v>
      </c>
      <c r="H1584" s="30"/>
      <c r="I1584" s="30">
        <v>1664</v>
      </c>
      <c r="J1584" s="30" t="s">
        <v>5197</v>
      </c>
      <c r="K1584" s="30" t="s">
        <v>5467</v>
      </c>
    </row>
    <row r="1585" spans="1:11" ht="12.5" x14ac:dyDescent="0.25">
      <c r="A1585" s="30" t="s">
        <v>5801</v>
      </c>
      <c r="B1585" s="30" t="s">
        <v>5800</v>
      </c>
      <c r="C1585" s="32">
        <v>21.7</v>
      </c>
      <c r="D1585" s="30">
        <v>0.24</v>
      </c>
      <c r="E1585" s="31">
        <v>1.1180000000000001E-2</v>
      </c>
      <c r="F1585" s="30">
        <v>69057073098</v>
      </c>
      <c r="G1585" s="30" t="s">
        <v>5799</v>
      </c>
      <c r="H1585" s="30">
        <v>2014</v>
      </c>
      <c r="I1585" s="30">
        <v>3056948</v>
      </c>
      <c r="J1585" s="30" t="s">
        <v>5435</v>
      </c>
      <c r="K1585" s="30" t="s">
        <v>5579</v>
      </c>
    </row>
    <row r="1586" spans="1:11" ht="12.5" x14ac:dyDescent="0.25">
      <c r="A1586" s="30" t="s">
        <v>5798</v>
      </c>
      <c r="B1586" s="30" t="s">
        <v>5797</v>
      </c>
      <c r="C1586" s="32">
        <v>42.83</v>
      </c>
      <c r="D1586" s="30">
        <v>0.24</v>
      </c>
      <c r="E1586" s="31">
        <v>5.64E-3</v>
      </c>
      <c r="F1586" s="30">
        <v>13942954437</v>
      </c>
      <c r="G1586" s="30" t="s">
        <v>5427</v>
      </c>
      <c r="H1586" s="30"/>
      <c r="I1586" s="30">
        <v>2273057</v>
      </c>
      <c r="J1586" s="30" t="s">
        <v>5197</v>
      </c>
      <c r="K1586" s="30" t="s">
        <v>5467</v>
      </c>
    </row>
    <row r="1587" spans="1:11" ht="12.5" x14ac:dyDescent="0.25">
      <c r="A1587" s="30" t="s">
        <v>5796</v>
      </c>
      <c r="B1587" s="30" t="s">
        <v>5795</v>
      </c>
      <c r="C1587" s="32">
        <v>15.98</v>
      </c>
      <c r="D1587" s="30">
        <v>0.23</v>
      </c>
      <c r="E1587" s="31">
        <v>1.46E-2</v>
      </c>
      <c r="F1587" s="30">
        <v>1876661493</v>
      </c>
      <c r="G1587" s="30" t="s">
        <v>5427</v>
      </c>
      <c r="H1587" s="30">
        <v>2015</v>
      </c>
      <c r="I1587" s="30">
        <v>1501056</v>
      </c>
      <c r="J1587" s="30" t="s">
        <v>5197</v>
      </c>
      <c r="K1587" s="30" t="s">
        <v>5467</v>
      </c>
    </row>
    <row r="1588" spans="1:11" ht="12.5" x14ac:dyDescent="0.25">
      <c r="A1588" s="30" t="s">
        <v>5794</v>
      </c>
      <c r="B1588" s="30" t="s">
        <v>5793</v>
      </c>
      <c r="C1588" s="32">
        <v>8.82</v>
      </c>
      <c r="D1588" s="30">
        <v>0.27</v>
      </c>
      <c r="E1588" s="31">
        <v>3.1579999999999997E-2</v>
      </c>
      <c r="F1588" s="30">
        <v>159074733</v>
      </c>
      <c r="G1588" s="30" t="s">
        <v>5427</v>
      </c>
      <c r="H1588" s="30"/>
      <c r="I1588" s="30">
        <v>120614</v>
      </c>
      <c r="J1588" s="30"/>
      <c r="K1588" s="30"/>
    </row>
    <row r="1589" spans="1:11" ht="12.5" x14ac:dyDescent="0.25">
      <c r="A1589" s="30" t="s">
        <v>5792</v>
      </c>
      <c r="B1589" s="30" t="s">
        <v>5791</v>
      </c>
      <c r="C1589" s="32">
        <v>40.479999999999997</v>
      </c>
      <c r="D1589" s="30">
        <v>0.65</v>
      </c>
      <c r="E1589" s="31">
        <v>1.6320000000000001E-2</v>
      </c>
      <c r="F1589" s="30">
        <v>8483887942</v>
      </c>
      <c r="G1589" s="30" t="s">
        <v>5427</v>
      </c>
      <c r="H1589" s="30"/>
      <c r="I1589" s="30">
        <v>1102668</v>
      </c>
      <c r="J1589" s="30" t="s">
        <v>5426</v>
      </c>
      <c r="K1589" s="30" t="s">
        <v>5546</v>
      </c>
    </row>
    <row r="1590" spans="1:11" ht="12.5" x14ac:dyDescent="0.25">
      <c r="A1590" s="30" t="s">
        <v>5790</v>
      </c>
      <c r="B1590" s="30" t="s">
        <v>5789</v>
      </c>
      <c r="C1590" s="32">
        <v>68.69</v>
      </c>
      <c r="D1590" s="30">
        <v>1.66</v>
      </c>
      <c r="E1590" s="31">
        <v>2.477E-2</v>
      </c>
      <c r="F1590" s="30">
        <v>13468589577</v>
      </c>
      <c r="G1590" s="30" t="s">
        <v>5427</v>
      </c>
      <c r="H1590" s="30">
        <v>2022</v>
      </c>
      <c r="I1590" s="30">
        <v>218684</v>
      </c>
      <c r="J1590" s="30" t="s">
        <v>5442</v>
      </c>
      <c r="K1590" s="30" t="s">
        <v>5788</v>
      </c>
    </row>
    <row r="1591" spans="1:11" ht="12.5" x14ac:dyDescent="0.25">
      <c r="A1591" s="30" t="s">
        <v>5787</v>
      </c>
      <c r="B1591" s="30" t="s">
        <v>5786</v>
      </c>
      <c r="C1591" s="32">
        <v>152.66999999999999</v>
      </c>
      <c r="D1591" s="30">
        <v>4.46</v>
      </c>
      <c r="E1591" s="31">
        <v>3.0089999999999999E-2</v>
      </c>
      <c r="F1591" s="30">
        <v>10902230653</v>
      </c>
      <c r="G1591" s="30" t="s">
        <v>5427</v>
      </c>
      <c r="H1591" s="30"/>
      <c r="I1591" s="30">
        <v>755645</v>
      </c>
      <c r="J1591" s="30" t="s">
        <v>5431</v>
      </c>
      <c r="K1591" s="30" t="s">
        <v>5785</v>
      </c>
    </row>
    <row r="1592" spans="1:11" ht="12.5" x14ac:dyDescent="0.25">
      <c r="A1592" s="30" t="s">
        <v>5784</v>
      </c>
      <c r="B1592" s="30" t="s">
        <v>5783</v>
      </c>
      <c r="C1592" s="32">
        <v>55.82</v>
      </c>
      <c r="D1592" s="30">
        <v>1.01</v>
      </c>
      <c r="E1592" s="31">
        <v>1.8429999999999998E-2</v>
      </c>
      <c r="F1592" s="30">
        <v>770439251</v>
      </c>
      <c r="G1592" s="30" t="s">
        <v>5427</v>
      </c>
      <c r="H1592" s="30"/>
      <c r="I1592" s="30">
        <v>67413</v>
      </c>
      <c r="J1592" s="30" t="s">
        <v>5197</v>
      </c>
      <c r="K1592" s="30" t="s">
        <v>5467</v>
      </c>
    </row>
    <row r="1593" spans="1:11" ht="12.5" x14ac:dyDescent="0.25">
      <c r="A1593" s="30" t="s">
        <v>5782</v>
      </c>
      <c r="B1593" s="30" t="s">
        <v>5781</v>
      </c>
      <c r="C1593" s="32">
        <v>294.02999999999997</v>
      </c>
      <c r="D1593" s="30">
        <v>1.87</v>
      </c>
      <c r="E1593" s="31">
        <v>6.4000000000000003E-3</v>
      </c>
      <c r="F1593" s="30">
        <v>17767883298</v>
      </c>
      <c r="G1593" s="30" t="s">
        <v>5427</v>
      </c>
      <c r="H1593" s="30"/>
      <c r="I1593" s="30">
        <v>66383</v>
      </c>
      <c r="J1593" s="30" t="s">
        <v>5219</v>
      </c>
      <c r="K1593" s="30" t="s">
        <v>5780</v>
      </c>
    </row>
    <row r="1594" spans="1:11" ht="12.5" x14ac:dyDescent="0.25">
      <c r="A1594" s="30" t="s">
        <v>5779</v>
      </c>
      <c r="B1594" s="30" t="s">
        <v>5778</v>
      </c>
      <c r="C1594" s="32">
        <v>5.69</v>
      </c>
      <c r="D1594" s="30">
        <v>0.28000000000000003</v>
      </c>
      <c r="E1594" s="31">
        <v>5.176E-2</v>
      </c>
      <c r="F1594" s="30">
        <v>385711154</v>
      </c>
      <c r="G1594" s="30" t="s">
        <v>5427</v>
      </c>
      <c r="H1594" s="30"/>
      <c r="I1594" s="30">
        <v>531773</v>
      </c>
      <c r="J1594" s="30" t="s">
        <v>5219</v>
      </c>
      <c r="K1594" s="30" t="s">
        <v>5447</v>
      </c>
    </row>
    <row r="1595" spans="1:11" ht="12.5" x14ac:dyDescent="0.25">
      <c r="A1595" s="30" t="s">
        <v>5777</v>
      </c>
      <c r="B1595" s="30" t="s">
        <v>5776</v>
      </c>
      <c r="C1595" s="32">
        <v>51.18</v>
      </c>
      <c r="D1595" s="30">
        <v>0.08</v>
      </c>
      <c r="E1595" s="31">
        <v>1.57E-3</v>
      </c>
      <c r="F1595" s="30">
        <v>129590320126</v>
      </c>
      <c r="G1595" s="30" t="s">
        <v>5775</v>
      </c>
      <c r="H1595" s="30"/>
      <c r="I1595" s="30">
        <v>2355767</v>
      </c>
      <c r="J1595" s="30" t="s">
        <v>5541</v>
      </c>
      <c r="K1595" s="30" t="s">
        <v>5774</v>
      </c>
    </row>
    <row r="1596" spans="1:11" ht="12.5" x14ac:dyDescent="0.25">
      <c r="A1596" s="30" t="s">
        <v>5773</v>
      </c>
      <c r="B1596" s="30" t="s">
        <v>5772</v>
      </c>
      <c r="C1596" s="32">
        <v>8.5</v>
      </c>
      <c r="D1596" s="30">
        <v>0.37</v>
      </c>
      <c r="E1596" s="31">
        <v>4.5510000000000002E-2</v>
      </c>
      <c r="F1596" s="30">
        <v>21218872116</v>
      </c>
      <c r="G1596" s="30" t="s">
        <v>5771</v>
      </c>
      <c r="H1596" s="30"/>
      <c r="I1596" s="30">
        <v>14079395</v>
      </c>
      <c r="J1596" s="30" t="s">
        <v>5219</v>
      </c>
      <c r="K1596" s="30" t="s">
        <v>5526</v>
      </c>
    </row>
    <row r="1597" spans="1:11" ht="12.5" x14ac:dyDescent="0.25">
      <c r="A1597" s="30" t="s">
        <v>5770</v>
      </c>
      <c r="B1597" s="30" t="s">
        <v>5769</v>
      </c>
      <c r="C1597" s="32">
        <v>18.32</v>
      </c>
      <c r="D1597" s="30">
        <v>0.4</v>
      </c>
      <c r="E1597" s="31">
        <v>2.232E-2</v>
      </c>
      <c r="F1597" s="30">
        <v>1058751730</v>
      </c>
      <c r="G1597" s="30" t="s">
        <v>5427</v>
      </c>
      <c r="H1597" s="30">
        <v>1994</v>
      </c>
      <c r="I1597" s="30">
        <v>651397</v>
      </c>
      <c r="J1597" s="30" t="s">
        <v>5197</v>
      </c>
      <c r="K1597" s="30" t="s">
        <v>5467</v>
      </c>
    </row>
    <row r="1598" spans="1:11" ht="12.5" x14ac:dyDescent="0.25">
      <c r="A1598" s="30" t="s">
        <v>5768</v>
      </c>
      <c r="B1598" s="30" t="s">
        <v>5767</v>
      </c>
      <c r="C1598" s="32">
        <v>200.55</v>
      </c>
      <c r="D1598" s="30">
        <v>2.11</v>
      </c>
      <c r="E1598" s="31">
        <v>1.0630000000000001E-2</v>
      </c>
      <c r="F1598" s="30">
        <v>3748000736</v>
      </c>
      <c r="G1598" s="30" t="s">
        <v>5427</v>
      </c>
      <c r="H1598" s="30"/>
      <c r="I1598" s="30">
        <v>59690</v>
      </c>
      <c r="J1598" s="30" t="s">
        <v>5442</v>
      </c>
      <c r="K1598" s="30" t="s">
        <v>5482</v>
      </c>
    </row>
    <row r="1599" spans="1:11" ht="12.5" x14ac:dyDescent="0.25">
      <c r="A1599" s="30" t="s">
        <v>5766</v>
      </c>
      <c r="B1599" s="30" t="s">
        <v>5765</v>
      </c>
      <c r="C1599" s="32">
        <v>42.39</v>
      </c>
      <c r="D1599" s="30">
        <v>0.77</v>
      </c>
      <c r="E1599" s="31">
        <v>1.8499999999999999E-2</v>
      </c>
      <c r="F1599" s="30">
        <v>2536257624</v>
      </c>
      <c r="G1599" s="30" t="s">
        <v>5427</v>
      </c>
      <c r="H1599" s="30">
        <v>2019</v>
      </c>
      <c r="I1599" s="30">
        <v>401149</v>
      </c>
      <c r="J1599" s="30" t="s">
        <v>5442</v>
      </c>
      <c r="K1599" s="30" t="s">
        <v>5735</v>
      </c>
    </row>
    <row r="1600" spans="1:11" ht="12.5" x14ac:dyDescent="0.25">
      <c r="A1600" s="30" t="s">
        <v>5764</v>
      </c>
      <c r="B1600" s="30" t="s">
        <v>5763</v>
      </c>
      <c r="C1600" s="32">
        <v>497</v>
      </c>
      <c r="D1600" s="30">
        <v>-2.19</v>
      </c>
      <c r="E1600" s="31">
        <v>-4.3899999999999998E-3</v>
      </c>
      <c r="F1600" s="30">
        <v>464371489281</v>
      </c>
      <c r="G1600" s="30" t="s">
        <v>5427</v>
      </c>
      <c r="H1600" s="30"/>
      <c r="I1600" s="30">
        <v>3447452</v>
      </c>
      <c r="J1600" s="30" t="s">
        <v>5431</v>
      </c>
      <c r="K1600" s="30" t="s">
        <v>5610</v>
      </c>
    </row>
    <row r="1601" spans="1:11" ht="12.5" x14ac:dyDescent="0.25">
      <c r="A1601" s="30" t="s">
        <v>5762</v>
      </c>
      <c r="B1601" s="30" t="s">
        <v>5761</v>
      </c>
      <c r="C1601" s="32">
        <v>43.3</v>
      </c>
      <c r="D1601" s="30">
        <v>1.27</v>
      </c>
      <c r="E1601" s="31">
        <v>3.022E-2</v>
      </c>
      <c r="F1601" s="30">
        <v>8614140277</v>
      </c>
      <c r="G1601" s="30" t="s">
        <v>5427</v>
      </c>
      <c r="H1601" s="30"/>
      <c r="I1601" s="30">
        <v>3193875</v>
      </c>
      <c r="J1601" s="30" t="s">
        <v>5435</v>
      </c>
      <c r="K1601" s="30" t="s">
        <v>5760</v>
      </c>
    </row>
    <row r="1602" spans="1:11" ht="12.5" x14ac:dyDescent="0.25">
      <c r="A1602" s="30" t="s">
        <v>5759</v>
      </c>
      <c r="B1602" s="30" t="s">
        <v>5758</v>
      </c>
      <c r="C1602" s="32">
        <v>207.93</v>
      </c>
      <c r="D1602" s="30">
        <v>3.74</v>
      </c>
      <c r="E1602" s="31">
        <v>1.8319999999999999E-2</v>
      </c>
      <c r="F1602" s="30">
        <v>127835530344</v>
      </c>
      <c r="G1602" s="30" t="s">
        <v>5427</v>
      </c>
      <c r="H1602" s="30"/>
      <c r="I1602" s="30">
        <v>3078544</v>
      </c>
      <c r="J1602" s="30" t="s">
        <v>5457</v>
      </c>
      <c r="K1602" s="30" t="s">
        <v>5615</v>
      </c>
    </row>
    <row r="1603" spans="1:11" ht="12.5" x14ac:dyDescent="0.25">
      <c r="A1603" s="30" t="s">
        <v>5757</v>
      </c>
      <c r="B1603" s="30" t="s">
        <v>5756</v>
      </c>
      <c r="C1603" s="32">
        <v>35.03</v>
      </c>
      <c r="D1603" s="30">
        <v>0.55000000000000004</v>
      </c>
      <c r="E1603" s="31">
        <v>1.5949999999999999E-2</v>
      </c>
      <c r="F1603" s="30">
        <v>5715722600</v>
      </c>
      <c r="G1603" s="30" t="s">
        <v>5427</v>
      </c>
      <c r="H1603" s="30">
        <v>2015</v>
      </c>
      <c r="I1603" s="30">
        <v>922917</v>
      </c>
      <c r="J1603" s="30" t="s">
        <v>5457</v>
      </c>
      <c r="K1603" s="30" t="s">
        <v>5755</v>
      </c>
    </row>
    <row r="1604" spans="1:11" ht="12.5" x14ac:dyDescent="0.25">
      <c r="A1604" s="30" t="s">
        <v>5754</v>
      </c>
      <c r="B1604" s="30" t="s">
        <v>5753</v>
      </c>
      <c r="C1604" s="32">
        <v>1.26</v>
      </c>
      <c r="D1604" s="30">
        <v>0.03</v>
      </c>
      <c r="E1604" s="31">
        <v>2.4389999999999998E-2</v>
      </c>
      <c r="F1604" s="30">
        <v>311853759</v>
      </c>
      <c r="G1604" s="30" t="s">
        <v>5752</v>
      </c>
      <c r="H1604" s="30">
        <v>2020</v>
      </c>
      <c r="I1604" s="30">
        <v>946992</v>
      </c>
      <c r="J1604" s="30" t="s">
        <v>5442</v>
      </c>
      <c r="K1604" s="30" t="s">
        <v>5523</v>
      </c>
    </row>
    <row r="1605" spans="1:11" ht="12.5" x14ac:dyDescent="0.25">
      <c r="A1605" s="30" t="s">
        <v>5751</v>
      </c>
      <c r="B1605" s="30" t="s">
        <v>5750</v>
      </c>
      <c r="C1605" s="32">
        <v>184.98</v>
      </c>
      <c r="D1605" s="30">
        <v>-0.25</v>
      </c>
      <c r="E1605" s="31">
        <v>-1.3500000000000001E-3</v>
      </c>
      <c r="F1605" s="30">
        <v>159992560867</v>
      </c>
      <c r="G1605" s="30" t="s">
        <v>5427</v>
      </c>
      <c r="H1605" s="30">
        <v>1999</v>
      </c>
      <c r="I1605" s="30">
        <v>4004744</v>
      </c>
      <c r="J1605" s="30" t="s">
        <v>5442</v>
      </c>
      <c r="K1605" s="30" t="s">
        <v>5749</v>
      </c>
    </row>
    <row r="1606" spans="1:11" ht="12.5" x14ac:dyDescent="0.25">
      <c r="A1606" s="30" t="s">
        <v>5748</v>
      </c>
      <c r="B1606" s="30" t="s">
        <v>5747</v>
      </c>
      <c r="C1606" s="32">
        <v>454.9</v>
      </c>
      <c r="D1606" s="30">
        <v>13.95</v>
      </c>
      <c r="E1606" s="31">
        <v>3.1640000000000001E-2</v>
      </c>
      <c r="F1606" s="30">
        <v>31551677946</v>
      </c>
      <c r="G1606" s="30" t="s">
        <v>5427</v>
      </c>
      <c r="H1606" s="30">
        <v>1997</v>
      </c>
      <c r="I1606" s="30">
        <v>1049851</v>
      </c>
      <c r="J1606" s="30" t="s">
        <v>5442</v>
      </c>
      <c r="K1606" s="30" t="s">
        <v>5746</v>
      </c>
    </row>
    <row r="1607" spans="1:11" ht="12.5" x14ac:dyDescent="0.25">
      <c r="A1607" s="30" t="s">
        <v>5745</v>
      </c>
      <c r="B1607" s="30" t="s">
        <v>5744</v>
      </c>
      <c r="C1607" s="32">
        <v>6.31</v>
      </c>
      <c r="D1607" s="30">
        <v>0.06</v>
      </c>
      <c r="E1607" s="31">
        <v>9.5999999999999992E-3</v>
      </c>
      <c r="F1607" s="30">
        <v>1641197197</v>
      </c>
      <c r="G1607" s="30" t="s">
        <v>5427</v>
      </c>
      <c r="H1607" s="30">
        <v>1986</v>
      </c>
      <c r="I1607" s="30">
        <v>689753</v>
      </c>
      <c r="J1607" s="30" t="s">
        <v>5435</v>
      </c>
      <c r="K1607" s="30" t="s">
        <v>5563</v>
      </c>
    </row>
    <row r="1608" spans="1:11" ht="12.5" x14ac:dyDescent="0.25">
      <c r="A1608" s="30" t="s">
        <v>5743</v>
      </c>
      <c r="B1608" s="30" t="s">
        <v>5742</v>
      </c>
      <c r="C1608" s="32">
        <v>20.79</v>
      </c>
      <c r="D1608" s="30">
        <v>0.09</v>
      </c>
      <c r="E1608" s="31">
        <v>4.3499999999999997E-3</v>
      </c>
      <c r="F1608" s="30">
        <v>2037318690</v>
      </c>
      <c r="G1608" s="30" t="s">
        <v>5427</v>
      </c>
      <c r="H1608" s="30">
        <v>2013</v>
      </c>
      <c r="I1608" s="30">
        <v>164247</v>
      </c>
      <c r="J1608" s="30" t="s">
        <v>5464</v>
      </c>
      <c r="K1608" s="30" t="s">
        <v>5588</v>
      </c>
    </row>
    <row r="1609" spans="1:11" ht="12.5" x14ac:dyDescent="0.25">
      <c r="A1609" s="30" t="s">
        <v>5741</v>
      </c>
      <c r="B1609" s="30" t="s">
        <v>5740</v>
      </c>
      <c r="C1609" s="32">
        <v>49.22</v>
      </c>
      <c r="D1609" s="30">
        <v>-0.57999999999999996</v>
      </c>
      <c r="E1609" s="31">
        <v>-1.1650000000000001E-2</v>
      </c>
      <c r="F1609" s="30">
        <v>75355820000</v>
      </c>
      <c r="G1609" s="30" t="s">
        <v>5427</v>
      </c>
      <c r="H1609" s="30"/>
      <c r="I1609" s="30">
        <v>7610917</v>
      </c>
      <c r="J1609" s="30" t="s">
        <v>5435</v>
      </c>
      <c r="K1609" s="30" t="s">
        <v>5579</v>
      </c>
    </row>
    <row r="1610" spans="1:11" ht="12.5" x14ac:dyDescent="0.25">
      <c r="A1610" s="30" t="s">
        <v>5739</v>
      </c>
      <c r="B1610" s="30" t="s">
        <v>5738</v>
      </c>
      <c r="C1610" s="32">
        <v>4.0199999999999996</v>
      </c>
      <c r="D1610" s="30">
        <v>0.01</v>
      </c>
      <c r="E1610" s="31">
        <v>2.49E-3</v>
      </c>
      <c r="F1610" s="30">
        <v>134192372</v>
      </c>
      <c r="G1610" s="30" t="s">
        <v>5427</v>
      </c>
      <c r="H1610" s="30">
        <v>2014</v>
      </c>
      <c r="I1610" s="30">
        <v>60821</v>
      </c>
      <c r="J1610" s="30" t="s">
        <v>5457</v>
      </c>
      <c r="K1610" s="30" t="s">
        <v>5615</v>
      </c>
    </row>
    <row r="1611" spans="1:11" ht="12.5" x14ac:dyDescent="0.25">
      <c r="A1611" s="30" t="s">
        <v>5737</v>
      </c>
      <c r="B1611" s="30" t="s">
        <v>5736</v>
      </c>
      <c r="C1611" s="32">
        <v>38.58</v>
      </c>
      <c r="D1611" s="30">
        <v>0.45</v>
      </c>
      <c r="E1611" s="31">
        <v>1.18E-2</v>
      </c>
      <c r="F1611" s="30">
        <v>8676280313</v>
      </c>
      <c r="G1611" s="30" t="s">
        <v>5427</v>
      </c>
      <c r="H1611" s="30">
        <v>2016</v>
      </c>
      <c r="I1611" s="30">
        <v>1406928</v>
      </c>
      <c r="J1611" s="30" t="s">
        <v>5442</v>
      </c>
      <c r="K1611" s="30" t="s">
        <v>5735</v>
      </c>
    </row>
    <row r="1612" spans="1:11" ht="12.5" x14ac:dyDescent="0.25">
      <c r="A1612" s="30" t="s">
        <v>5734</v>
      </c>
      <c r="B1612" s="30" t="s">
        <v>5733</v>
      </c>
      <c r="C1612" s="32">
        <v>24.83</v>
      </c>
      <c r="D1612" s="30">
        <v>0.37</v>
      </c>
      <c r="E1612" s="31">
        <v>1.5129999999999999E-2</v>
      </c>
      <c r="F1612" s="30">
        <v>2115903348</v>
      </c>
      <c r="G1612" s="30" t="s">
        <v>5427</v>
      </c>
      <c r="H1612" s="30">
        <v>1988</v>
      </c>
      <c r="I1612" s="30">
        <v>437597</v>
      </c>
      <c r="J1612" s="30" t="s">
        <v>5732</v>
      </c>
      <c r="K1612" s="30" t="s">
        <v>5520</v>
      </c>
    </row>
    <row r="1613" spans="1:11" ht="12.5" x14ac:dyDescent="0.25">
      <c r="A1613" s="30" t="s">
        <v>5731</v>
      </c>
      <c r="B1613" s="30" t="s">
        <v>5730</v>
      </c>
      <c r="C1613" s="32">
        <v>59.87</v>
      </c>
      <c r="D1613" s="30">
        <v>1.43</v>
      </c>
      <c r="E1613" s="31">
        <v>2.4469999999999999E-2</v>
      </c>
      <c r="F1613" s="30">
        <v>1149880522</v>
      </c>
      <c r="G1613" s="30" t="s">
        <v>5427</v>
      </c>
      <c r="H1613" s="30"/>
      <c r="I1613" s="30">
        <v>48315</v>
      </c>
      <c r="J1613" s="30"/>
      <c r="K1613" s="30"/>
    </row>
    <row r="1614" spans="1:11" ht="12.5" x14ac:dyDescent="0.25">
      <c r="A1614" s="30" t="s">
        <v>5729</v>
      </c>
      <c r="B1614" s="30" t="s">
        <v>5728</v>
      </c>
      <c r="C1614" s="32">
        <v>99.95</v>
      </c>
      <c r="D1614" s="30">
        <v>0.8</v>
      </c>
      <c r="E1614" s="31">
        <v>8.0700000000000008E-3</v>
      </c>
      <c r="F1614" s="30">
        <v>1299508821</v>
      </c>
      <c r="G1614" s="30" t="s">
        <v>5427</v>
      </c>
      <c r="H1614" s="30">
        <v>1992</v>
      </c>
      <c r="I1614" s="30">
        <v>92131</v>
      </c>
      <c r="J1614" s="30" t="s">
        <v>5431</v>
      </c>
      <c r="K1614" s="30" t="s">
        <v>5610</v>
      </c>
    </row>
    <row r="1615" spans="1:11" ht="12.5" x14ac:dyDescent="0.25">
      <c r="A1615" s="30" t="s">
        <v>5727</v>
      </c>
      <c r="B1615" s="30" t="s">
        <v>5726</v>
      </c>
      <c r="C1615" s="32">
        <v>1.63</v>
      </c>
      <c r="D1615" s="30">
        <v>0.01</v>
      </c>
      <c r="E1615" s="31">
        <v>6.1700000000000001E-3</v>
      </c>
      <c r="F1615" s="30">
        <v>83904400</v>
      </c>
      <c r="G1615" s="30" t="s">
        <v>5427</v>
      </c>
      <c r="H1615" s="30">
        <v>2018</v>
      </c>
      <c r="I1615" s="30">
        <v>706460</v>
      </c>
      <c r="J1615" s="30" t="s">
        <v>5457</v>
      </c>
      <c r="K1615" s="30" t="s">
        <v>5725</v>
      </c>
    </row>
    <row r="1616" spans="1:11" ht="12.5" x14ac:dyDescent="0.25">
      <c r="A1616" s="30" t="s">
        <v>5724</v>
      </c>
      <c r="B1616" s="30" t="s">
        <v>5723</v>
      </c>
      <c r="C1616" s="32">
        <v>25.4</v>
      </c>
      <c r="D1616" s="30">
        <v>-0.14000000000000001</v>
      </c>
      <c r="E1616" s="31">
        <v>-5.4799999999999996E-3</v>
      </c>
      <c r="F1616" s="30">
        <v>2420471410</v>
      </c>
      <c r="G1616" s="30" t="s">
        <v>5427</v>
      </c>
      <c r="H1616" s="30">
        <v>2004</v>
      </c>
      <c r="I1616" s="30">
        <v>120399</v>
      </c>
      <c r="J1616" s="30" t="s">
        <v>5435</v>
      </c>
      <c r="K1616" s="30" t="s">
        <v>5563</v>
      </c>
    </row>
    <row r="1617" spans="1:11" ht="12.5" x14ac:dyDescent="0.25">
      <c r="A1617" s="30" t="s">
        <v>5722</v>
      </c>
      <c r="B1617" s="30" t="s">
        <v>5721</v>
      </c>
      <c r="C1617" s="32">
        <v>7.58</v>
      </c>
      <c r="D1617" s="30">
        <v>0</v>
      </c>
      <c r="E1617" s="31">
        <v>0</v>
      </c>
      <c r="F1617" s="30">
        <v>257149976</v>
      </c>
      <c r="G1617" s="30" t="s">
        <v>5427</v>
      </c>
      <c r="H1617" s="30">
        <v>2003</v>
      </c>
      <c r="I1617" s="30">
        <v>98520</v>
      </c>
      <c r="J1617" s="30"/>
      <c r="K1617" s="30"/>
    </row>
    <row r="1618" spans="1:11" ht="12.5" x14ac:dyDescent="0.25">
      <c r="A1618" s="30" t="s">
        <v>5720</v>
      </c>
      <c r="B1618" s="30" t="s">
        <v>5719</v>
      </c>
      <c r="C1618" s="32">
        <v>52.33</v>
      </c>
      <c r="D1618" s="30">
        <v>0.16</v>
      </c>
      <c r="E1618" s="31">
        <v>3.0699999999999998E-3</v>
      </c>
      <c r="F1618" s="30">
        <v>839369956</v>
      </c>
      <c r="G1618" s="30" t="s">
        <v>5427</v>
      </c>
      <c r="H1618" s="30">
        <v>1985</v>
      </c>
      <c r="I1618" s="30">
        <v>67771</v>
      </c>
      <c r="J1618" s="30" t="s">
        <v>5426</v>
      </c>
      <c r="K1618" s="30" t="s">
        <v>5593</v>
      </c>
    </row>
    <row r="1619" spans="1:11" ht="12.5" x14ac:dyDescent="0.25">
      <c r="A1619" s="30" t="s">
        <v>5718</v>
      </c>
      <c r="B1619" s="30" t="s">
        <v>5717</v>
      </c>
      <c r="C1619" s="32">
        <v>16.73</v>
      </c>
      <c r="D1619" s="30">
        <v>7.0000000000000007E-2</v>
      </c>
      <c r="E1619" s="31">
        <v>4.1999999999999997E-3</v>
      </c>
      <c r="F1619" s="30">
        <v>1351998730</v>
      </c>
      <c r="G1619" s="30" t="s">
        <v>5427</v>
      </c>
      <c r="H1619" s="30">
        <v>2018</v>
      </c>
      <c r="I1619" s="30">
        <v>345674</v>
      </c>
      <c r="J1619" s="30" t="s">
        <v>5541</v>
      </c>
      <c r="K1619" s="30" t="s">
        <v>5716</v>
      </c>
    </row>
    <row r="1620" spans="1:11" ht="12.5" x14ac:dyDescent="0.25">
      <c r="A1620" s="30" t="s">
        <v>5715</v>
      </c>
      <c r="B1620" s="30" t="s">
        <v>5714</v>
      </c>
      <c r="C1620" s="32">
        <v>12.63</v>
      </c>
      <c r="D1620" s="30">
        <v>-0.11</v>
      </c>
      <c r="E1620" s="31">
        <v>-8.6300000000000005E-3</v>
      </c>
      <c r="F1620" s="30">
        <v>385376171</v>
      </c>
      <c r="G1620" s="30" t="s">
        <v>5427</v>
      </c>
      <c r="H1620" s="30"/>
      <c r="I1620" s="30">
        <v>175955</v>
      </c>
      <c r="J1620" s="30" t="s">
        <v>5435</v>
      </c>
      <c r="K1620" s="30" t="s">
        <v>5493</v>
      </c>
    </row>
    <row r="1621" spans="1:11" ht="12.5" x14ac:dyDescent="0.25">
      <c r="A1621" s="30" t="s">
        <v>5713</v>
      </c>
      <c r="B1621" s="30" t="s">
        <v>5712</v>
      </c>
      <c r="C1621" s="32">
        <v>55.24</v>
      </c>
      <c r="D1621" s="30">
        <v>0.87</v>
      </c>
      <c r="E1621" s="31">
        <v>1.6E-2</v>
      </c>
      <c r="F1621" s="30">
        <v>1356438142</v>
      </c>
      <c r="G1621" s="30" t="s">
        <v>5427</v>
      </c>
      <c r="H1621" s="30"/>
      <c r="I1621" s="30">
        <v>109574</v>
      </c>
      <c r="J1621" s="30" t="s">
        <v>5541</v>
      </c>
      <c r="K1621" s="30" t="s">
        <v>5711</v>
      </c>
    </row>
    <row r="1622" spans="1:11" ht="12.5" x14ac:dyDescent="0.25">
      <c r="A1622" s="30" t="s">
        <v>5710</v>
      </c>
      <c r="B1622" s="30" t="s">
        <v>5709</v>
      </c>
      <c r="C1622" s="32">
        <v>4.6900000000000004</v>
      </c>
      <c r="D1622" s="30">
        <v>0.11</v>
      </c>
      <c r="E1622" s="31">
        <v>2.402E-2</v>
      </c>
      <c r="F1622" s="30">
        <v>434179334</v>
      </c>
      <c r="G1622" s="30" t="s">
        <v>5427</v>
      </c>
      <c r="H1622" s="30"/>
      <c r="I1622" s="30">
        <v>703939</v>
      </c>
      <c r="J1622" s="30" t="s">
        <v>5435</v>
      </c>
      <c r="K1622" s="30" t="s">
        <v>5598</v>
      </c>
    </row>
    <row r="1623" spans="1:11" ht="12.5" x14ac:dyDescent="0.25">
      <c r="A1623" s="30" t="s">
        <v>5708</v>
      </c>
      <c r="B1623" s="30" t="s">
        <v>5707</v>
      </c>
      <c r="C1623" s="32">
        <v>230.9</v>
      </c>
      <c r="D1623" s="30">
        <v>0.69</v>
      </c>
      <c r="E1623" s="31">
        <v>3.0000000000000001E-3</v>
      </c>
      <c r="F1623" s="30">
        <v>485302406796</v>
      </c>
      <c r="G1623" s="30" t="s">
        <v>5427</v>
      </c>
      <c r="H1623" s="30"/>
      <c r="I1623" s="30">
        <v>5791584</v>
      </c>
      <c r="J1623" s="30" t="s">
        <v>5442</v>
      </c>
      <c r="K1623" s="30" t="s">
        <v>5482</v>
      </c>
    </row>
    <row r="1624" spans="1:11" ht="12.5" x14ac:dyDescent="0.25">
      <c r="A1624" s="30" t="s">
        <v>5706</v>
      </c>
      <c r="B1624" s="30" t="s">
        <v>5705</v>
      </c>
      <c r="C1624" s="32">
        <v>161.47999999999999</v>
      </c>
      <c r="D1624" s="30">
        <v>1.44</v>
      </c>
      <c r="E1624" s="31">
        <v>8.9999999999999993E-3</v>
      </c>
      <c r="F1624" s="30">
        <v>6187936530</v>
      </c>
      <c r="G1624" s="30" t="s">
        <v>5427</v>
      </c>
      <c r="H1624" s="30"/>
      <c r="I1624" s="30">
        <v>633215</v>
      </c>
      <c r="J1624" s="30" t="s">
        <v>5442</v>
      </c>
      <c r="K1624" s="30" t="s">
        <v>5704</v>
      </c>
    </row>
    <row r="1625" spans="1:11" ht="12.5" x14ac:dyDescent="0.25">
      <c r="A1625" s="30" t="s">
        <v>5703</v>
      </c>
      <c r="B1625" s="30" t="s">
        <v>5702</v>
      </c>
      <c r="C1625" s="32">
        <v>3.23</v>
      </c>
      <c r="D1625" s="30">
        <v>0.08</v>
      </c>
      <c r="E1625" s="31">
        <v>2.5399999999999999E-2</v>
      </c>
      <c r="F1625" s="30">
        <v>253089731</v>
      </c>
      <c r="G1625" s="30" t="s">
        <v>5427</v>
      </c>
      <c r="H1625" s="30"/>
      <c r="I1625" s="30">
        <v>185587</v>
      </c>
      <c r="J1625" s="30" t="s">
        <v>5442</v>
      </c>
      <c r="K1625" s="30" t="s">
        <v>5701</v>
      </c>
    </row>
    <row r="1626" spans="1:11" ht="12.5" x14ac:dyDescent="0.25">
      <c r="A1626" s="30" t="s">
        <v>5700</v>
      </c>
      <c r="B1626" s="30" t="s">
        <v>5699</v>
      </c>
      <c r="C1626" s="32">
        <v>16.82</v>
      </c>
      <c r="D1626" s="30">
        <v>0.1</v>
      </c>
      <c r="E1626" s="31">
        <v>5.9800000000000001E-3</v>
      </c>
      <c r="F1626" s="30">
        <v>192009585</v>
      </c>
      <c r="G1626" s="30" t="s">
        <v>5427</v>
      </c>
      <c r="H1626" s="30"/>
      <c r="I1626" s="30">
        <v>34112</v>
      </c>
      <c r="J1626" s="30" t="s">
        <v>5435</v>
      </c>
      <c r="K1626" s="30" t="s">
        <v>5568</v>
      </c>
    </row>
    <row r="1627" spans="1:11" ht="12.5" x14ac:dyDescent="0.25">
      <c r="A1627" s="30" t="s">
        <v>5698</v>
      </c>
      <c r="B1627" s="30" t="s">
        <v>5697</v>
      </c>
      <c r="C1627" s="32">
        <v>10.39</v>
      </c>
      <c r="D1627" s="30">
        <v>0.03</v>
      </c>
      <c r="E1627" s="31">
        <v>2.8999999999999998E-3</v>
      </c>
      <c r="F1627" s="30">
        <v>497582555</v>
      </c>
      <c r="G1627" s="30" t="s">
        <v>5427</v>
      </c>
      <c r="H1627" s="30"/>
      <c r="I1627" s="30">
        <v>68892</v>
      </c>
      <c r="J1627" s="30" t="s">
        <v>5435</v>
      </c>
      <c r="K1627" s="30" t="s">
        <v>5568</v>
      </c>
    </row>
    <row r="1628" spans="1:11" ht="12.5" x14ac:dyDescent="0.25">
      <c r="A1628" s="30" t="s">
        <v>5696</v>
      </c>
      <c r="B1628" s="30" t="s">
        <v>5695</v>
      </c>
      <c r="C1628" s="32">
        <v>14.88</v>
      </c>
      <c r="D1628" s="30">
        <v>-0.46</v>
      </c>
      <c r="E1628" s="31">
        <v>-2.9989999999999999E-2</v>
      </c>
      <c r="F1628" s="30">
        <v>2428416000</v>
      </c>
      <c r="G1628" s="30" t="s">
        <v>5515</v>
      </c>
      <c r="H1628" s="30"/>
      <c r="I1628" s="30">
        <v>3264078</v>
      </c>
      <c r="J1628" s="30"/>
      <c r="K1628" s="30"/>
    </row>
    <row r="1629" spans="1:11" ht="12.5" x14ac:dyDescent="0.25">
      <c r="A1629" s="30" t="s">
        <v>5694</v>
      </c>
      <c r="B1629" s="30" t="s">
        <v>5693</v>
      </c>
      <c r="C1629" s="32">
        <v>31.64</v>
      </c>
      <c r="D1629" s="30">
        <v>0.7</v>
      </c>
      <c r="E1629" s="31">
        <v>2.2620000000000001E-2</v>
      </c>
      <c r="F1629" s="30">
        <v>12294230929</v>
      </c>
      <c r="G1629" s="30" t="s">
        <v>5427</v>
      </c>
      <c r="H1629" s="30"/>
      <c r="I1629" s="30">
        <v>5115058</v>
      </c>
      <c r="J1629" s="30" t="s">
        <v>5442</v>
      </c>
      <c r="K1629" s="30" t="s">
        <v>5692</v>
      </c>
    </row>
    <row r="1630" spans="1:11" ht="12.5" x14ac:dyDescent="0.25">
      <c r="A1630" s="30" t="s">
        <v>5691</v>
      </c>
      <c r="B1630" s="30" t="s">
        <v>5690</v>
      </c>
      <c r="C1630" s="32">
        <v>8.36</v>
      </c>
      <c r="D1630" s="30">
        <v>0.03</v>
      </c>
      <c r="E1630" s="31">
        <v>3.5999999999999999E-3</v>
      </c>
      <c r="F1630" s="30">
        <v>94577466</v>
      </c>
      <c r="G1630" s="30" t="s">
        <v>5427</v>
      </c>
      <c r="H1630" s="30">
        <v>2012</v>
      </c>
      <c r="I1630" s="30">
        <v>35185</v>
      </c>
      <c r="J1630" s="30" t="s">
        <v>5435</v>
      </c>
      <c r="K1630" s="30" t="s">
        <v>5434</v>
      </c>
    </row>
    <row r="1631" spans="1:11" ht="12.5" x14ac:dyDescent="0.25">
      <c r="A1631" s="30" t="s">
        <v>5689</v>
      </c>
      <c r="B1631" s="30" t="s">
        <v>5688</v>
      </c>
      <c r="C1631" s="32">
        <v>10.38</v>
      </c>
      <c r="D1631" s="30">
        <v>-0.05</v>
      </c>
      <c r="E1631" s="31">
        <v>-4.79E-3</v>
      </c>
      <c r="F1631" s="30">
        <v>562927828</v>
      </c>
      <c r="G1631" s="30" t="s">
        <v>5427</v>
      </c>
      <c r="H1631" s="30"/>
      <c r="I1631" s="30">
        <v>275886</v>
      </c>
      <c r="J1631" s="30" t="s">
        <v>5435</v>
      </c>
      <c r="K1631" s="30" t="s">
        <v>5568</v>
      </c>
    </row>
    <row r="1632" spans="1:11" ht="12.5" x14ac:dyDescent="0.25">
      <c r="A1632" s="30" t="s">
        <v>5687</v>
      </c>
      <c r="B1632" s="30" t="s">
        <v>5686</v>
      </c>
      <c r="C1632" s="32">
        <v>13.1</v>
      </c>
      <c r="D1632" s="30">
        <v>0.15</v>
      </c>
      <c r="E1632" s="31">
        <v>1.158E-2</v>
      </c>
      <c r="F1632" s="30">
        <v>2027826316</v>
      </c>
      <c r="G1632" s="30" t="s">
        <v>5427</v>
      </c>
      <c r="H1632" s="30"/>
      <c r="I1632" s="30">
        <v>850964</v>
      </c>
      <c r="J1632" s="30" t="s">
        <v>5431</v>
      </c>
      <c r="K1632" s="30" t="s">
        <v>5685</v>
      </c>
    </row>
    <row r="1633" spans="1:11" ht="12.5" x14ac:dyDescent="0.25">
      <c r="A1633" s="30" t="s">
        <v>5684</v>
      </c>
      <c r="B1633" s="30" t="s">
        <v>5683</v>
      </c>
      <c r="C1633" s="32">
        <v>1.48</v>
      </c>
      <c r="D1633" s="30">
        <v>-0.03</v>
      </c>
      <c r="E1633" s="31">
        <v>-1.9869999999999999E-2</v>
      </c>
      <c r="F1633" s="30">
        <v>105708482</v>
      </c>
      <c r="G1633" s="30" t="s">
        <v>5427</v>
      </c>
      <c r="H1633" s="30"/>
      <c r="I1633" s="30">
        <v>21759</v>
      </c>
      <c r="J1633" s="30" t="s">
        <v>5682</v>
      </c>
      <c r="K1633" s="30" t="s">
        <v>5679</v>
      </c>
    </row>
    <row r="1634" spans="1:11" ht="12.5" x14ac:dyDescent="0.25">
      <c r="A1634" s="30" t="s">
        <v>5681</v>
      </c>
      <c r="B1634" s="30" t="s">
        <v>5680</v>
      </c>
      <c r="C1634" s="32">
        <v>26</v>
      </c>
      <c r="D1634" s="30">
        <v>0.17</v>
      </c>
      <c r="E1634" s="31">
        <v>6.5799999999999999E-3</v>
      </c>
      <c r="F1634" s="30">
        <v>735266818</v>
      </c>
      <c r="G1634" s="30" t="s">
        <v>5427</v>
      </c>
      <c r="H1634" s="30"/>
      <c r="I1634" s="30">
        <v>16931</v>
      </c>
      <c r="J1634" s="30" t="s">
        <v>5457</v>
      </c>
      <c r="K1634" s="30" t="s">
        <v>5679</v>
      </c>
    </row>
    <row r="1635" spans="1:11" ht="12.5" x14ac:dyDescent="0.25">
      <c r="A1635" s="30" t="s">
        <v>5678</v>
      </c>
      <c r="B1635" s="30" t="s">
        <v>5677</v>
      </c>
      <c r="C1635" s="32">
        <v>10.14</v>
      </c>
      <c r="D1635" s="30">
        <v>-0.02</v>
      </c>
      <c r="E1635" s="31">
        <v>-1.97E-3</v>
      </c>
      <c r="F1635" s="30">
        <v>561102122</v>
      </c>
      <c r="G1635" s="30" t="s">
        <v>5427</v>
      </c>
      <c r="H1635" s="30"/>
      <c r="I1635" s="30">
        <v>157543</v>
      </c>
      <c r="J1635" s="30" t="s">
        <v>5435</v>
      </c>
      <c r="K1635" s="30" t="s">
        <v>5568</v>
      </c>
    </row>
    <row r="1636" spans="1:11" ht="12.5" x14ac:dyDescent="0.25">
      <c r="A1636" s="30" t="s">
        <v>5676</v>
      </c>
      <c r="B1636" s="30" t="s">
        <v>5675</v>
      </c>
      <c r="C1636" s="32">
        <v>136.22999999999999</v>
      </c>
      <c r="D1636" s="30">
        <v>-3.8</v>
      </c>
      <c r="E1636" s="31">
        <v>-2.7140000000000001E-2</v>
      </c>
      <c r="F1636" s="30">
        <v>52519836162</v>
      </c>
      <c r="G1636" s="30" t="s">
        <v>5427</v>
      </c>
      <c r="H1636" s="30"/>
      <c r="I1636" s="30">
        <v>4156789</v>
      </c>
      <c r="J1636" s="30" t="s">
        <v>5464</v>
      </c>
      <c r="K1636" s="30" t="s">
        <v>5674</v>
      </c>
    </row>
    <row r="1637" spans="1:11" ht="12.5" x14ac:dyDescent="0.25">
      <c r="A1637" s="30" t="s">
        <v>5673</v>
      </c>
      <c r="B1637" s="30" t="s">
        <v>5672</v>
      </c>
      <c r="C1637" s="32">
        <v>11.06</v>
      </c>
      <c r="D1637" s="30">
        <v>0.05</v>
      </c>
      <c r="E1637" s="31">
        <v>4.5399999999999998E-3</v>
      </c>
      <c r="F1637" s="30">
        <v>71868289</v>
      </c>
      <c r="G1637" s="30" t="s">
        <v>5427</v>
      </c>
      <c r="H1637" s="30">
        <v>1989</v>
      </c>
      <c r="I1637" s="30">
        <v>56182</v>
      </c>
      <c r="J1637" s="30" t="s">
        <v>5435</v>
      </c>
      <c r="K1637" s="30" t="s">
        <v>5568</v>
      </c>
    </row>
    <row r="1638" spans="1:11" ht="12.5" x14ac:dyDescent="0.25">
      <c r="A1638" s="30" t="s">
        <v>5671</v>
      </c>
      <c r="B1638" s="30" t="s">
        <v>5670</v>
      </c>
      <c r="C1638" s="32">
        <v>0.8569</v>
      </c>
      <c r="D1638" s="30">
        <v>-1.2999999999999999E-3</v>
      </c>
      <c r="E1638" s="31">
        <v>-1.5100000000000001E-3</v>
      </c>
      <c r="F1638" s="30">
        <v>149792029</v>
      </c>
      <c r="G1638" s="30" t="s">
        <v>5427</v>
      </c>
      <c r="H1638" s="30">
        <v>2020</v>
      </c>
      <c r="I1638" s="30">
        <v>1810531</v>
      </c>
      <c r="J1638" s="30" t="s">
        <v>5442</v>
      </c>
      <c r="K1638" s="30" t="s">
        <v>5618</v>
      </c>
    </row>
    <row r="1639" spans="1:11" ht="12.5" x14ac:dyDescent="0.25">
      <c r="A1639" s="30" t="s">
        <v>5669</v>
      </c>
      <c r="B1639" s="30" t="s">
        <v>5668</v>
      </c>
      <c r="C1639" s="32">
        <v>183.89</v>
      </c>
      <c r="D1639" s="30">
        <v>0.56000000000000005</v>
      </c>
      <c r="E1639" s="31">
        <v>3.0500000000000002E-3</v>
      </c>
      <c r="F1639" s="30">
        <v>24440243589</v>
      </c>
      <c r="G1639" s="30" t="s">
        <v>5427</v>
      </c>
      <c r="H1639" s="30"/>
      <c r="I1639" s="30">
        <v>560920</v>
      </c>
      <c r="J1639" s="30"/>
      <c r="K1639" s="30"/>
    </row>
    <row r="1640" spans="1:11" ht="12.5" x14ac:dyDescent="0.25">
      <c r="A1640" s="30" t="s">
        <v>5667</v>
      </c>
      <c r="B1640" s="30" t="s">
        <v>5666</v>
      </c>
      <c r="C1640" s="32">
        <v>330.99</v>
      </c>
      <c r="D1640" s="30">
        <v>1.26</v>
      </c>
      <c r="E1640" s="31">
        <v>3.82E-3</v>
      </c>
      <c r="F1640" s="30">
        <v>7061028867</v>
      </c>
      <c r="G1640" s="30" t="s">
        <v>5427</v>
      </c>
      <c r="H1640" s="30"/>
      <c r="I1640" s="30">
        <v>112196</v>
      </c>
      <c r="J1640" s="30" t="s">
        <v>5457</v>
      </c>
      <c r="K1640" s="30" t="s">
        <v>5460</v>
      </c>
    </row>
    <row r="1641" spans="1:11" ht="12.5" x14ac:dyDescent="0.25">
      <c r="A1641" s="30" t="s">
        <v>5665</v>
      </c>
      <c r="B1641" s="30" t="s">
        <v>5664</v>
      </c>
      <c r="C1641" s="32">
        <v>10.07</v>
      </c>
      <c r="D1641" s="30">
        <v>0.02</v>
      </c>
      <c r="E1641" s="31">
        <v>1.99E-3</v>
      </c>
      <c r="F1641" s="30">
        <v>679127698</v>
      </c>
      <c r="G1641" s="30" t="s">
        <v>5427</v>
      </c>
      <c r="H1641" s="30"/>
      <c r="I1641" s="30">
        <v>144977</v>
      </c>
      <c r="J1641" s="30" t="s">
        <v>5435</v>
      </c>
      <c r="K1641" s="30" t="s">
        <v>5568</v>
      </c>
    </row>
    <row r="1642" spans="1:11" ht="12.5" x14ac:dyDescent="0.25">
      <c r="A1642" s="30" t="s">
        <v>5663</v>
      </c>
      <c r="B1642" s="30" t="s">
        <v>5662</v>
      </c>
      <c r="C1642" s="32">
        <v>123.34</v>
      </c>
      <c r="D1642" s="30">
        <v>0.87</v>
      </c>
      <c r="E1642" s="31">
        <v>7.1000000000000004E-3</v>
      </c>
      <c r="F1642" s="30">
        <v>52472107470</v>
      </c>
      <c r="G1642" s="30" t="s">
        <v>5427</v>
      </c>
      <c r="H1642" s="30">
        <v>2007</v>
      </c>
      <c r="I1642" s="30">
        <v>1426363</v>
      </c>
      <c r="J1642" s="30" t="s">
        <v>5219</v>
      </c>
      <c r="K1642" s="30" t="s">
        <v>5560</v>
      </c>
    </row>
    <row r="1643" spans="1:11" ht="12.5" x14ac:dyDescent="0.25">
      <c r="A1643" s="30" t="s">
        <v>5661</v>
      </c>
      <c r="B1643" s="30" t="s">
        <v>5660</v>
      </c>
      <c r="C1643" s="32">
        <v>24.53</v>
      </c>
      <c r="D1643" s="30">
        <v>0.14000000000000001</v>
      </c>
      <c r="E1643" s="31">
        <v>5.7400000000000003E-3</v>
      </c>
      <c r="F1643" s="30">
        <v>4705263259</v>
      </c>
      <c r="G1643" s="30" t="s">
        <v>5427</v>
      </c>
      <c r="H1643" s="30"/>
      <c r="I1643" s="30">
        <v>2242392</v>
      </c>
      <c r="J1643" s="30" t="s">
        <v>5197</v>
      </c>
      <c r="K1643" s="30" t="s">
        <v>5467</v>
      </c>
    </row>
    <row r="1644" spans="1:11" ht="12.5" x14ac:dyDescent="0.25">
      <c r="A1644" s="30" t="s">
        <v>5659</v>
      </c>
      <c r="B1644" s="30" t="s">
        <v>5658</v>
      </c>
      <c r="C1644" s="32">
        <v>8.8800000000000008</v>
      </c>
      <c r="D1644" s="30">
        <v>-0.85</v>
      </c>
      <c r="E1644" s="31">
        <v>-8.7359999999999993E-2</v>
      </c>
      <c r="F1644" s="30">
        <v>150960000</v>
      </c>
      <c r="G1644" s="30" t="s">
        <v>5427</v>
      </c>
      <c r="H1644" s="30">
        <v>2011</v>
      </c>
      <c r="I1644" s="30">
        <v>536031</v>
      </c>
      <c r="J1644" s="30" t="s">
        <v>5464</v>
      </c>
      <c r="K1644" s="30" t="s">
        <v>5463</v>
      </c>
    </row>
    <row r="1645" spans="1:11" ht="12.5" x14ac:dyDescent="0.25">
      <c r="A1645" s="30" t="s">
        <v>5657</v>
      </c>
      <c r="B1645" s="30" t="s">
        <v>5656</v>
      </c>
      <c r="C1645" s="32">
        <v>70.16</v>
      </c>
      <c r="D1645" s="30">
        <v>0.39</v>
      </c>
      <c r="E1645" s="31">
        <v>5.5900000000000004E-3</v>
      </c>
      <c r="F1645" s="30">
        <v>6817648208</v>
      </c>
      <c r="G1645" s="30" t="s">
        <v>5427</v>
      </c>
      <c r="H1645" s="30">
        <v>2013</v>
      </c>
      <c r="I1645" s="30">
        <v>1365893</v>
      </c>
      <c r="J1645" s="30" t="s">
        <v>5435</v>
      </c>
      <c r="K1645" s="30" t="s">
        <v>5434</v>
      </c>
    </row>
    <row r="1646" spans="1:11" ht="12.5" x14ac:dyDescent="0.25">
      <c r="A1646" s="30" t="s">
        <v>5655</v>
      </c>
      <c r="B1646" s="30" t="s">
        <v>5654</v>
      </c>
      <c r="C1646" s="32">
        <v>43.53</v>
      </c>
      <c r="D1646" s="30">
        <v>0.35</v>
      </c>
      <c r="E1646" s="31">
        <v>8.1099999999999992E-3</v>
      </c>
      <c r="F1646" s="30">
        <v>590861507</v>
      </c>
      <c r="G1646" s="30" t="s">
        <v>5427</v>
      </c>
      <c r="H1646" s="30"/>
      <c r="I1646" s="30">
        <v>161064</v>
      </c>
      <c r="J1646" s="30" t="s">
        <v>5457</v>
      </c>
      <c r="K1646" s="30" t="s">
        <v>5644</v>
      </c>
    </row>
    <row r="1647" spans="1:11" ht="12.5" x14ac:dyDescent="0.25">
      <c r="A1647" s="30" t="s">
        <v>5653</v>
      </c>
      <c r="B1647" s="30" t="s">
        <v>5652</v>
      </c>
      <c r="C1647" s="32">
        <v>10.51</v>
      </c>
      <c r="D1647" s="30">
        <v>-0.05</v>
      </c>
      <c r="E1647" s="31">
        <v>-4.7299999999999998E-3</v>
      </c>
      <c r="F1647" s="30">
        <v>250448507</v>
      </c>
      <c r="G1647" s="30" t="s">
        <v>5427</v>
      </c>
      <c r="H1647" s="30"/>
      <c r="I1647" s="30">
        <v>20355</v>
      </c>
      <c r="J1647" s="30" t="s">
        <v>5435</v>
      </c>
      <c r="K1647" s="30" t="s">
        <v>5568</v>
      </c>
    </row>
    <row r="1648" spans="1:11" ht="12.5" x14ac:dyDescent="0.25">
      <c r="A1648" s="30" t="s">
        <v>5651</v>
      </c>
      <c r="B1648" s="30" t="s">
        <v>5650</v>
      </c>
      <c r="C1648" s="32">
        <v>17.260000000000002</v>
      </c>
      <c r="D1648" s="30">
        <v>-0.04</v>
      </c>
      <c r="E1648" s="31">
        <v>-2.31E-3</v>
      </c>
      <c r="F1648" s="30">
        <v>1572101952</v>
      </c>
      <c r="G1648" s="30" t="s">
        <v>5427</v>
      </c>
      <c r="H1648" s="30"/>
      <c r="I1648" s="30">
        <v>854013</v>
      </c>
      <c r="J1648" s="30" t="s">
        <v>5197</v>
      </c>
      <c r="K1648" s="30" t="s">
        <v>5467</v>
      </c>
    </row>
    <row r="1649" spans="1:11" ht="12.5" x14ac:dyDescent="0.25">
      <c r="A1649" s="30" t="s">
        <v>5649</v>
      </c>
      <c r="B1649" s="30" t="s">
        <v>5648</v>
      </c>
      <c r="C1649" s="32">
        <v>14.7</v>
      </c>
      <c r="D1649" s="30">
        <v>0.48</v>
      </c>
      <c r="E1649" s="31">
        <v>3.3759999999999998E-2</v>
      </c>
      <c r="F1649" s="30">
        <v>5546244526</v>
      </c>
      <c r="G1649" s="30" t="s">
        <v>5427</v>
      </c>
      <c r="H1649" s="30">
        <v>2018</v>
      </c>
      <c r="I1649" s="30">
        <v>2065655</v>
      </c>
      <c r="J1649" s="30" t="s">
        <v>5442</v>
      </c>
      <c r="K1649" s="30" t="s">
        <v>5647</v>
      </c>
    </row>
    <row r="1650" spans="1:11" ht="12.5" x14ac:dyDescent="0.25">
      <c r="A1650" s="30" t="s">
        <v>5646</v>
      </c>
      <c r="B1650" s="30" t="s">
        <v>5645</v>
      </c>
      <c r="C1650" s="32">
        <v>23.47</v>
      </c>
      <c r="D1650" s="30">
        <v>0.57999999999999996</v>
      </c>
      <c r="E1650" s="31">
        <v>2.5340000000000001E-2</v>
      </c>
      <c r="F1650" s="30">
        <v>3324874992</v>
      </c>
      <c r="G1650" s="30" t="s">
        <v>5427</v>
      </c>
      <c r="H1650" s="30"/>
      <c r="I1650" s="30">
        <v>823322</v>
      </c>
      <c r="J1650" s="30" t="s">
        <v>5219</v>
      </c>
      <c r="K1650" s="30" t="s">
        <v>5644</v>
      </c>
    </row>
    <row r="1651" spans="1:11" ht="12.5" x14ac:dyDescent="0.25">
      <c r="A1651" s="30" t="s">
        <v>5643</v>
      </c>
      <c r="B1651" s="30" t="s">
        <v>5642</v>
      </c>
      <c r="C1651" s="32">
        <v>29.87</v>
      </c>
      <c r="D1651" s="30">
        <v>0.52</v>
      </c>
      <c r="E1651" s="31">
        <v>1.772E-2</v>
      </c>
      <c r="F1651" s="30">
        <v>1689838796</v>
      </c>
      <c r="G1651" s="30" t="s">
        <v>5427</v>
      </c>
      <c r="H1651" s="30">
        <v>2015</v>
      </c>
      <c r="I1651" s="30">
        <v>1323588</v>
      </c>
      <c r="J1651" s="30" t="s">
        <v>5442</v>
      </c>
      <c r="K1651" s="30" t="s">
        <v>5641</v>
      </c>
    </row>
    <row r="1652" spans="1:11" ht="12.5" x14ac:dyDescent="0.25">
      <c r="A1652" s="30" t="s">
        <v>5640</v>
      </c>
      <c r="B1652" s="30" t="s">
        <v>5639</v>
      </c>
      <c r="C1652" s="32">
        <v>54.47</v>
      </c>
      <c r="D1652" s="30">
        <v>-1.81</v>
      </c>
      <c r="E1652" s="31">
        <v>-3.2160000000000001E-2</v>
      </c>
      <c r="F1652" s="30">
        <v>915833524</v>
      </c>
      <c r="G1652" s="30" t="s">
        <v>5427</v>
      </c>
      <c r="H1652" s="30">
        <v>2011</v>
      </c>
      <c r="I1652" s="30">
        <v>715739</v>
      </c>
      <c r="J1652" s="30" t="s">
        <v>5464</v>
      </c>
      <c r="K1652" s="30" t="s">
        <v>5463</v>
      </c>
    </row>
    <row r="1653" spans="1:11" ht="12.5" x14ac:dyDescent="0.25">
      <c r="A1653" s="30" t="s">
        <v>5638</v>
      </c>
      <c r="B1653" s="30" t="s">
        <v>5637</v>
      </c>
      <c r="C1653" s="32">
        <v>10.85</v>
      </c>
      <c r="D1653" s="30">
        <v>0.08</v>
      </c>
      <c r="E1653" s="31">
        <v>7.43E-3</v>
      </c>
      <c r="F1653" s="30">
        <v>211422872</v>
      </c>
      <c r="G1653" s="30" t="s">
        <v>5427</v>
      </c>
      <c r="H1653" s="30"/>
      <c r="I1653" s="30">
        <v>31982</v>
      </c>
      <c r="J1653" s="30" t="s">
        <v>5435</v>
      </c>
      <c r="K1653" s="30" t="s">
        <v>5563</v>
      </c>
    </row>
    <row r="1654" spans="1:11" ht="12.5" x14ac:dyDescent="0.25">
      <c r="A1654" s="30" t="s">
        <v>5636</v>
      </c>
      <c r="B1654" s="30" t="s">
        <v>5635</v>
      </c>
      <c r="C1654" s="32">
        <v>29.94</v>
      </c>
      <c r="D1654" s="30">
        <v>-0.6</v>
      </c>
      <c r="E1654" s="31">
        <v>-1.9650000000000001E-2</v>
      </c>
      <c r="F1654" s="30">
        <v>838810657</v>
      </c>
      <c r="G1654" s="30" t="s">
        <v>5427</v>
      </c>
      <c r="H1654" s="30"/>
      <c r="I1654" s="30">
        <v>99037</v>
      </c>
      <c r="J1654" s="30" t="s">
        <v>5457</v>
      </c>
      <c r="K1654" s="30" t="s">
        <v>5634</v>
      </c>
    </row>
    <row r="1655" spans="1:11" ht="12.5" x14ac:dyDescent="0.25">
      <c r="A1655" s="30" t="s">
        <v>5633</v>
      </c>
      <c r="B1655" s="30" t="s">
        <v>5632</v>
      </c>
      <c r="C1655" s="32">
        <v>51.66</v>
      </c>
      <c r="D1655" s="30">
        <v>-0.15</v>
      </c>
      <c r="E1655" s="31">
        <v>-2.8999999999999998E-3</v>
      </c>
      <c r="F1655" s="30">
        <v>20649431105</v>
      </c>
      <c r="G1655" s="30" t="s">
        <v>5427</v>
      </c>
      <c r="H1655" s="30"/>
      <c r="I1655" s="30">
        <v>1590321</v>
      </c>
      <c r="J1655" s="30" t="s">
        <v>5197</v>
      </c>
      <c r="K1655" s="30" t="s">
        <v>5467</v>
      </c>
    </row>
    <row r="1656" spans="1:11" ht="12.5" x14ac:dyDescent="0.25">
      <c r="A1656" s="30" t="s">
        <v>5631</v>
      </c>
      <c r="B1656" s="30" t="s">
        <v>5630</v>
      </c>
      <c r="C1656" s="32">
        <v>29.5</v>
      </c>
      <c r="D1656" s="30">
        <v>-0.05</v>
      </c>
      <c r="E1656" s="31">
        <v>-1.6900000000000001E-3</v>
      </c>
      <c r="F1656" s="30">
        <v>609770782</v>
      </c>
      <c r="G1656" s="30" t="s">
        <v>5427</v>
      </c>
      <c r="H1656" s="30"/>
      <c r="I1656" s="30">
        <v>262336</v>
      </c>
      <c r="J1656" s="30" t="s">
        <v>5442</v>
      </c>
      <c r="K1656" s="30" t="s">
        <v>5482</v>
      </c>
    </row>
    <row r="1657" spans="1:11" ht="12.5" x14ac:dyDescent="0.25">
      <c r="A1657" s="30" t="s">
        <v>5629</v>
      </c>
      <c r="B1657" s="30" t="s">
        <v>5628</v>
      </c>
      <c r="C1657" s="32">
        <v>3.98</v>
      </c>
      <c r="D1657" s="30">
        <v>0</v>
      </c>
      <c r="E1657" s="31">
        <v>0</v>
      </c>
      <c r="F1657" s="30">
        <v>609062329</v>
      </c>
      <c r="G1657" s="30" t="s">
        <v>5427</v>
      </c>
      <c r="H1657" s="30">
        <v>1998</v>
      </c>
      <c r="I1657" s="30">
        <v>1589451</v>
      </c>
      <c r="J1657" s="30" t="s">
        <v>5435</v>
      </c>
      <c r="K1657" s="30" t="s">
        <v>5568</v>
      </c>
    </row>
    <row r="1658" spans="1:11" ht="12.5" x14ac:dyDescent="0.25">
      <c r="A1658" s="30" t="s">
        <v>5627</v>
      </c>
      <c r="B1658" s="30" t="s">
        <v>5626</v>
      </c>
      <c r="C1658" s="32">
        <v>36.630000000000003</v>
      </c>
      <c r="D1658" s="30">
        <v>-0.03</v>
      </c>
      <c r="E1658" s="31">
        <v>-8.1999999999999998E-4</v>
      </c>
      <c r="F1658" s="30">
        <v>6389336138</v>
      </c>
      <c r="G1658" s="30" t="s">
        <v>5427</v>
      </c>
      <c r="H1658" s="30">
        <v>2016</v>
      </c>
      <c r="I1658" s="30">
        <v>839148</v>
      </c>
      <c r="J1658" s="30" t="s">
        <v>5457</v>
      </c>
      <c r="K1658" s="30" t="s">
        <v>5625</v>
      </c>
    </row>
    <row r="1659" spans="1:11" ht="12.5" x14ac:dyDescent="0.25">
      <c r="A1659" s="30" t="s">
        <v>5624</v>
      </c>
      <c r="B1659" s="30" t="s">
        <v>5623</v>
      </c>
      <c r="C1659" s="32">
        <v>44.99</v>
      </c>
      <c r="D1659" s="30">
        <v>0.83</v>
      </c>
      <c r="E1659" s="31">
        <v>1.8800000000000001E-2</v>
      </c>
      <c r="F1659" s="30">
        <v>1370667050</v>
      </c>
      <c r="G1659" s="30" t="s">
        <v>5427</v>
      </c>
      <c r="H1659" s="30">
        <v>2014</v>
      </c>
      <c r="I1659" s="30">
        <v>71202</v>
      </c>
      <c r="J1659" s="30"/>
      <c r="K1659" s="30"/>
    </row>
    <row r="1660" spans="1:11" ht="12.5" x14ac:dyDescent="0.25">
      <c r="A1660" s="30" t="s">
        <v>5622</v>
      </c>
      <c r="B1660" s="30" t="s">
        <v>5621</v>
      </c>
      <c r="C1660" s="32">
        <v>9.11</v>
      </c>
      <c r="D1660" s="30">
        <v>0.35</v>
      </c>
      <c r="E1660" s="31">
        <v>3.9949999999999999E-2</v>
      </c>
      <c r="F1660" s="30">
        <v>1771443572</v>
      </c>
      <c r="G1660" s="30" t="s">
        <v>5427</v>
      </c>
      <c r="H1660" s="30">
        <v>2021</v>
      </c>
      <c r="I1660" s="30">
        <v>429205</v>
      </c>
      <c r="J1660" s="30" t="s">
        <v>5541</v>
      </c>
      <c r="K1660" s="30" t="s">
        <v>5571</v>
      </c>
    </row>
    <row r="1661" spans="1:11" ht="12.5" x14ac:dyDescent="0.25">
      <c r="A1661" s="30" t="s">
        <v>5620</v>
      </c>
      <c r="B1661" s="30" t="s">
        <v>5619</v>
      </c>
      <c r="C1661" s="32">
        <v>66.510000000000005</v>
      </c>
      <c r="D1661" s="30">
        <v>6.01</v>
      </c>
      <c r="E1661" s="31">
        <v>9.9339999999999998E-2</v>
      </c>
      <c r="F1661" s="30">
        <v>7124682424</v>
      </c>
      <c r="G1661" s="30" t="s">
        <v>5427</v>
      </c>
      <c r="H1661" s="30">
        <v>2014</v>
      </c>
      <c r="I1661" s="30">
        <v>7204018</v>
      </c>
      <c r="J1661" s="30" t="s">
        <v>5442</v>
      </c>
      <c r="K1661" s="30" t="s">
        <v>5618</v>
      </c>
    </row>
    <row r="1662" spans="1:11" ht="12.5" x14ac:dyDescent="0.25">
      <c r="A1662" s="30" t="s">
        <v>5617</v>
      </c>
      <c r="B1662" s="30" t="s">
        <v>5616</v>
      </c>
      <c r="C1662" s="32">
        <v>104.48</v>
      </c>
      <c r="D1662" s="30">
        <v>0.67</v>
      </c>
      <c r="E1662" s="31">
        <v>6.45E-3</v>
      </c>
      <c r="F1662" s="30">
        <v>19001554431</v>
      </c>
      <c r="G1662" s="30" t="s">
        <v>5427</v>
      </c>
      <c r="H1662" s="30"/>
      <c r="I1662" s="30">
        <v>1684475</v>
      </c>
      <c r="J1662" s="30" t="s">
        <v>5457</v>
      </c>
      <c r="K1662" s="30" t="s">
        <v>5615</v>
      </c>
    </row>
    <row r="1663" spans="1:11" ht="12.5" x14ac:dyDescent="0.25">
      <c r="A1663" s="30" t="s">
        <v>5614</v>
      </c>
      <c r="B1663" s="30" t="s">
        <v>5613</v>
      </c>
      <c r="C1663" s="32">
        <v>76.790000000000006</v>
      </c>
      <c r="D1663" s="30">
        <v>1.42</v>
      </c>
      <c r="E1663" s="31">
        <v>1.8839999999999999E-2</v>
      </c>
      <c r="F1663" s="30">
        <v>8362431000</v>
      </c>
      <c r="G1663" s="30" t="s">
        <v>5427</v>
      </c>
      <c r="H1663" s="30">
        <v>2005</v>
      </c>
      <c r="I1663" s="30">
        <v>1334564</v>
      </c>
      <c r="J1663" s="30" t="s">
        <v>5435</v>
      </c>
      <c r="K1663" s="30" t="s">
        <v>5579</v>
      </c>
    </row>
    <row r="1664" spans="1:11" ht="12.5" x14ac:dyDescent="0.25">
      <c r="A1664" s="30" t="s">
        <v>5612</v>
      </c>
      <c r="B1664" s="30" t="s">
        <v>5611</v>
      </c>
      <c r="C1664" s="32">
        <v>338.03</v>
      </c>
      <c r="D1664" s="30">
        <v>9.4499999999999993</v>
      </c>
      <c r="E1664" s="31">
        <v>2.8760000000000001E-2</v>
      </c>
      <c r="F1664" s="30">
        <v>20081542577</v>
      </c>
      <c r="G1664" s="30" t="s">
        <v>5427</v>
      </c>
      <c r="H1664" s="30">
        <v>1995</v>
      </c>
      <c r="I1664" s="30">
        <v>307469</v>
      </c>
      <c r="J1664" s="30" t="s">
        <v>5431</v>
      </c>
      <c r="K1664" s="30" t="s">
        <v>5610</v>
      </c>
    </row>
    <row r="1665" spans="1:11" ht="12.5" x14ac:dyDescent="0.25">
      <c r="A1665" s="30" t="s">
        <v>5609</v>
      </c>
      <c r="B1665" s="30" t="s">
        <v>5608</v>
      </c>
      <c r="C1665" s="32">
        <v>53.79</v>
      </c>
      <c r="D1665" s="30">
        <v>1.1399999999999999</v>
      </c>
      <c r="E1665" s="31">
        <v>2.1649999999999999E-2</v>
      </c>
      <c r="F1665" s="30">
        <v>9359890320</v>
      </c>
      <c r="G1665" s="30" t="s">
        <v>5427</v>
      </c>
      <c r="H1665" s="30"/>
      <c r="I1665" s="30">
        <v>1336272</v>
      </c>
      <c r="J1665" s="30" t="s">
        <v>5435</v>
      </c>
      <c r="K1665" s="30" t="s">
        <v>5579</v>
      </c>
    </row>
    <row r="1666" spans="1:11" ht="12.5" x14ac:dyDescent="0.25">
      <c r="A1666" s="30" t="s">
        <v>5607</v>
      </c>
      <c r="B1666" s="30" t="s">
        <v>5606</v>
      </c>
      <c r="C1666" s="32">
        <v>5.54</v>
      </c>
      <c r="D1666" s="30">
        <v>-0.05</v>
      </c>
      <c r="E1666" s="31">
        <v>-8.94E-3</v>
      </c>
      <c r="F1666" s="30">
        <v>902557792</v>
      </c>
      <c r="G1666" s="30" t="s">
        <v>5605</v>
      </c>
      <c r="H1666" s="30"/>
      <c r="I1666" s="30">
        <v>616355</v>
      </c>
      <c r="J1666" s="30" t="s">
        <v>5442</v>
      </c>
      <c r="K1666" s="30" t="s">
        <v>5438</v>
      </c>
    </row>
    <row r="1667" spans="1:11" ht="12.5" x14ac:dyDescent="0.25">
      <c r="A1667" s="30" t="s">
        <v>5604</v>
      </c>
      <c r="B1667" s="30" t="s">
        <v>5603</v>
      </c>
      <c r="C1667" s="32">
        <v>151.66</v>
      </c>
      <c r="D1667" s="30">
        <v>2.65</v>
      </c>
      <c r="E1667" s="31">
        <v>1.7780000000000001E-2</v>
      </c>
      <c r="F1667" s="30">
        <v>7710950689</v>
      </c>
      <c r="G1667" s="30" t="s">
        <v>5427</v>
      </c>
      <c r="H1667" s="30">
        <v>1999</v>
      </c>
      <c r="I1667" s="30">
        <v>353199</v>
      </c>
      <c r="J1667" s="30" t="s">
        <v>5442</v>
      </c>
      <c r="K1667" s="30" t="s">
        <v>5520</v>
      </c>
    </row>
    <row r="1668" spans="1:11" ht="12.5" x14ac:dyDescent="0.25">
      <c r="A1668" s="30" t="s">
        <v>5602</v>
      </c>
      <c r="B1668" s="30" t="s">
        <v>5601</v>
      </c>
      <c r="C1668" s="32">
        <v>133.02000000000001</v>
      </c>
      <c r="D1668" s="30">
        <v>0.12</v>
      </c>
      <c r="E1668" s="31">
        <v>8.9999999999999998E-4</v>
      </c>
      <c r="F1668" s="30">
        <v>34212923311</v>
      </c>
      <c r="G1668" s="30" t="s">
        <v>5515</v>
      </c>
      <c r="H1668" s="30"/>
      <c r="I1668" s="30">
        <v>1262428</v>
      </c>
      <c r="J1668" s="30" t="s">
        <v>5426</v>
      </c>
      <c r="K1668" s="30" t="s">
        <v>5593</v>
      </c>
    </row>
    <row r="1669" spans="1:11" ht="12.5" x14ac:dyDescent="0.25">
      <c r="A1669" s="30" t="s">
        <v>5600</v>
      </c>
      <c r="B1669" s="30" t="s">
        <v>5599</v>
      </c>
      <c r="C1669" s="32">
        <v>95.14</v>
      </c>
      <c r="D1669" s="30">
        <v>-0.24</v>
      </c>
      <c r="E1669" s="31">
        <v>-2.5200000000000001E-3</v>
      </c>
      <c r="F1669" s="30">
        <v>3140769481</v>
      </c>
      <c r="G1669" s="30" t="s">
        <v>5427</v>
      </c>
      <c r="H1669" s="30">
        <v>2010</v>
      </c>
      <c r="I1669" s="30">
        <v>156818</v>
      </c>
      <c r="J1669" s="30" t="s">
        <v>5435</v>
      </c>
      <c r="K1669" s="30" t="s">
        <v>5598</v>
      </c>
    </row>
    <row r="1670" spans="1:11" ht="12.5" x14ac:dyDescent="0.25">
      <c r="A1670" s="30" t="s">
        <v>5597</v>
      </c>
      <c r="B1670" s="30" t="s">
        <v>5596</v>
      </c>
      <c r="C1670" s="32">
        <v>11.22</v>
      </c>
      <c r="D1670" s="30">
        <v>0.06</v>
      </c>
      <c r="E1670" s="31">
        <v>5.3800000000000002E-3</v>
      </c>
      <c r="F1670" s="30">
        <v>133132032</v>
      </c>
      <c r="G1670" s="30" t="s">
        <v>5427</v>
      </c>
      <c r="H1670" s="30">
        <v>2002</v>
      </c>
      <c r="I1670" s="30">
        <v>72021</v>
      </c>
      <c r="J1670" s="30" t="s">
        <v>5435</v>
      </c>
      <c r="K1670" s="30" t="s">
        <v>5568</v>
      </c>
    </row>
    <row r="1671" spans="1:11" ht="12.5" x14ac:dyDescent="0.25">
      <c r="A1671" s="30" t="s">
        <v>5595</v>
      </c>
      <c r="B1671" s="30" t="s">
        <v>5594</v>
      </c>
      <c r="C1671" s="32">
        <v>94.9</v>
      </c>
      <c r="D1671" s="30">
        <v>0.91</v>
      </c>
      <c r="E1671" s="31">
        <v>9.6799999999999994E-3</v>
      </c>
      <c r="F1671" s="30">
        <v>29934736992</v>
      </c>
      <c r="G1671" s="30" t="s">
        <v>5427</v>
      </c>
      <c r="H1671" s="30"/>
      <c r="I1671" s="30">
        <v>1581018</v>
      </c>
      <c r="J1671" s="30" t="s">
        <v>5426</v>
      </c>
      <c r="K1671" s="30" t="s">
        <v>5593</v>
      </c>
    </row>
    <row r="1672" spans="1:11" ht="12.5" x14ac:dyDescent="0.25">
      <c r="A1672" s="30" t="s">
        <v>5592</v>
      </c>
      <c r="B1672" s="30" t="s">
        <v>5591</v>
      </c>
      <c r="C1672" s="32">
        <v>74.88</v>
      </c>
      <c r="D1672" s="30">
        <v>-0.16</v>
      </c>
      <c r="E1672" s="31">
        <v>-2.1299999999999999E-3</v>
      </c>
      <c r="F1672" s="30">
        <v>35382405876</v>
      </c>
      <c r="G1672" s="30" t="s">
        <v>5427</v>
      </c>
      <c r="H1672" s="30"/>
      <c r="I1672" s="30">
        <v>2266448</v>
      </c>
      <c r="J1672" s="30" t="s">
        <v>5197</v>
      </c>
      <c r="K1672" s="30" t="s">
        <v>5467</v>
      </c>
    </row>
    <row r="1673" spans="1:11" ht="12.5" x14ac:dyDescent="0.25">
      <c r="A1673" s="30" t="s">
        <v>5590</v>
      </c>
      <c r="B1673" s="30" t="s">
        <v>5589</v>
      </c>
      <c r="C1673" s="32">
        <v>27.06</v>
      </c>
      <c r="D1673" s="30">
        <v>0.04</v>
      </c>
      <c r="E1673" s="31">
        <v>1.48E-3</v>
      </c>
      <c r="F1673" s="30">
        <v>10419993956</v>
      </c>
      <c r="G1673" s="30" t="s">
        <v>5427</v>
      </c>
      <c r="H1673" s="30">
        <v>2012</v>
      </c>
      <c r="I1673" s="30">
        <v>1005881</v>
      </c>
      <c r="J1673" s="30" t="s">
        <v>5464</v>
      </c>
      <c r="K1673" s="30" t="s">
        <v>5588</v>
      </c>
    </row>
    <row r="1674" spans="1:11" ht="12.5" x14ac:dyDescent="0.25">
      <c r="A1674" s="30" t="s">
        <v>5587</v>
      </c>
      <c r="B1674" s="30" t="s">
        <v>5586</v>
      </c>
      <c r="C1674" s="32">
        <v>190.32</v>
      </c>
      <c r="D1674" s="30">
        <v>5.35</v>
      </c>
      <c r="E1674" s="31">
        <v>2.8920000000000001E-2</v>
      </c>
      <c r="F1674" s="30">
        <v>8296630799</v>
      </c>
      <c r="G1674" s="30" t="s">
        <v>5427</v>
      </c>
      <c r="H1674" s="30"/>
      <c r="I1674" s="30">
        <v>336767</v>
      </c>
      <c r="J1674" s="30" t="s">
        <v>5219</v>
      </c>
      <c r="K1674" s="30" t="s">
        <v>5447</v>
      </c>
    </row>
    <row r="1675" spans="1:11" ht="12.5" x14ac:dyDescent="0.25">
      <c r="A1675" s="30" t="s">
        <v>5585</v>
      </c>
      <c r="B1675" s="30" t="s">
        <v>5584</v>
      </c>
      <c r="C1675" s="32">
        <v>31.84</v>
      </c>
      <c r="D1675" s="30">
        <v>0.15</v>
      </c>
      <c r="E1675" s="31">
        <v>4.7299999999999998E-3</v>
      </c>
      <c r="F1675" s="30">
        <v>7723498402</v>
      </c>
      <c r="G1675" s="30" t="s">
        <v>5583</v>
      </c>
      <c r="H1675" s="30"/>
      <c r="I1675" s="30">
        <v>55721</v>
      </c>
      <c r="J1675" s="30" t="s">
        <v>5435</v>
      </c>
      <c r="K1675" s="30" t="s">
        <v>5582</v>
      </c>
    </row>
    <row r="1676" spans="1:11" ht="12.5" x14ac:dyDescent="0.25">
      <c r="A1676" s="30" t="s">
        <v>5581</v>
      </c>
      <c r="B1676" s="30" t="s">
        <v>5580</v>
      </c>
      <c r="C1676" s="32">
        <v>47.33</v>
      </c>
      <c r="D1676" s="30">
        <v>0.46</v>
      </c>
      <c r="E1676" s="31">
        <v>9.8099999999999993E-3</v>
      </c>
      <c r="F1676" s="30">
        <v>181453964713</v>
      </c>
      <c r="G1676" s="30" t="s">
        <v>5427</v>
      </c>
      <c r="H1676" s="30"/>
      <c r="I1676" s="30">
        <v>21866839</v>
      </c>
      <c r="J1676" s="30" t="s">
        <v>5435</v>
      </c>
      <c r="K1676" s="30" t="s">
        <v>5579</v>
      </c>
    </row>
    <row r="1677" spans="1:11" ht="12.5" x14ac:dyDescent="0.25">
      <c r="A1677" s="30" t="s">
        <v>5578</v>
      </c>
      <c r="B1677" s="30" t="s">
        <v>5577</v>
      </c>
      <c r="C1677" s="32">
        <v>65.03</v>
      </c>
      <c r="D1677" s="30">
        <v>1.35</v>
      </c>
      <c r="E1677" s="31">
        <v>2.12E-2</v>
      </c>
      <c r="F1677" s="30">
        <v>1986149121</v>
      </c>
      <c r="G1677" s="30" t="s">
        <v>5427</v>
      </c>
      <c r="H1677" s="30"/>
      <c r="I1677" s="30">
        <v>518391</v>
      </c>
      <c r="J1677" s="30" t="s">
        <v>5457</v>
      </c>
      <c r="K1677" s="30" t="s">
        <v>5576</v>
      </c>
    </row>
    <row r="1678" spans="1:11" ht="12.5" x14ac:dyDescent="0.25">
      <c r="A1678" s="30" t="s">
        <v>5575</v>
      </c>
      <c r="B1678" s="30" t="s">
        <v>5574</v>
      </c>
      <c r="C1678" s="32">
        <v>12.75</v>
      </c>
      <c r="D1678" s="30">
        <v>-0.18</v>
      </c>
      <c r="E1678" s="31">
        <v>-1.392E-2</v>
      </c>
      <c r="F1678" s="30">
        <v>107268593</v>
      </c>
      <c r="G1678" s="30" t="s">
        <v>5427</v>
      </c>
      <c r="H1678" s="30"/>
      <c r="I1678" s="30">
        <v>7240</v>
      </c>
      <c r="J1678" s="30" t="s">
        <v>5435</v>
      </c>
      <c r="K1678" s="30" t="s">
        <v>5434</v>
      </c>
    </row>
    <row r="1679" spans="1:11" ht="12.5" x14ac:dyDescent="0.25">
      <c r="A1679" s="30" t="s">
        <v>5573</v>
      </c>
      <c r="B1679" s="30" t="s">
        <v>5572</v>
      </c>
      <c r="C1679" s="32">
        <v>156.5</v>
      </c>
      <c r="D1679" s="30">
        <v>0.91</v>
      </c>
      <c r="E1679" s="31">
        <v>5.8500000000000002E-3</v>
      </c>
      <c r="F1679" s="30">
        <v>8525862401</v>
      </c>
      <c r="G1679" s="30" t="s">
        <v>5427</v>
      </c>
      <c r="H1679" s="30"/>
      <c r="I1679" s="30">
        <v>1002065</v>
      </c>
      <c r="J1679" s="30" t="s">
        <v>5442</v>
      </c>
      <c r="K1679" s="30" t="s">
        <v>5571</v>
      </c>
    </row>
    <row r="1680" spans="1:11" ht="12.5" x14ac:dyDescent="0.25">
      <c r="A1680" s="30" t="s">
        <v>5570</v>
      </c>
      <c r="B1680" s="30" t="s">
        <v>5569</v>
      </c>
      <c r="C1680" s="32">
        <v>9.1300000000000008</v>
      </c>
      <c r="D1680" s="30">
        <v>7.0000000000000007E-2</v>
      </c>
      <c r="E1680" s="31">
        <v>7.7299999999999999E-3</v>
      </c>
      <c r="F1680" s="30">
        <v>212932197</v>
      </c>
      <c r="G1680" s="30" t="s">
        <v>5427</v>
      </c>
      <c r="H1680" s="30">
        <v>2003</v>
      </c>
      <c r="I1680" s="30">
        <v>38657</v>
      </c>
      <c r="J1680" s="30" t="s">
        <v>5435</v>
      </c>
      <c r="K1680" s="30" t="s">
        <v>5568</v>
      </c>
    </row>
    <row r="1681" spans="1:11" ht="12.5" x14ac:dyDescent="0.25">
      <c r="A1681" s="30" t="s">
        <v>5567</v>
      </c>
      <c r="B1681" s="30" t="s">
        <v>5566</v>
      </c>
      <c r="C1681" s="32">
        <v>4.92</v>
      </c>
      <c r="D1681" s="30">
        <v>0.03</v>
      </c>
      <c r="E1681" s="31">
        <v>6.13E-3</v>
      </c>
      <c r="F1681" s="30">
        <v>26939398416</v>
      </c>
      <c r="G1681" s="30" t="s">
        <v>5529</v>
      </c>
      <c r="H1681" s="30"/>
      <c r="I1681" s="30">
        <v>2860274</v>
      </c>
      <c r="J1681" s="30" t="s">
        <v>5219</v>
      </c>
      <c r="K1681" s="30" t="s">
        <v>5447</v>
      </c>
    </row>
    <row r="1682" spans="1:11" ht="12.5" x14ac:dyDescent="0.25">
      <c r="A1682" s="30" t="s">
        <v>5565</v>
      </c>
      <c r="B1682" s="30" t="s">
        <v>5564</v>
      </c>
      <c r="C1682" s="32">
        <v>9.59</v>
      </c>
      <c r="D1682" s="30">
        <v>-0.04</v>
      </c>
      <c r="E1682" s="31">
        <v>-4.15E-3</v>
      </c>
      <c r="F1682" s="30">
        <v>586755845</v>
      </c>
      <c r="G1682" s="30" t="s">
        <v>5427</v>
      </c>
      <c r="H1682" s="30">
        <v>2004</v>
      </c>
      <c r="I1682" s="30">
        <v>351926</v>
      </c>
      <c r="J1682" s="30" t="s">
        <v>5435</v>
      </c>
      <c r="K1682" s="30" t="s">
        <v>5563</v>
      </c>
    </row>
    <row r="1683" spans="1:11" ht="12.5" x14ac:dyDescent="0.25">
      <c r="A1683" s="30" t="s">
        <v>5562</v>
      </c>
      <c r="B1683" s="30" t="s">
        <v>5561</v>
      </c>
      <c r="C1683" s="32">
        <v>92.79</v>
      </c>
      <c r="D1683" s="30">
        <v>6.26</v>
      </c>
      <c r="E1683" s="31">
        <v>7.2340000000000002E-2</v>
      </c>
      <c r="F1683" s="30">
        <v>4875896072</v>
      </c>
      <c r="G1683" s="30" t="s">
        <v>5427</v>
      </c>
      <c r="H1683" s="30">
        <v>2014</v>
      </c>
      <c r="I1683" s="30">
        <v>666197</v>
      </c>
      <c r="J1683" s="30" t="s">
        <v>5219</v>
      </c>
      <c r="K1683" s="30" t="s">
        <v>5560</v>
      </c>
    </row>
    <row r="1684" spans="1:11" ht="12.5" x14ac:dyDescent="0.25">
      <c r="A1684" s="30" t="s">
        <v>5559</v>
      </c>
      <c r="B1684" s="30" t="s">
        <v>5558</v>
      </c>
      <c r="C1684" s="32">
        <v>124.15</v>
      </c>
      <c r="D1684" s="30">
        <v>1.4</v>
      </c>
      <c r="E1684" s="31">
        <v>1.141E-2</v>
      </c>
      <c r="F1684" s="30">
        <v>15833792916</v>
      </c>
      <c r="G1684" s="30" t="s">
        <v>5427</v>
      </c>
      <c r="H1684" s="30">
        <v>2004</v>
      </c>
      <c r="I1684" s="30">
        <v>530009</v>
      </c>
      <c r="J1684" s="30" t="s">
        <v>5457</v>
      </c>
      <c r="K1684" s="30" t="s">
        <v>5555</v>
      </c>
    </row>
    <row r="1685" spans="1:11" ht="12.5" x14ac:dyDescent="0.25">
      <c r="A1685" s="30" t="s">
        <v>5557</v>
      </c>
      <c r="B1685" s="30" t="s">
        <v>5556</v>
      </c>
      <c r="C1685" s="32">
        <v>24.85</v>
      </c>
      <c r="D1685" s="30">
        <v>-0.71</v>
      </c>
      <c r="E1685" s="31">
        <v>-2.7779999999999999E-2</v>
      </c>
      <c r="F1685" s="30">
        <v>875263420</v>
      </c>
      <c r="G1685" s="30" t="s">
        <v>5427</v>
      </c>
      <c r="H1685" s="30">
        <v>2014</v>
      </c>
      <c r="I1685" s="30">
        <v>62082</v>
      </c>
      <c r="J1685" s="30" t="s">
        <v>5457</v>
      </c>
      <c r="K1685" s="30" t="s">
        <v>5555</v>
      </c>
    </row>
    <row r="1686" spans="1:11" ht="12.5" x14ac:dyDescent="0.25">
      <c r="A1686" s="30" t="s">
        <v>5554</v>
      </c>
      <c r="B1686" s="30" t="s">
        <v>5552</v>
      </c>
      <c r="C1686" s="32">
        <v>47.45</v>
      </c>
      <c r="D1686" s="30">
        <v>1.65</v>
      </c>
      <c r="E1686" s="31">
        <v>3.603E-2</v>
      </c>
      <c r="F1686" s="30">
        <v>2636292107</v>
      </c>
      <c r="G1686" s="30" t="s">
        <v>5427</v>
      </c>
      <c r="H1686" s="30"/>
      <c r="I1686" s="30">
        <v>236998</v>
      </c>
      <c r="J1686" s="30" t="s">
        <v>5442</v>
      </c>
      <c r="K1686" s="30" t="s">
        <v>5551</v>
      </c>
    </row>
    <row r="1687" spans="1:11" ht="12.5" x14ac:dyDescent="0.25">
      <c r="A1687" s="30" t="s">
        <v>5553</v>
      </c>
      <c r="B1687" s="30" t="s">
        <v>5552</v>
      </c>
      <c r="C1687" s="32">
        <v>44.39</v>
      </c>
      <c r="D1687" s="30">
        <v>0</v>
      </c>
      <c r="E1687" s="31">
        <v>0</v>
      </c>
      <c r="F1687" s="30">
        <v>2466280434</v>
      </c>
      <c r="G1687" s="30" t="s">
        <v>5427</v>
      </c>
      <c r="H1687" s="30"/>
      <c r="I1687" s="30">
        <v>63</v>
      </c>
      <c r="J1687" s="30" t="s">
        <v>5442</v>
      </c>
      <c r="K1687" s="30" t="s">
        <v>5551</v>
      </c>
    </row>
    <row r="1688" spans="1:11" ht="12.5" x14ac:dyDescent="0.25">
      <c r="A1688" s="30" t="s">
        <v>5550</v>
      </c>
      <c r="B1688" s="30" t="s">
        <v>5549</v>
      </c>
      <c r="C1688" s="32">
        <v>154.41</v>
      </c>
      <c r="D1688" s="30">
        <v>-0.32</v>
      </c>
      <c r="E1688" s="31">
        <v>-2.0699999999999998E-3</v>
      </c>
      <c r="F1688" s="30">
        <v>63381768393</v>
      </c>
      <c r="G1688" s="30" t="s">
        <v>5427</v>
      </c>
      <c r="H1688" s="30"/>
      <c r="I1688" s="30">
        <v>3564712</v>
      </c>
      <c r="J1688" s="30" t="s">
        <v>5426</v>
      </c>
      <c r="K1688" s="30" t="s">
        <v>5425</v>
      </c>
    </row>
    <row r="1689" spans="1:11" ht="12.5" x14ac:dyDescent="0.25">
      <c r="A1689" s="30" t="s">
        <v>5548</v>
      </c>
      <c r="B1689" s="30" t="s">
        <v>5547</v>
      </c>
      <c r="C1689" s="32">
        <v>31.86</v>
      </c>
      <c r="D1689" s="30">
        <v>-0.38</v>
      </c>
      <c r="E1689" s="31">
        <v>-1.179E-2</v>
      </c>
      <c r="F1689" s="30">
        <v>38816306920</v>
      </c>
      <c r="G1689" s="30" t="s">
        <v>5427</v>
      </c>
      <c r="H1689" s="30"/>
      <c r="I1689" s="30">
        <v>10076723</v>
      </c>
      <c r="J1689" s="30" t="s">
        <v>5426</v>
      </c>
      <c r="K1689" s="30" t="s">
        <v>5546</v>
      </c>
    </row>
    <row r="1690" spans="1:11" ht="12.5" x14ac:dyDescent="0.25">
      <c r="A1690" s="30" t="s">
        <v>5545</v>
      </c>
      <c r="B1690" s="30" t="s">
        <v>5544</v>
      </c>
      <c r="C1690" s="32">
        <v>11.31</v>
      </c>
      <c r="D1690" s="30">
        <v>0.04</v>
      </c>
      <c r="E1690" s="31">
        <v>3.5500000000000002E-3</v>
      </c>
      <c r="F1690" s="30">
        <v>68289893</v>
      </c>
      <c r="G1690" s="30" t="s">
        <v>5427</v>
      </c>
      <c r="H1690" s="30">
        <v>2012</v>
      </c>
      <c r="I1690" s="30">
        <v>30444</v>
      </c>
      <c r="J1690" s="30" t="s">
        <v>5197</v>
      </c>
      <c r="K1690" s="30" t="s">
        <v>5467</v>
      </c>
    </row>
    <row r="1691" spans="1:11" ht="12.5" x14ac:dyDescent="0.25">
      <c r="A1691" s="30" t="s">
        <v>5543</v>
      </c>
      <c r="B1691" s="30" t="s">
        <v>5542</v>
      </c>
      <c r="C1691" s="32">
        <v>86.71</v>
      </c>
      <c r="D1691" s="30">
        <v>0.37</v>
      </c>
      <c r="E1691" s="31">
        <v>4.2900000000000004E-3</v>
      </c>
      <c r="F1691" s="30">
        <v>2332363993</v>
      </c>
      <c r="G1691" s="30" t="s">
        <v>5427</v>
      </c>
      <c r="H1691" s="30"/>
      <c r="I1691" s="30">
        <v>83800</v>
      </c>
      <c r="J1691" s="30" t="s">
        <v>5541</v>
      </c>
      <c r="K1691" s="30" t="s">
        <v>5540</v>
      </c>
    </row>
    <row r="1692" spans="1:11" ht="12.5" x14ac:dyDescent="0.25">
      <c r="A1692" s="30" t="s">
        <v>5539</v>
      </c>
      <c r="B1692" s="30" t="s">
        <v>5538</v>
      </c>
      <c r="C1692" s="32">
        <v>104.1</v>
      </c>
      <c r="D1692" s="30">
        <v>3.26</v>
      </c>
      <c r="E1692" s="31">
        <v>3.2329999999999998E-2</v>
      </c>
      <c r="F1692" s="30">
        <v>8625281077</v>
      </c>
      <c r="G1692" s="30" t="s">
        <v>5427</v>
      </c>
      <c r="H1692" s="30">
        <v>2014</v>
      </c>
      <c r="I1692" s="30">
        <v>1474395</v>
      </c>
      <c r="J1692" s="30" t="s">
        <v>5457</v>
      </c>
      <c r="K1692" s="30" t="s">
        <v>5537</v>
      </c>
    </row>
    <row r="1693" spans="1:11" ht="12.5" x14ac:dyDescent="0.25">
      <c r="A1693" s="30" t="s">
        <v>5536</v>
      </c>
      <c r="B1693" s="30" t="s">
        <v>5535</v>
      </c>
      <c r="C1693" s="32">
        <v>144.66999999999999</v>
      </c>
      <c r="D1693" s="30">
        <v>0.8</v>
      </c>
      <c r="E1693" s="31">
        <v>5.5599999999999998E-3</v>
      </c>
      <c r="F1693" s="30">
        <v>390146063812</v>
      </c>
      <c r="G1693" s="30" t="s">
        <v>5427</v>
      </c>
      <c r="H1693" s="30"/>
      <c r="I1693" s="30">
        <v>4280338</v>
      </c>
      <c r="J1693" s="30" t="s">
        <v>5442</v>
      </c>
      <c r="K1693" s="30" t="s">
        <v>5534</v>
      </c>
    </row>
    <row r="1694" spans="1:11" ht="12.5" x14ac:dyDescent="0.25">
      <c r="A1694" s="30" t="s">
        <v>5533</v>
      </c>
      <c r="B1694" s="30" t="s">
        <v>5532</v>
      </c>
      <c r="C1694" s="32">
        <v>26.18</v>
      </c>
      <c r="D1694" s="30">
        <v>0.42</v>
      </c>
      <c r="E1694" s="31">
        <v>1.6299999999999999E-2</v>
      </c>
      <c r="F1694" s="30">
        <v>1255177245</v>
      </c>
      <c r="G1694" s="30" t="s">
        <v>5427</v>
      </c>
      <c r="H1694" s="30">
        <v>1991</v>
      </c>
      <c r="I1694" s="30">
        <v>964530</v>
      </c>
      <c r="J1694" s="30" t="s">
        <v>5457</v>
      </c>
      <c r="K1694" s="30" t="s">
        <v>5460</v>
      </c>
    </row>
    <row r="1695" spans="1:11" ht="12.5" x14ac:dyDescent="0.25">
      <c r="A1695" s="30" t="s">
        <v>5531</v>
      </c>
      <c r="B1695" s="30" t="s">
        <v>5530</v>
      </c>
      <c r="C1695" s="32">
        <v>86.02</v>
      </c>
      <c r="D1695" s="30">
        <v>1.29</v>
      </c>
      <c r="E1695" s="31">
        <v>1.5219999999999999E-2</v>
      </c>
      <c r="F1695" s="30">
        <v>4046215039</v>
      </c>
      <c r="G1695" s="30" t="s">
        <v>5529</v>
      </c>
      <c r="H1695" s="30">
        <v>2006</v>
      </c>
      <c r="I1695" s="30">
        <v>271266</v>
      </c>
      <c r="J1695" s="30" t="s">
        <v>5442</v>
      </c>
      <c r="K1695" s="30" t="s">
        <v>5482</v>
      </c>
    </row>
    <row r="1696" spans="1:11" ht="12.5" x14ac:dyDescent="0.25">
      <c r="A1696" s="30" t="s">
        <v>5528</v>
      </c>
      <c r="B1696" s="30" t="s">
        <v>5527</v>
      </c>
      <c r="C1696" s="32">
        <v>83.91</v>
      </c>
      <c r="D1696" s="30">
        <v>6.9</v>
      </c>
      <c r="E1696" s="31">
        <v>8.9599999999999999E-2</v>
      </c>
      <c r="F1696" s="30">
        <v>10439804290</v>
      </c>
      <c r="G1696" s="30" t="s">
        <v>5427</v>
      </c>
      <c r="H1696" s="30"/>
      <c r="I1696" s="30">
        <v>3617534</v>
      </c>
      <c r="J1696" s="30" t="s">
        <v>5219</v>
      </c>
      <c r="K1696" s="30" t="s">
        <v>5526</v>
      </c>
    </row>
    <row r="1697" spans="1:11" ht="12.5" x14ac:dyDescent="0.25">
      <c r="A1697" s="30" t="s">
        <v>5525</v>
      </c>
      <c r="B1697" s="30" t="s">
        <v>5524</v>
      </c>
      <c r="C1697" s="32">
        <v>58.64</v>
      </c>
      <c r="D1697" s="30">
        <v>1.77</v>
      </c>
      <c r="E1697" s="31">
        <v>3.1119999999999998E-2</v>
      </c>
      <c r="F1697" s="30">
        <v>2914856537</v>
      </c>
      <c r="G1697" s="30" t="s">
        <v>5427</v>
      </c>
      <c r="H1697" s="30"/>
      <c r="I1697" s="30">
        <v>195444</v>
      </c>
      <c r="J1697" s="30" t="s">
        <v>5442</v>
      </c>
      <c r="K1697" s="30" t="s">
        <v>5523</v>
      </c>
    </row>
    <row r="1698" spans="1:11" ht="12.5" x14ac:dyDescent="0.25">
      <c r="A1698" s="30" t="s">
        <v>5522</v>
      </c>
      <c r="B1698" s="30" t="s">
        <v>5521</v>
      </c>
      <c r="C1698" s="32">
        <v>11.82</v>
      </c>
      <c r="D1698" s="30">
        <v>0.33</v>
      </c>
      <c r="E1698" s="31">
        <v>2.8719999999999999E-2</v>
      </c>
      <c r="F1698" s="30">
        <v>1036143091</v>
      </c>
      <c r="G1698" s="30" t="s">
        <v>5427</v>
      </c>
      <c r="H1698" s="30">
        <v>2017</v>
      </c>
      <c r="I1698" s="30">
        <v>288075</v>
      </c>
      <c r="J1698" s="30" t="s">
        <v>5442</v>
      </c>
      <c r="K1698" s="30" t="s">
        <v>5520</v>
      </c>
    </row>
    <row r="1699" spans="1:11" ht="12.5" x14ac:dyDescent="0.25">
      <c r="A1699" s="30" t="s">
        <v>5519</v>
      </c>
      <c r="B1699" s="30" t="s">
        <v>5518</v>
      </c>
      <c r="C1699" s="32">
        <v>84.1</v>
      </c>
      <c r="D1699" s="30">
        <v>-1.43</v>
      </c>
      <c r="E1699" s="31">
        <v>-1.6719999999999999E-2</v>
      </c>
      <c r="F1699" s="30">
        <v>17495551584</v>
      </c>
      <c r="G1699" s="30" t="s">
        <v>5427</v>
      </c>
      <c r="H1699" s="30"/>
      <c r="I1699" s="30">
        <v>966425</v>
      </c>
      <c r="J1699" s="30" t="s">
        <v>5197</v>
      </c>
      <c r="K1699" s="30" t="s">
        <v>5467</v>
      </c>
    </row>
    <row r="1700" spans="1:11" ht="12.5" x14ac:dyDescent="0.25">
      <c r="A1700" s="30" t="s">
        <v>5517</v>
      </c>
      <c r="B1700" s="30" t="s">
        <v>5516</v>
      </c>
      <c r="C1700" s="32">
        <v>45.79</v>
      </c>
      <c r="D1700" s="30">
        <v>0.05</v>
      </c>
      <c r="E1700" s="31">
        <v>1.09E-3</v>
      </c>
      <c r="F1700" s="30">
        <v>20695383938</v>
      </c>
      <c r="G1700" s="30" t="s">
        <v>5515</v>
      </c>
      <c r="H1700" s="30"/>
      <c r="I1700" s="30">
        <v>2538740</v>
      </c>
      <c r="J1700" s="30"/>
      <c r="K1700" s="30"/>
    </row>
    <row r="1701" spans="1:11" ht="12.5" x14ac:dyDescent="0.25">
      <c r="A1701" s="30" t="s">
        <v>5514</v>
      </c>
      <c r="B1701" s="30" t="s">
        <v>5513</v>
      </c>
      <c r="C1701" s="32">
        <v>59.62</v>
      </c>
      <c r="D1701" s="30">
        <v>1.1000000000000001</v>
      </c>
      <c r="E1701" s="31">
        <v>1.8800000000000001E-2</v>
      </c>
      <c r="F1701" s="30">
        <v>12769856842</v>
      </c>
      <c r="G1701" s="30" t="s">
        <v>5512</v>
      </c>
      <c r="H1701" s="30"/>
      <c r="I1701" s="30">
        <v>69578</v>
      </c>
      <c r="J1701" s="30"/>
      <c r="K1701" s="30"/>
    </row>
    <row r="1702" spans="1:11" ht="12.5" x14ac:dyDescent="0.25">
      <c r="A1702" s="30" t="s">
        <v>5511</v>
      </c>
      <c r="B1702" s="30" t="s">
        <v>5510</v>
      </c>
      <c r="C1702" s="32">
        <v>69.08</v>
      </c>
      <c r="D1702" s="30">
        <v>-1.06</v>
      </c>
      <c r="E1702" s="31">
        <v>-1.511E-2</v>
      </c>
      <c r="F1702" s="30">
        <v>18274837680</v>
      </c>
      <c r="G1702" s="30" t="s">
        <v>5427</v>
      </c>
      <c r="H1702" s="30"/>
      <c r="I1702" s="30">
        <v>1287779</v>
      </c>
      <c r="J1702" s="30" t="s">
        <v>5435</v>
      </c>
      <c r="K1702" s="30" t="s">
        <v>5493</v>
      </c>
    </row>
    <row r="1703" spans="1:11" ht="12.5" x14ac:dyDescent="0.25">
      <c r="A1703" s="30" t="s">
        <v>5077</v>
      </c>
      <c r="B1703" s="30" t="s">
        <v>5509</v>
      </c>
      <c r="C1703" s="32">
        <v>139.46</v>
      </c>
      <c r="D1703" s="30">
        <v>4.5199999999999996</v>
      </c>
      <c r="E1703" s="31">
        <v>3.3500000000000002E-2</v>
      </c>
      <c r="F1703" s="30">
        <v>9283494625</v>
      </c>
      <c r="G1703" s="30" t="s">
        <v>5427</v>
      </c>
      <c r="H1703" s="30"/>
      <c r="I1703" s="30">
        <v>1149888</v>
      </c>
      <c r="J1703" s="30" t="s">
        <v>5442</v>
      </c>
      <c r="K1703" s="30" t="s">
        <v>5508</v>
      </c>
    </row>
    <row r="1704" spans="1:11" ht="12.5" x14ac:dyDescent="0.25">
      <c r="A1704" s="30" t="s">
        <v>5507</v>
      </c>
      <c r="B1704" s="30" t="s">
        <v>5506</v>
      </c>
      <c r="C1704" s="32">
        <v>300.37</v>
      </c>
      <c r="D1704" s="30">
        <v>13</v>
      </c>
      <c r="E1704" s="31">
        <v>4.5240000000000002E-2</v>
      </c>
      <c r="F1704" s="30">
        <v>11635186086</v>
      </c>
      <c r="G1704" s="30" t="s">
        <v>5427</v>
      </c>
      <c r="H1704" s="30"/>
      <c r="I1704" s="30">
        <v>438555</v>
      </c>
      <c r="J1704" s="30" t="s">
        <v>5442</v>
      </c>
      <c r="K1704" s="30" t="s">
        <v>5505</v>
      </c>
    </row>
    <row r="1705" spans="1:11" ht="12.5" x14ac:dyDescent="0.25">
      <c r="A1705" s="30" t="s">
        <v>5504</v>
      </c>
      <c r="B1705" s="30" t="s">
        <v>5503</v>
      </c>
      <c r="C1705" s="32">
        <v>10.4</v>
      </c>
      <c r="D1705" s="30">
        <v>-0.01</v>
      </c>
      <c r="E1705" s="31">
        <v>-9.6000000000000002E-4</v>
      </c>
      <c r="F1705" s="30">
        <v>513615086</v>
      </c>
      <c r="G1705" s="30" t="s">
        <v>5427</v>
      </c>
      <c r="H1705" s="30">
        <v>2010</v>
      </c>
      <c r="I1705" s="30">
        <v>218550</v>
      </c>
      <c r="J1705" s="30" t="s">
        <v>5197</v>
      </c>
      <c r="K1705" s="30" t="s">
        <v>5467</v>
      </c>
    </row>
    <row r="1706" spans="1:11" ht="12.5" x14ac:dyDescent="0.25">
      <c r="A1706" s="30" t="s">
        <v>5502</v>
      </c>
      <c r="B1706" s="30" t="s">
        <v>5501</v>
      </c>
      <c r="C1706" s="32">
        <v>271.58999999999997</v>
      </c>
      <c r="D1706" s="30">
        <v>5.99</v>
      </c>
      <c r="E1706" s="31">
        <v>2.2550000000000001E-2</v>
      </c>
      <c r="F1706" s="30">
        <v>20106618939</v>
      </c>
      <c r="G1706" s="30" t="s">
        <v>5427</v>
      </c>
      <c r="H1706" s="30"/>
      <c r="I1706" s="30">
        <v>408703</v>
      </c>
      <c r="J1706" s="30" t="s">
        <v>5431</v>
      </c>
      <c r="K1706" s="30" t="s">
        <v>5500</v>
      </c>
    </row>
    <row r="1707" spans="1:11" ht="12.5" x14ac:dyDescent="0.25">
      <c r="A1707" s="30" t="s">
        <v>5499</v>
      </c>
      <c r="B1707" s="30" t="s">
        <v>5498</v>
      </c>
      <c r="C1707" s="32">
        <v>5.79</v>
      </c>
      <c r="D1707" s="30">
        <v>0.03</v>
      </c>
      <c r="E1707" s="31">
        <v>5.2100000000000002E-3</v>
      </c>
      <c r="F1707" s="30">
        <v>848342150</v>
      </c>
      <c r="G1707" s="30" t="s">
        <v>5427</v>
      </c>
      <c r="H1707" s="30">
        <v>2022</v>
      </c>
      <c r="I1707" s="30">
        <v>1801173</v>
      </c>
      <c r="J1707" s="30" t="s">
        <v>5435</v>
      </c>
      <c r="K1707" s="30" t="s">
        <v>5434</v>
      </c>
    </row>
    <row r="1708" spans="1:11" ht="12.5" x14ac:dyDescent="0.25">
      <c r="A1708" s="30" t="s">
        <v>5497</v>
      </c>
      <c r="B1708" s="30" t="s">
        <v>5496</v>
      </c>
      <c r="C1708" s="32">
        <v>6</v>
      </c>
      <c r="D1708" s="30">
        <v>-0.22</v>
      </c>
      <c r="E1708" s="31">
        <v>-3.5369999999999999E-2</v>
      </c>
      <c r="F1708" s="30">
        <v>858969648</v>
      </c>
      <c r="G1708" s="30" t="s">
        <v>5427</v>
      </c>
      <c r="H1708" s="30">
        <v>2005</v>
      </c>
      <c r="I1708" s="30">
        <v>4607877</v>
      </c>
      <c r="J1708" s="30" t="s">
        <v>5464</v>
      </c>
      <c r="K1708" s="30" t="s">
        <v>5463</v>
      </c>
    </row>
    <row r="1709" spans="1:11" ht="12.5" x14ac:dyDescent="0.25">
      <c r="A1709" s="30" t="s">
        <v>5495</v>
      </c>
      <c r="B1709" s="30" t="s">
        <v>5494</v>
      </c>
      <c r="C1709" s="32">
        <v>1494</v>
      </c>
      <c r="D1709" s="30">
        <v>-33.96</v>
      </c>
      <c r="E1709" s="31">
        <v>-2.223E-2</v>
      </c>
      <c r="F1709" s="30">
        <v>3848890608</v>
      </c>
      <c r="G1709" s="30" t="s">
        <v>5427</v>
      </c>
      <c r="H1709" s="30"/>
      <c r="I1709" s="30">
        <v>11292</v>
      </c>
      <c r="J1709" s="30" t="s">
        <v>5435</v>
      </c>
      <c r="K1709" s="30" t="s">
        <v>5493</v>
      </c>
    </row>
    <row r="1710" spans="1:11" ht="12.5" x14ac:dyDescent="0.25">
      <c r="A1710" s="30" t="s">
        <v>5492</v>
      </c>
      <c r="B1710" s="30" t="s">
        <v>5491</v>
      </c>
      <c r="C1710" s="32">
        <v>48.1</v>
      </c>
      <c r="D1710" s="30">
        <v>1.37</v>
      </c>
      <c r="E1710" s="31">
        <v>2.9319999999999999E-2</v>
      </c>
      <c r="F1710" s="30">
        <v>12616190222</v>
      </c>
      <c r="G1710" s="30" t="s">
        <v>5427</v>
      </c>
      <c r="H1710" s="30"/>
      <c r="I1710" s="30">
        <v>1575237</v>
      </c>
      <c r="J1710" s="30" t="s">
        <v>5426</v>
      </c>
      <c r="K1710" s="30" t="s">
        <v>5490</v>
      </c>
    </row>
    <row r="1711" spans="1:11" ht="12.5" x14ac:dyDescent="0.25">
      <c r="A1711" s="30" t="s">
        <v>5489</v>
      </c>
      <c r="B1711" s="30" t="s">
        <v>5488</v>
      </c>
      <c r="C1711" s="32">
        <v>167.5</v>
      </c>
      <c r="D1711" s="30">
        <v>3.98</v>
      </c>
      <c r="E1711" s="31">
        <v>2.4340000000000001E-2</v>
      </c>
      <c r="F1711" s="30">
        <v>5576612843</v>
      </c>
      <c r="G1711" s="30" t="s">
        <v>5427</v>
      </c>
      <c r="H1711" s="30">
        <v>1986</v>
      </c>
      <c r="I1711" s="30">
        <v>125971</v>
      </c>
      <c r="J1711" s="30" t="s">
        <v>5457</v>
      </c>
      <c r="K1711" s="30" t="s">
        <v>5487</v>
      </c>
    </row>
    <row r="1712" spans="1:11" ht="12.5" x14ac:dyDescent="0.25">
      <c r="A1712" s="30" t="s">
        <v>5486</v>
      </c>
      <c r="B1712" s="30" t="s">
        <v>5485</v>
      </c>
      <c r="C1712" s="32">
        <v>8.5299999999999994</v>
      </c>
      <c r="D1712" s="30">
        <v>-0.25</v>
      </c>
      <c r="E1712" s="31">
        <v>-2.8469999999999999E-2</v>
      </c>
      <c r="F1712" s="30">
        <v>975179319</v>
      </c>
      <c r="G1712" s="30" t="s">
        <v>5427</v>
      </c>
      <c r="H1712" s="30">
        <v>2017</v>
      </c>
      <c r="I1712" s="30">
        <v>826166</v>
      </c>
      <c r="J1712" s="30" t="s">
        <v>5464</v>
      </c>
      <c r="K1712" s="30" t="s">
        <v>5463</v>
      </c>
    </row>
    <row r="1713" spans="1:11" ht="12.5" x14ac:dyDescent="0.25">
      <c r="A1713" s="30" t="s">
        <v>5484</v>
      </c>
      <c r="B1713" s="30" t="s">
        <v>5483</v>
      </c>
      <c r="C1713" s="32">
        <v>14.17</v>
      </c>
      <c r="D1713" s="30">
        <v>0</v>
      </c>
      <c r="E1713" s="31">
        <v>0</v>
      </c>
      <c r="F1713" s="30">
        <v>5472040349</v>
      </c>
      <c r="G1713" s="30" t="s">
        <v>5427</v>
      </c>
      <c r="H1713" s="30"/>
      <c r="I1713" s="30">
        <v>5081150</v>
      </c>
      <c r="J1713" s="30" t="s">
        <v>5442</v>
      </c>
      <c r="K1713" s="30" t="s">
        <v>5482</v>
      </c>
    </row>
    <row r="1714" spans="1:11" ht="12.5" x14ac:dyDescent="0.25">
      <c r="A1714" s="30" t="s">
        <v>5481</v>
      </c>
      <c r="B1714" s="30" t="s">
        <v>5480</v>
      </c>
      <c r="C1714" s="32">
        <v>86.2</v>
      </c>
      <c r="D1714" s="30">
        <v>1.58</v>
      </c>
      <c r="E1714" s="31">
        <v>1.8669999999999999E-2</v>
      </c>
      <c r="F1714" s="30">
        <v>6413199489</v>
      </c>
      <c r="G1714" s="30" t="s">
        <v>5427</v>
      </c>
      <c r="H1714" s="30"/>
      <c r="I1714" s="30">
        <v>701904</v>
      </c>
      <c r="J1714" s="30" t="s">
        <v>5442</v>
      </c>
      <c r="K1714" s="30" t="s">
        <v>5450</v>
      </c>
    </row>
    <row r="1715" spans="1:11" ht="12.5" x14ac:dyDescent="0.25">
      <c r="A1715" s="30" t="s">
        <v>5479</v>
      </c>
      <c r="B1715" s="30" t="s">
        <v>5478</v>
      </c>
      <c r="C1715" s="32">
        <v>16.100000000000001</v>
      </c>
      <c r="D1715" s="30">
        <v>-0.03</v>
      </c>
      <c r="E1715" s="31">
        <v>-1.8600000000000001E-3</v>
      </c>
      <c r="F1715" s="30">
        <v>1267956708</v>
      </c>
      <c r="G1715" s="30" t="s">
        <v>5427</v>
      </c>
      <c r="H1715" s="30"/>
      <c r="I1715" s="30">
        <v>1231790</v>
      </c>
      <c r="J1715" s="30" t="s">
        <v>5442</v>
      </c>
      <c r="K1715" s="30" t="s">
        <v>5477</v>
      </c>
    </row>
    <row r="1716" spans="1:11" ht="12.5" x14ac:dyDescent="0.25">
      <c r="A1716" s="30" t="s">
        <v>5476</v>
      </c>
      <c r="B1716" s="30" t="s">
        <v>5475</v>
      </c>
      <c r="C1716" s="32">
        <v>35.01</v>
      </c>
      <c r="D1716" s="30">
        <v>0.57999999999999996</v>
      </c>
      <c r="E1716" s="31">
        <v>1.685E-2</v>
      </c>
      <c r="F1716" s="30">
        <v>25655117940</v>
      </c>
      <c r="G1716" s="30" t="s">
        <v>5427</v>
      </c>
      <c r="H1716" s="30"/>
      <c r="I1716" s="30">
        <v>5206212</v>
      </c>
      <c r="J1716" s="30" t="s">
        <v>5197</v>
      </c>
      <c r="K1716" s="30" t="s">
        <v>5467</v>
      </c>
    </row>
    <row r="1717" spans="1:11" ht="12.5" x14ac:dyDescent="0.25">
      <c r="A1717" s="30" t="s">
        <v>5474</v>
      </c>
      <c r="B1717" s="30" t="s">
        <v>5473</v>
      </c>
      <c r="C1717" s="32">
        <v>29.34</v>
      </c>
      <c r="D1717" s="30">
        <v>0.85</v>
      </c>
      <c r="E1717" s="31">
        <v>2.9839999999999998E-2</v>
      </c>
      <c r="F1717" s="30">
        <v>6873450817</v>
      </c>
      <c r="G1717" s="30" t="s">
        <v>5427</v>
      </c>
      <c r="H1717" s="30"/>
      <c r="I1717" s="30">
        <v>5552179</v>
      </c>
      <c r="J1717" s="30" t="s">
        <v>5457</v>
      </c>
      <c r="K1717" s="30" t="s">
        <v>5472</v>
      </c>
    </row>
    <row r="1718" spans="1:11" ht="12.5" x14ac:dyDescent="0.25">
      <c r="A1718" s="30" t="s">
        <v>5471</v>
      </c>
      <c r="B1718" s="30" t="s">
        <v>5470</v>
      </c>
      <c r="C1718" s="32">
        <v>6.96</v>
      </c>
      <c r="D1718" s="30">
        <v>0.09</v>
      </c>
      <c r="E1718" s="31">
        <v>1.3100000000000001E-2</v>
      </c>
      <c r="F1718" s="30">
        <v>246860983</v>
      </c>
      <c r="G1718" s="30" t="s">
        <v>5427</v>
      </c>
      <c r="H1718" s="30">
        <v>2017</v>
      </c>
      <c r="I1718" s="30">
        <v>160948</v>
      </c>
      <c r="J1718" s="30" t="s">
        <v>5435</v>
      </c>
      <c r="K1718" s="30" t="s">
        <v>5434</v>
      </c>
    </row>
    <row r="1719" spans="1:11" ht="12.5" x14ac:dyDescent="0.25">
      <c r="A1719" s="30" t="s">
        <v>5469</v>
      </c>
      <c r="B1719" s="30" t="s">
        <v>5468</v>
      </c>
      <c r="C1719" s="32">
        <v>14.79</v>
      </c>
      <c r="D1719" s="30">
        <v>-0.11</v>
      </c>
      <c r="E1719" s="31">
        <v>-7.3800000000000003E-3</v>
      </c>
      <c r="F1719" s="30">
        <v>1683808651</v>
      </c>
      <c r="G1719" s="30" t="s">
        <v>5427</v>
      </c>
      <c r="H1719" s="30">
        <v>2015</v>
      </c>
      <c r="I1719" s="30">
        <v>473847</v>
      </c>
      <c r="J1719" s="30" t="s">
        <v>5197</v>
      </c>
      <c r="K1719" s="30" t="s">
        <v>5467</v>
      </c>
    </row>
    <row r="1720" spans="1:11" ht="12.5" x14ac:dyDescent="0.25">
      <c r="A1720" s="30" t="s">
        <v>5466</v>
      </c>
      <c r="B1720" s="30" t="s">
        <v>5465</v>
      </c>
      <c r="C1720" s="32">
        <v>114.74</v>
      </c>
      <c r="D1720" s="30">
        <v>-1.27</v>
      </c>
      <c r="E1720" s="31">
        <v>-1.095E-2</v>
      </c>
      <c r="F1720" s="30">
        <v>472532987126</v>
      </c>
      <c r="G1720" s="30" t="s">
        <v>5427</v>
      </c>
      <c r="H1720" s="30"/>
      <c r="I1720" s="30">
        <v>19435697</v>
      </c>
      <c r="J1720" s="30" t="s">
        <v>5464</v>
      </c>
      <c r="K1720" s="30" t="s">
        <v>5463</v>
      </c>
    </row>
    <row r="1721" spans="1:11" ht="12.5" x14ac:dyDescent="0.25">
      <c r="A1721" s="30" t="s">
        <v>5462</v>
      </c>
      <c r="B1721" s="30" t="s">
        <v>5461</v>
      </c>
      <c r="C1721" s="32">
        <v>43.16</v>
      </c>
      <c r="D1721" s="30">
        <v>3.3</v>
      </c>
      <c r="E1721" s="31">
        <v>8.2790000000000002E-2</v>
      </c>
      <c r="F1721" s="30">
        <v>8141541327</v>
      </c>
      <c r="G1721" s="30" t="s">
        <v>5427</v>
      </c>
      <c r="H1721" s="30"/>
      <c r="I1721" s="30">
        <v>2694942</v>
      </c>
      <c r="J1721" s="30" t="s">
        <v>5457</v>
      </c>
      <c r="K1721" s="30" t="s">
        <v>5460</v>
      </c>
    </row>
    <row r="1722" spans="1:11" ht="12.5" x14ac:dyDescent="0.25">
      <c r="A1722" s="30" t="s">
        <v>5459</v>
      </c>
      <c r="B1722" s="30" t="s">
        <v>5458</v>
      </c>
      <c r="C1722" s="32">
        <v>104.92</v>
      </c>
      <c r="D1722" s="30">
        <v>0.91</v>
      </c>
      <c r="E1722" s="31">
        <v>8.7500000000000008E-3</v>
      </c>
      <c r="F1722" s="30">
        <v>18912440634</v>
      </c>
      <c r="G1722" s="30" t="s">
        <v>5427</v>
      </c>
      <c r="H1722" s="30">
        <v>2011</v>
      </c>
      <c r="I1722" s="30">
        <v>2275191</v>
      </c>
      <c r="J1722" s="30" t="s">
        <v>5457</v>
      </c>
      <c r="K1722" s="30" t="s">
        <v>5456</v>
      </c>
    </row>
    <row r="1723" spans="1:11" ht="12.5" x14ac:dyDescent="0.25">
      <c r="A1723" s="30" t="s">
        <v>5455</v>
      </c>
      <c r="B1723" s="30" t="s">
        <v>5454</v>
      </c>
      <c r="C1723" s="32">
        <v>31.89</v>
      </c>
      <c r="D1723" s="30">
        <v>0.38</v>
      </c>
      <c r="E1723" s="31">
        <v>1.206E-2</v>
      </c>
      <c r="F1723" s="30">
        <v>2222806634</v>
      </c>
      <c r="G1723" s="30" t="s">
        <v>5427</v>
      </c>
      <c r="H1723" s="30">
        <v>2012</v>
      </c>
      <c r="I1723" s="30">
        <v>466259</v>
      </c>
      <c r="J1723" s="30" t="s">
        <v>5219</v>
      </c>
      <c r="K1723" s="30" t="s">
        <v>5453</v>
      </c>
    </row>
    <row r="1724" spans="1:11" ht="12.5" x14ac:dyDescent="0.25">
      <c r="A1724" s="30" t="s">
        <v>5452</v>
      </c>
      <c r="B1724" s="30" t="s">
        <v>5451</v>
      </c>
      <c r="C1724" s="32">
        <v>46.26</v>
      </c>
      <c r="D1724" s="30">
        <v>1.5</v>
      </c>
      <c r="E1724" s="31">
        <v>3.3509999999999998E-2</v>
      </c>
      <c r="F1724" s="30">
        <v>3989837476</v>
      </c>
      <c r="G1724" s="30" t="s">
        <v>5427</v>
      </c>
      <c r="H1724" s="30">
        <v>2018</v>
      </c>
      <c r="I1724" s="30">
        <v>1222311</v>
      </c>
      <c r="J1724" s="30" t="s">
        <v>5442</v>
      </c>
      <c r="K1724" s="30" t="s">
        <v>5450</v>
      </c>
    </row>
    <row r="1725" spans="1:11" ht="12.5" x14ac:dyDescent="0.25">
      <c r="A1725" s="30" t="s">
        <v>5449</v>
      </c>
      <c r="B1725" s="30" t="s">
        <v>5448</v>
      </c>
      <c r="C1725" s="32">
        <v>7.45</v>
      </c>
      <c r="D1725" s="30">
        <v>0.5</v>
      </c>
      <c r="E1725" s="31">
        <v>7.1940000000000004E-2</v>
      </c>
      <c r="F1725" s="30">
        <v>909631940</v>
      </c>
      <c r="G1725" s="30" t="s">
        <v>5427</v>
      </c>
      <c r="H1725" s="30">
        <v>2017</v>
      </c>
      <c r="I1725" s="30">
        <v>1840599</v>
      </c>
      <c r="J1725" s="30" t="s">
        <v>5219</v>
      </c>
      <c r="K1725" s="30" t="s">
        <v>5447</v>
      </c>
    </row>
    <row r="1726" spans="1:11" ht="12.5" x14ac:dyDescent="0.25">
      <c r="A1726" s="30" t="s">
        <v>5446</v>
      </c>
      <c r="B1726" s="30" t="s">
        <v>5445</v>
      </c>
      <c r="C1726" s="32">
        <v>129.01</v>
      </c>
      <c r="D1726" s="30">
        <v>-1.5</v>
      </c>
      <c r="E1726" s="31">
        <v>-1.149E-2</v>
      </c>
      <c r="F1726" s="30">
        <v>36340551593</v>
      </c>
      <c r="G1726" s="30" t="s">
        <v>5427</v>
      </c>
      <c r="H1726" s="30"/>
      <c r="I1726" s="30">
        <v>1716291</v>
      </c>
      <c r="J1726" s="30" t="s">
        <v>5442</v>
      </c>
      <c r="K1726" s="30" t="s">
        <v>5441</v>
      </c>
    </row>
    <row r="1727" spans="1:11" ht="12.5" x14ac:dyDescent="0.25">
      <c r="A1727" s="30" t="s">
        <v>5444</v>
      </c>
      <c r="B1727" s="30" t="s">
        <v>5443</v>
      </c>
      <c r="C1727" s="32">
        <v>62.23</v>
      </c>
      <c r="D1727" s="30">
        <v>0.62</v>
      </c>
      <c r="E1727" s="31">
        <v>1.0059999999999999E-2</v>
      </c>
      <c r="F1727" s="30">
        <v>26039462393</v>
      </c>
      <c r="G1727" s="30" t="s">
        <v>5427</v>
      </c>
      <c r="H1727" s="30">
        <v>2016</v>
      </c>
      <c r="I1727" s="30">
        <v>2247003</v>
      </c>
      <c r="J1727" s="30" t="s">
        <v>5442</v>
      </c>
      <c r="K1727" s="30" t="s">
        <v>5441</v>
      </c>
    </row>
    <row r="1728" spans="1:11" ht="12.5" x14ac:dyDescent="0.25">
      <c r="A1728" s="30" t="s">
        <v>5440</v>
      </c>
      <c r="B1728" s="30" t="s">
        <v>5439</v>
      </c>
      <c r="C1728" s="32">
        <v>127.8</v>
      </c>
      <c r="D1728" s="30">
        <v>0.46</v>
      </c>
      <c r="E1728" s="31">
        <v>3.6099999999999999E-3</v>
      </c>
      <c r="F1728" s="30">
        <v>26819135698</v>
      </c>
      <c r="G1728" s="30" t="s">
        <v>5427</v>
      </c>
      <c r="H1728" s="30"/>
      <c r="I1728" s="30">
        <v>2453620</v>
      </c>
      <c r="J1728" s="30" t="s">
        <v>5431</v>
      </c>
      <c r="K1728" s="30" t="s">
        <v>5438</v>
      </c>
    </row>
    <row r="1729" spans="1:11" ht="12.5" x14ac:dyDescent="0.25">
      <c r="A1729" s="30" t="s">
        <v>5437</v>
      </c>
      <c r="B1729" s="30" t="s">
        <v>5436</v>
      </c>
      <c r="C1729" s="32">
        <v>6.93</v>
      </c>
      <c r="D1729" s="30">
        <v>0.03</v>
      </c>
      <c r="E1729" s="31">
        <v>4.3499999999999997E-3</v>
      </c>
      <c r="F1729" s="30">
        <v>333640935</v>
      </c>
      <c r="G1729" s="30" t="s">
        <v>5427</v>
      </c>
      <c r="H1729" s="30">
        <v>1988</v>
      </c>
      <c r="I1729" s="30">
        <v>287088</v>
      </c>
      <c r="J1729" s="30" t="s">
        <v>5435</v>
      </c>
      <c r="K1729" s="30" t="s">
        <v>5434</v>
      </c>
    </row>
    <row r="1730" spans="1:11" ht="12.5" x14ac:dyDescent="0.25">
      <c r="A1730" s="30" t="s">
        <v>5433</v>
      </c>
      <c r="B1730" s="30" t="s">
        <v>5432</v>
      </c>
      <c r="C1730" s="32">
        <v>167.81</v>
      </c>
      <c r="D1730" s="30">
        <v>2.3199999999999998</v>
      </c>
      <c r="E1730" s="31">
        <v>1.4019999999999999E-2</v>
      </c>
      <c r="F1730" s="30">
        <v>78211541481</v>
      </c>
      <c r="G1730" s="30" t="s">
        <v>5427</v>
      </c>
      <c r="H1730" s="30">
        <v>2013</v>
      </c>
      <c r="I1730" s="30">
        <v>2878433</v>
      </c>
      <c r="J1730" s="30" t="s">
        <v>5431</v>
      </c>
      <c r="K1730" s="30" t="s">
        <v>5430</v>
      </c>
    </row>
    <row r="1731" spans="1:11" ht="12.5" x14ac:dyDescent="0.25">
      <c r="A1731" s="30" t="s">
        <v>5429</v>
      </c>
      <c r="B1731" s="30" t="s">
        <v>5428</v>
      </c>
      <c r="C1731" s="32">
        <v>22.11</v>
      </c>
      <c r="D1731" s="30">
        <v>0.25</v>
      </c>
      <c r="E1731" s="31">
        <v>1.1440000000000001E-2</v>
      </c>
      <c r="F1731" s="30">
        <v>3931038606</v>
      </c>
      <c r="G1731" s="30" t="s">
        <v>5427</v>
      </c>
      <c r="H1731" s="30">
        <v>2012</v>
      </c>
      <c r="I1731" s="30">
        <v>1091638</v>
      </c>
      <c r="J1731" s="30" t="s">
        <v>5426</v>
      </c>
      <c r="K1731" s="30" t="s">
        <v>5425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0C2B8-98A1-4073-B729-0517BB82178F}">
  <dimension ref="A1:K126"/>
  <sheetViews>
    <sheetView tabSelected="1" workbookViewId="0">
      <selection sqref="A1:K126"/>
    </sheetView>
  </sheetViews>
  <sheetFormatPr defaultRowHeight="12.5" x14ac:dyDescent="0.25"/>
  <sheetData>
    <row r="1" spans="1:11" x14ac:dyDescent="0.25">
      <c r="A1" s="30" t="s">
        <v>9043</v>
      </c>
      <c r="B1" s="30" t="s">
        <v>9042</v>
      </c>
      <c r="C1" s="30" t="s">
        <v>9041</v>
      </c>
      <c r="D1" s="30" t="s">
        <v>9040</v>
      </c>
      <c r="E1" s="30" t="s">
        <v>9039</v>
      </c>
      <c r="F1" s="30" t="s">
        <v>9038</v>
      </c>
      <c r="G1" s="30" t="s">
        <v>9037</v>
      </c>
      <c r="H1" s="30" t="s">
        <v>9036</v>
      </c>
      <c r="I1" s="30" t="s">
        <v>9035</v>
      </c>
      <c r="J1" s="30" t="s">
        <v>5155</v>
      </c>
      <c r="K1" s="30" t="s">
        <v>9034</v>
      </c>
    </row>
    <row r="2" spans="1:11" x14ac:dyDescent="0.25">
      <c r="A2" s="30" t="s">
        <v>14399</v>
      </c>
      <c r="B2" s="30" t="s">
        <v>14400</v>
      </c>
      <c r="C2" s="32">
        <v>38.575000000000003</v>
      </c>
      <c r="D2" s="30">
        <v>0.495</v>
      </c>
      <c r="E2" s="31">
        <v>1.2999999999999999E-2</v>
      </c>
      <c r="F2" s="30">
        <v>68555683</v>
      </c>
      <c r="G2" s="30" t="s">
        <v>5427</v>
      </c>
      <c r="H2" s="30"/>
      <c r="I2" s="30">
        <v>11685</v>
      </c>
      <c r="J2" s="30" t="s">
        <v>5435</v>
      </c>
      <c r="K2" s="30" t="s">
        <v>5434</v>
      </c>
    </row>
    <row r="3" spans="1:11" x14ac:dyDescent="0.25">
      <c r="A3" s="30" t="s">
        <v>14401</v>
      </c>
      <c r="B3" s="30" t="s">
        <v>14402</v>
      </c>
      <c r="C3" s="32">
        <v>23.33</v>
      </c>
      <c r="D3" s="30">
        <v>-0.27</v>
      </c>
      <c r="E3" s="31">
        <v>-1.1440000000000001E-2</v>
      </c>
      <c r="F3" s="30">
        <v>82465228</v>
      </c>
      <c r="G3" s="30" t="s">
        <v>5427</v>
      </c>
      <c r="H3" s="30">
        <v>1988</v>
      </c>
      <c r="I3" s="30">
        <v>2589</v>
      </c>
      <c r="J3" s="30" t="s">
        <v>5442</v>
      </c>
      <c r="K3" s="30" t="s">
        <v>5894</v>
      </c>
    </row>
    <row r="4" spans="1:11" x14ac:dyDescent="0.25">
      <c r="A4" s="30" t="s">
        <v>14403</v>
      </c>
      <c r="B4" s="30" t="s">
        <v>14404</v>
      </c>
      <c r="C4" s="32">
        <v>10.49</v>
      </c>
      <c r="D4" s="30">
        <v>0.01</v>
      </c>
      <c r="E4" s="31">
        <v>9.5E-4</v>
      </c>
      <c r="F4" s="30">
        <v>150793750</v>
      </c>
      <c r="G4" s="30" t="s">
        <v>5427</v>
      </c>
      <c r="H4" s="30">
        <v>2021</v>
      </c>
      <c r="I4" s="30">
        <v>27780</v>
      </c>
      <c r="J4" s="30" t="s">
        <v>5457</v>
      </c>
      <c r="K4" s="30" t="s">
        <v>5571</v>
      </c>
    </row>
    <row r="5" spans="1:11" x14ac:dyDescent="0.25">
      <c r="A5" s="30" t="s">
        <v>14405</v>
      </c>
      <c r="B5" s="30" t="s">
        <v>14406</v>
      </c>
      <c r="C5" s="32">
        <v>49.49</v>
      </c>
      <c r="D5" s="30">
        <v>1.49</v>
      </c>
      <c r="E5" s="31">
        <v>3.1040000000000002E-2</v>
      </c>
      <c r="F5" s="30">
        <v>121369474</v>
      </c>
      <c r="G5" s="30" t="s">
        <v>5427</v>
      </c>
      <c r="H5" s="30">
        <v>1980</v>
      </c>
      <c r="I5" s="30">
        <v>100543</v>
      </c>
      <c r="J5" s="30" t="s">
        <v>5464</v>
      </c>
      <c r="K5" s="30" t="s">
        <v>5588</v>
      </c>
    </row>
    <row r="6" spans="1:11" x14ac:dyDescent="0.25">
      <c r="A6" s="30" t="s">
        <v>14407</v>
      </c>
      <c r="B6" s="30" t="s">
        <v>14408</v>
      </c>
      <c r="C6" s="32">
        <v>5.75</v>
      </c>
      <c r="D6" s="30">
        <v>0.11</v>
      </c>
      <c r="E6" s="31">
        <v>1.95E-2</v>
      </c>
      <c r="F6" s="30">
        <v>291822724</v>
      </c>
      <c r="G6" s="30" t="s">
        <v>5427</v>
      </c>
      <c r="H6" s="30"/>
      <c r="I6" s="30">
        <v>284584</v>
      </c>
      <c r="J6" s="30" t="s">
        <v>5435</v>
      </c>
      <c r="K6" s="30" t="s">
        <v>5985</v>
      </c>
    </row>
    <row r="7" spans="1:11" x14ac:dyDescent="0.25">
      <c r="A7" s="30" t="s">
        <v>14409</v>
      </c>
      <c r="B7" s="30" t="s">
        <v>14410</v>
      </c>
      <c r="C7" s="32">
        <v>4.17</v>
      </c>
      <c r="D7" s="30">
        <v>0.03</v>
      </c>
      <c r="E7" s="31">
        <v>7.2500000000000004E-3</v>
      </c>
      <c r="F7" s="30">
        <v>52187367</v>
      </c>
      <c r="G7" s="30" t="s">
        <v>5515</v>
      </c>
      <c r="H7" s="30">
        <v>2000</v>
      </c>
      <c r="I7" s="30">
        <v>30304</v>
      </c>
      <c r="J7" s="30"/>
      <c r="K7" s="30"/>
    </row>
    <row r="8" spans="1:11" x14ac:dyDescent="0.25">
      <c r="A8" s="30" t="s">
        <v>14411</v>
      </c>
      <c r="B8" s="30" t="s">
        <v>14412</v>
      </c>
      <c r="C8" s="32">
        <v>2.75</v>
      </c>
      <c r="D8" s="30">
        <v>-0.23</v>
      </c>
      <c r="E8" s="31">
        <v>-7.7179999999999999E-2</v>
      </c>
      <c r="F8" s="30">
        <v>99397942</v>
      </c>
      <c r="G8" s="30" t="s">
        <v>5427</v>
      </c>
      <c r="H8" s="30"/>
      <c r="I8" s="30">
        <v>3752</v>
      </c>
      <c r="J8" s="30" t="s">
        <v>5431</v>
      </c>
      <c r="K8" s="30" t="s">
        <v>6409</v>
      </c>
    </row>
    <row r="9" spans="1:11" x14ac:dyDescent="0.25">
      <c r="A9" s="30" t="s">
        <v>14413</v>
      </c>
      <c r="B9" s="30" t="s">
        <v>14414</v>
      </c>
      <c r="C9" s="32">
        <v>0.78949999999999998</v>
      </c>
      <c r="D9" s="30">
        <v>1.6500000000000001E-2</v>
      </c>
      <c r="E9" s="31">
        <v>2.1350000000000001E-2</v>
      </c>
      <c r="F9" s="30">
        <v>93436607</v>
      </c>
      <c r="G9" s="30" t="s">
        <v>5515</v>
      </c>
      <c r="H9" s="30"/>
      <c r="I9" s="30">
        <v>404331</v>
      </c>
      <c r="J9" s="30"/>
      <c r="K9" s="30"/>
    </row>
    <row r="10" spans="1:11" x14ac:dyDescent="0.25">
      <c r="A10" s="30" t="s">
        <v>14415</v>
      </c>
      <c r="B10" s="30" t="s">
        <v>14416</v>
      </c>
      <c r="C10" s="32">
        <v>0.74</v>
      </c>
      <c r="D10" s="30">
        <v>-0.06</v>
      </c>
      <c r="E10" s="31">
        <v>-7.4999999999999997E-2</v>
      </c>
      <c r="F10" s="30">
        <v>175261519</v>
      </c>
      <c r="G10" s="30" t="s">
        <v>5427</v>
      </c>
      <c r="H10" s="30"/>
      <c r="I10" s="30">
        <v>2131683</v>
      </c>
      <c r="J10" s="30" t="s">
        <v>5431</v>
      </c>
      <c r="K10" s="30" t="s">
        <v>5500</v>
      </c>
    </row>
    <row r="11" spans="1:11" x14ac:dyDescent="0.25">
      <c r="A11" s="30" t="s">
        <v>14417</v>
      </c>
      <c r="B11" s="30" t="s">
        <v>14418</v>
      </c>
      <c r="C11" s="32">
        <v>11.59</v>
      </c>
      <c r="D11" s="30">
        <v>-0.13</v>
      </c>
      <c r="E11" s="31">
        <v>-1.1089999999999999E-2</v>
      </c>
      <c r="F11" s="30">
        <v>295351517</v>
      </c>
      <c r="G11" s="30" t="s">
        <v>5427</v>
      </c>
      <c r="H11" s="30"/>
      <c r="I11" s="30">
        <v>163068</v>
      </c>
      <c r="J11" s="30" t="s">
        <v>5431</v>
      </c>
      <c r="K11" s="30" t="s">
        <v>5430</v>
      </c>
    </row>
    <row r="12" spans="1:11" x14ac:dyDescent="0.25">
      <c r="A12" s="30" t="s">
        <v>14419</v>
      </c>
      <c r="B12" s="30" t="s">
        <v>14420</v>
      </c>
      <c r="C12" s="32">
        <v>0.13519999999999999</v>
      </c>
      <c r="D12" s="30">
        <v>6.1999999999999998E-3</v>
      </c>
      <c r="E12" s="31">
        <v>4.8059999999999999E-2</v>
      </c>
      <c r="F12" s="30">
        <v>53363144</v>
      </c>
      <c r="G12" s="30" t="s">
        <v>5427</v>
      </c>
      <c r="H12" s="30">
        <v>1997</v>
      </c>
      <c r="I12" s="30">
        <v>6937947</v>
      </c>
      <c r="J12" s="30" t="s">
        <v>5457</v>
      </c>
      <c r="K12" s="30" t="s">
        <v>5701</v>
      </c>
    </row>
    <row r="13" spans="1:11" x14ac:dyDescent="0.25">
      <c r="A13" s="30" t="s">
        <v>14421</v>
      </c>
      <c r="B13" s="30" t="s">
        <v>14422</v>
      </c>
      <c r="C13" s="32">
        <v>18.72</v>
      </c>
      <c r="D13" s="30">
        <v>0.36990000000000001</v>
      </c>
      <c r="E13" s="31">
        <v>2.0160000000000001E-2</v>
      </c>
      <c r="F13" s="30">
        <v>109295934</v>
      </c>
      <c r="G13" s="30" t="s">
        <v>5427</v>
      </c>
      <c r="H13" s="30">
        <v>1972</v>
      </c>
      <c r="I13" s="30">
        <v>10138</v>
      </c>
      <c r="J13" s="30" t="s">
        <v>5435</v>
      </c>
      <c r="K13" s="30" t="s">
        <v>5985</v>
      </c>
    </row>
    <row r="14" spans="1:11" x14ac:dyDescent="0.25">
      <c r="A14" s="30" t="s">
        <v>14423</v>
      </c>
      <c r="B14" s="30" t="s">
        <v>14424</v>
      </c>
      <c r="C14" s="32">
        <v>7.51</v>
      </c>
      <c r="D14" s="30">
        <v>-2.0299999999999999E-2</v>
      </c>
      <c r="E14" s="31">
        <v>-2.7000000000000001E-3</v>
      </c>
      <c r="F14" s="30">
        <v>140669577</v>
      </c>
      <c r="G14" s="30" t="s">
        <v>5515</v>
      </c>
      <c r="H14" s="30"/>
      <c r="I14" s="30">
        <v>49268</v>
      </c>
      <c r="J14" s="30"/>
      <c r="K14" s="30"/>
    </row>
    <row r="15" spans="1:11" x14ac:dyDescent="0.25">
      <c r="A15" s="30" t="s">
        <v>14425</v>
      </c>
      <c r="B15" s="30" t="s">
        <v>14426</v>
      </c>
      <c r="C15" s="32">
        <v>31.56</v>
      </c>
      <c r="D15" s="30">
        <v>0.49</v>
      </c>
      <c r="E15" s="31">
        <v>1.5769999999999999E-2</v>
      </c>
      <c r="F15" s="30">
        <v>476019480</v>
      </c>
      <c r="G15" s="30" t="s">
        <v>5427</v>
      </c>
      <c r="H15" s="30">
        <v>1997</v>
      </c>
      <c r="I15" s="30">
        <v>31083</v>
      </c>
      <c r="J15" s="30" t="s">
        <v>5435</v>
      </c>
      <c r="K15" s="30" t="s">
        <v>5579</v>
      </c>
    </row>
    <row r="16" spans="1:11" x14ac:dyDescent="0.25">
      <c r="A16" s="30" t="s">
        <v>14427</v>
      </c>
      <c r="B16" s="30" t="s">
        <v>14428</v>
      </c>
      <c r="C16" s="32">
        <v>3.51</v>
      </c>
      <c r="D16" s="30">
        <v>-0.32</v>
      </c>
      <c r="E16" s="31">
        <v>-8.3549999999999999E-2</v>
      </c>
      <c r="F16" s="30">
        <v>59614882</v>
      </c>
      <c r="G16" s="30" t="s">
        <v>5427</v>
      </c>
      <c r="H16" s="30"/>
      <c r="I16" s="30">
        <v>27974</v>
      </c>
      <c r="J16" s="30" t="s">
        <v>5219</v>
      </c>
      <c r="K16" s="30" t="s">
        <v>5780</v>
      </c>
    </row>
    <row r="17" spans="1:11" x14ac:dyDescent="0.25">
      <c r="A17" s="30" t="s">
        <v>14429</v>
      </c>
      <c r="B17" s="30" t="s">
        <v>14430</v>
      </c>
      <c r="C17" s="32">
        <v>4.07</v>
      </c>
      <c r="D17" s="30">
        <v>0.1</v>
      </c>
      <c r="E17" s="31">
        <v>2.5190000000000001E-2</v>
      </c>
      <c r="F17" s="30">
        <v>4373486327</v>
      </c>
      <c r="G17" s="30" t="s">
        <v>5515</v>
      </c>
      <c r="H17" s="30"/>
      <c r="I17" s="30">
        <v>10478935</v>
      </c>
      <c r="J17" s="30"/>
      <c r="K17" s="30"/>
    </row>
    <row r="18" spans="1:11" x14ac:dyDescent="0.25">
      <c r="A18" s="30" t="s">
        <v>14431</v>
      </c>
      <c r="B18" s="30" t="s">
        <v>14432</v>
      </c>
      <c r="C18" s="32">
        <v>93.83</v>
      </c>
      <c r="D18" s="30">
        <v>-0.55000000000000004</v>
      </c>
      <c r="E18" s="31">
        <v>-5.8300000000000001E-3</v>
      </c>
      <c r="F18" s="30">
        <v>891386689</v>
      </c>
      <c r="G18" s="30" t="s">
        <v>5427</v>
      </c>
      <c r="H18" s="30">
        <v>1995</v>
      </c>
      <c r="I18" s="30">
        <v>33828</v>
      </c>
      <c r="J18" s="30" t="s">
        <v>5442</v>
      </c>
      <c r="K18" s="30" t="s">
        <v>6204</v>
      </c>
    </row>
    <row r="19" spans="1:11" x14ac:dyDescent="0.25">
      <c r="A19" s="30" t="s">
        <v>14433</v>
      </c>
      <c r="B19" s="30" t="s">
        <v>14434</v>
      </c>
      <c r="C19" s="32">
        <v>35.81</v>
      </c>
      <c r="D19" s="30">
        <v>0.36</v>
      </c>
      <c r="E19" s="31">
        <v>1.0160000000000001E-2</v>
      </c>
      <c r="F19" s="30">
        <v>976534546</v>
      </c>
      <c r="G19" s="30" t="s">
        <v>5427</v>
      </c>
      <c r="H19" s="30">
        <v>1951</v>
      </c>
      <c r="I19" s="30">
        <v>6340</v>
      </c>
      <c r="J19" s="30" t="s">
        <v>5435</v>
      </c>
      <c r="K19" s="30" t="s">
        <v>5985</v>
      </c>
    </row>
    <row r="20" spans="1:11" x14ac:dyDescent="0.25">
      <c r="A20" s="30" t="s">
        <v>14435</v>
      </c>
      <c r="B20" s="30" t="s">
        <v>14436</v>
      </c>
      <c r="C20" s="32">
        <v>10.64</v>
      </c>
      <c r="D20" s="30">
        <v>0.01</v>
      </c>
      <c r="E20" s="31">
        <v>9.3999999999999997E-4</v>
      </c>
      <c r="F20" s="30">
        <v>74837238</v>
      </c>
      <c r="G20" s="30" t="s">
        <v>5427</v>
      </c>
      <c r="H20" s="30">
        <v>1999</v>
      </c>
      <c r="I20" s="30">
        <v>15695</v>
      </c>
      <c r="J20" s="30" t="s">
        <v>5435</v>
      </c>
      <c r="K20" s="30" t="s">
        <v>5985</v>
      </c>
    </row>
    <row r="21" spans="1:11" x14ac:dyDescent="0.25">
      <c r="A21" s="30" t="s">
        <v>14437</v>
      </c>
      <c r="B21" s="30" t="s">
        <v>14438</v>
      </c>
      <c r="C21" s="32">
        <v>2.75</v>
      </c>
      <c r="D21" s="30">
        <v>0</v>
      </c>
      <c r="E21" s="31">
        <v>0</v>
      </c>
      <c r="F21" s="30">
        <v>143932228</v>
      </c>
      <c r="G21" s="30" t="s">
        <v>5427</v>
      </c>
      <c r="H21" s="30"/>
      <c r="I21" s="30">
        <v>159947</v>
      </c>
      <c r="J21" s="30" t="s">
        <v>5435</v>
      </c>
      <c r="K21" s="30" t="s">
        <v>5985</v>
      </c>
    </row>
    <row r="22" spans="1:11" x14ac:dyDescent="0.25">
      <c r="A22" s="30" t="s">
        <v>14439</v>
      </c>
      <c r="B22" s="30" t="s">
        <v>14440</v>
      </c>
      <c r="C22" s="32">
        <v>19.03</v>
      </c>
      <c r="D22" s="30">
        <v>0.09</v>
      </c>
      <c r="E22" s="31">
        <v>4.7499999999999999E-3</v>
      </c>
      <c r="F22" s="30">
        <v>234205198</v>
      </c>
      <c r="G22" s="30" t="s">
        <v>5427</v>
      </c>
      <c r="H22" s="30">
        <v>1998</v>
      </c>
      <c r="I22" s="30">
        <v>5662</v>
      </c>
      <c r="J22" s="30" t="s">
        <v>5219</v>
      </c>
      <c r="K22" s="30" t="s">
        <v>6786</v>
      </c>
    </row>
    <row r="23" spans="1:11" x14ac:dyDescent="0.25">
      <c r="A23" s="30" t="s">
        <v>14441</v>
      </c>
      <c r="B23" s="30" t="s">
        <v>14442</v>
      </c>
      <c r="C23" s="32">
        <v>8.18</v>
      </c>
      <c r="D23" s="30">
        <v>0.11</v>
      </c>
      <c r="E23" s="31">
        <v>1.363E-2</v>
      </c>
      <c r="F23" s="30">
        <v>1673395917</v>
      </c>
      <c r="G23" s="30" t="s">
        <v>5427</v>
      </c>
      <c r="H23" s="30">
        <v>2003</v>
      </c>
      <c r="I23" s="30">
        <v>1861447</v>
      </c>
      <c r="J23" s="30" t="s">
        <v>5435</v>
      </c>
      <c r="K23" s="30" t="s">
        <v>5985</v>
      </c>
    </row>
    <row r="24" spans="1:11" x14ac:dyDescent="0.25">
      <c r="A24" s="30" t="s">
        <v>14443</v>
      </c>
      <c r="B24" s="30" t="s">
        <v>14444</v>
      </c>
      <c r="C24" s="32">
        <v>14.09</v>
      </c>
      <c r="D24" s="30">
        <v>0.33</v>
      </c>
      <c r="E24" s="31">
        <v>2.3980000000000001E-2</v>
      </c>
      <c r="F24" s="30">
        <v>243521866</v>
      </c>
      <c r="G24" s="30" t="s">
        <v>5515</v>
      </c>
      <c r="H24" s="30"/>
      <c r="I24" s="30">
        <v>35013</v>
      </c>
      <c r="J24" s="30" t="s">
        <v>6250</v>
      </c>
      <c r="K24" s="30" t="s">
        <v>6859</v>
      </c>
    </row>
    <row r="25" spans="1:11" x14ac:dyDescent="0.25">
      <c r="A25" s="30" t="s">
        <v>14445</v>
      </c>
      <c r="B25" s="30" t="s">
        <v>14446</v>
      </c>
      <c r="C25" s="32">
        <v>15.71</v>
      </c>
      <c r="D25" s="30">
        <v>0.11</v>
      </c>
      <c r="E25" s="31">
        <v>7.0499999999999998E-3</v>
      </c>
      <c r="F25" s="30">
        <v>140139515</v>
      </c>
      <c r="G25" s="30" t="s">
        <v>5427</v>
      </c>
      <c r="H25" s="30">
        <v>1996</v>
      </c>
      <c r="I25" s="30">
        <v>65358</v>
      </c>
      <c r="J25" s="30" t="s">
        <v>5442</v>
      </c>
      <c r="K25" s="30" t="s">
        <v>5965</v>
      </c>
    </row>
    <row r="26" spans="1:11" x14ac:dyDescent="0.25">
      <c r="A26" s="30" t="s">
        <v>14447</v>
      </c>
      <c r="B26" s="30" t="s">
        <v>14448</v>
      </c>
      <c r="C26" s="32">
        <v>54.59</v>
      </c>
      <c r="D26" s="30">
        <v>0.02</v>
      </c>
      <c r="E26" s="31">
        <v>3.6999999999999999E-4</v>
      </c>
      <c r="F26" s="30">
        <v>26423286300</v>
      </c>
      <c r="G26" s="30" t="s">
        <v>5427</v>
      </c>
      <c r="H26" s="30">
        <v>2007</v>
      </c>
      <c r="I26" s="30">
        <v>155955</v>
      </c>
      <c r="J26" s="30" t="s">
        <v>5426</v>
      </c>
      <c r="K26" s="30" t="s">
        <v>6094</v>
      </c>
    </row>
    <row r="27" spans="1:11" x14ac:dyDescent="0.25">
      <c r="A27" s="30" t="s">
        <v>14449</v>
      </c>
      <c r="B27" s="30" t="s">
        <v>14450</v>
      </c>
      <c r="C27" s="32">
        <v>7.96</v>
      </c>
      <c r="D27" s="30">
        <v>0.13</v>
      </c>
      <c r="E27" s="31">
        <v>1.66E-2</v>
      </c>
      <c r="F27" s="30">
        <v>773310498</v>
      </c>
      <c r="G27" s="30" t="s">
        <v>5427</v>
      </c>
      <c r="H27" s="30">
        <v>2003</v>
      </c>
      <c r="I27" s="30">
        <v>850187</v>
      </c>
      <c r="J27" s="30" t="s">
        <v>5435</v>
      </c>
      <c r="K27" s="30" t="s">
        <v>5985</v>
      </c>
    </row>
    <row r="28" spans="1:11" x14ac:dyDescent="0.25">
      <c r="A28" s="30" t="s">
        <v>14451</v>
      </c>
      <c r="B28" s="30" t="s">
        <v>14452</v>
      </c>
      <c r="C28" s="32">
        <v>2.62</v>
      </c>
      <c r="D28" s="30">
        <v>0</v>
      </c>
      <c r="E28" s="31">
        <v>0</v>
      </c>
      <c r="F28" s="30">
        <v>114441241</v>
      </c>
      <c r="G28" s="30" t="s">
        <v>5427</v>
      </c>
      <c r="H28" s="30">
        <v>1997</v>
      </c>
      <c r="I28" s="30">
        <v>66661</v>
      </c>
      <c r="J28" s="30" t="s">
        <v>5431</v>
      </c>
      <c r="K28" s="30" t="s">
        <v>6409</v>
      </c>
    </row>
    <row r="29" spans="1:11" x14ac:dyDescent="0.25">
      <c r="A29" s="30" t="s">
        <v>14453</v>
      </c>
      <c r="B29" s="30" t="s">
        <v>14454</v>
      </c>
      <c r="C29" s="32">
        <v>1.95</v>
      </c>
      <c r="D29" s="30">
        <v>0.02</v>
      </c>
      <c r="E29" s="31">
        <v>1.0359999999999999E-2</v>
      </c>
      <c r="F29" s="30">
        <v>201851783</v>
      </c>
      <c r="G29" s="30" t="s">
        <v>5427</v>
      </c>
      <c r="H29" s="30">
        <v>1998</v>
      </c>
      <c r="I29" s="30">
        <v>434984</v>
      </c>
      <c r="J29" s="30" t="s">
        <v>5435</v>
      </c>
      <c r="K29" s="30" t="s">
        <v>5985</v>
      </c>
    </row>
    <row r="30" spans="1:11" x14ac:dyDescent="0.25">
      <c r="A30" s="30" t="s">
        <v>14455</v>
      </c>
      <c r="B30" s="30" t="s">
        <v>14456</v>
      </c>
      <c r="C30" s="32">
        <v>175.09</v>
      </c>
      <c r="D30" s="30">
        <v>-1.41</v>
      </c>
      <c r="E30" s="31">
        <v>-7.9900000000000006E-3</v>
      </c>
      <c r="F30" s="30">
        <v>106989095</v>
      </c>
      <c r="G30" s="30" t="s">
        <v>5427</v>
      </c>
      <c r="H30" s="30">
        <v>1999</v>
      </c>
      <c r="I30" s="30">
        <v>233</v>
      </c>
      <c r="J30" s="30" t="s">
        <v>5442</v>
      </c>
      <c r="K30" s="30" t="s">
        <v>5735</v>
      </c>
    </row>
    <row r="31" spans="1:11" x14ac:dyDescent="0.25">
      <c r="A31" s="30" t="s">
        <v>14457</v>
      </c>
      <c r="B31" s="30" t="s">
        <v>14458</v>
      </c>
      <c r="C31" s="32">
        <v>11.53</v>
      </c>
      <c r="D31" s="30">
        <v>-0.14000000000000001</v>
      </c>
      <c r="E31" s="31">
        <v>-1.2E-2</v>
      </c>
      <c r="F31" s="30">
        <v>80724643</v>
      </c>
      <c r="G31" s="30" t="s">
        <v>5427</v>
      </c>
      <c r="H31" s="30">
        <v>2000</v>
      </c>
      <c r="I31" s="30">
        <v>47793</v>
      </c>
      <c r="J31" s="30" t="s">
        <v>5442</v>
      </c>
      <c r="K31" s="30" t="s">
        <v>5534</v>
      </c>
    </row>
    <row r="32" spans="1:11" x14ac:dyDescent="0.25">
      <c r="A32" s="30" t="s">
        <v>14459</v>
      </c>
      <c r="B32" s="30" t="s">
        <v>14460</v>
      </c>
      <c r="C32" s="32">
        <v>6.67</v>
      </c>
      <c r="D32" s="30">
        <v>0.03</v>
      </c>
      <c r="E32" s="31">
        <v>4.5199999999999997E-3</v>
      </c>
      <c r="F32" s="30">
        <v>138450971</v>
      </c>
      <c r="G32" s="30" t="s">
        <v>5427</v>
      </c>
      <c r="H32" s="30">
        <v>1988</v>
      </c>
      <c r="I32" s="30">
        <v>53872</v>
      </c>
      <c r="J32" s="30" t="s">
        <v>5435</v>
      </c>
      <c r="K32" s="30" t="s">
        <v>5985</v>
      </c>
    </row>
    <row r="33" spans="1:11" x14ac:dyDescent="0.25">
      <c r="A33" s="30" t="s">
        <v>14461</v>
      </c>
      <c r="B33" s="30" t="s">
        <v>14462</v>
      </c>
      <c r="C33" s="32">
        <v>1.5</v>
      </c>
      <c r="D33" s="30">
        <v>0.06</v>
      </c>
      <c r="E33" s="31">
        <v>4.1669999999999999E-2</v>
      </c>
      <c r="F33" s="30">
        <v>1233322014</v>
      </c>
      <c r="G33" s="30" t="s">
        <v>5515</v>
      </c>
      <c r="H33" s="30"/>
      <c r="I33" s="30">
        <v>9626025</v>
      </c>
      <c r="J33" s="30"/>
      <c r="K33" s="30"/>
    </row>
    <row r="34" spans="1:11" x14ac:dyDescent="0.25">
      <c r="A34" s="30" t="s">
        <v>14463</v>
      </c>
      <c r="B34" s="30" t="s">
        <v>14464</v>
      </c>
      <c r="C34" s="32">
        <v>6.92</v>
      </c>
      <c r="D34" s="30">
        <v>0.04</v>
      </c>
      <c r="E34" s="31">
        <v>5.8100000000000001E-3</v>
      </c>
      <c r="F34" s="30">
        <v>413302370</v>
      </c>
      <c r="G34" s="30" t="s">
        <v>5427</v>
      </c>
      <c r="H34" s="30">
        <v>2003</v>
      </c>
      <c r="I34" s="30">
        <v>243255</v>
      </c>
      <c r="J34" s="30" t="s">
        <v>5435</v>
      </c>
      <c r="K34" s="30" t="s">
        <v>5985</v>
      </c>
    </row>
    <row r="35" spans="1:11" x14ac:dyDescent="0.25">
      <c r="A35" s="30" t="s">
        <v>14465</v>
      </c>
      <c r="B35" s="30" t="s">
        <v>14466</v>
      </c>
      <c r="C35" s="32">
        <v>8.9499999999999993</v>
      </c>
      <c r="D35" s="30">
        <v>0.18</v>
      </c>
      <c r="E35" s="31">
        <v>2.052E-2</v>
      </c>
      <c r="F35" s="30">
        <v>122665711</v>
      </c>
      <c r="G35" s="30" t="s">
        <v>5427</v>
      </c>
      <c r="H35" s="30">
        <v>1986</v>
      </c>
      <c r="I35" s="30">
        <v>13169</v>
      </c>
      <c r="J35" s="30" t="s">
        <v>5435</v>
      </c>
      <c r="K35" s="30" t="s">
        <v>5985</v>
      </c>
    </row>
    <row r="36" spans="1:11" x14ac:dyDescent="0.25">
      <c r="A36" s="30" t="s">
        <v>14467</v>
      </c>
      <c r="B36" s="30" t="s">
        <v>14468</v>
      </c>
      <c r="C36" s="32">
        <v>10.58</v>
      </c>
      <c r="D36" s="30">
        <v>0.04</v>
      </c>
      <c r="E36" s="31">
        <v>3.8E-3</v>
      </c>
      <c r="F36" s="30">
        <v>761264687</v>
      </c>
      <c r="G36" s="30" t="s">
        <v>5427</v>
      </c>
      <c r="H36" s="30">
        <v>2002</v>
      </c>
      <c r="I36" s="30">
        <v>188183</v>
      </c>
      <c r="J36" s="30" t="s">
        <v>5435</v>
      </c>
      <c r="K36" s="30" t="s">
        <v>5985</v>
      </c>
    </row>
    <row r="37" spans="1:11" x14ac:dyDescent="0.25">
      <c r="A37" s="30" t="s">
        <v>14469</v>
      </c>
      <c r="B37" s="30" t="s">
        <v>14470</v>
      </c>
      <c r="C37" s="32">
        <v>6.64</v>
      </c>
      <c r="D37" s="30">
        <v>-3.9800000000000002E-2</v>
      </c>
      <c r="E37" s="31">
        <v>-5.96E-3</v>
      </c>
      <c r="F37" s="30">
        <v>178777890</v>
      </c>
      <c r="G37" s="30" t="s">
        <v>5427</v>
      </c>
      <c r="H37" s="30"/>
      <c r="I37" s="30">
        <v>82977</v>
      </c>
      <c r="J37" s="30" t="s">
        <v>5442</v>
      </c>
      <c r="K37" s="30" t="s">
        <v>6994</v>
      </c>
    </row>
    <row r="38" spans="1:11" x14ac:dyDescent="0.25">
      <c r="A38" s="30" t="s">
        <v>14471</v>
      </c>
      <c r="B38" s="30" t="s">
        <v>14472</v>
      </c>
      <c r="C38" s="32">
        <v>11.26</v>
      </c>
      <c r="D38" s="30">
        <v>0.47</v>
      </c>
      <c r="E38" s="31">
        <v>4.3560000000000001E-2</v>
      </c>
      <c r="F38" s="30">
        <v>95541821</v>
      </c>
      <c r="G38" s="30" t="s">
        <v>5427</v>
      </c>
      <c r="H38" s="30">
        <v>2011</v>
      </c>
      <c r="I38" s="30">
        <v>28445</v>
      </c>
      <c r="J38" s="30" t="s">
        <v>5431</v>
      </c>
      <c r="K38" s="30" t="s">
        <v>6537</v>
      </c>
    </row>
    <row r="39" spans="1:11" x14ac:dyDescent="0.25">
      <c r="A39" s="30" t="s">
        <v>14473</v>
      </c>
      <c r="B39" s="30" t="s">
        <v>14474</v>
      </c>
      <c r="C39" s="32">
        <v>1.01</v>
      </c>
      <c r="D39" s="30">
        <v>-0.01</v>
      </c>
      <c r="E39" s="31">
        <v>-9.7999999999999997E-3</v>
      </c>
      <c r="F39" s="30">
        <v>78998739</v>
      </c>
      <c r="G39" s="30" t="s">
        <v>5427</v>
      </c>
      <c r="H39" s="30"/>
      <c r="I39" s="30">
        <v>180802</v>
      </c>
      <c r="J39" s="30" t="s">
        <v>5219</v>
      </c>
      <c r="K39" s="30" t="s">
        <v>5644</v>
      </c>
    </row>
    <row r="40" spans="1:11" x14ac:dyDescent="0.25">
      <c r="A40" s="30" t="s">
        <v>14475</v>
      </c>
      <c r="B40" s="30" t="s">
        <v>14476</v>
      </c>
      <c r="C40" s="32">
        <v>2.08</v>
      </c>
      <c r="D40" s="30">
        <v>0.04</v>
      </c>
      <c r="E40" s="31">
        <v>1.9609999999999999E-2</v>
      </c>
      <c r="F40" s="30">
        <v>230042155</v>
      </c>
      <c r="G40" s="30" t="s">
        <v>5515</v>
      </c>
      <c r="H40" s="30"/>
      <c r="I40" s="30">
        <v>107115</v>
      </c>
      <c r="J40" s="30"/>
      <c r="K40" s="30"/>
    </row>
    <row r="41" spans="1:11" x14ac:dyDescent="0.25">
      <c r="A41" s="30" t="s">
        <v>14477</v>
      </c>
      <c r="B41" s="30" t="s">
        <v>14478</v>
      </c>
      <c r="C41" s="32">
        <v>9.82</v>
      </c>
      <c r="D41" s="30">
        <v>0.12</v>
      </c>
      <c r="E41" s="31">
        <v>1.2370000000000001E-2</v>
      </c>
      <c r="F41" s="30">
        <v>176379858</v>
      </c>
      <c r="G41" s="30" t="s">
        <v>5427</v>
      </c>
      <c r="H41" s="30">
        <v>2002</v>
      </c>
      <c r="I41" s="30">
        <v>65307</v>
      </c>
      <c r="J41" s="30" t="s">
        <v>5435</v>
      </c>
      <c r="K41" s="30" t="s">
        <v>5985</v>
      </c>
    </row>
    <row r="42" spans="1:11" x14ac:dyDescent="0.25">
      <c r="A42" s="30" t="s">
        <v>14479</v>
      </c>
      <c r="B42" s="30" t="s">
        <v>14480</v>
      </c>
      <c r="C42" s="32">
        <v>13.18</v>
      </c>
      <c r="D42" s="30">
        <v>-0.01</v>
      </c>
      <c r="E42" s="31">
        <v>-7.6000000000000004E-4</v>
      </c>
      <c r="F42" s="30">
        <v>291226005</v>
      </c>
      <c r="G42" s="30" t="s">
        <v>5427</v>
      </c>
      <c r="H42" s="30">
        <v>2022</v>
      </c>
      <c r="I42" s="30">
        <v>20906</v>
      </c>
      <c r="J42" s="30" t="s">
        <v>5464</v>
      </c>
      <c r="K42" s="30" t="s">
        <v>5463</v>
      </c>
    </row>
    <row r="43" spans="1:11" x14ac:dyDescent="0.25">
      <c r="A43" s="30" t="s">
        <v>14481</v>
      </c>
      <c r="B43" s="30" t="s">
        <v>14482</v>
      </c>
      <c r="C43" s="32">
        <v>6.28</v>
      </c>
      <c r="D43" s="30">
        <v>0.04</v>
      </c>
      <c r="E43" s="31">
        <v>6.4099999999999999E-3</v>
      </c>
      <c r="F43" s="30">
        <v>211739375</v>
      </c>
      <c r="G43" s="30" t="s">
        <v>5427</v>
      </c>
      <c r="H43" s="30"/>
      <c r="I43" s="30">
        <v>378144</v>
      </c>
      <c r="J43" s="30" t="s">
        <v>5464</v>
      </c>
      <c r="K43" s="30" t="s">
        <v>5463</v>
      </c>
    </row>
    <row r="44" spans="1:11" x14ac:dyDescent="0.25">
      <c r="A44" s="30" t="s">
        <v>14483</v>
      </c>
      <c r="B44" s="30" t="s">
        <v>14484</v>
      </c>
      <c r="C44" s="32">
        <v>4.74</v>
      </c>
      <c r="D44" s="30">
        <v>0.19</v>
      </c>
      <c r="E44" s="31">
        <v>4.1759999999999999E-2</v>
      </c>
      <c r="F44" s="30">
        <v>1445969351</v>
      </c>
      <c r="G44" s="30" t="s">
        <v>5515</v>
      </c>
      <c r="H44" s="30"/>
      <c r="I44" s="30">
        <v>1805039</v>
      </c>
      <c r="J44" s="30"/>
      <c r="K44" s="30"/>
    </row>
    <row r="45" spans="1:11" x14ac:dyDescent="0.25">
      <c r="A45" s="30" t="s">
        <v>14485</v>
      </c>
      <c r="B45" s="30" t="s">
        <v>14486</v>
      </c>
      <c r="C45" s="32">
        <v>10.29</v>
      </c>
      <c r="D45" s="30">
        <v>0.06</v>
      </c>
      <c r="E45" s="31">
        <v>5.8700000000000002E-3</v>
      </c>
      <c r="F45" s="30">
        <v>288606840</v>
      </c>
      <c r="G45" s="30" t="s">
        <v>5427</v>
      </c>
      <c r="H45" s="30">
        <v>2003</v>
      </c>
      <c r="I45" s="30">
        <v>83303</v>
      </c>
      <c r="J45" s="30" t="s">
        <v>5435</v>
      </c>
      <c r="K45" s="30" t="s">
        <v>5985</v>
      </c>
    </row>
    <row r="46" spans="1:11" x14ac:dyDescent="0.25">
      <c r="A46" s="30" t="s">
        <v>14487</v>
      </c>
      <c r="B46" s="30" t="s">
        <v>14488</v>
      </c>
      <c r="C46" s="32">
        <v>39.79</v>
      </c>
      <c r="D46" s="30">
        <v>0.25</v>
      </c>
      <c r="E46" s="31">
        <v>6.3200000000000001E-3</v>
      </c>
      <c r="F46" s="30">
        <v>219400071</v>
      </c>
      <c r="G46" s="30" t="s">
        <v>5427</v>
      </c>
      <c r="H46" s="30"/>
      <c r="I46" s="30">
        <v>10870</v>
      </c>
      <c r="J46" s="30" t="s">
        <v>5435</v>
      </c>
      <c r="K46" s="30" t="s">
        <v>5579</v>
      </c>
    </row>
    <row r="47" spans="1:11" x14ac:dyDescent="0.25">
      <c r="A47" s="30" t="s">
        <v>14489</v>
      </c>
      <c r="B47" s="30" t="s">
        <v>14490</v>
      </c>
      <c r="C47" s="32">
        <v>19.53</v>
      </c>
      <c r="D47" s="30">
        <v>-0.83</v>
      </c>
      <c r="E47" s="31">
        <v>-4.0770000000000001E-2</v>
      </c>
      <c r="F47" s="30">
        <v>269464570</v>
      </c>
      <c r="G47" s="30" t="s">
        <v>5427</v>
      </c>
      <c r="H47" s="30">
        <v>1999</v>
      </c>
      <c r="I47" s="30">
        <v>31719</v>
      </c>
      <c r="J47" s="30" t="s">
        <v>5457</v>
      </c>
      <c r="K47" s="30" t="s">
        <v>5644</v>
      </c>
    </row>
    <row r="48" spans="1:11" x14ac:dyDescent="0.25">
      <c r="A48" s="30" t="s">
        <v>14491</v>
      </c>
      <c r="B48" s="30" t="s">
        <v>14492</v>
      </c>
      <c r="C48" s="32">
        <v>9.31</v>
      </c>
      <c r="D48" s="30">
        <v>0</v>
      </c>
      <c r="E48" s="31">
        <v>0</v>
      </c>
      <c r="F48" s="30">
        <v>229705062</v>
      </c>
      <c r="G48" s="30" t="s">
        <v>5427</v>
      </c>
      <c r="H48" s="30">
        <v>2002</v>
      </c>
      <c r="I48" s="30">
        <v>49341</v>
      </c>
      <c r="J48" s="30" t="s">
        <v>5435</v>
      </c>
      <c r="K48" s="30" t="s">
        <v>5985</v>
      </c>
    </row>
    <row r="49" spans="1:11" x14ac:dyDescent="0.25">
      <c r="A49" s="30" t="s">
        <v>14493</v>
      </c>
      <c r="B49" s="30" t="s">
        <v>14494</v>
      </c>
      <c r="C49" s="32">
        <v>10.35</v>
      </c>
      <c r="D49" s="30">
        <v>7.0000000000000007E-2</v>
      </c>
      <c r="E49" s="31">
        <v>6.8100000000000001E-3</v>
      </c>
      <c r="F49" s="30">
        <v>1202705811</v>
      </c>
      <c r="G49" s="30" t="s">
        <v>5427</v>
      </c>
      <c r="H49" s="30">
        <v>2003</v>
      </c>
      <c r="I49" s="30">
        <v>308781</v>
      </c>
      <c r="J49" s="30" t="s">
        <v>5435</v>
      </c>
      <c r="K49" s="30" t="s">
        <v>5985</v>
      </c>
    </row>
    <row r="50" spans="1:11" x14ac:dyDescent="0.25">
      <c r="A50" s="30" t="s">
        <v>14495</v>
      </c>
      <c r="B50" s="30" t="s">
        <v>14496</v>
      </c>
      <c r="C50" s="32">
        <v>2.88</v>
      </c>
      <c r="D50" s="30">
        <v>-0.01</v>
      </c>
      <c r="E50" s="31">
        <v>-3.46E-3</v>
      </c>
      <c r="F50" s="30">
        <v>713363815</v>
      </c>
      <c r="G50" s="30" t="s">
        <v>5427</v>
      </c>
      <c r="H50" s="30">
        <v>1986</v>
      </c>
      <c r="I50" s="30">
        <v>1053096</v>
      </c>
      <c r="J50" s="30" t="s">
        <v>5435</v>
      </c>
      <c r="K50" s="30" t="s">
        <v>5434</v>
      </c>
    </row>
    <row r="51" spans="1:11" x14ac:dyDescent="0.25">
      <c r="A51" s="30" t="s">
        <v>14497</v>
      </c>
      <c r="B51" s="30" t="s">
        <v>14498</v>
      </c>
      <c r="C51" s="32">
        <v>5.64</v>
      </c>
      <c r="D51" s="30">
        <v>0.03</v>
      </c>
      <c r="E51" s="31">
        <v>5.3499999999999997E-3</v>
      </c>
      <c r="F51" s="30">
        <v>63563561</v>
      </c>
      <c r="G51" s="30" t="s">
        <v>5427</v>
      </c>
      <c r="H51" s="30">
        <v>1992</v>
      </c>
      <c r="I51" s="30">
        <v>89302</v>
      </c>
      <c r="J51" s="30" t="s">
        <v>5435</v>
      </c>
      <c r="K51" s="30" t="s">
        <v>5434</v>
      </c>
    </row>
    <row r="52" spans="1:11" x14ac:dyDescent="0.25">
      <c r="A52" s="30" t="s">
        <v>14499</v>
      </c>
      <c r="B52" s="30" t="s">
        <v>14500</v>
      </c>
      <c r="C52" s="32">
        <v>14.32</v>
      </c>
      <c r="D52" s="30">
        <v>0.03</v>
      </c>
      <c r="E52" s="31">
        <v>2.0999999999999999E-3</v>
      </c>
      <c r="F52" s="30">
        <v>278621892</v>
      </c>
      <c r="G52" s="30" t="s">
        <v>5427</v>
      </c>
      <c r="H52" s="30">
        <v>2004</v>
      </c>
      <c r="I52" s="30">
        <v>51574</v>
      </c>
      <c r="J52" s="30" t="s">
        <v>5435</v>
      </c>
      <c r="K52" s="30" t="s">
        <v>5985</v>
      </c>
    </row>
    <row r="53" spans="1:11" x14ac:dyDescent="0.25">
      <c r="A53" s="30" t="s">
        <v>14501</v>
      </c>
      <c r="B53" s="30" t="s">
        <v>14502</v>
      </c>
      <c r="C53" s="32">
        <v>11.32</v>
      </c>
      <c r="D53" s="30">
        <v>0.11</v>
      </c>
      <c r="E53" s="31">
        <v>9.8099999999999993E-3</v>
      </c>
      <c r="F53" s="30">
        <v>83412699</v>
      </c>
      <c r="G53" s="30" t="s">
        <v>5427</v>
      </c>
      <c r="H53" s="30">
        <v>1975</v>
      </c>
      <c r="I53" s="30">
        <v>17355</v>
      </c>
      <c r="J53" s="30" t="s">
        <v>5457</v>
      </c>
      <c r="K53" s="30" t="s">
        <v>5472</v>
      </c>
    </row>
    <row r="54" spans="1:11" x14ac:dyDescent="0.25">
      <c r="A54" s="30" t="s">
        <v>14503</v>
      </c>
      <c r="B54" s="30" t="s">
        <v>14504</v>
      </c>
      <c r="C54" s="32">
        <v>3.02</v>
      </c>
      <c r="D54" s="30">
        <v>-0.06</v>
      </c>
      <c r="E54" s="31">
        <v>-1.9480000000000001E-2</v>
      </c>
      <c r="F54" s="30">
        <v>311772460</v>
      </c>
      <c r="G54" s="30" t="s">
        <v>5427</v>
      </c>
      <c r="H54" s="30"/>
      <c r="I54" s="30">
        <v>509443</v>
      </c>
      <c r="J54" s="30" t="s">
        <v>5197</v>
      </c>
      <c r="K54" s="30" t="s">
        <v>5467</v>
      </c>
    </row>
    <row r="55" spans="1:11" x14ac:dyDescent="0.25">
      <c r="A55" s="30" t="s">
        <v>14505</v>
      </c>
      <c r="B55" s="30" t="s">
        <v>14506</v>
      </c>
      <c r="C55" s="32">
        <v>6.52</v>
      </c>
      <c r="D55" s="30">
        <v>0.02</v>
      </c>
      <c r="E55" s="31">
        <v>3.0799999999999998E-3</v>
      </c>
      <c r="F55" s="30">
        <v>263443038</v>
      </c>
      <c r="G55" s="30" t="s">
        <v>5427</v>
      </c>
      <c r="H55" s="30">
        <v>2003</v>
      </c>
      <c r="I55" s="30">
        <v>197680</v>
      </c>
      <c r="J55" s="30" t="s">
        <v>5435</v>
      </c>
      <c r="K55" s="30" t="s">
        <v>5985</v>
      </c>
    </row>
    <row r="56" spans="1:11" x14ac:dyDescent="0.25">
      <c r="A56" s="30" t="s">
        <v>14507</v>
      </c>
      <c r="B56" s="30" t="s">
        <v>14508</v>
      </c>
      <c r="C56" s="32">
        <v>0.60840000000000005</v>
      </c>
      <c r="D56" s="30">
        <v>-1.6000000000000001E-3</v>
      </c>
      <c r="E56" s="31">
        <v>-2.6199999999999999E-3</v>
      </c>
      <c r="F56" s="30">
        <v>136855597</v>
      </c>
      <c r="G56" s="30" t="s">
        <v>5515</v>
      </c>
      <c r="H56" s="30"/>
      <c r="I56" s="30">
        <v>284154</v>
      </c>
      <c r="J56" s="30"/>
      <c r="K56" s="30"/>
    </row>
    <row r="57" spans="1:11" x14ac:dyDescent="0.25">
      <c r="A57" s="30" t="s">
        <v>14509</v>
      </c>
      <c r="B57" s="30" t="s">
        <v>14510</v>
      </c>
      <c r="C57" s="32">
        <v>10.44</v>
      </c>
      <c r="D57" s="30">
        <v>-0.2</v>
      </c>
      <c r="E57" s="31">
        <v>-1.8800000000000001E-2</v>
      </c>
      <c r="F57" s="30">
        <v>153026409</v>
      </c>
      <c r="G57" s="30" t="s">
        <v>5427</v>
      </c>
      <c r="H57" s="30"/>
      <c r="I57" s="30">
        <v>21834</v>
      </c>
      <c r="J57" s="30" t="s">
        <v>5457</v>
      </c>
      <c r="K57" s="30" t="s">
        <v>5460</v>
      </c>
    </row>
    <row r="58" spans="1:11" x14ac:dyDescent="0.25">
      <c r="A58" s="30" t="s">
        <v>14511</v>
      </c>
      <c r="B58" s="30" t="s">
        <v>14512</v>
      </c>
      <c r="C58" s="32">
        <v>3.82</v>
      </c>
      <c r="D58" s="30">
        <v>0.02</v>
      </c>
      <c r="E58" s="31">
        <v>5.2599999999999999E-3</v>
      </c>
      <c r="F58" s="30">
        <v>588884779</v>
      </c>
      <c r="G58" s="30" t="s">
        <v>5427</v>
      </c>
      <c r="H58" s="30">
        <v>2005</v>
      </c>
      <c r="I58" s="30">
        <v>800909</v>
      </c>
      <c r="J58" s="30" t="s">
        <v>5435</v>
      </c>
      <c r="K58" s="30" t="s">
        <v>5985</v>
      </c>
    </row>
    <row r="59" spans="1:11" x14ac:dyDescent="0.25">
      <c r="A59" s="30" t="s">
        <v>14513</v>
      </c>
      <c r="B59" s="30" t="s">
        <v>14514</v>
      </c>
      <c r="C59" s="32">
        <v>5.07</v>
      </c>
      <c r="D59" s="30">
        <v>7.0000000000000007E-2</v>
      </c>
      <c r="E59" s="31">
        <v>1.4E-2</v>
      </c>
      <c r="F59" s="30">
        <v>220776811</v>
      </c>
      <c r="G59" s="30" t="s">
        <v>5427</v>
      </c>
      <c r="H59" s="30">
        <v>2006</v>
      </c>
      <c r="I59" s="30">
        <v>386456</v>
      </c>
      <c r="J59" s="30" t="s">
        <v>5435</v>
      </c>
      <c r="K59" s="30" t="s">
        <v>5985</v>
      </c>
    </row>
    <row r="60" spans="1:11" x14ac:dyDescent="0.25">
      <c r="A60" s="30" t="s">
        <v>14515</v>
      </c>
      <c r="B60" s="30" t="s">
        <v>14516</v>
      </c>
      <c r="C60" s="32">
        <v>6.36</v>
      </c>
      <c r="D60" s="30">
        <v>0.08</v>
      </c>
      <c r="E60" s="31">
        <v>1.274E-2</v>
      </c>
      <c r="F60" s="30">
        <v>121632590</v>
      </c>
      <c r="G60" s="30" t="s">
        <v>5427</v>
      </c>
      <c r="H60" s="30">
        <v>2005</v>
      </c>
      <c r="I60" s="30">
        <v>171074</v>
      </c>
      <c r="J60" s="30" t="s">
        <v>5435</v>
      </c>
      <c r="K60" s="30" t="s">
        <v>5985</v>
      </c>
    </row>
    <row r="61" spans="1:11" x14ac:dyDescent="0.25">
      <c r="A61" s="30" t="s">
        <v>14517</v>
      </c>
      <c r="B61" s="30" t="s">
        <v>14518</v>
      </c>
      <c r="C61" s="32">
        <v>15.06</v>
      </c>
      <c r="D61" s="30">
        <v>0.2</v>
      </c>
      <c r="E61" s="31">
        <v>1.346E-2</v>
      </c>
      <c r="F61" s="30">
        <v>89891800</v>
      </c>
      <c r="G61" s="30" t="s">
        <v>5427</v>
      </c>
      <c r="H61" s="30">
        <v>2004</v>
      </c>
      <c r="I61" s="30">
        <v>16241</v>
      </c>
      <c r="J61" s="30" t="s">
        <v>5435</v>
      </c>
      <c r="K61" s="30" t="s">
        <v>5985</v>
      </c>
    </row>
    <row r="62" spans="1:11" x14ac:dyDescent="0.25">
      <c r="A62" s="30" t="s">
        <v>14519</v>
      </c>
      <c r="B62" s="30" t="s">
        <v>14520</v>
      </c>
      <c r="C62" s="32">
        <v>6.38</v>
      </c>
      <c r="D62" s="30">
        <v>0.02</v>
      </c>
      <c r="E62" s="31">
        <v>3.14E-3</v>
      </c>
      <c r="F62" s="30">
        <v>81087140</v>
      </c>
      <c r="G62" s="30" t="s">
        <v>5427</v>
      </c>
      <c r="H62" s="30">
        <v>2004</v>
      </c>
      <c r="I62" s="30">
        <v>79116</v>
      </c>
      <c r="J62" s="30" t="s">
        <v>5435</v>
      </c>
      <c r="K62" s="30" t="s">
        <v>5985</v>
      </c>
    </row>
    <row r="63" spans="1:11" x14ac:dyDescent="0.25">
      <c r="A63" s="30" t="s">
        <v>14521</v>
      </c>
      <c r="B63" s="30" t="s">
        <v>14522</v>
      </c>
      <c r="C63" s="32">
        <v>1.76</v>
      </c>
      <c r="D63" s="30">
        <v>0.03</v>
      </c>
      <c r="E63" s="31">
        <v>1.7340000000000001E-2</v>
      </c>
      <c r="F63" s="30">
        <v>155580672</v>
      </c>
      <c r="G63" s="30" t="s">
        <v>5427</v>
      </c>
      <c r="H63" s="30"/>
      <c r="I63" s="30">
        <v>480482</v>
      </c>
      <c r="J63" s="30" t="s">
        <v>6250</v>
      </c>
      <c r="K63" s="30" t="s">
        <v>6859</v>
      </c>
    </row>
    <row r="64" spans="1:11" x14ac:dyDescent="0.25">
      <c r="A64" s="30" t="s">
        <v>14523</v>
      </c>
      <c r="B64" s="30" t="s">
        <v>14524</v>
      </c>
      <c r="C64" s="32">
        <v>1.41</v>
      </c>
      <c r="D64" s="30">
        <v>0</v>
      </c>
      <c r="E64" s="31">
        <v>0</v>
      </c>
      <c r="F64" s="30">
        <v>2539410000</v>
      </c>
      <c r="G64" s="30" t="s">
        <v>5427</v>
      </c>
      <c r="H64" s="30">
        <v>2006</v>
      </c>
      <c r="I64" s="30">
        <v>4542688</v>
      </c>
      <c r="J64" s="30" t="s">
        <v>5442</v>
      </c>
      <c r="K64" s="30" t="s">
        <v>5520</v>
      </c>
    </row>
    <row r="65" spans="1:11" x14ac:dyDescent="0.25">
      <c r="A65" s="30" t="s">
        <v>14525</v>
      </c>
      <c r="B65" s="30" t="s">
        <v>14526</v>
      </c>
      <c r="C65" s="32">
        <v>0.92700000000000005</v>
      </c>
      <c r="D65" s="30">
        <v>-4.2799999999999998E-2</v>
      </c>
      <c r="E65" s="31">
        <v>-4.4130000000000003E-2</v>
      </c>
      <c r="F65" s="30">
        <v>320882123</v>
      </c>
      <c r="G65" s="30" t="s">
        <v>5515</v>
      </c>
      <c r="H65" s="30"/>
      <c r="I65" s="30">
        <v>3620054</v>
      </c>
      <c r="J65" s="30" t="s">
        <v>5464</v>
      </c>
      <c r="K65" s="30" t="s">
        <v>5463</v>
      </c>
    </row>
    <row r="66" spans="1:11" x14ac:dyDescent="0.25">
      <c r="A66" s="30" t="s">
        <v>14527</v>
      </c>
      <c r="B66" s="30" t="s">
        <v>14528</v>
      </c>
      <c r="C66" s="32">
        <v>11.03</v>
      </c>
      <c r="D66" s="30">
        <v>0.12</v>
      </c>
      <c r="E66" s="31">
        <v>1.0999999999999999E-2</v>
      </c>
      <c r="F66" s="30">
        <v>91932392</v>
      </c>
      <c r="G66" s="30" t="s">
        <v>5427</v>
      </c>
      <c r="H66" s="30">
        <v>2007</v>
      </c>
      <c r="I66" s="30">
        <v>20565</v>
      </c>
      <c r="J66" s="30" t="s">
        <v>5435</v>
      </c>
      <c r="K66" s="30" t="s">
        <v>5985</v>
      </c>
    </row>
    <row r="67" spans="1:11" x14ac:dyDescent="0.25">
      <c r="A67" s="30" t="s">
        <v>14529</v>
      </c>
      <c r="B67" s="30" t="s">
        <v>14530</v>
      </c>
      <c r="C67" s="32">
        <v>9.99</v>
      </c>
      <c r="D67" s="30">
        <v>0.01</v>
      </c>
      <c r="E67" s="31">
        <v>1E-3</v>
      </c>
      <c r="F67" s="30">
        <v>84730625</v>
      </c>
      <c r="G67" s="30" t="s">
        <v>5427</v>
      </c>
      <c r="H67" s="30">
        <v>2020</v>
      </c>
      <c r="I67" s="30">
        <v>200</v>
      </c>
      <c r="J67" s="30" t="s">
        <v>5435</v>
      </c>
      <c r="K67" s="30" t="s">
        <v>5482</v>
      </c>
    </row>
    <row r="68" spans="1:11" x14ac:dyDescent="0.25">
      <c r="A68" s="30" t="s">
        <v>14531</v>
      </c>
      <c r="B68" s="30" t="s">
        <v>14532</v>
      </c>
      <c r="C68" s="32">
        <v>10.11</v>
      </c>
      <c r="D68" s="30">
        <v>-0.03</v>
      </c>
      <c r="E68" s="31">
        <v>-2.96E-3</v>
      </c>
      <c r="F68" s="30">
        <v>306823618</v>
      </c>
      <c r="G68" s="30" t="s">
        <v>5427</v>
      </c>
      <c r="H68" s="30">
        <v>2020</v>
      </c>
      <c r="I68" s="30">
        <v>32438</v>
      </c>
      <c r="J68" s="30" t="s">
        <v>5435</v>
      </c>
      <c r="K68" s="30" t="s">
        <v>5482</v>
      </c>
    </row>
    <row r="69" spans="1:11" x14ac:dyDescent="0.25">
      <c r="A69" s="30" t="s">
        <v>14533</v>
      </c>
      <c r="B69" s="30" t="s">
        <v>14534</v>
      </c>
      <c r="C69" s="32">
        <v>5.03</v>
      </c>
      <c r="D69" s="30">
        <v>0.06</v>
      </c>
      <c r="E69" s="31">
        <v>1.2070000000000001E-2</v>
      </c>
      <c r="F69" s="30">
        <v>125408860</v>
      </c>
      <c r="G69" s="30" t="s">
        <v>5427</v>
      </c>
      <c r="H69" s="30">
        <v>1985</v>
      </c>
      <c r="I69" s="30">
        <v>85017</v>
      </c>
      <c r="J69" s="30" t="s">
        <v>5435</v>
      </c>
      <c r="K69" s="30" t="s">
        <v>5985</v>
      </c>
    </row>
    <row r="70" spans="1:11" x14ac:dyDescent="0.25">
      <c r="A70" s="30" t="s">
        <v>14535</v>
      </c>
      <c r="B70" s="30" t="s">
        <v>14536</v>
      </c>
      <c r="C70" s="32">
        <v>52.87</v>
      </c>
      <c r="D70" s="30">
        <v>-1.89</v>
      </c>
      <c r="E70" s="31">
        <v>-3.4509999999999999E-2</v>
      </c>
      <c r="F70" s="30">
        <v>30884154201</v>
      </c>
      <c r="G70" s="30" t="s">
        <v>5515</v>
      </c>
      <c r="H70" s="30">
        <v>1929</v>
      </c>
      <c r="I70" s="30">
        <v>589919</v>
      </c>
      <c r="J70" s="30"/>
      <c r="K70" s="30"/>
    </row>
    <row r="71" spans="1:11" x14ac:dyDescent="0.25">
      <c r="A71" s="30" t="s">
        <v>14537</v>
      </c>
      <c r="B71" s="30" t="s">
        <v>14538</v>
      </c>
      <c r="C71" s="32">
        <v>10.6</v>
      </c>
      <c r="D71" s="30">
        <v>0.57999999999999996</v>
      </c>
      <c r="E71" s="31">
        <v>5.7880000000000001E-2</v>
      </c>
      <c r="F71" s="30">
        <v>218957564</v>
      </c>
      <c r="G71" s="30" t="s">
        <v>5427</v>
      </c>
      <c r="H71" s="30"/>
      <c r="I71" s="30">
        <v>103448</v>
      </c>
      <c r="J71" s="30" t="s">
        <v>5431</v>
      </c>
      <c r="K71" s="30" t="s">
        <v>5500</v>
      </c>
    </row>
    <row r="72" spans="1:11" x14ac:dyDescent="0.25">
      <c r="A72" s="30" t="s">
        <v>14539</v>
      </c>
      <c r="B72" s="30" t="s">
        <v>14540</v>
      </c>
      <c r="C72" s="32">
        <v>14.22</v>
      </c>
      <c r="D72" s="30">
        <v>1.22</v>
      </c>
      <c r="E72" s="31">
        <v>9.3850000000000003E-2</v>
      </c>
      <c r="F72" s="30">
        <v>156746335</v>
      </c>
      <c r="G72" s="30" t="s">
        <v>5427</v>
      </c>
      <c r="H72" s="30">
        <v>1997</v>
      </c>
      <c r="I72" s="30">
        <v>82333</v>
      </c>
      <c r="J72" s="30" t="s">
        <v>5219</v>
      </c>
      <c r="K72" s="30" t="s">
        <v>5526</v>
      </c>
    </row>
    <row r="73" spans="1:11" x14ac:dyDescent="0.25">
      <c r="A73" s="30" t="s">
        <v>14541</v>
      </c>
      <c r="B73" s="30" t="s">
        <v>14542</v>
      </c>
      <c r="C73" s="32">
        <v>0.45</v>
      </c>
      <c r="D73" s="30">
        <v>-6.0000000000000001E-3</v>
      </c>
      <c r="E73" s="31">
        <v>-1.316E-2</v>
      </c>
      <c r="F73" s="30">
        <v>54060698</v>
      </c>
      <c r="G73" s="30" t="s">
        <v>5427</v>
      </c>
      <c r="H73" s="30"/>
      <c r="I73" s="30">
        <v>384586</v>
      </c>
      <c r="J73" s="30" t="s">
        <v>5442</v>
      </c>
      <c r="K73" s="30" t="s">
        <v>5856</v>
      </c>
    </row>
    <row r="74" spans="1:11" x14ac:dyDescent="0.25">
      <c r="A74" s="30" t="s">
        <v>14543</v>
      </c>
      <c r="B74" s="30" t="s">
        <v>14544</v>
      </c>
      <c r="C74" s="32">
        <v>28.24</v>
      </c>
      <c r="D74" s="30">
        <v>0.53</v>
      </c>
      <c r="E74" s="31">
        <v>1.9130000000000001E-2</v>
      </c>
      <c r="F74" s="30">
        <v>107058405</v>
      </c>
      <c r="G74" s="30" t="s">
        <v>5427</v>
      </c>
      <c r="H74" s="30"/>
      <c r="I74" s="30">
        <v>32109</v>
      </c>
      <c r="J74" s="30" t="s">
        <v>5219</v>
      </c>
      <c r="K74" s="30" t="s">
        <v>5560</v>
      </c>
    </row>
    <row r="75" spans="1:11" x14ac:dyDescent="0.25">
      <c r="A75" s="30" t="s">
        <v>14545</v>
      </c>
      <c r="B75" s="30" t="s">
        <v>14546</v>
      </c>
      <c r="C75" s="32">
        <v>0.38</v>
      </c>
      <c r="D75" s="30">
        <v>0</v>
      </c>
      <c r="E75" s="31">
        <v>0</v>
      </c>
      <c r="F75" s="30">
        <v>54002851</v>
      </c>
      <c r="G75" s="30" t="s">
        <v>5427</v>
      </c>
      <c r="H75" s="30"/>
      <c r="I75" s="30">
        <v>707214</v>
      </c>
      <c r="J75" s="30" t="s">
        <v>5431</v>
      </c>
      <c r="K75" s="30" t="s">
        <v>5610</v>
      </c>
    </row>
    <row r="76" spans="1:11" x14ac:dyDescent="0.25">
      <c r="A76" s="30" t="s">
        <v>14547</v>
      </c>
      <c r="B76" s="30" t="s">
        <v>14548</v>
      </c>
      <c r="C76" s="32">
        <v>0.49349999999999999</v>
      </c>
      <c r="D76" s="30">
        <v>-8.5000000000000006E-3</v>
      </c>
      <c r="E76" s="31">
        <v>-1.6930000000000001E-2</v>
      </c>
      <c r="F76" s="30">
        <v>56481300</v>
      </c>
      <c r="G76" s="30" t="s">
        <v>5427</v>
      </c>
      <c r="H76" s="30">
        <v>1968</v>
      </c>
      <c r="I76" s="30">
        <v>195194</v>
      </c>
      <c r="J76" s="30" t="s">
        <v>5442</v>
      </c>
      <c r="K76" s="30" t="s">
        <v>5746</v>
      </c>
    </row>
    <row r="77" spans="1:11" x14ac:dyDescent="0.25">
      <c r="A77" s="30" t="s">
        <v>14549</v>
      </c>
      <c r="B77" s="30" t="s">
        <v>14550</v>
      </c>
      <c r="C77" s="32">
        <v>1.24</v>
      </c>
      <c r="D77" s="30">
        <v>-0.04</v>
      </c>
      <c r="E77" s="31">
        <v>-3.125E-2</v>
      </c>
      <c r="F77" s="30">
        <v>139805768</v>
      </c>
      <c r="G77" s="30" t="s">
        <v>5427</v>
      </c>
      <c r="H77" s="30"/>
      <c r="I77" s="30">
        <v>293205</v>
      </c>
      <c r="J77" s="30"/>
      <c r="K77" s="30"/>
    </row>
    <row r="78" spans="1:11" x14ac:dyDescent="0.25">
      <c r="A78" s="30" t="s">
        <v>14551</v>
      </c>
      <c r="B78" s="30" t="s">
        <v>14552</v>
      </c>
      <c r="C78" s="32">
        <v>1.4</v>
      </c>
      <c r="D78" s="30">
        <v>-0.06</v>
      </c>
      <c r="E78" s="31">
        <v>-4.1099999999999998E-2</v>
      </c>
      <c r="F78" s="30">
        <v>209973886</v>
      </c>
      <c r="G78" s="30" t="s">
        <v>5427</v>
      </c>
      <c r="H78" s="30"/>
      <c r="I78" s="30">
        <v>346074</v>
      </c>
      <c r="J78" s="30" t="s">
        <v>5431</v>
      </c>
      <c r="K78" s="30" t="s">
        <v>6409</v>
      </c>
    </row>
    <row r="79" spans="1:11" x14ac:dyDescent="0.25">
      <c r="A79" s="30" t="s">
        <v>14553</v>
      </c>
      <c r="B79" s="30" t="s">
        <v>14554</v>
      </c>
      <c r="C79" s="32">
        <v>42.2</v>
      </c>
      <c r="D79" s="30">
        <v>1.1499999999999999</v>
      </c>
      <c r="E79" s="31">
        <v>2.801E-2</v>
      </c>
      <c r="F79" s="30">
        <v>613577703</v>
      </c>
      <c r="G79" s="30" t="s">
        <v>5427</v>
      </c>
      <c r="H79" s="30">
        <v>2014</v>
      </c>
      <c r="I79" s="30">
        <v>109868</v>
      </c>
      <c r="J79" s="30"/>
      <c r="K79" s="30"/>
    </row>
    <row r="80" spans="1:11" x14ac:dyDescent="0.25">
      <c r="A80" s="30" t="s">
        <v>14555</v>
      </c>
      <c r="B80" s="30" t="s">
        <v>14556</v>
      </c>
      <c r="C80" s="32">
        <v>153.96</v>
      </c>
      <c r="D80" s="30">
        <v>1.17</v>
      </c>
      <c r="E80" s="31">
        <v>7.6600000000000001E-3</v>
      </c>
      <c r="F80" s="30">
        <v>38283602148</v>
      </c>
      <c r="G80" s="30" t="s">
        <v>5427</v>
      </c>
      <c r="H80" s="30">
        <v>2001</v>
      </c>
      <c r="I80" s="30">
        <v>1827598</v>
      </c>
      <c r="J80" s="30" t="s">
        <v>5426</v>
      </c>
      <c r="K80" s="30" t="s">
        <v>6094</v>
      </c>
    </row>
    <row r="81" spans="1:11" x14ac:dyDescent="0.25">
      <c r="A81" s="30" t="s">
        <v>14557</v>
      </c>
      <c r="B81" s="30" t="s">
        <v>14558</v>
      </c>
      <c r="C81" s="32">
        <v>17.100000000000001</v>
      </c>
      <c r="D81" s="30">
        <v>0.55000000000000004</v>
      </c>
      <c r="E81" s="31">
        <v>3.3230000000000003E-2</v>
      </c>
      <c r="F81" s="30">
        <v>465267761</v>
      </c>
      <c r="G81" s="30" t="s">
        <v>5775</v>
      </c>
      <c r="H81" s="30">
        <v>2012</v>
      </c>
      <c r="I81" s="30">
        <v>94736</v>
      </c>
      <c r="J81" s="30" t="s">
        <v>5457</v>
      </c>
      <c r="K81" s="30" t="s">
        <v>5634</v>
      </c>
    </row>
    <row r="82" spans="1:11" x14ac:dyDescent="0.25">
      <c r="A82" s="30" t="s">
        <v>14559</v>
      </c>
      <c r="B82" s="30" t="s">
        <v>14560</v>
      </c>
      <c r="C82" s="32">
        <v>13.91</v>
      </c>
      <c r="D82" s="30">
        <v>0.2</v>
      </c>
      <c r="E82" s="31">
        <v>1.4590000000000001E-2</v>
      </c>
      <c r="F82" s="30">
        <v>1376786122</v>
      </c>
      <c r="G82" s="30" t="s">
        <v>5515</v>
      </c>
      <c r="H82" s="30"/>
      <c r="I82" s="30">
        <v>582802</v>
      </c>
      <c r="J82" s="30"/>
      <c r="K82" s="30"/>
    </row>
    <row r="83" spans="1:11" x14ac:dyDescent="0.25">
      <c r="A83" s="30" t="s">
        <v>14561</v>
      </c>
      <c r="B83" s="30" t="s">
        <v>14562</v>
      </c>
      <c r="C83" s="32">
        <v>13.06</v>
      </c>
      <c r="D83" s="30">
        <v>-0.3357</v>
      </c>
      <c r="E83" s="31">
        <v>-2.5059999999999999E-2</v>
      </c>
      <c r="F83" s="30">
        <v>151727280</v>
      </c>
      <c r="G83" s="30" t="s">
        <v>5427</v>
      </c>
      <c r="H83" s="30"/>
      <c r="I83" s="30">
        <v>2423</v>
      </c>
      <c r="J83" s="30" t="s">
        <v>5442</v>
      </c>
      <c r="K83" s="30" t="s">
        <v>5994</v>
      </c>
    </row>
    <row r="84" spans="1:11" x14ac:dyDescent="0.25">
      <c r="A84" s="30" t="s">
        <v>14563</v>
      </c>
      <c r="B84" s="30" t="s">
        <v>14564</v>
      </c>
      <c r="C84" s="32">
        <v>0.54300000000000004</v>
      </c>
      <c r="D84" s="30">
        <v>-3.3500000000000002E-2</v>
      </c>
      <c r="E84" s="31">
        <v>-5.8110000000000002E-2</v>
      </c>
      <c r="F84" s="30">
        <v>117757438</v>
      </c>
      <c r="G84" s="30" t="s">
        <v>5427</v>
      </c>
      <c r="H84" s="30">
        <v>2017</v>
      </c>
      <c r="I84" s="30">
        <v>274655</v>
      </c>
      <c r="J84" s="30" t="s">
        <v>5431</v>
      </c>
      <c r="K84" s="30" t="s">
        <v>5430</v>
      </c>
    </row>
    <row r="85" spans="1:11" x14ac:dyDescent="0.25">
      <c r="A85" s="30" t="s">
        <v>14565</v>
      </c>
      <c r="B85" s="30" t="s">
        <v>14566</v>
      </c>
      <c r="C85" s="32">
        <v>0.223</v>
      </c>
      <c r="D85" s="30">
        <v>3.0000000000000001E-3</v>
      </c>
      <c r="E85" s="31">
        <v>1.3639999999999999E-2</v>
      </c>
      <c r="F85" s="30">
        <v>118140804</v>
      </c>
      <c r="G85" s="30" t="s">
        <v>5515</v>
      </c>
      <c r="H85" s="30"/>
      <c r="I85" s="30">
        <v>2015305</v>
      </c>
      <c r="J85" s="30"/>
      <c r="K85" s="30"/>
    </row>
    <row r="86" spans="1:11" x14ac:dyDescent="0.25">
      <c r="A86" s="30" t="s">
        <v>14567</v>
      </c>
      <c r="B86" s="30" t="s">
        <v>14568</v>
      </c>
      <c r="C86" s="32">
        <v>11.3</v>
      </c>
      <c r="D86" s="30">
        <v>0.08</v>
      </c>
      <c r="E86" s="31">
        <v>7.1300000000000001E-3</v>
      </c>
      <c r="F86" s="30">
        <v>212927753</v>
      </c>
      <c r="G86" s="30" t="s">
        <v>5427</v>
      </c>
      <c r="H86" s="30">
        <v>2002</v>
      </c>
      <c r="I86" s="30">
        <v>73100</v>
      </c>
      <c r="J86" s="30" t="s">
        <v>5435</v>
      </c>
      <c r="K86" s="30" t="s">
        <v>5985</v>
      </c>
    </row>
    <row r="87" spans="1:11" x14ac:dyDescent="0.25">
      <c r="A87" s="30" t="s">
        <v>14569</v>
      </c>
      <c r="B87" s="30" t="s">
        <v>14570</v>
      </c>
      <c r="C87" s="32">
        <v>10.02</v>
      </c>
      <c r="D87" s="30">
        <v>0.11</v>
      </c>
      <c r="E87" s="31">
        <v>1.11E-2</v>
      </c>
      <c r="F87" s="30">
        <v>50875718</v>
      </c>
      <c r="G87" s="30" t="s">
        <v>5427</v>
      </c>
      <c r="H87" s="30">
        <v>2002</v>
      </c>
      <c r="I87" s="30">
        <v>12113</v>
      </c>
      <c r="J87" s="30" t="s">
        <v>5435</v>
      </c>
      <c r="K87" s="30" t="s">
        <v>5985</v>
      </c>
    </row>
    <row r="88" spans="1:11" x14ac:dyDescent="0.25">
      <c r="A88" s="30" t="s">
        <v>14571</v>
      </c>
      <c r="B88" s="30" t="s">
        <v>14572</v>
      </c>
      <c r="C88" s="32">
        <v>12.18</v>
      </c>
      <c r="D88" s="30">
        <v>0.32</v>
      </c>
      <c r="E88" s="31">
        <v>2.6980000000000001E-2</v>
      </c>
      <c r="F88" s="30">
        <v>67611716</v>
      </c>
      <c r="G88" s="30" t="s">
        <v>5427</v>
      </c>
      <c r="H88" s="30">
        <v>2002</v>
      </c>
      <c r="I88" s="30">
        <v>24885</v>
      </c>
      <c r="J88" s="30" t="s">
        <v>5435</v>
      </c>
      <c r="K88" s="30" t="s">
        <v>5985</v>
      </c>
    </row>
    <row r="89" spans="1:11" x14ac:dyDescent="0.25">
      <c r="A89" s="30" t="s">
        <v>14573</v>
      </c>
      <c r="B89" s="30" t="s">
        <v>14574</v>
      </c>
      <c r="C89" s="32">
        <v>76.25</v>
      </c>
      <c r="D89" s="30">
        <v>1.25</v>
      </c>
      <c r="E89" s="31">
        <v>1.6670000000000001E-2</v>
      </c>
      <c r="F89" s="30">
        <v>272794745</v>
      </c>
      <c r="G89" s="30" t="s">
        <v>5427</v>
      </c>
      <c r="H89" s="30"/>
      <c r="I89" s="30">
        <v>8065</v>
      </c>
      <c r="J89" s="30" t="s">
        <v>5435</v>
      </c>
      <c r="K89" s="30" t="s">
        <v>5197</v>
      </c>
    </row>
    <row r="90" spans="1:11" x14ac:dyDescent="0.25">
      <c r="A90" s="30" t="s">
        <v>14575</v>
      </c>
      <c r="B90" s="30" t="s">
        <v>14576</v>
      </c>
      <c r="C90" s="32">
        <v>6.42</v>
      </c>
      <c r="D90" s="30">
        <v>0.11</v>
      </c>
      <c r="E90" s="31">
        <v>1.7430000000000001E-2</v>
      </c>
      <c r="F90" s="30">
        <v>2144059910</v>
      </c>
      <c r="G90" s="30" t="s">
        <v>5515</v>
      </c>
      <c r="H90" s="30">
        <v>2003</v>
      </c>
      <c r="I90" s="30">
        <v>1470013</v>
      </c>
      <c r="J90" s="30"/>
      <c r="K90" s="30"/>
    </row>
    <row r="91" spans="1:11" x14ac:dyDescent="0.25">
      <c r="A91" s="30" t="s">
        <v>14577</v>
      </c>
      <c r="B91" s="30" t="s">
        <v>14578</v>
      </c>
      <c r="C91" s="32">
        <v>1.22</v>
      </c>
      <c r="D91" s="30">
        <v>0.04</v>
      </c>
      <c r="E91" s="31">
        <v>3.39E-2</v>
      </c>
      <c r="F91" s="30">
        <v>832406000</v>
      </c>
      <c r="G91" s="30" t="s">
        <v>5515</v>
      </c>
      <c r="H91" s="30"/>
      <c r="I91" s="30">
        <v>2936976</v>
      </c>
      <c r="J91" s="30"/>
      <c r="K91" s="30"/>
    </row>
    <row r="92" spans="1:11" x14ac:dyDescent="0.25">
      <c r="A92" s="30" t="s">
        <v>14579</v>
      </c>
      <c r="B92" s="30" t="s">
        <v>14580</v>
      </c>
      <c r="C92" s="32">
        <v>61.8</v>
      </c>
      <c r="D92" s="30">
        <v>2.2599999999999998</v>
      </c>
      <c r="E92" s="31">
        <v>3.7960000000000001E-2</v>
      </c>
      <c r="F92" s="30">
        <v>948265565</v>
      </c>
      <c r="G92" s="30" t="s">
        <v>5427</v>
      </c>
      <c r="H92" s="30">
        <v>1986</v>
      </c>
      <c r="I92" s="30">
        <v>73132</v>
      </c>
      <c r="J92" s="30" t="s">
        <v>5431</v>
      </c>
      <c r="K92" s="30" t="s">
        <v>5785</v>
      </c>
    </row>
    <row r="93" spans="1:11" x14ac:dyDescent="0.25">
      <c r="A93" s="30" t="s">
        <v>14581</v>
      </c>
      <c r="B93" s="30" t="s">
        <v>14582</v>
      </c>
      <c r="C93" s="32">
        <v>9.2100000000000009</v>
      </c>
      <c r="D93" s="30">
        <v>0.24</v>
      </c>
      <c r="E93" s="31">
        <v>2.6759999999999999E-2</v>
      </c>
      <c r="F93" s="30">
        <v>178973693</v>
      </c>
      <c r="G93" s="30" t="s">
        <v>5427</v>
      </c>
      <c r="H93" s="30"/>
      <c r="I93" s="30">
        <v>187980</v>
      </c>
      <c r="J93" s="30" t="s">
        <v>5435</v>
      </c>
      <c r="K93" s="30" t="s">
        <v>5568</v>
      </c>
    </row>
    <row r="94" spans="1:11" x14ac:dyDescent="0.25">
      <c r="A94" s="30" t="s">
        <v>14583</v>
      </c>
      <c r="B94" s="30" t="s">
        <v>14584</v>
      </c>
      <c r="C94" s="32">
        <v>3.67</v>
      </c>
      <c r="D94" s="30">
        <v>0.06</v>
      </c>
      <c r="E94" s="31">
        <v>1.6619999999999999E-2</v>
      </c>
      <c r="F94" s="30">
        <v>174162808</v>
      </c>
      <c r="G94" s="30" t="s">
        <v>5427</v>
      </c>
      <c r="H94" s="30">
        <v>2003</v>
      </c>
      <c r="I94" s="30">
        <v>192029</v>
      </c>
      <c r="J94" s="30" t="s">
        <v>5435</v>
      </c>
      <c r="K94" s="30" t="s">
        <v>5985</v>
      </c>
    </row>
    <row r="95" spans="1:11" x14ac:dyDescent="0.25">
      <c r="A95" s="30" t="s">
        <v>14585</v>
      </c>
      <c r="B95" s="30" t="s">
        <v>14586</v>
      </c>
      <c r="C95" s="32">
        <v>2.2000000000000002</v>
      </c>
      <c r="D95" s="30">
        <v>-0.03</v>
      </c>
      <c r="E95" s="31">
        <v>-1.345E-2</v>
      </c>
      <c r="F95" s="30">
        <v>52564098</v>
      </c>
      <c r="G95" s="30" t="s">
        <v>5427</v>
      </c>
      <c r="H95" s="30"/>
      <c r="I95" s="30">
        <v>5320</v>
      </c>
      <c r="J95" s="30" t="s">
        <v>5219</v>
      </c>
      <c r="K95" s="30" t="s">
        <v>6076</v>
      </c>
    </row>
    <row r="96" spans="1:11" x14ac:dyDescent="0.25">
      <c r="A96" s="30" t="s">
        <v>14587</v>
      </c>
      <c r="B96" s="30" t="s">
        <v>14588</v>
      </c>
      <c r="C96" s="32">
        <v>1.03</v>
      </c>
      <c r="D96" s="30">
        <v>-0.01</v>
      </c>
      <c r="E96" s="31">
        <v>-9.6200000000000001E-3</v>
      </c>
      <c r="F96" s="30">
        <v>88363975</v>
      </c>
      <c r="G96" s="30" t="s">
        <v>5427</v>
      </c>
      <c r="H96" s="30"/>
      <c r="I96" s="30">
        <v>308459</v>
      </c>
      <c r="J96" s="30"/>
      <c r="K96" s="30"/>
    </row>
    <row r="97" spans="1:11" x14ac:dyDescent="0.25">
      <c r="A97" s="30" t="s">
        <v>14589</v>
      </c>
      <c r="B97" s="30" t="s">
        <v>14590</v>
      </c>
      <c r="C97" s="32">
        <v>1.6</v>
      </c>
      <c r="D97" s="30">
        <v>-0.03</v>
      </c>
      <c r="E97" s="31">
        <v>-1.84E-2</v>
      </c>
      <c r="F97" s="30">
        <v>160329674</v>
      </c>
      <c r="G97" s="30" t="s">
        <v>5515</v>
      </c>
      <c r="H97" s="30"/>
      <c r="I97" s="30">
        <v>488629</v>
      </c>
      <c r="J97" s="30"/>
      <c r="K97" s="30"/>
    </row>
    <row r="98" spans="1:11" x14ac:dyDescent="0.25">
      <c r="A98" s="30" t="s">
        <v>14591</v>
      </c>
      <c r="B98" s="30" t="s">
        <v>14592</v>
      </c>
      <c r="C98" s="32">
        <v>2.64</v>
      </c>
      <c r="D98" s="30">
        <v>0.02</v>
      </c>
      <c r="E98" s="31">
        <v>7.6299999999999996E-3</v>
      </c>
      <c r="F98" s="30">
        <v>267883788</v>
      </c>
      <c r="G98" s="30" t="s">
        <v>5515</v>
      </c>
      <c r="H98" s="30"/>
      <c r="I98" s="30">
        <v>28750</v>
      </c>
      <c r="J98" s="30"/>
      <c r="K98" s="30"/>
    </row>
    <row r="99" spans="1:11" x14ac:dyDescent="0.25">
      <c r="A99" s="30" t="s">
        <v>14593</v>
      </c>
      <c r="B99" s="30" t="s">
        <v>14594</v>
      </c>
      <c r="C99" s="32">
        <v>0.7732</v>
      </c>
      <c r="D99" s="30">
        <v>1.8200000000000001E-2</v>
      </c>
      <c r="E99" s="31">
        <v>2.4109999999999999E-2</v>
      </c>
      <c r="F99" s="30">
        <v>81362194</v>
      </c>
      <c r="G99" s="30" t="s">
        <v>5427</v>
      </c>
      <c r="H99" s="30">
        <v>2020</v>
      </c>
      <c r="I99" s="30">
        <v>716020</v>
      </c>
      <c r="J99" s="30" t="s">
        <v>5442</v>
      </c>
      <c r="K99" s="30" t="s">
        <v>5508</v>
      </c>
    </row>
    <row r="100" spans="1:11" x14ac:dyDescent="0.25">
      <c r="A100" s="30" t="s">
        <v>14595</v>
      </c>
      <c r="B100" s="30" t="s">
        <v>14596</v>
      </c>
      <c r="C100" s="32">
        <v>125.15</v>
      </c>
      <c r="D100" s="30">
        <v>-0.1</v>
      </c>
      <c r="E100" s="31">
        <v>-8.0000000000000004E-4</v>
      </c>
      <c r="F100" s="30">
        <v>2035387412</v>
      </c>
      <c r="G100" s="30" t="s">
        <v>5427</v>
      </c>
      <c r="H100" s="30">
        <v>1994</v>
      </c>
      <c r="I100" s="30">
        <v>51025</v>
      </c>
      <c r="J100" s="30" t="s">
        <v>5435</v>
      </c>
      <c r="K100" s="30" t="s">
        <v>5579</v>
      </c>
    </row>
    <row r="101" spans="1:11" x14ac:dyDescent="0.25">
      <c r="A101" s="30" t="s">
        <v>14597</v>
      </c>
      <c r="B101" s="30" t="s">
        <v>14598</v>
      </c>
      <c r="C101" s="32">
        <v>2.33</v>
      </c>
      <c r="D101" s="30">
        <v>-0.03</v>
      </c>
      <c r="E101" s="31">
        <v>-1.2710000000000001E-2</v>
      </c>
      <c r="F101" s="30">
        <v>406378406</v>
      </c>
      <c r="G101" s="30" t="s">
        <v>5427</v>
      </c>
      <c r="H101" s="30"/>
      <c r="I101" s="30">
        <v>4536604</v>
      </c>
      <c r="J101" s="30" t="s">
        <v>5464</v>
      </c>
      <c r="K101" s="30" t="s">
        <v>5463</v>
      </c>
    </row>
    <row r="102" spans="1:11" x14ac:dyDescent="0.25">
      <c r="A102" s="30" t="s">
        <v>14599</v>
      </c>
      <c r="B102" s="30" t="s">
        <v>14600</v>
      </c>
      <c r="C102" s="32">
        <v>33.06</v>
      </c>
      <c r="D102" s="30">
        <v>-0.13</v>
      </c>
      <c r="E102" s="31">
        <v>-3.9199999999999999E-3</v>
      </c>
      <c r="F102" s="30">
        <v>666497204</v>
      </c>
      <c r="G102" s="30" t="s">
        <v>5427</v>
      </c>
      <c r="H102" s="30">
        <v>1999</v>
      </c>
      <c r="I102" s="30">
        <v>46641</v>
      </c>
      <c r="J102" s="30" t="s">
        <v>5464</v>
      </c>
      <c r="K102" s="30" t="s">
        <v>5463</v>
      </c>
    </row>
    <row r="103" spans="1:11" x14ac:dyDescent="0.25">
      <c r="A103" s="30" t="s">
        <v>14601</v>
      </c>
      <c r="B103" s="30" t="s">
        <v>14602</v>
      </c>
      <c r="C103" s="32">
        <v>5.71</v>
      </c>
      <c r="D103" s="30">
        <v>0.1</v>
      </c>
      <c r="E103" s="31">
        <v>1.7829999999999999E-2</v>
      </c>
      <c r="F103" s="30">
        <v>275883989</v>
      </c>
      <c r="G103" s="30" t="s">
        <v>5427</v>
      </c>
      <c r="H103" s="30"/>
      <c r="I103" s="30">
        <v>202717</v>
      </c>
      <c r="J103" s="30" t="s">
        <v>5442</v>
      </c>
      <c r="K103" s="30" t="s">
        <v>6032</v>
      </c>
    </row>
    <row r="104" spans="1:11" x14ac:dyDescent="0.25">
      <c r="A104" s="30" t="s">
        <v>14603</v>
      </c>
      <c r="B104" s="30" t="s">
        <v>14604</v>
      </c>
      <c r="C104" s="32">
        <v>1.95</v>
      </c>
      <c r="D104" s="30">
        <v>0.02</v>
      </c>
      <c r="E104" s="31">
        <v>1.0359999999999999E-2</v>
      </c>
      <c r="F104" s="30">
        <v>64227460</v>
      </c>
      <c r="G104" s="30" t="s">
        <v>5427</v>
      </c>
      <c r="H104" s="30">
        <v>2001</v>
      </c>
      <c r="I104" s="30">
        <v>69841</v>
      </c>
      <c r="J104" s="30" t="s">
        <v>5431</v>
      </c>
      <c r="K104" s="30" t="s">
        <v>5500</v>
      </c>
    </row>
    <row r="105" spans="1:11" x14ac:dyDescent="0.25">
      <c r="A105" s="30" t="s">
        <v>14605</v>
      </c>
      <c r="B105" s="30" t="s">
        <v>14606</v>
      </c>
      <c r="C105" s="32">
        <v>3.81</v>
      </c>
      <c r="D105" s="30">
        <v>0.01</v>
      </c>
      <c r="E105" s="31">
        <v>2.63E-3</v>
      </c>
      <c r="F105" s="30">
        <v>155431651</v>
      </c>
      <c r="G105" s="30" t="s">
        <v>5427</v>
      </c>
      <c r="H105" s="30">
        <v>2017</v>
      </c>
      <c r="I105" s="30">
        <v>368645</v>
      </c>
      <c r="J105" s="30" t="s">
        <v>5197</v>
      </c>
      <c r="K105" s="30" t="s">
        <v>5467</v>
      </c>
    </row>
    <row r="106" spans="1:11" x14ac:dyDescent="0.25">
      <c r="A106" s="30" t="s">
        <v>14607</v>
      </c>
      <c r="B106" s="30" t="s">
        <v>14608</v>
      </c>
      <c r="C106" s="32">
        <v>3963.65</v>
      </c>
      <c r="D106" s="30">
        <v>43.15</v>
      </c>
      <c r="E106" s="31">
        <v>1.1010000000000001E-2</v>
      </c>
      <c r="F106" s="30">
        <v>4600921683</v>
      </c>
      <c r="G106" s="30" t="s">
        <v>5427</v>
      </c>
      <c r="H106" s="30">
        <v>1996</v>
      </c>
      <c r="I106" s="30">
        <v>623</v>
      </c>
      <c r="J106" s="30" t="s">
        <v>5457</v>
      </c>
      <c r="K106" s="30" t="s">
        <v>5571</v>
      </c>
    </row>
    <row r="107" spans="1:11" x14ac:dyDescent="0.25">
      <c r="A107" s="30" t="s">
        <v>14609</v>
      </c>
      <c r="B107" s="30" t="s">
        <v>14610</v>
      </c>
      <c r="C107" s="32">
        <v>1.1599999999999999</v>
      </c>
      <c r="D107" s="30">
        <v>0.03</v>
      </c>
      <c r="E107" s="31">
        <v>2.6550000000000001E-2</v>
      </c>
      <c r="F107" s="30">
        <v>554777364</v>
      </c>
      <c r="G107" s="30" t="s">
        <v>5427</v>
      </c>
      <c r="H107" s="30"/>
      <c r="I107" s="30">
        <v>2389215</v>
      </c>
      <c r="J107" s="30" t="s">
        <v>5431</v>
      </c>
      <c r="K107" s="30" t="s">
        <v>6537</v>
      </c>
    </row>
    <row r="108" spans="1:11" x14ac:dyDescent="0.25">
      <c r="A108" s="30" t="s">
        <v>14611</v>
      </c>
      <c r="B108" s="30" t="s">
        <v>14612</v>
      </c>
      <c r="C108" s="32">
        <v>33.349499999999999</v>
      </c>
      <c r="D108" s="30">
        <v>-1.2312000000000001</v>
      </c>
      <c r="E108" s="31">
        <v>-3.56E-2</v>
      </c>
      <c r="F108" s="30">
        <v>5532784466</v>
      </c>
      <c r="G108" s="30" t="s">
        <v>5835</v>
      </c>
      <c r="H108" s="30">
        <v>1998</v>
      </c>
      <c r="I108" s="30">
        <v>580</v>
      </c>
      <c r="J108" s="30" t="s">
        <v>5457</v>
      </c>
      <c r="K108" s="30" t="s">
        <v>8269</v>
      </c>
    </row>
    <row r="109" spans="1:11" x14ac:dyDescent="0.25">
      <c r="A109" s="30" t="s">
        <v>14613</v>
      </c>
      <c r="B109" s="30" t="s">
        <v>14614</v>
      </c>
      <c r="C109" s="32">
        <v>2.14</v>
      </c>
      <c r="D109" s="30">
        <v>-0.04</v>
      </c>
      <c r="E109" s="31">
        <v>-1.8350000000000002E-2</v>
      </c>
      <c r="F109" s="30">
        <v>160167688</v>
      </c>
      <c r="G109" s="30" t="s">
        <v>5427</v>
      </c>
      <c r="H109" s="30"/>
      <c r="I109" s="30">
        <v>547387</v>
      </c>
      <c r="J109" s="30" t="s">
        <v>5431</v>
      </c>
      <c r="K109" s="30" t="s">
        <v>6537</v>
      </c>
    </row>
    <row r="110" spans="1:11" x14ac:dyDescent="0.25">
      <c r="A110" s="30" t="s">
        <v>14615</v>
      </c>
      <c r="B110" s="30" t="s">
        <v>14616</v>
      </c>
      <c r="C110" s="32">
        <v>1.98</v>
      </c>
      <c r="D110" s="30">
        <v>-0.01</v>
      </c>
      <c r="E110" s="31">
        <v>-5.0299999999999997E-3</v>
      </c>
      <c r="F110" s="30">
        <v>1117843785</v>
      </c>
      <c r="G110" s="30" t="s">
        <v>5427</v>
      </c>
      <c r="H110" s="30"/>
      <c r="I110" s="30">
        <v>10901333</v>
      </c>
      <c r="J110" s="30" t="s">
        <v>5464</v>
      </c>
      <c r="K110" s="30" t="s">
        <v>5463</v>
      </c>
    </row>
    <row r="111" spans="1:11" x14ac:dyDescent="0.25">
      <c r="A111" s="30" t="s">
        <v>14617</v>
      </c>
      <c r="B111" s="30" t="s">
        <v>14618</v>
      </c>
      <c r="C111" s="32">
        <v>1.83</v>
      </c>
      <c r="D111" s="30">
        <v>0.06</v>
      </c>
      <c r="E111" s="31">
        <v>3.39E-2</v>
      </c>
      <c r="F111" s="30">
        <v>524115512</v>
      </c>
      <c r="G111" s="30" t="s">
        <v>5515</v>
      </c>
      <c r="H111" s="30"/>
      <c r="I111" s="30">
        <v>1801229</v>
      </c>
      <c r="J111" s="30"/>
      <c r="K111" s="30"/>
    </row>
    <row r="112" spans="1:11" x14ac:dyDescent="0.25">
      <c r="A112" s="30" t="s">
        <v>14619</v>
      </c>
      <c r="B112" s="30" t="s">
        <v>14620</v>
      </c>
      <c r="C112" s="32">
        <v>0.67810000000000004</v>
      </c>
      <c r="D112" s="30">
        <v>9.7299999999999998E-2</v>
      </c>
      <c r="E112" s="31">
        <v>0.16753000000000001</v>
      </c>
      <c r="F112" s="30">
        <v>132441870</v>
      </c>
      <c r="G112" s="30" t="s">
        <v>5515</v>
      </c>
      <c r="H112" s="30"/>
      <c r="I112" s="30">
        <v>309704</v>
      </c>
      <c r="J112" s="30"/>
      <c r="K112" s="30"/>
    </row>
    <row r="113" spans="1:11" x14ac:dyDescent="0.25">
      <c r="A113" s="30" t="s">
        <v>14621</v>
      </c>
      <c r="B113" s="30" t="s">
        <v>14622</v>
      </c>
      <c r="C113" s="32">
        <v>75.08</v>
      </c>
      <c r="D113" s="30">
        <v>-0.25</v>
      </c>
      <c r="E113" s="31">
        <v>-3.32E-3</v>
      </c>
      <c r="F113" s="30">
        <v>1090148911</v>
      </c>
      <c r="G113" s="30" t="s">
        <v>5427</v>
      </c>
      <c r="H113" s="30">
        <v>1997</v>
      </c>
      <c r="I113" s="30">
        <v>35242</v>
      </c>
      <c r="J113" s="30" t="s">
        <v>5435</v>
      </c>
      <c r="K113" s="30" t="s">
        <v>5579</v>
      </c>
    </row>
    <row r="114" spans="1:11" x14ac:dyDescent="0.25">
      <c r="A114" s="30" t="s">
        <v>14623</v>
      </c>
      <c r="B114" s="30" t="s">
        <v>14624</v>
      </c>
      <c r="C114" s="32">
        <v>0.6502</v>
      </c>
      <c r="D114" s="30">
        <v>5.1999999999999998E-3</v>
      </c>
      <c r="E114" s="31">
        <v>8.0599999999999995E-3</v>
      </c>
      <c r="F114" s="30">
        <v>95075518</v>
      </c>
      <c r="G114" s="30" t="s">
        <v>5515</v>
      </c>
      <c r="H114" s="30"/>
      <c r="I114" s="30">
        <v>229932</v>
      </c>
      <c r="J114" s="30"/>
      <c r="K114" s="30"/>
    </row>
    <row r="115" spans="1:11" x14ac:dyDescent="0.25">
      <c r="A115" s="30" t="s">
        <v>14625</v>
      </c>
      <c r="B115" s="30" t="s">
        <v>14626</v>
      </c>
      <c r="C115" s="32">
        <v>0.47810000000000002</v>
      </c>
      <c r="D115" s="30">
        <v>-1.09E-2</v>
      </c>
      <c r="E115" s="31">
        <v>-2.2290000000000001E-2</v>
      </c>
      <c r="F115" s="30">
        <v>132295627</v>
      </c>
      <c r="G115" s="30" t="s">
        <v>5515</v>
      </c>
      <c r="H115" s="30"/>
      <c r="I115" s="30">
        <v>211626</v>
      </c>
      <c r="J115" s="30"/>
      <c r="K115" s="30"/>
    </row>
    <row r="116" spans="1:11" x14ac:dyDescent="0.25">
      <c r="A116" s="30" t="s">
        <v>14627</v>
      </c>
      <c r="B116" s="30" t="s">
        <v>14628</v>
      </c>
      <c r="C116" s="32">
        <v>4.13</v>
      </c>
      <c r="D116" s="30">
        <v>0.1</v>
      </c>
      <c r="E116" s="31">
        <v>2.4809999999999999E-2</v>
      </c>
      <c r="F116" s="30">
        <v>1527286563</v>
      </c>
      <c r="G116" s="30" t="s">
        <v>5515</v>
      </c>
      <c r="H116" s="30"/>
      <c r="I116" s="30">
        <v>10251356</v>
      </c>
      <c r="J116" s="30" t="s">
        <v>6250</v>
      </c>
      <c r="K116" s="30" t="s">
        <v>6914</v>
      </c>
    </row>
    <row r="117" spans="1:11" x14ac:dyDescent="0.25">
      <c r="A117" s="30" t="s">
        <v>14629</v>
      </c>
      <c r="B117" s="30" t="s">
        <v>14630</v>
      </c>
      <c r="C117" s="32">
        <v>1.35</v>
      </c>
      <c r="D117" s="30">
        <v>0.04</v>
      </c>
      <c r="E117" s="31">
        <v>3.0530000000000002E-2</v>
      </c>
      <c r="F117" s="30">
        <v>301220138</v>
      </c>
      <c r="G117" s="30" t="s">
        <v>5515</v>
      </c>
      <c r="H117" s="30"/>
      <c r="I117" s="30">
        <v>1186481</v>
      </c>
      <c r="J117" s="30"/>
      <c r="K117" s="30"/>
    </row>
    <row r="118" spans="1:11" x14ac:dyDescent="0.25">
      <c r="A118" s="30" t="s">
        <v>14631</v>
      </c>
      <c r="B118" s="30" t="s">
        <v>14632</v>
      </c>
      <c r="C118" s="32">
        <v>30.06</v>
      </c>
      <c r="D118" s="30">
        <v>0.12</v>
      </c>
      <c r="E118" s="31">
        <v>4.0099999999999997E-3</v>
      </c>
      <c r="F118" s="30">
        <v>2163639231</v>
      </c>
      <c r="G118" s="30" t="s">
        <v>5427</v>
      </c>
      <c r="H118" s="30">
        <v>2004</v>
      </c>
      <c r="I118" s="30">
        <v>226667</v>
      </c>
      <c r="J118" s="30" t="s">
        <v>5435</v>
      </c>
      <c r="K118" s="30" t="s">
        <v>5434</v>
      </c>
    </row>
    <row r="119" spans="1:11" x14ac:dyDescent="0.25">
      <c r="A119" s="30" t="s">
        <v>14633</v>
      </c>
      <c r="B119" s="30" t="s">
        <v>14634</v>
      </c>
      <c r="C119" s="32">
        <v>11.11</v>
      </c>
      <c r="D119" s="30">
        <v>0.05</v>
      </c>
      <c r="E119" s="31">
        <v>4.5199999999999997E-3</v>
      </c>
      <c r="F119" s="30">
        <v>232828881</v>
      </c>
      <c r="G119" s="30" t="s">
        <v>5427</v>
      </c>
      <c r="H119" s="30">
        <v>1993</v>
      </c>
      <c r="I119" s="30">
        <v>17934</v>
      </c>
      <c r="J119" s="30" t="s">
        <v>5435</v>
      </c>
      <c r="K119" s="30" t="s">
        <v>5985</v>
      </c>
    </row>
    <row r="120" spans="1:11" x14ac:dyDescent="0.25">
      <c r="A120" s="30" t="s">
        <v>14635</v>
      </c>
      <c r="B120" s="30" t="s">
        <v>14636</v>
      </c>
      <c r="C120" s="32">
        <v>0.61499999999999999</v>
      </c>
      <c r="D120" s="30">
        <v>-4.8999999999999998E-3</v>
      </c>
      <c r="E120" s="31">
        <v>-7.9000000000000008E-3</v>
      </c>
      <c r="F120" s="30">
        <v>72758617</v>
      </c>
      <c r="G120" s="30" t="s">
        <v>5427</v>
      </c>
      <c r="H120" s="30">
        <v>1986</v>
      </c>
      <c r="I120" s="30">
        <v>127665</v>
      </c>
      <c r="J120" s="30"/>
      <c r="K120" s="30"/>
    </row>
    <row r="121" spans="1:11" x14ac:dyDescent="0.25">
      <c r="A121" s="30" t="s">
        <v>14637</v>
      </c>
      <c r="B121" s="30" t="s">
        <v>14638</v>
      </c>
      <c r="C121" s="32">
        <v>9.07</v>
      </c>
      <c r="D121" s="30">
        <v>0.02</v>
      </c>
      <c r="E121" s="31">
        <v>2.2100000000000002E-3</v>
      </c>
      <c r="F121" s="30">
        <v>402762601</v>
      </c>
      <c r="G121" s="30" t="s">
        <v>5427</v>
      </c>
      <c r="H121" s="30">
        <v>1993</v>
      </c>
      <c r="I121" s="30">
        <v>190889</v>
      </c>
      <c r="J121" s="30" t="s">
        <v>5435</v>
      </c>
      <c r="K121" s="30" t="s">
        <v>5563</v>
      </c>
    </row>
    <row r="122" spans="1:11" x14ac:dyDescent="0.25">
      <c r="A122" s="30" t="s">
        <v>14639</v>
      </c>
      <c r="B122" s="30" t="s">
        <v>14640</v>
      </c>
      <c r="C122" s="32">
        <v>2.37</v>
      </c>
      <c r="D122" s="30">
        <v>-0.1</v>
      </c>
      <c r="E122" s="31">
        <v>-4.0489999999999998E-2</v>
      </c>
      <c r="F122" s="30">
        <v>136325645</v>
      </c>
      <c r="G122" s="30" t="s">
        <v>5752</v>
      </c>
      <c r="H122" s="30">
        <v>2015</v>
      </c>
      <c r="I122" s="30">
        <v>163025</v>
      </c>
      <c r="J122" s="30" t="s">
        <v>5431</v>
      </c>
      <c r="K122" s="30" t="s">
        <v>6409</v>
      </c>
    </row>
    <row r="123" spans="1:11" x14ac:dyDescent="0.25">
      <c r="A123" s="30" t="s">
        <v>14641</v>
      </c>
      <c r="B123" s="30" t="s">
        <v>14642</v>
      </c>
      <c r="C123" s="32">
        <v>1.83</v>
      </c>
      <c r="D123" s="30">
        <v>0.01</v>
      </c>
      <c r="E123" s="31">
        <v>5.4900000000000001E-3</v>
      </c>
      <c r="F123" s="30">
        <v>277423405</v>
      </c>
      <c r="G123" s="30" t="s">
        <v>5515</v>
      </c>
      <c r="H123" s="30">
        <v>2011</v>
      </c>
      <c r="I123" s="30">
        <v>56370</v>
      </c>
      <c r="J123" s="30"/>
      <c r="K123" s="30"/>
    </row>
    <row r="124" spans="1:11" x14ac:dyDescent="0.25">
      <c r="A124" s="30" t="s">
        <v>14643</v>
      </c>
      <c r="B124" s="30" t="s">
        <v>14644</v>
      </c>
      <c r="C124" s="32">
        <v>1.08</v>
      </c>
      <c r="D124" s="30">
        <v>0</v>
      </c>
      <c r="E124" s="31">
        <v>0</v>
      </c>
      <c r="F124" s="30">
        <v>51912017</v>
      </c>
      <c r="G124" s="30" t="s">
        <v>5427</v>
      </c>
      <c r="H124" s="30"/>
      <c r="I124" s="30">
        <v>233606</v>
      </c>
      <c r="J124" s="30" t="s">
        <v>6250</v>
      </c>
      <c r="K124" s="30" t="s">
        <v>6914</v>
      </c>
    </row>
    <row r="125" spans="1:11" x14ac:dyDescent="0.25">
      <c r="A125" s="30" t="s">
        <v>14645</v>
      </c>
      <c r="B125" s="30" t="s">
        <v>14646</v>
      </c>
      <c r="C125" s="32">
        <v>0.7</v>
      </c>
      <c r="D125" s="30">
        <v>-0.01</v>
      </c>
      <c r="E125" s="31">
        <v>-1.4080000000000001E-2</v>
      </c>
      <c r="F125" s="30">
        <v>76061572</v>
      </c>
      <c r="G125" s="30" t="s">
        <v>5427</v>
      </c>
      <c r="H125" s="30"/>
      <c r="I125" s="30">
        <v>10481</v>
      </c>
      <c r="J125" s="30" t="s">
        <v>5431</v>
      </c>
      <c r="K125" s="30" t="s">
        <v>5610</v>
      </c>
    </row>
    <row r="126" spans="1:11" x14ac:dyDescent="0.25">
      <c r="A126" s="30" t="s">
        <v>14647</v>
      </c>
      <c r="B126" s="30" t="s">
        <v>14648</v>
      </c>
      <c r="C126" s="32">
        <v>0.29010000000000002</v>
      </c>
      <c r="D126" s="30">
        <v>1.44E-2</v>
      </c>
      <c r="E126" s="31">
        <v>5.2229999999999999E-2</v>
      </c>
      <c r="F126" s="30">
        <v>284283399</v>
      </c>
      <c r="G126" s="30" t="s">
        <v>5427</v>
      </c>
      <c r="H126" s="30">
        <v>2017</v>
      </c>
      <c r="I126" s="30">
        <v>11188086</v>
      </c>
      <c r="J126" s="30" t="s">
        <v>5431</v>
      </c>
      <c r="K126" s="30" t="s">
        <v>8643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00913-9294-4AB1-AD0D-98252DC9AA65}">
  <dimension ref="A1:G231"/>
  <sheetViews>
    <sheetView topLeftCell="A186" workbookViewId="0">
      <selection activeCell="C223" sqref="C223"/>
    </sheetView>
  </sheetViews>
  <sheetFormatPr defaultRowHeight="14.5" x14ac:dyDescent="0.35"/>
  <cols>
    <col min="1" max="1" width="20.26953125" style="26" customWidth="1"/>
    <col min="2" max="3" width="8.7265625" style="26"/>
    <col min="4" max="4" width="16.08984375" style="26" customWidth="1"/>
    <col min="5" max="5" width="8.7265625" style="26"/>
    <col min="6" max="6" width="24.54296875" style="26" bestFit="1" customWidth="1"/>
    <col min="7" max="16384" width="8.7265625" style="26"/>
  </cols>
  <sheetData>
    <row r="1" spans="1:7" x14ac:dyDescent="0.35">
      <c r="A1" s="26" t="s">
        <v>5152</v>
      </c>
      <c r="B1" s="26" t="s">
        <v>5153</v>
      </c>
      <c r="D1" s="26" t="s">
        <v>1</v>
      </c>
      <c r="E1" s="26" t="s">
        <v>5154</v>
      </c>
      <c r="F1" s="26" t="s">
        <v>5155</v>
      </c>
      <c r="G1" s="26" t="s">
        <v>5156</v>
      </c>
    </row>
    <row r="2" spans="1:7" x14ac:dyDescent="0.35">
      <c r="A2" s="27">
        <v>44925</v>
      </c>
      <c r="B2" s="26">
        <v>1332</v>
      </c>
      <c r="C2" s="26" t="str">
        <f>"'"&amp;B2&amp;"T'"</f>
        <v>'1332T'</v>
      </c>
      <c r="D2" s="26" t="s">
        <v>5157</v>
      </c>
      <c r="E2" s="26" t="s">
        <v>5158</v>
      </c>
      <c r="F2" s="26" t="s">
        <v>5159</v>
      </c>
      <c r="G2" s="28">
        <v>7.2000000000000005E-4</v>
      </c>
    </row>
    <row r="3" spans="1:7" x14ac:dyDescent="0.35">
      <c r="A3" s="27">
        <v>44925</v>
      </c>
      <c r="B3" s="26">
        <v>1605</v>
      </c>
      <c r="C3" s="26" t="str">
        <f t="shared" ref="C3:C66" si="0">"'"&amp;B3&amp;"T'"</f>
        <v>'1605T'</v>
      </c>
      <c r="D3" s="26" t="s">
        <v>5160</v>
      </c>
      <c r="E3" s="26" t="s">
        <v>5161</v>
      </c>
      <c r="F3" s="26" t="s">
        <v>5162</v>
      </c>
      <c r="G3" s="28">
        <v>7.3300000000000004E-4</v>
      </c>
    </row>
    <row r="4" spans="1:7" x14ac:dyDescent="0.35">
      <c r="A4" s="27">
        <v>44925</v>
      </c>
      <c r="B4" s="26">
        <v>1721</v>
      </c>
      <c r="C4" s="26" t="str">
        <f t="shared" si="0"/>
        <v>'1721T'</v>
      </c>
      <c r="D4" s="26" t="s">
        <v>5163</v>
      </c>
      <c r="E4" s="26" t="s">
        <v>5164</v>
      </c>
      <c r="F4" s="26" t="s">
        <v>5165</v>
      </c>
      <c r="G4" s="28">
        <v>3.0379999999999999E-3</v>
      </c>
    </row>
    <row r="5" spans="1:7" x14ac:dyDescent="0.35">
      <c r="A5" s="27">
        <v>44925</v>
      </c>
      <c r="B5" s="26">
        <v>1801</v>
      </c>
      <c r="C5" s="26" t="str">
        <f t="shared" si="0"/>
        <v>'1801T'</v>
      </c>
      <c r="D5" s="26" t="s">
        <v>5166</v>
      </c>
      <c r="E5" s="26" t="s">
        <v>5164</v>
      </c>
      <c r="F5" s="26" t="s">
        <v>5165</v>
      </c>
      <c r="G5" s="28">
        <v>1.1150000000000001E-3</v>
      </c>
    </row>
    <row r="6" spans="1:7" x14ac:dyDescent="0.35">
      <c r="A6" s="27">
        <v>44925</v>
      </c>
      <c r="B6" s="26">
        <v>1802</v>
      </c>
      <c r="C6" s="26" t="str">
        <f t="shared" si="0"/>
        <v>'1802T'</v>
      </c>
      <c r="D6" s="26" t="s">
        <v>5167</v>
      </c>
      <c r="E6" s="26" t="s">
        <v>5164</v>
      </c>
      <c r="F6" s="26" t="s">
        <v>5165</v>
      </c>
      <c r="G6" s="28">
        <v>1.31E-3</v>
      </c>
    </row>
    <row r="7" spans="1:7" x14ac:dyDescent="0.35">
      <c r="A7" s="27">
        <v>44925</v>
      </c>
      <c r="B7" s="26">
        <v>1803</v>
      </c>
      <c r="C7" s="26" t="str">
        <f t="shared" si="0"/>
        <v>'1803T'</v>
      </c>
      <c r="D7" s="26" t="s">
        <v>5168</v>
      </c>
      <c r="E7" s="26" t="s">
        <v>5164</v>
      </c>
      <c r="F7" s="26" t="s">
        <v>5165</v>
      </c>
      <c r="G7" s="28">
        <v>9.2400000000000002E-4</v>
      </c>
    </row>
    <row r="8" spans="1:7" x14ac:dyDescent="0.35">
      <c r="A8" s="27">
        <v>44925</v>
      </c>
      <c r="B8" s="26">
        <v>1808</v>
      </c>
      <c r="C8" s="26" t="str">
        <f t="shared" si="0"/>
        <v>'1808T'</v>
      </c>
      <c r="D8" s="26" t="s">
        <v>5169</v>
      </c>
      <c r="E8" s="26" t="s">
        <v>5164</v>
      </c>
      <c r="F8" s="26" t="s">
        <v>5165</v>
      </c>
      <c r="G8" s="28">
        <v>3.8699999999999997E-4</v>
      </c>
    </row>
    <row r="9" spans="1:7" x14ac:dyDescent="0.35">
      <c r="A9" s="27">
        <v>44925</v>
      </c>
      <c r="B9" s="26">
        <v>1812</v>
      </c>
      <c r="C9" s="26" t="str">
        <f t="shared" si="0"/>
        <v>'1812T'</v>
      </c>
      <c r="D9" s="26" t="s">
        <v>5170</v>
      </c>
      <c r="E9" s="26" t="s">
        <v>5164</v>
      </c>
      <c r="F9" s="26" t="s">
        <v>5165</v>
      </c>
      <c r="G9" s="28">
        <v>1.008E-3</v>
      </c>
    </row>
    <row r="10" spans="1:7" x14ac:dyDescent="0.35">
      <c r="A10" s="27">
        <v>44925</v>
      </c>
      <c r="B10" s="26">
        <v>1925</v>
      </c>
      <c r="C10" s="26" t="str">
        <f t="shared" si="0"/>
        <v>'1925T'</v>
      </c>
      <c r="D10" s="26" t="s">
        <v>5171</v>
      </c>
      <c r="E10" s="26" t="s">
        <v>5164</v>
      </c>
      <c r="F10" s="26" t="s">
        <v>5165</v>
      </c>
      <c r="G10" s="28">
        <v>3.9880000000000002E-3</v>
      </c>
    </row>
    <row r="11" spans="1:7" x14ac:dyDescent="0.35">
      <c r="A11" s="27">
        <v>44925</v>
      </c>
      <c r="B11" s="26">
        <v>1928</v>
      </c>
      <c r="C11" s="26" t="str">
        <f t="shared" si="0"/>
        <v>'1928T'</v>
      </c>
      <c r="D11" s="26" t="s">
        <v>5172</v>
      </c>
      <c r="E11" s="26" t="s">
        <v>5164</v>
      </c>
      <c r="F11" s="26" t="s">
        <v>5165</v>
      </c>
      <c r="G11" s="28">
        <v>3.0620000000000001E-3</v>
      </c>
    </row>
    <row r="12" spans="1:7" x14ac:dyDescent="0.35">
      <c r="A12" s="27">
        <v>44925</v>
      </c>
      <c r="B12" s="26">
        <v>1963</v>
      </c>
      <c r="C12" s="26" t="str">
        <f t="shared" si="0"/>
        <v>'1963T'</v>
      </c>
      <c r="D12" s="26" t="s">
        <v>5173</v>
      </c>
      <c r="E12" s="26" t="s">
        <v>5164</v>
      </c>
      <c r="F12" s="26" t="s">
        <v>5165</v>
      </c>
      <c r="G12" s="28">
        <v>2.202E-3</v>
      </c>
    </row>
    <row r="13" spans="1:7" x14ac:dyDescent="0.35">
      <c r="A13" s="27">
        <v>44925</v>
      </c>
      <c r="B13" s="26">
        <v>2002</v>
      </c>
      <c r="C13" s="26" t="str">
        <f t="shared" si="0"/>
        <v>'2002T'</v>
      </c>
      <c r="D13" s="26" t="s">
        <v>5174</v>
      </c>
      <c r="E13" s="26" t="s">
        <v>5175</v>
      </c>
      <c r="F13" s="26" t="s">
        <v>5159</v>
      </c>
      <c r="G13" s="28">
        <v>2.1689999999999999E-3</v>
      </c>
    </row>
    <row r="14" spans="1:7" x14ac:dyDescent="0.35">
      <c r="A14" s="27">
        <v>44925</v>
      </c>
      <c r="B14" s="26">
        <v>2269</v>
      </c>
      <c r="C14" s="26" t="str">
        <f t="shared" si="0"/>
        <v>'2269T'</v>
      </c>
      <c r="D14" s="26" t="s">
        <v>5176</v>
      </c>
      <c r="E14" s="26" t="s">
        <v>5175</v>
      </c>
      <c r="F14" s="26" t="s">
        <v>5159</v>
      </c>
      <c r="G14" s="28">
        <v>1.769E-3</v>
      </c>
    </row>
    <row r="15" spans="1:7" x14ac:dyDescent="0.35">
      <c r="A15" s="27">
        <v>44925</v>
      </c>
      <c r="B15" s="26">
        <v>2282</v>
      </c>
      <c r="C15" s="26" t="str">
        <f t="shared" si="0"/>
        <v>'2282T'</v>
      </c>
      <c r="D15" s="26" t="s">
        <v>5177</v>
      </c>
      <c r="E15" s="26" t="s">
        <v>5175</v>
      </c>
      <c r="F15" s="26" t="s">
        <v>5159</v>
      </c>
      <c r="G15" s="28">
        <v>2.4109999999999999E-3</v>
      </c>
    </row>
    <row r="16" spans="1:7" x14ac:dyDescent="0.35">
      <c r="A16" s="27">
        <v>44925</v>
      </c>
      <c r="B16" s="26">
        <v>2413</v>
      </c>
      <c r="C16" s="26" t="str">
        <f t="shared" si="0"/>
        <v>'2413T'</v>
      </c>
      <c r="D16" s="26" t="s">
        <v>5178</v>
      </c>
      <c r="E16" s="26" t="s">
        <v>5179</v>
      </c>
      <c r="F16" s="26" t="s">
        <v>5159</v>
      </c>
      <c r="G16" s="28">
        <v>1.1269E-2</v>
      </c>
    </row>
    <row r="17" spans="1:7" x14ac:dyDescent="0.35">
      <c r="A17" s="27">
        <v>44925</v>
      </c>
      <c r="B17" s="26">
        <v>2432</v>
      </c>
      <c r="C17" s="26" t="str">
        <f t="shared" si="0"/>
        <v>'2432T'</v>
      </c>
      <c r="D17" s="26" t="s">
        <v>5180</v>
      </c>
      <c r="E17" s="26" t="s">
        <v>5179</v>
      </c>
      <c r="F17" s="26" t="s">
        <v>5159</v>
      </c>
      <c r="G17" s="28">
        <v>6.9499999999999998E-4</v>
      </c>
    </row>
    <row r="18" spans="1:7" x14ac:dyDescent="0.35">
      <c r="A18" s="27">
        <v>44925</v>
      </c>
      <c r="B18" s="26">
        <v>2501</v>
      </c>
      <c r="C18" s="26" t="str">
        <f t="shared" si="0"/>
        <v>'2501T'</v>
      </c>
      <c r="D18" s="26" t="s">
        <v>5181</v>
      </c>
      <c r="E18" s="26" t="s">
        <v>5175</v>
      </c>
      <c r="F18" s="26" t="s">
        <v>5159</v>
      </c>
      <c r="G18" s="28">
        <v>8.61E-4</v>
      </c>
    </row>
    <row r="19" spans="1:7" x14ac:dyDescent="0.35">
      <c r="A19" s="27">
        <v>44925</v>
      </c>
      <c r="B19" s="26">
        <v>2502</v>
      </c>
      <c r="C19" s="26" t="str">
        <f t="shared" si="0"/>
        <v>'2502T'</v>
      </c>
      <c r="D19" s="26" t="s">
        <v>5182</v>
      </c>
      <c r="E19" s="26" t="s">
        <v>5175</v>
      </c>
      <c r="F19" s="26" t="s">
        <v>5159</v>
      </c>
      <c r="G19" s="28">
        <v>5.4050000000000001E-3</v>
      </c>
    </row>
    <row r="20" spans="1:7" x14ac:dyDescent="0.35">
      <c r="A20" s="27">
        <v>44925</v>
      </c>
      <c r="B20" s="26">
        <v>2503</v>
      </c>
      <c r="C20" s="26" t="str">
        <f t="shared" si="0"/>
        <v>'2503T'</v>
      </c>
      <c r="D20" s="26" t="s">
        <v>5183</v>
      </c>
      <c r="E20" s="26" t="s">
        <v>5175</v>
      </c>
      <c r="F20" s="26" t="s">
        <v>5159</v>
      </c>
      <c r="G20" s="28">
        <v>2.6389999999999999E-3</v>
      </c>
    </row>
    <row r="21" spans="1:7" x14ac:dyDescent="0.35">
      <c r="A21" s="27">
        <v>44925</v>
      </c>
      <c r="B21" s="26">
        <v>2531</v>
      </c>
      <c r="C21" s="26" t="str">
        <f t="shared" si="0"/>
        <v>'2531T'</v>
      </c>
      <c r="D21" s="26" t="s">
        <v>5184</v>
      </c>
      <c r="E21" s="26" t="s">
        <v>5175</v>
      </c>
      <c r="F21" s="26" t="s">
        <v>5159</v>
      </c>
      <c r="G21" s="28">
        <v>1.371E-3</v>
      </c>
    </row>
    <row r="22" spans="1:7" x14ac:dyDescent="0.35">
      <c r="A22" s="27">
        <v>44925</v>
      </c>
      <c r="B22" s="26">
        <v>2768</v>
      </c>
      <c r="C22" s="26" t="str">
        <f t="shared" si="0"/>
        <v>'2768T'</v>
      </c>
      <c r="D22" s="26" t="s">
        <v>5185</v>
      </c>
      <c r="E22" s="26" t="s">
        <v>5186</v>
      </c>
      <c r="F22" s="26" t="s">
        <v>5162</v>
      </c>
      <c r="G22" s="28">
        <v>3.3E-4</v>
      </c>
    </row>
    <row r="23" spans="1:7" x14ac:dyDescent="0.35">
      <c r="A23" s="27">
        <v>44925</v>
      </c>
      <c r="B23" s="26">
        <v>2801</v>
      </c>
      <c r="C23" s="26" t="str">
        <f t="shared" si="0"/>
        <v>'2801T'</v>
      </c>
      <c r="D23" s="26" t="s">
        <v>5187</v>
      </c>
      <c r="E23" s="26" t="s">
        <v>5175</v>
      </c>
      <c r="F23" s="26" t="s">
        <v>5159</v>
      </c>
      <c r="G23" s="28">
        <v>9.1070000000000005E-3</v>
      </c>
    </row>
    <row r="24" spans="1:7" x14ac:dyDescent="0.35">
      <c r="A24" s="27">
        <v>44925</v>
      </c>
      <c r="B24" s="26">
        <v>2802</v>
      </c>
      <c r="C24" s="26" t="str">
        <f t="shared" si="0"/>
        <v>'2802T'</v>
      </c>
      <c r="D24" s="26" t="s">
        <v>5188</v>
      </c>
      <c r="E24" s="26" t="s">
        <v>5175</v>
      </c>
      <c r="F24" s="26" t="s">
        <v>5159</v>
      </c>
      <c r="G24" s="28">
        <v>5.2900000000000004E-3</v>
      </c>
    </row>
    <row r="25" spans="1:7" x14ac:dyDescent="0.35">
      <c r="A25" s="27">
        <v>44925</v>
      </c>
      <c r="B25" s="26">
        <v>2871</v>
      </c>
      <c r="C25" s="26" t="str">
        <f t="shared" si="0"/>
        <v>'2871T'</v>
      </c>
      <c r="D25" s="26" t="s">
        <v>5189</v>
      </c>
      <c r="E25" s="26" t="s">
        <v>5175</v>
      </c>
      <c r="F25" s="26" t="s">
        <v>5159</v>
      </c>
      <c r="G25" s="28">
        <v>1.8879999999999999E-3</v>
      </c>
    </row>
    <row r="26" spans="1:7" x14ac:dyDescent="0.35">
      <c r="A26" s="27">
        <v>44925</v>
      </c>
      <c r="B26" s="26">
        <v>2914</v>
      </c>
      <c r="C26" s="26" t="str">
        <f t="shared" si="0"/>
        <v>'2914T'</v>
      </c>
      <c r="D26" s="26" t="s">
        <v>5190</v>
      </c>
      <c r="E26" s="26" t="s">
        <v>5175</v>
      </c>
      <c r="F26" s="26" t="s">
        <v>5159</v>
      </c>
      <c r="G26" s="28">
        <v>3.4919999999999999E-3</v>
      </c>
    </row>
    <row r="27" spans="1:7" x14ac:dyDescent="0.35">
      <c r="A27" s="27">
        <v>44925</v>
      </c>
      <c r="B27" s="26">
        <v>3086</v>
      </c>
      <c r="C27" s="26" t="str">
        <f t="shared" si="0"/>
        <v>'3086T'</v>
      </c>
      <c r="D27" s="26" t="s">
        <v>5191</v>
      </c>
      <c r="E27" s="26" t="s">
        <v>5192</v>
      </c>
      <c r="F27" s="26" t="s">
        <v>5159</v>
      </c>
      <c r="G27" s="28">
        <v>7.8799999999999996E-4</v>
      </c>
    </row>
    <row r="28" spans="1:7" x14ac:dyDescent="0.35">
      <c r="A28" s="27">
        <v>44925</v>
      </c>
      <c r="B28" s="26">
        <v>3099</v>
      </c>
      <c r="C28" s="26" t="str">
        <f t="shared" si="0"/>
        <v>'3099T'</v>
      </c>
      <c r="D28" s="26" t="s">
        <v>5193</v>
      </c>
      <c r="E28" s="26" t="s">
        <v>5192</v>
      </c>
      <c r="F28" s="26" t="s">
        <v>5159</v>
      </c>
      <c r="G28" s="28">
        <v>1.8860000000000001E-3</v>
      </c>
    </row>
    <row r="29" spans="1:7" x14ac:dyDescent="0.35">
      <c r="A29" s="27">
        <v>44925</v>
      </c>
      <c r="B29" s="26">
        <v>3101</v>
      </c>
      <c r="C29" s="26" t="str">
        <f t="shared" si="0"/>
        <v>'3101T'</v>
      </c>
      <c r="D29" s="26" t="s">
        <v>5194</v>
      </c>
      <c r="E29" s="26" t="s">
        <v>5195</v>
      </c>
      <c r="F29" s="26" t="s">
        <v>5162</v>
      </c>
      <c r="G29" s="28">
        <v>1.3100000000000001E-4</v>
      </c>
    </row>
    <row r="30" spans="1:7" x14ac:dyDescent="0.35">
      <c r="A30" s="27">
        <v>44925</v>
      </c>
      <c r="B30" s="26">
        <v>3289</v>
      </c>
      <c r="C30" s="26" t="str">
        <f t="shared" si="0"/>
        <v>'3289T'</v>
      </c>
      <c r="D30" s="26" t="s">
        <v>5196</v>
      </c>
      <c r="E30" s="26" t="s">
        <v>5197</v>
      </c>
      <c r="F30" s="26" t="s">
        <v>5165</v>
      </c>
      <c r="G30" s="28">
        <v>8.2399999999999997E-4</v>
      </c>
    </row>
    <row r="31" spans="1:7" x14ac:dyDescent="0.35">
      <c r="A31" s="27">
        <v>44925</v>
      </c>
      <c r="B31" s="26">
        <v>3382</v>
      </c>
      <c r="C31" s="26" t="str">
        <f t="shared" si="0"/>
        <v>'3382T'</v>
      </c>
      <c r="D31" s="26" t="s">
        <v>5198</v>
      </c>
      <c r="E31" s="26" t="s">
        <v>5192</v>
      </c>
      <c r="F31" s="26" t="s">
        <v>5159</v>
      </c>
      <c r="G31" s="28">
        <v>7.4269999999999996E-3</v>
      </c>
    </row>
    <row r="32" spans="1:7" x14ac:dyDescent="0.35">
      <c r="A32" s="27">
        <v>44925</v>
      </c>
      <c r="B32" s="26">
        <v>3401</v>
      </c>
      <c r="C32" s="26" t="str">
        <f t="shared" si="0"/>
        <v>'3401T'</v>
      </c>
      <c r="D32" s="26" t="s">
        <v>5199</v>
      </c>
      <c r="E32" s="26" t="s">
        <v>5195</v>
      </c>
      <c r="F32" s="26" t="s">
        <v>5162</v>
      </c>
      <c r="G32" s="28">
        <v>3.3799999999999998E-4</v>
      </c>
    </row>
    <row r="33" spans="1:7" x14ac:dyDescent="0.35">
      <c r="A33" s="27">
        <v>44925</v>
      </c>
      <c r="B33" s="26">
        <v>3402</v>
      </c>
      <c r="C33" s="26" t="str">
        <f t="shared" si="0"/>
        <v>'3402T'</v>
      </c>
      <c r="D33" s="26" t="s">
        <v>5200</v>
      </c>
      <c r="E33" s="26" t="s">
        <v>5195</v>
      </c>
      <c r="F33" s="26" t="s">
        <v>5162</v>
      </c>
      <c r="G33" s="28">
        <v>9.6699999999999998E-4</v>
      </c>
    </row>
    <row r="34" spans="1:7" x14ac:dyDescent="0.35">
      <c r="A34" s="27">
        <v>44925</v>
      </c>
      <c r="B34" s="26">
        <v>3405</v>
      </c>
      <c r="C34" s="26" t="str">
        <f t="shared" si="0"/>
        <v>'3405T'</v>
      </c>
      <c r="D34" s="26" t="s">
        <v>5201</v>
      </c>
      <c r="E34" s="26" t="s">
        <v>5202</v>
      </c>
      <c r="F34" s="26" t="s">
        <v>5162</v>
      </c>
      <c r="G34" s="28">
        <v>1.3879999999999999E-3</v>
      </c>
    </row>
    <row r="35" spans="1:7" x14ac:dyDescent="0.35">
      <c r="A35" s="27">
        <v>44925</v>
      </c>
      <c r="B35" s="26">
        <v>3407</v>
      </c>
      <c r="C35" s="26" t="str">
        <f t="shared" si="0"/>
        <v>'3407T'</v>
      </c>
      <c r="D35" s="26" t="s">
        <v>5203</v>
      </c>
      <c r="E35" s="26" t="s">
        <v>5202</v>
      </c>
      <c r="F35" s="26" t="s">
        <v>5162</v>
      </c>
      <c r="G35" s="28">
        <v>1.235E-3</v>
      </c>
    </row>
    <row r="36" spans="1:7" x14ac:dyDescent="0.35">
      <c r="A36" s="27">
        <v>44925</v>
      </c>
      <c r="B36" s="26">
        <v>3436</v>
      </c>
      <c r="C36" s="26" t="str">
        <f t="shared" si="0"/>
        <v>'3436T'</v>
      </c>
      <c r="D36" s="26" t="s">
        <v>5204</v>
      </c>
      <c r="E36" s="26" t="s">
        <v>5205</v>
      </c>
      <c r="F36" s="26" t="s">
        <v>5162</v>
      </c>
      <c r="G36" s="28">
        <v>2.31E-4</v>
      </c>
    </row>
    <row r="37" spans="1:7" x14ac:dyDescent="0.35">
      <c r="A37" s="27">
        <v>44925</v>
      </c>
      <c r="B37" s="26">
        <v>3659</v>
      </c>
      <c r="C37" s="26" t="str">
        <f t="shared" si="0"/>
        <v>'3659T'</v>
      </c>
      <c r="D37" s="26" t="s">
        <v>5206</v>
      </c>
      <c r="E37" s="26" t="s">
        <v>5179</v>
      </c>
      <c r="F37" s="26" t="s">
        <v>5159</v>
      </c>
      <c r="G37" s="28">
        <v>7.7739999999999997E-3</v>
      </c>
    </row>
    <row r="38" spans="1:7" x14ac:dyDescent="0.35">
      <c r="A38" s="27">
        <v>44925</v>
      </c>
      <c r="B38" s="26">
        <v>3861</v>
      </c>
      <c r="C38" s="26" t="str">
        <f t="shared" si="0"/>
        <v>'3861T'</v>
      </c>
      <c r="D38" s="26" t="s">
        <v>5207</v>
      </c>
      <c r="E38" s="26" t="s">
        <v>5208</v>
      </c>
      <c r="F38" s="26" t="s">
        <v>5162</v>
      </c>
      <c r="G38" s="28">
        <v>6.9700000000000003E-4</v>
      </c>
    </row>
    <row r="39" spans="1:7" x14ac:dyDescent="0.35">
      <c r="A39" s="27">
        <v>44925</v>
      </c>
      <c r="B39" s="26">
        <v>3863</v>
      </c>
      <c r="C39" s="26" t="str">
        <f t="shared" si="0"/>
        <v>'3863T'</v>
      </c>
      <c r="D39" s="26" t="s">
        <v>5209</v>
      </c>
      <c r="E39" s="26" t="s">
        <v>5208</v>
      </c>
      <c r="F39" s="26" t="s">
        <v>5162</v>
      </c>
      <c r="G39" s="28">
        <v>1.2799999999999999E-4</v>
      </c>
    </row>
    <row r="40" spans="1:7" x14ac:dyDescent="0.35">
      <c r="A40" s="27">
        <v>44925</v>
      </c>
      <c r="B40" s="26">
        <v>4004</v>
      </c>
      <c r="C40" s="26" t="str">
        <f t="shared" si="0"/>
        <v>'4004T'</v>
      </c>
      <c r="D40" s="26" t="s">
        <v>5210</v>
      </c>
      <c r="E40" s="26" t="s">
        <v>5202</v>
      </c>
      <c r="F40" s="26" t="s">
        <v>5162</v>
      </c>
      <c r="G40" s="28">
        <v>2.6499999999999999E-4</v>
      </c>
    </row>
    <row r="41" spans="1:7" x14ac:dyDescent="0.35">
      <c r="A41" s="27">
        <v>44925</v>
      </c>
      <c r="B41" s="26">
        <v>4005</v>
      </c>
      <c r="C41" s="26" t="str">
        <f t="shared" si="0"/>
        <v>'4005T'</v>
      </c>
      <c r="D41" s="26" t="s">
        <v>5211</v>
      </c>
      <c r="E41" s="26" t="s">
        <v>5202</v>
      </c>
      <c r="F41" s="26" t="s">
        <v>5162</v>
      </c>
      <c r="G41" s="28">
        <v>6.2200000000000005E-4</v>
      </c>
    </row>
    <row r="42" spans="1:7" x14ac:dyDescent="0.35">
      <c r="A42" s="27">
        <v>44925</v>
      </c>
      <c r="B42" s="26">
        <v>4021</v>
      </c>
      <c r="C42" s="26" t="str">
        <f t="shared" si="0"/>
        <v>'4021T'</v>
      </c>
      <c r="D42" s="26" t="s">
        <v>5212</v>
      </c>
      <c r="E42" s="26" t="s">
        <v>5202</v>
      </c>
      <c r="F42" s="26" t="s">
        <v>5162</v>
      </c>
      <c r="G42" s="28">
        <v>7.5849999999999997E-3</v>
      </c>
    </row>
    <row r="43" spans="1:7" x14ac:dyDescent="0.35">
      <c r="A43" s="27">
        <v>44925</v>
      </c>
      <c r="B43" s="26">
        <v>4042</v>
      </c>
      <c r="C43" s="26" t="str">
        <f t="shared" si="0"/>
        <v>'4042T'</v>
      </c>
      <c r="D43" s="26" t="s">
        <v>5213</v>
      </c>
      <c r="E43" s="26" t="s">
        <v>5202</v>
      </c>
      <c r="F43" s="26" t="s">
        <v>5162</v>
      </c>
      <c r="G43" s="28">
        <v>1.0300000000000001E-3</v>
      </c>
    </row>
    <row r="44" spans="1:7" x14ac:dyDescent="0.35">
      <c r="A44" s="27">
        <v>44925</v>
      </c>
      <c r="B44" s="26">
        <v>4043</v>
      </c>
      <c r="C44" s="26" t="str">
        <f t="shared" si="0"/>
        <v>'4043T'</v>
      </c>
      <c r="D44" s="26" t="s">
        <v>5214</v>
      </c>
      <c r="E44" s="26" t="s">
        <v>5202</v>
      </c>
      <c r="F44" s="26" t="s">
        <v>5162</v>
      </c>
      <c r="G44" s="28">
        <v>4.7100000000000001E-4</v>
      </c>
    </row>
    <row r="45" spans="1:7" x14ac:dyDescent="0.35">
      <c r="A45" s="27">
        <v>44925</v>
      </c>
      <c r="B45" s="26">
        <v>4061</v>
      </c>
      <c r="C45" s="26" t="str">
        <f t="shared" si="0"/>
        <v>'4061T'</v>
      </c>
      <c r="D45" s="26" t="s">
        <v>5215</v>
      </c>
      <c r="E45" s="26" t="s">
        <v>5202</v>
      </c>
      <c r="F45" s="26" t="s">
        <v>5162</v>
      </c>
      <c r="G45" s="28">
        <v>7.94E-4</v>
      </c>
    </row>
    <row r="46" spans="1:7" x14ac:dyDescent="0.35">
      <c r="A46" s="27">
        <v>44925</v>
      </c>
      <c r="B46" s="26">
        <v>4063</v>
      </c>
      <c r="C46" s="26" t="str">
        <f t="shared" si="0"/>
        <v>'4063T'</v>
      </c>
      <c r="D46" s="26" t="s">
        <v>5216</v>
      </c>
      <c r="E46" s="26" t="s">
        <v>5202</v>
      </c>
      <c r="F46" s="26" t="s">
        <v>5162</v>
      </c>
      <c r="G46" s="28">
        <v>2.1291999999999998E-2</v>
      </c>
    </row>
    <row r="47" spans="1:7" x14ac:dyDescent="0.35">
      <c r="A47" s="27">
        <v>44925</v>
      </c>
      <c r="B47" s="26">
        <v>4151</v>
      </c>
      <c r="C47" s="26" t="str">
        <f t="shared" si="0"/>
        <v>'4151T'</v>
      </c>
      <c r="D47" s="26" t="s">
        <v>5217</v>
      </c>
      <c r="E47" s="26" t="s">
        <v>5218</v>
      </c>
      <c r="F47" s="26" t="s">
        <v>5219</v>
      </c>
      <c r="G47" s="28">
        <v>3.9630000000000004E-3</v>
      </c>
    </row>
    <row r="48" spans="1:7" x14ac:dyDescent="0.35">
      <c r="A48" s="27">
        <v>44925</v>
      </c>
      <c r="B48" s="26">
        <v>4183</v>
      </c>
      <c r="C48" s="26" t="str">
        <f t="shared" si="0"/>
        <v>'4183T'</v>
      </c>
      <c r="D48" s="26" t="s">
        <v>5220</v>
      </c>
      <c r="E48" s="26" t="s">
        <v>5202</v>
      </c>
      <c r="F48" s="26" t="s">
        <v>5162</v>
      </c>
      <c r="G48" s="28">
        <v>7.8100000000000001E-4</v>
      </c>
    </row>
    <row r="49" spans="1:7" x14ac:dyDescent="0.35">
      <c r="A49" s="27">
        <v>44925</v>
      </c>
      <c r="B49" s="26">
        <v>4188</v>
      </c>
      <c r="C49" s="26" t="str">
        <f t="shared" si="0"/>
        <v>'4188T'</v>
      </c>
      <c r="D49" s="26" t="s">
        <v>5221</v>
      </c>
      <c r="E49" s="26" t="s">
        <v>5202</v>
      </c>
      <c r="F49" s="26" t="s">
        <v>5162</v>
      </c>
      <c r="G49" s="28">
        <v>4.4900000000000002E-4</v>
      </c>
    </row>
    <row r="50" spans="1:7" x14ac:dyDescent="0.35">
      <c r="A50" s="27">
        <v>44925</v>
      </c>
      <c r="B50" s="26">
        <v>4208</v>
      </c>
      <c r="C50" s="26" t="str">
        <f t="shared" si="0"/>
        <v>'4208T'</v>
      </c>
      <c r="D50" s="26" t="s">
        <v>5222</v>
      </c>
      <c r="E50" s="26" t="s">
        <v>5202</v>
      </c>
      <c r="F50" s="26" t="s">
        <v>5162</v>
      </c>
      <c r="G50" s="28">
        <v>2.5399999999999999E-4</v>
      </c>
    </row>
    <row r="51" spans="1:7" x14ac:dyDescent="0.35">
      <c r="A51" s="27">
        <v>44925</v>
      </c>
      <c r="B51" s="26">
        <v>4324</v>
      </c>
      <c r="C51" s="26" t="str">
        <f t="shared" si="0"/>
        <v>'4324T'</v>
      </c>
      <c r="D51" s="26" t="s">
        <v>5223</v>
      </c>
      <c r="E51" s="26" t="s">
        <v>5179</v>
      </c>
      <c r="F51" s="26" t="s">
        <v>5159</v>
      </c>
      <c r="G51" s="28">
        <v>5.4390000000000003E-3</v>
      </c>
    </row>
    <row r="52" spans="1:7" x14ac:dyDescent="0.35">
      <c r="A52" s="27">
        <v>44925</v>
      </c>
      <c r="B52" s="26">
        <v>4452</v>
      </c>
      <c r="C52" s="26" t="str">
        <f t="shared" si="0"/>
        <v>'4452T'</v>
      </c>
      <c r="D52" s="26" t="s">
        <v>5224</v>
      </c>
      <c r="E52" s="26" t="s">
        <v>5202</v>
      </c>
      <c r="F52" s="26" t="s">
        <v>5162</v>
      </c>
      <c r="G52" s="28">
        <v>6.8960000000000002E-3</v>
      </c>
    </row>
    <row r="53" spans="1:7" x14ac:dyDescent="0.35">
      <c r="A53" s="27">
        <v>44925</v>
      </c>
      <c r="B53" s="26">
        <v>4502</v>
      </c>
      <c r="C53" s="26" t="str">
        <f t="shared" si="0"/>
        <v>'4502T'</v>
      </c>
      <c r="D53" s="26" t="s">
        <v>5225</v>
      </c>
      <c r="E53" s="26" t="s">
        <v>5218</v>
      </c>
      <c r="F53" s="26" t="s">
        <v>5219</v>
      </c>
      <c r="G53" s="28">
        <v>5.3949999999999996E-3</v>
      </c>
    </row>
    <row r="54" spans="1:7" x14ac:dyDescent="0.35">
      <c r="A54" s="27">
        <v>44925</v>
      </c>
      <c r="B54" s="26">
        <v>4503</v>
      </c>
      <c r="C54" s="26" t="str">
        <f t="shared" si="0"/>
        <v>'4503T'</v>
      </c>
      <c r="D54" s="26" t="s">
        <v>5226</v>
      </c>
      <c r="E54" s="26" t="s">
        <v>5218</v>
      </c>
      <c r="F54" s="26" t="s">
        <v>5219</v>
      </c>
      <c r="G54" s="28">
        <v>1.3165E-2</v>
      </c>
    </row>
    <row r="55" spans="1:7" x14ac:dyDescent="0.35">
      <c r="A55" s="27">
        <v>44925</v>
      </c>
      <c r="B55" s="26">
        <v>4506</v>
      </c>
      <c r="C55" s="26" t="str">
        <f t="shared" si="0"/>
        <v>'4506T'</v>
      </c>
      <c r="D55" s="26" t="s">
        <v>5227</v>
      </c>
      <c r="E55" s="26" t="s">
        <v>5218</v>
      </c>
      <c r="F55" s="26" t="s">
        <v>5219</v>
      </c>
      <c r="G55" s="28">
        <v>1.3110000000000001E-3</v>
      </c>
    </row>
    <row r="56" spans="1:7" x14ac:dyDescent="0.35">
      <c r="A56" s="27">
        <v>44925</v>
      </c>
      <c r="B56" s="26">
        <v>4507</v>
      </c>
      <c r="C56" s="26" t="str">
        <f t="shared" si="0"/>
        <v>'4507T'</v>
      </c>
      <c r="D56" s="26" t="s">
        <v>5228</v>
      </c>
      <c r="E56" s="26" t="s">
        <v>5218</v>
      </c>
      <c r="F56" s="26" t="s">
        <v>5219</v>
      </c>
      <c r="G56" s="28">
        <v>8.6429999999999996E-3</v>
      </c>
    </row>
    <row r="57" spans="1:7" x14ac:dyDescent="0.35">
      <c r="A57" s="27">
        <v>44925</v>
      </c>
      <c r="B57" s="26">
        <v>4519</v>
      </c>
      <c r="C57" s="26" t="str">
        <f t="shared" si="0"/>
        <v>'4519T'</v>
      </c>
      <c r="D57" s="26" t="s">
        <v>5229</v>
      </c>
      <c r="E57" s="26" t="s">
        <v>5218</v>
      </c>
      <c r="F57" s="26" t="s">
        <v>5219</v>
      </c>
      <c r="G57" s="28">
        <v>1.3259E-2</v>
      </c>
    </row>
    <row r="58" spans="1:7" x14ac:dyDescent="0.35">
      <c r="A58" s="27">
        <v>44925</v>
      </c>
      <c r="B58" s="26">
        <v>4523</v>
      </c>
      <c r="C58" s="26" t="str">
        <f t="shared" si="0"/>
        <v>'4523T'</v>
      </c>
      <c r="D58" s="26" t="s">
        <v>5230</v>
      </c>
      <c r="E58" s="26" t="s">
        <v>5218</v>
      </c>
      <c r="F58" s="26" t="s">
        <v>5219</v>
      </c>
      <c r="G58" s="28">
        <v>1.1422E-2</v>
      </c>
    </row>
    <row r="59" spans="1:7" x14ac:dyDescent="0.35">
      <c r="A59" s="27">
        <v>44925</v>
      </c>
      <c r="B59" s="26">
        <v>4543</v>
      </c>
      <c r="C59" s="26" t="str">
        <f t="shared" si="0"/>
        <v>'4543T'</v>
      </c>
      <c r="D59" s="26" t="s">
        <v>5231</v>
      </c>
      <c r="E59" s="26" t="s">
        <v>5232</v>
      </c>
      <c r="F59" s="26" t="s">
        <v>5219</v>
      </c>
      <c r="G59" s="28">
        <v>1.9663E-2</v>
      </c>
    </row>
    <row r="60" spans="1:7" x14ac:dyDescent="0.35">
      <c r="A60" s="27">
        <v>44925</v>
      </c>
      <c r="B60" s="26">
        <v>4568</v>
      </c>
      <c r="C60" s="26" t="str">
        <f t="shared" si="0"/>
        <v>'4568T'</v>
      </c>
      <c r="D60" s="26" t="s">
        <v>5233</v>
      </c>
      <c r="E60" s="26" t="s">
        <v>5218</v>
      </c>
      <c r="F60" s="26" t="s">
        <v>5219</v>
      </c>
      <c r="G60" s="28">
        <v>1.6730999999999999E-2</v>
      </c>
    </row>
    <row r="61" spans="1:7" x14ac:dyDescent="0.35">
      <c r="A61" s="27">
        <v>44925</v>
      </c>
      <c r="B61" s="26">
        <v>4578</v>
      </c>
      <c r="C61" s="26" t="str">
        <f t="shared" si="0"/>
        <v>'4578T'</v>
      </c>
      <c r="D61" s="26" t="s">
        <v>5234</v>
      </c>
      <c r="E61" s="26" t="s">
        <v>5218</v>
      </c>
      <c r="F61" s="26" t="s">
        <v>5219</v>
      </c>
      <c r="G61" s="28">
        <v>5.6490000000000004E-3</v>
      </c>
    </row>
    <row r="62" spans="1:7" x14ac:dyDescent="0.35">
      <c r="A62" s="27">
        <v>44925</v>
      </c>
      <c r="B62" s="26">
        <v>4631</v>
      </c>
      <c r="C62" s="26" t="str">
        <f t="shared" si="0"/>
        <v>'4631T'</v>
      </c>
      <c r="D62" s="26" t="s">
        <v>5235</v>
      </c>
      <c r="E62" s="26" t="s">
        <v>5202</v>
      </c>
      <c r="F62" s="26" t="s">
        <v>5162</v>
      </c>
      <c r="G62" s="28">
        <v>3.0499999999999999E-4</v>
      </c>
    </row>
    <row r="63" spans="1:7" x14ac:dyDescent="0.35">
      <c r="A63" s="27">
        <v>44925</v>
      </c>
      <c r="B63" s="26">
        <v>4689</v>
      </c>
      <c r="C63" s="26" t="str">
        <f t="shared" si="0"/>
        <v>'4689T'</v>
      </c>
      <c r="D63" s="26" t="s">
        <v>5236</v>
      </c>
      <c r="E63" s="26" t="s">
        <v>5179</v>
      </c>
      <c r="F63" s="26" t="s">
        <v>5159</v>
      </c>
      <c r="G63" s="28">
        <v>1.74E-4</v>
      </c>
    </row>
    <row r="64" spans="1:7" x14ac:dyDescent="0.35">
      <c r="A64" s="27">
        <v>44925</v>
      </c>
      <c r="B64" s="26">
        <v>4704</v>
      </c>
      <c r="C64" s="26" t="str">
        <f t="shared" si="0"/>
        <v>'4704T'</v>
      </c>
      <c r="D64" s="26" t="s">
        <v>5237</v>
      </c>
      <c r="E64" s="26" t="s">
        <v>5179</v>
      </c>
      <c r="F64" s="26" t="s">
        <v>5159</v>
      </c>
      <c r="G64" s="28">
        <v>8.0569999999999999E-3</v>
      </c>
    </row>
    <row r="65" spans="1:7" x14ac:dyDescent="0.35">
      <c r="A65" s="27">
        <v>44925</v>
      </c>
      <c r="B65" s="26">
        <v>4751</v>
      </c>
      <c r="C65" s="26" t="str">
        <f t="shared" si="0"/>
        <v>'4751T'</v>
      </c>
      <c r="D65" s="26" t="s">
        <v>5238</v>
      </c>
      <c r="E65" s="26" t="s">
        <v>5179</v>
      </c>
      <c r="F65" s="26" t="s">
        <v>5159</v>
      </c>
      <c r="G65" s="28">
        <v>1.2260000000000001E-3</v>
      </c>
    </row>
    <row r="66" spans="1:7" x14ac:dyDescent="0.35">
      <c r="A66" s="27">
        <v>44925</v>
      </c>
      <c r="B66" s="26">
        <v>4755</v>
      </c>
      <c r="C66" s="26" t="str">
        <f t="shared" si="0"/>
        <v>'4755T'</v>
      </c>
      <c r="D66" s="26" t="s">
        <v>5239</v>
      </c>
      <c r="E66" s="26" t="s">
        <v>5179</v>
      </c>
      <c r="F66" s="26" t="s">
        <v>5159</v>
      </c>
      <c r="G66" s="28">
        <v>7.8200000000000003E-4</v>
      </c>
    </row>
    <row r="67" spans="1:7" x14ac:dyDescent="0.35">
      <c r="A67" s="27">
        <v>44925</v>
      </c>
      <c r="B67" s="26">
        <v>4901</v>
      </c>
      <c r="C67" s="26" t="str">
        <f t="shared" ref="C67:C130" si="1">"'"&amp;B67&amp;"T'"</f>
        <v>'4901T'</v>
      </c>
      <c r="D67" s="26" t="s">
        <v>5240</v>
      </c>
      <c r="E67" s="26" t="s">
        <v>5202</v>
      </c>
      <c r="F67" s="26" t="s">
        <v>5162</v>
      </c>
      <c r="G67" s="28">
        <v>8.6940000000000003E-3</v>
      </c>
    </row>
    <row r="68" spans="1:7" x14ac:dyDescent="0.35">
      <c r="A68" s="27">
        <v>44925</v>
      </c>
      <c r="B68" s="26">
        <v>4902</v>
      </c>
      <c r="C68" s="26" t="str">
        <f t="shared" si="1"/>
        <v>'4902T'</v>
      </c>
      <c r="D68" s="26" t="s">
        <v>5241</v>
      </c>
      <c r="E68" s="26" t="s">
        <v>5232</v>
      </c>
      <c r="F68" s="26" t="s">
        <v>5219</v>
      </c>
      <c r="G68" s="28">
        <v>6.9200000000000002E-4</v>
      </c>
    </row>
    <row r="69" spans="1:7" x14ac:dyDescent="0.35">
      <c r="A69" s="27">
        <v>44925</v>
      </c>
      <c r="B69" s="26">
        <v>4911</v>
      </c>
      <c r="C69" s="26" t="str">
        <f t="shared" si="1"/>
        <v>'4911T'</v>
      </c>
      <c r="D69" s="26" t="s">
        <v>5242</v>
      </c>
      <c r="E69" s="26" t="s">
        <v>5202</v>
      </c>
      <c r="F69" s="26" t="s">
        <v>5162</v>
      </c>
      <c r="G69" s="28">
        <v>8.4919999999999995E-3</v>
      </c>
    </row>
    <row r="70" spans="1:7" x14ac:dyDescent="0.35">
      <c r="A70" s="27">
        <v>44925</v>
      </c>
      <c r="B70" s="26">
        <v>5019</v>
      </c>
      <c r="C70" s="26" t="str">
        <f t="shared" si="1"/>
        <v>'5019T'</v>
      </c>
      <c r="D70" s="26" t="s">
        <v>5243</v>
      </c>
      <c r="E70" s="26" t="s">
        <v>5244</v>
      </c>
      <c r="F70" s="26" t="s">
        <v>5162</v>
      </c>
      <c r="G70" s="28">
        <v>1.611E-3</v>
      </c>
    </row>
    <row r="71" spans="1:7" x14ac:dyDescent="0.35">
      <c r="A71" s="27">
        <v>44925</v>
      </c>
      <c r="B71" s="26">
        <v>5020</v>
      </c>
      <c r="C71" s="26" t="str">
        <f t="shared" si="1"/>
        <v>'5020T'</v>
      </c>
      <c r="D71" s="26" t="s">
        <v>5245</v>
      </c>
      <c r="E71" s="26" t="s">
        <v>5244</v>
      </c>
      <c r="F71" s="26" t="s">
        <v>5162</v>
      </c>
      <c r="G71" s="28">
        <v>5.8799999999999998E-4</v>
      </c>
    </row>
    <row r="72" spans="1:7" x14ac:dyDescent="0.35">
      <c r="A72" s="27">
        <v>44925</v>
      </c>
      <c r="B72" s="26">
        <v>5101</v>
      </c>
      <c r="C72" s="26" t="str">
        <f t="shared" si="1"/>
        <v>'5101T'</v>
      </c>
      <c r="D72" s="26" t="s">
        <v>5246</v>
      </c>
      <c r="E72" s="26" t="s">
        <v>5247</v>
      </c>
      <c r="F72" s="26" t="s">
        <v>5162</v>
      </c>
      <c r="G72" s="28">
        <v>1.3500000000000001E-3</v>
      </c>
    </row>
    <row r="73" spans="1:7" x14ac:dyDescent="0.35">
      <c r="A73" s="27">
        <v>44925</v>
      </c>
      <c r="B73" s="26">
        <v>5108</v>
      </c>
      <c r="C73" s="26" t="str">
        <f t="shared" si="1"/>
        <v>'5108T'</v>
      </c>
      <c r="D73" s="26" t="s">
        <v>5248</v>
      </c>
      <c r="E73" s="26" t="s">
        <v>5247</v>
      </c>
      <c r="F73" s="26" t="s">
        <v>5162</v>
      </c>
      <c r="G73" s="28">
        <v>6.156E-3</v>
      </c>
    </row>
    <row r="74" spans="1:7" x14ac:dyDescent="0.35">
      <c r="A74" s="27">
        <v>44925</v>
      </c>
      <c r="B74" s="26">
        <v>5201</v>
      </c>
      <c r="C74" s="26" t="str">
        <f t="shared" si="1"/>
        <v>'5201T'</v>
      </c>
      <c r="D74" s="26" t="s">
        <v>5249</v>
      </c>
      <c r="E74" s="26" t="s">
        <v>5250</v>
      </c>
      <c r="F74" s="26" t="s">
        <v>5162</v>
      </c>
      <c r="G74" s="28">
        <v>1.1529999999999999E-3</v>
      </c>
    </row>
    <row r="75" spans="1:7" x14ac:dyDescent="0.35">
      <c r="A75" s="27">
        <v>44925</v>
      </c>
      <c r="B75" s="26">
        <v>5202</v>
      </c>
      <c r="C75" s="26" t="str">
        <f t="shared" si="1"/>
        <v>'5202T'</v>
      </c>
      <c r="D75" s="26" t="s">
        <v>5251</v>
      </c>
      <c r="E75" s="26" t="s">
        <v>5250</v>
      </c>
      <c r="F75" s="26" t="s">
        <v>5162</v>
      </c>
      <c r="G75" s="28">
        <v>7.3999999999999996E-5</v>
      </c>
    </row>
    <row r="76" spans="1:7" x14ac:dyDescent="0.35">
      <c r="A76" s="27">
        <v>44925</v>
      </c>
      <c r="B76" s="26">
        <v>5214</v>
      </c>
      <c r="C76" s="26" t="str">
        <f t="shared" si="1"/>
        <v>'5214T'</v>
      </c>
      <c r="D76" s="26" t="s">
        <v>5252</v>
      </c>
      <c r="E76" s="26" t="s">
        <v>5250</v>
      </c>
      <c r="F76" s="26" t="s">
        <v>5162</v>
      </c>
      <c r="G76" s="28">
        <v>9.2299999999999999E-4</v>
      </c>
    </row>
    <row r="77" spans="1:7" x14ac:dyDescent="0.35">
      <c r="A77" s="27">
        <v>44925</v>
      </c>
      <c r="B77" s="26">
        <v>5232</v>
      </c>
      <c r="C77" s="26" t="str">
        <f t="shared" si="1"/>
        <v>'5232T'</v>
      </c>
      <c r="D77" s="26" t="s">
        <v>5253</v>
      </c>
      <c r="E77" s="26" t="s">
        <v>5250</v>
      </c>
      <c r="F77" s="26" t="s">
        <v>5162</v>
      </c>
      <c r="G77" s="28">
        <v>4.2700000000000002E-4</v>
      </c>
    </row>
    <row r="78" spans="1:7" x14ac:dyDescent="0.35">
      <c r="A78" s="27">
        <v>44925</v>
      </c>
      <c r="B78" s="26">
        <v>5233</v>
      </c>
      <c r="C78" s="26" t="str">
        <f t="shared" si="1"/>
        <v>'5233T'</v>
      </c>
      <c r="D78" s="26" t="s">
        <v>5254</v>
      </c>
      <c r="E78" s="26" t="s">
        <v>5250</v>
      </c>
      <c r="F78" s="26" t="s">
        <v>5162</v>
      </c>
      <c r="G78" s="28">
        <v>2.7E-4</v>
      </c>
    </row>
    <row r="79" spans="1:7" x14ac:dyDescent="0.35">
      <c r="A79" s="27">
        <v>44925</v>
      </c>
      <c r="B79" s="26">
        <v>5301</v>
      </c>
      <c r="C79" s="26" t="str">
        <f t="shared" si="1"/>
        <v>'5301T'</v>
      </c>
      <c r="D79" s="26" t="s">
        <v>5255</v>
      </c>
      <c r="E79" s="26" t="s">
        <v>5250</v>
      </c>
      <c r="F79" s="26" t="s">
        <v>5162</v>
      </c>
      <c r="G79" s="28">
        <v>1.408E-3</v>
      </c>
    </row>
    <row r="80" spans="1:7" x14ac:dyDescent="0.35">
      <c r="A80" s="27">
        <v>44925</v>
      </c>
      <c r="B80" s="26">
        <v>5332</v>
      </c>
      <c r="C80" s="26" t="str">
        <f t="shared" si="1"/>
        <v>'5332T'</v>
      </c>
      <c r="D80" s="26" t="s">
        <v>5256</v>
      </c>
      <c r="E80" s="26" t="s">
        <v>5250</v>
      </c>
      <c r="F80" s="26" t="s">
        <v>5162</v>
      </c>
      <c r="G80" s="28">
        <v>2.9529999999999999E-3</v>
      </c>
    </row>
    <row r="81" spans="1:7" x14ac:dyDescent="0.35">
      <c r="A81" s="27">
        <v>44925</v>
      </c>
      <c r="B81" s="26">
        <v>5333</v>
      </c>
      <c r="C81" s="26" t="str">
        <f t="shared" si="1"/>
        <v>'5333T'</v>
      </c>
      <c r="D81" s="26" t="s">
        <v>5257</v>
      </c>
      <c r="E81" s="26" t="s">
        <v>5250</v>
      </c>
      <c r="F81" s="26" t="s">
        <v>5162</v>
      </c>
      <c r="G81" s="28">
        <v>2.202E-3</v>
      </c>
    </row>
    <row r="82" spans="1:7" x14ac:dyDescent="0.35">
      <c r="A82" s="27">
        <v>44925</v>
      </c>
      <c r="B82" s="26">
        <v>5401</v>
      </c>
      <c r="C82" s="26" t="str">
        <f t="shared" si="1"/>
        <v>'5401T'</v>
      </c>
      <c r="D82" s="26" t="s">
        <v>5258</v>
      </c>
      <c r="E82" s="26" t="s">
        <v>5259</v>
      </c>
      <c r="F82" s="26" t="s">
        <v>5162</v>
      </c>
      <c r="G82" s="28">
        <v>3.01E-4</v>
      </c>
    </row>
    <row r="83" spans="1:7" x14ac:dyDescent="0.35">
      <c r="A83" s="27">
        <v>44925</v>
      </c>
      <c r="B83" s="26">
        <v>5406</v>
      </c>
      <c r="C83" s="26" t="str">
        <f t="shared" si="1"/>
        <v>'5406T'</v>
      </c>
      <c r="D83" s="26" t="s">
        <v>5260</v>
      </c>
      <c r="E83" s="26" t="s">
        <v>5259</v>
      </c>
      <c r="F83" s="26" t="s">
        <v>5162</v>
      </c>
      <c r="G83" s="28">
        <v>8.3999999999999995E-5</v>
      </c>
    </row>
    <row r="84" spans="1:7" x14ac:dyDescent="0.35">
      <c r="A84" s="27">
        <v>44925</v>
      </c>
      <c r="B84" s="26">
        <v>5411</v>
      </c>
      <c r="C84" s="26" t="str">
        <f t="shared" si="1"/>
        <v>'5411T'</v>
      </c>
      <c r="D84" s="26" t="s">
        <v>5261</v>
      </c>
      <c r="E84" s="26" t="s">
        <v>5259</v>
      </c>
      <c r="F84" s="26" t="s">
        <v>5162</v>
      </c>
      <c r="G84" s="28">
        <v>2.02E-4</v>
      </c>
    </row>
    <row r="85" spans="1:7" x14ac:dyDescent="0.35">
      <c r="A85" s="27">
        <v>44925</v>
      </c>
      <c r="B85" s="26">
        <v>5541</v>
      </c>
      <c r="C85" s="26" t="str">
        <f t="shared" si="1"/>
        <v>'5541T'</v>
      </c>
      <c r="D85" s="26" t="s">
        <v>5262</v>
      </c>
      <c r="E85" s="26" t="s">
        <v>5259</v>
      </c>
      <c r="F85" s="26" t="s">
        <v>5162</v>
      </c>
      <c r="G85" s="28">
        <v>2.4800000000000001E-4</v>
      </c>
    </row>
    <row r="86" spans="1:7" x14ac:dyDescent="0.35">
      <c r="A86" s="27">
        <v>44925</v>
      </c>
      <c r="B86" s="26">
        <v>5631</v>
      </c>
      <c r="C86" s="26" t="str">
        <f t="shared" si="1"/>
        <v>'5631T'</v>
      </c>
      <c r="D86" s="26" t="s">
        <v>5263</v>
      </c>
      <c r="E86" s="26" t="s">
        <v>5264</v>
      </c>
      <c r="F86" s="26" t="s">
        <v>5165</v>
      </c>
      <c r="G86" s="28">
        <v>6.8499999999999995E-4</v>
      </c>
    </row>
    <row r="87" spans="1:7" x14ac:dyDescent="0.35">
      <c r="A87" s="27">
        <v>44925</v>
      </c>
      <c r="B87" s="26">
        <v>5703</v>
      </c>
      <c r="C87" s="26" t="str">
        <f t="shared" si="1"/>
        <v>'5703T'</v>
      </c>
      <c r="D87" s="26" t="s">
        <v>5265</v>
      </c>
      <c r="E87" s="26" t="s">
        <v>5205</v>
      </c>
      <c r="F87" s="26" t="s">
        <v>5162</v>
      </c>
      <c r="G87" s="28">
        <v>1.9900000000000001E-4</v>
      </c>
    </row>
    <row r="88" spans="1:7" x14ac:dyDescent="0.35">
      <c r="A88" s="27">
        <v>44925</v>
      </c>
      <c r="B88" s="26">
        <v>5706</v>
      </c>
      <c r="C88" s="26" t="str">
        <f t="shared" si="1"/>
        <v>'5706T'</v>
      </c>
      <c r="D88" s="26" t="s">
        <v>5266</v>
      </c>
      <c r="E88" s="26" t="s">
        <v>5205</v>
      </c>
      <c r="F88" s="26" t="s">
        <v>5162</v>
      </c>
      <c r="G88" s="28">
        <v>4.0499999999999998E-4</v>
      </c>
    </row>
    <row r="89" spans="1:7" x14ac:dyDescent="0.35">
      <c r="A89" s="27">
        <v>44925</v>
      </c>
      <c r="B89" s="26">
        <v>5707</v>
      </c>
      <c r="C89" s="26" t="str">
        <f t="shared" si="1"/>
        <v>'5707T'</v>
      </c>
      <c r="D89" s="26" t="s">
        <v>5267</v>
      </c>
      <c r="E89" s="26" t="s">
        <v>5205</v>
      </c>
      <c r="F89" s="26" t="s">
        <v>5162</v>
      </c>
      <c r="G89" s="28">
        <v>2.6800000000000001E-4</v>
      </c>
    </row>
    <row r="90" spans="1:7" x14ac:dyDescent="0.35">
      <c r="A90" s="27">
        <v>44925</v>
      </c>
      <c r="B90" s="26">
        <v>5711</v>
      </c>
      <c r="C90" s="26" t="str">
        <f t="shared" si="1"/>
        <v>'5711T'</v>
      </c>
      <c r="D90" s="26" t="s">
        <v>5268</v>
      </c>
      <c r="E90" s="26" t="s">
        <v>5205</v>
      </c>
      <c r="F90" s="26" t="s">
        <v>5162</v>
      </c>
      <c r="G90" s="28">
        <v>2.7300000000000002E-4</v>
      </c>
    </row>
    <row r="91" spans="1:7" x14ac:dyDescent="0.35">
      <c r="A91" s="27">
        <v>44925</v>
      </c>
      <c r="B91" s="26">
        <v>5713</v>
      </c>
      <c r="C91" s="26" t="str">
        <f t="shared" si="1"/>
        <v>'5713T'</v>
      </c>
      <c r="D91" s="26" t="s">
        <v>5269</v>
      </c>
      <c r="E91" s="26" t="s">
        <v>5205</v>
      </c>
      <c r="F91" s="26" t="s">
        <v>5162</v>
      </c>
      <c r="G91" s="28">
        <v>3.065E-3</v>
      </c>
    </row>
    <row r="92" spans="1:7" x14ac:dyDescent="0.35">
      <c r="A92" s="27">
        <v>44925</v>
      </c>
      <c r="B92" s="26">
        <v>5714</v>
      </c>
      <c r="C92" s="26" t="str">
        <f t="shared" si="1"/>
        <v>'5714T'</v>
      </c>
      <c r="D92" s="26" t="s">
        <v>5270</v>
      </c>
      <c r="E92" s="26" t="s">
        <v>5205</v>
      </c>
      <c r="F92" s="26" t="s">
        <v>5162</v>
      </c>
      <c r="G92" s="28">
        <v>1.0889999999999999E-3</v>
      </c>
    </row>
    <row r="93" spans="1:7" x14ac:dyDescent="0.35">
      <c r="A93" s="27">
        <v>44925</v>
      </c>
      <c r="B93" s="26">
        <v>5801</v>
      </c>
      <c r="C93" s="26" t="str">
        <f t="shared" si="1"/>
        <v>'5801T'</v>
      </c>
      <c r="D93" s="26" t="s">
        <v>5271</v>
      </c>
      <c r="E93" s="26" t="s">
        <v>5205</v>
      </c>
      <c r="F93" s="26" t="s">
        <v>5162</v>
      </c>
      <c r="G93" s="28">
        <v>3.2499999999999999E-4</v>
      </c>
    </row>
    <row r="94" spans="1:7" x14ac:dyDescent="0.35">
      <c r="A94" s="27">
        <v>44925</v>
      </c>
      <c r="B94" s="26">
        <v>5802</v>
      </c>
      <c r="C94" s="26" t="str">
        <f t="shared" si="1"/>
        <v>'5802T'</v>
      </c>
      <c r="D94" s="26" t="s">
        <v>5272</v>
      </c>
      <c r="E94" s="26" t="s">
        <v>5205</v>
      </c>
      <c r="F94" s="26" t="s">
        <v>5162</v>
      </c>
      <c r="G94" s="28">
        <v>1.9740000000000001E-3</v>
      </c>
    </row>
    <row r="95" spans="1:7" x14ac:dyDescent="0.35">
      <c r="A95" s="27">
        <v>44925</v>
      </c>
      <c r="B95" s="26">
        <v>5803</v>
      </c>
      <c r="C95" s="26" t="str">
        <f t="shared" si="1"/>
        <v>'5803T'</v>
      </c>
      <c r="D95" s="26" t="s">
        <v>5273</v>
      </c>
      <c r="E95" s="26" t="s">
        <v>5205</v>
      </c>
      <c r="F95" s="26" t="s">
        <v>5162</v>
      </c>
      <c r="G95" s="28">
        <v>1.3179999999999999E-3</v>
      </c>
    </row>
    <row r="96" spans="1:7" x14ac:dyDescent="0.35">
      <c r="A96" s="27">
        <v>44925</v>
      </c>
      <c r="B96" s="26">
        <v>5831</v>
      </c>
      <c r="C96" s="26" t="str">
        <f t="shared" si="1"/>
        <v>'5831T'</v>
      </c>
      <c r="D96" s="26" t="s">
        <v>5274</v>
      </c>
      <c r="E96" s="26" t="s">
        <v>5275</v>
      </c>
      <c r="F96" s="26" t="s">
        <v>5276</v>
      </c>
      <c r="G96" s="28">
        <v>1.384E-3</v>
      </c>
    </row>
    <row r="97" spans="1:7" x14ac:dyDescent="0.35">
      <c r="A97" s="27">
        <v>44925</v>
      </c>
      <c r="B97" s="26">
        <v>6098</v>
      </c>
      <c r="C97" s="26" t="str">
        <f t="shared" si="1"/>
        <v>'6098T'</v>
      </c>
      <c r="D97" s="26" t="s">
        <v>5277</v>
      </c>
      <c r="E97" s="26" t="s">
        <v>5179</v>
      </c>
      <c r="F97" s="26" t="s">
        <v>5159</v>
      </c>
      <c r="G97" s="28">
        <v>1.6444E-2</v>
      </c>
    </row>
    <row r="98" spans="1:7" x14ac:dyDescent="0.35">
      <c r="A98" s="27">
        <v>44925</v>
      </c>
      <c r="B98" s="26">
        <v>6103</v>
      </c>
      <c r="C98" s="26" t="str">
        <f t="shared" si="1"/>
        <v>'6103T'</v>
      </c>
      <c r="D98" s="26" t="s">
        <v>5278</v>
      </c>
      <c r="E98" s="26" t="s">
        <v>5264</v>
      </c>
      <c r="F98" s="26" t="s">
        <v>5165</v>
      </c>
      <c r="G98" s="28">
        <v>1.2340000000000001E-3</v>
      </c>
    </row>
    <row r="99" spans="1:7" x14ac:dyDescent="0.35">
      <c r="A99" s="27">
        <v>44925</v>
      </c>
      <c r="B99" s="26">
        <v>6113</v>
      </c>
      <c r="C99" s="26" t="str">
        <f t="shared" si="1"/>
        <v>'6113T'</v>
      </c>
      <c r="D99" s="26" t="s">
        <v>5279</v>
      </c>
      <c r="E99" s="26" t="s">
        <v>5264</v>
      </c>
      <c r="F99" s="26" t="s">
        <v>5165</v>
      </c>
      <c r="G99" s="28">
        <v>1.3569999999999999E-3</v>
      </c>
    </row>
    <row r="100" spans="1:7" x14ac:dyDescent="0.35">
      <c r="A100" s="27">
        <v>44925</v>
      </c>
      <c r="B100" s="26">
        <v>6178</v>
      </c>
      <c r="C100" s="26" t="str">
        <f t="shared" si="1"/>
        <v>'6178T'</v>
      </c>
      <c r="D100" s="26" t="s">
        <v>5280</v>
      </c>
      <c r="E100" s="26" t="s">
        <v>5179</v>
      </c>
      <c r="F100" s="26" t="s">
        <v>5159</v>
      </c>
      <c r="G100" s="28">
        <v>1.456E-3</v>
      </c>
    </row>
    <row r="101" spans="1:7" x14ac:dyDescent="0.35">
      <c r="A101" s="27">
        <v>44925</v>
      </c>
      <c r="B101" s="26">
        <v>6273</v>
      </c>
      <c r="C101" s="26" t="str">
        <f t="shared" si="1"/>
        <v>'6273T'</v>
      </c>
      <c r="D101" s="26" t="s">
        <v>5281</v>
      </c>
      <c r="E101" s="26" t="s">
        <v>5264</v>
      </c>
      <c r="F101" s="26" t="s">
        <v>5165</v>
      </c>
      <c r="G101" s="28">
        <v>7.2940000000000001E-3</v>
      </c>
    </row>
    <row r="102" spans="1:7" x14ac:dyDescent="0.35">
      <c r="A102" s="27">
        <v>44925</v>
      </c>
      <c r="B102" s="26">
        <v>6301</v>
      </c>
      <c r="C102" s="26" t="str">
        <f t="shared" si="1"/>
        <v>'6301T'</v>
      </c>
      <c r="D102" s="26" t="s">
        <v>5282</v>
      </c>
      <c r="E102" s="26" t="s">
        <v>5264</v>
      </c>
      <c r="F102" s="26" t="s">
        <v>5165</v>
      </c>
      <c r="G102" s="28">
        <v>3.774E-3</v>
      </c>
    </row>
    <row r="103" spans="1:7" x14ac:dyDescent="0.35">
      <c r="A103" s="27">
        <v>44925</v>
      </c>
      <c r="B103" s="26">
        <v>6302</v>
      </c>
      <c r="C103" s="26" t="str">
        <f t="shared" si="1"/>
        <v>'6302T'</v>
      </c>
      <c r="D103" s="26" t="s">
        <v>5283</v>
      </c>
      <c r="E103" s="26" t="s">
        <v>5264</v>
      </c>
      <c r="F103" s="26" t="s">
        <v>5165</v>
      </c>
      <c r="G103" s="28">
        <v>6.9399999999999996E-4</v>
      </c>
    </row>
    <row r="104" spans="1:7" x14ac:dyDescent="0.35">
      <c r="A104" s="27">
        <v>44925</v>
      </c>
      <c r="B104" s="26">
        <v>6305</v>
      </c>
      <c r="C104" s="26" t="str">
        <f t="shared" si="1"/>
        <v>'6305T'</v>
      </c>
      <c r="D104" s="26" t="s">
        <v>5284</v>
      </c>
      <c r="E104" s="26" t="s">
        <v>5264</v>
      </c>
      <c r="F104" s="26" t="s">
        <v>5165</v>
      </c>
      <c r="G104" s="28">
        <v>3.8830000000000002E-3</v>
      </c>
    </row>
    <row r="105" spans="1:7" x14ac:dyDescent="0.35">
      <c r="A105" s="27">
        <v>44925</v>
      </c>
      <c r="B105" s="26">
        <v>6326</v>
      </c>
      <c r="C105" s="26" t="str">
        <f t="shared" si="1"/>
        <v>'6326T'</v>
      </c>
      <c r="D105" s="26" t="s">
        <v>5285</v>
      </c>
      <c r="E105" s="26" t="s">
        <v>5264</v>
      </c>
      <c r="F105" s="26" t="s">
        <v>5165</v>
      </c>
      <c r="G105" s="28">
        <v>2.3839999999999998E-3</v>
      </c>
    </row>
    <row r="106" spans="1:7" x14ac:dyDescent="0.35">
      <c r="A106" s="27">
        <v>44925</v>
      </c>
      <c r="B106" s="26">
        <v>6361</v>
      </c>
      <c r="C106" s="26" t="str">
        <f t="shared" si="1"/>
        <v>'6361T'</v>
      </c>
      <c r="D106" s="26" t="s">
        <v>5286</v>
      </c>
      <c r="E106" s="26" t="s">
        <v>5264</v>
      </c>
      <c r="F106" s="26" t="s">
        <v>5165</v>
      </c>
      <c r="G106" s="28">
        <v>1.2390000000000001E-3</v>
      </c>
    </row>
    <row r="107" spans="1:7" x14ac:dyDescent="0.35">
      <c r="A107" s="27">
        <v>44925</v>
      </c>
      <c r="B107" s="26">
        <v>6367</v>
      </c>
      <c r="C107" s="26" t="str">
        <f t="shared" si="1"/>
        <v>'6367T'</v>
      </c>
      <c r="D107" s="26" t="s">
        <v>5287</v>
      </c>
      <c r="E107" s="26" t="s">
        <v>5264</v>
      </c>
      <c r="F107" s="26" t="s">
        <v>5165</v>
      </c>
      <c r="G107" s="28">
        <v>2.6508E-2</v>
      </c>
    </row>
    <row r="108" spans="1:7" x14ac:dyDescent="0.35">
      <c r="A108" s="27">
        <v>44925</v>
      </c>
      <c r="B108" s="26">
        <v>6471</v>
      </c>
      <c r="C108" s="26" t="str">
        <f t="shared" si="1"/>
        <v>'6471T'</v>
      </c>
      <c r="D108" s="26" t="s">
        <v>5288</v>
      </c>
      <c r="E108" s="26" t="s">
        <v>5264</v>
      </c>
      <c r="F108" s="26" t="s">
        <v>5165</v>
      </c>
      <c r="G108" s="28">
        <v>9.2000000000000003E-4</v>
      </c>
    </row>
    <row r="109" spans="1:7" x14ac:dyDescent="0.35">
      <c r="A109" s="27">
        <v>44925</v>
      </c>
      <c r="B109" s="26">
        <v>6472</v>
      </c>
      <c r="C109" s="26" t="str">
        <f t="shared" si="1"/>
        <v>'6472T'</v>
      </c>
      <c r="D109" s="26" t="s">
        <v>5289</v>
      </c>
      <c r="E109" s="26" t="s">
        <v>5264</v>
      </c>
      <c r="F109" s="26" t="s">
        <v>5165</v>
      </c>
      <c r="G109" s="28">
        <v>3.4600000000000001E-4</v>
      </c>
    </row>
    <row r="110" spans="1:7" x14ac:dyDescent="0.35">
      <c r="A110" s="27">
        <v>44925</v>
      </c>
      <c r="B110" s="26">
        <v>6473</v>
      </c>
      <c r="C110" s="26" t="str">
        <f t="shared" si="1"/>
        <v>'6473T'</v>
      </c>
      <c r="D110" s="26" t="s">
        <v>5290</v>
      </c>
      <c r="E110" s="26" t="s">
        <v>5264</v>
      </c>
      <c r="F110" s="26" t="s">
        <v>5165</v>
      </c>
      <c r="G110" s="28">
        <v>1.219E-3</v>
      </c>
    </row>
    <row r="111" spans="1:7" x14ac:dyDescent="0.35">
      <c r="A111" s="27">
        <v>44925</v>
      </c>
      <c r="B111" s="26">
        <v>6479</v>
      </c>
      <c r="C111" s="26" t="str">
        <f t="shared" si="1"/>
        <v>'6479T'</v>
      </c>
      <c r="D111" s="26" t="s">
        <v>5291</v>
      </c>
      <c r="E111" s="26" t="s">
        <v>5292</v>
      </c>
      <c r="F111" s="26" t="s">
        <v>5219</v>
      </c>
      <c r="G111" s="28">
        <v>2.5860000000000002E-3</v>
      </c>
    </row>
    <row r="112" spans="1:7" x14ac:dyDescent="0.35">
      <c r="A112" s="27">
        <v>44925</v>
      </c>
      <c r="B112" s="26">
        <v>6501</v>
      </c>
      <c r="C112" s="26" t="str">
        <f t="shared" si="1"/>
        <v>'6501T'</v>
      </c>
      <c r="D112" s="26" t="s">
        <v>5293</v>
      </c>
      <c r="E112" s="26" t="s">
        <v>5292</v>
      </c>
      <c r="F112" s="26" t="s">
        <v>5219</v>
      </c>
      <c r="G112" s="28">
        <v>1.756E-3</v>
      </c>
    </row>
    <row r="113" spans="1:7" x14ac:dyDescent="0.35">
      <c r="A113" s="27">
        <v>44925</v>
      </c>
      <c r="B113" s="26">
        <v>6503</v>
      </c>
      <c r="C113" s="26" t="str">
        <f t="shared" si="1"/>
        <v>'6503T'</v>
      </c>
      <c r="D113" s="26" t="s">
        <v>5294</v>
      </c>
      <c r="E113" s="26" t="s">
        <v>5292</v>
      </c>
      <c r="F113" s="26" t="s">
        <v>5219</v>
      </c>
      <c r="G113" s="28">
        <v>1.7240000000000001E-3</v>
      </c>
    </row>
    <row r="114" spans="1:7" x14ac:dyDescent="0.35">
      <c r="A114" s="27">
        <v>44925</v>
      </c>
      <c r="B114" s="26">
        <v>6504</v>
      </c>
      <c r="C114" s="26" t="str">
        <f t="shared" si="1"/>
        <v>'6504T'</v>
      </c>
      <c r="D114" s="26" t="s">
        <v>5295</v>
      </c>
      <c r="E114" s="26" t="s">
        <v>5292</v>
      </c>
      <c r="F114" s="26" t="s">
        <v>5219</v>
      </c>
      <c r="G114" s="28">
        <v>1.32E-3</v>
      </c>
    </row>
    <row r="115" spans="1:7" x14ac:dyDescent="0.35">
      <c r="A115" s="27">
        <v>44925</v>
      </c>
      <c r="B115" s="26">
        <v>6506</v>
      </c>
      <c r="C115" s="26" t="str">
        <f t="shared" si="1"/>
        <v>'6506T'</v>
      </c>
      <c r="D115" s="26" t="s">
        <v>5296</v>
      </c>
      <c r="E115" s="26" t="s">
        <v>5292</v>
      </c>
      <c r="F115" s="26" t="s">
        <v>5219</v>
      </c>
      <c r="G115" s="28">
        <v>5.5440000000000003E-3</v>
      </c>
    </row>
    <row r="116" spans="1:7" x14ac:dyDescent="0.35">
      <c r="A116" s="27">
        <v>44925</v>
      </c>
      <c r="B116" s="26">
        <v>6594</v>
      </c>
      <c r="C116" s="26" t="str">
        <f t="shared" si="1"/>
        <v>'6594T'</v>
      </c>
      <c r="D116" s="26" t="s">
        <v>5297</v>
      </c>
      <c r="E116" s="26" t="s">
        <v>5292</v>
      </c>
      <c r="F116" s="26" t="s">
        <v>5219</v>
      </c>
      <c r="G116" s="28">
        <v>7.1799999999999998E-3</v>
      </c>
    </row>
    <row r="117" spans="1:7" x14ac:dyDescent="0.35">
      <c r="A117" s="27">
        <v>44925</v>
      </c>
      <c r="B117" s="26">
        <v>6645</v>
      </c>
      <c r="C117" s="26" t="str">
        <f t="shared" si="1"/>
        <v>'6645T'</v>
      </c>
      <c r="D117" s="26" t="s">
        <v>5298</v>
      </c>
      <c r="E117" s="26" t="s">
        <v>5292</v>
      </c>
      <c r="F117" s="26" t="s">
        <v>5219</v>
      </c>
      <c r="G117" s="28">
        <v>8.4049999999999993E-3</v>
      </c>
    </row>
    <row r="118" spans="1:7" x14ac:dyDescent="0.35">
      <c r="A118" s="27">
        <v>44925</v>
      </c>
      <c r="B118" s="26">
        <v>6674</v>
      </c>
      <c r="C118" s="26" t="str">
        <f t="shared" si="1"/>
        <v>'6674T'</v>
      </c>
      <c r="D118" s="26" t="s">
        <v>5299</v>
      </c>
      <c r="E118" s="26" t="s">
        <v>5292</v>
      </c>
      <c r="F118" s="26" t="s">
        <v>5219</v>
      </c>
      <c r="G118" s="28">
        <v>5.5599999999999996E-4</v>
      </c>
    </row>
    <row r="119" spans="1:7" x14ac:dyDescent="0.35">
      <c r="A119" s="27">
        <v>44925</v>
      </c>
      <c r="B119" s="26">
        <v>6701</v>
      </c>
      <c r="C119" s="26" t="str">
        <f t="shared" si="1"/>
        <v>'6701T'</v>
      </c>
      <c r="D119" s="26" t="s">
        <v>5300</v>
      </c>
      <c r="E119" s="26" t="s">
        <v>5292</v>
      </c>
      <c r="F119" s="26" t="s">
        <v>5219</v>
      </c>
      <c r="G119" s="28">
        <v>6.0800000000000003E-4</v>
      </c>
    </row>
    <row r="120" spans="1:7" x14ac:dyDescent="0.35">
      <c r="A120" s="27">
        <v>44925</v>
      </c>
      <c r="B120" s="26">
        <v>6702</v>
      </c>
      <c r="C120" s="26" t="str">
        <f t="shared" si="1"/>
        <v>'6702T'</v>
      </c>
      <c r="D120" s="26" t="s">
        <v>5301</v>
      </c>
      <c r="E120" s="26" t="s">
        <v>5292</v>
      </c>
      <c r="F120" s="26" t="s">
        <v>5219</v>
      </c>
      <c r="G120" s="28">
        <v>2.3119999999999998E-3</v>
      </c>
    </row>
    <row r="121" spans="1:7" x14ac:dyDescent="0.35">
      <c r="A121" s="27">
        <v>44925</v>
      </c>
      <c r="B121" s="26">
        <v>6724</v>
      </c>
      <c r="C121" s="26" t="str">
        <f t="shared" si="1"/>
        <v>'6724T'</v>
      </c>
      <c r="D121" s="26" t="s">
        <v>5302</v>
      </c>
      <c r="E121" s="26" t="s">
        <v>5292</v>
      </c>
      <c r="F121" s="26" t="s">
        <v>5219</v>
      </c>
      <c r="G121" s="28">
        <v>5.0549999999999996E-3</v>
      </c>
    </row>
    <row r="122" spans="1:7" x14ac:dyDescent="0.35">
      <c r="A122" s="27">
        <v>44925</v>
      </c>
      <c r="B122" s="26">
        <v>6752</v>
      </c>
      <c r="C122" s="26" t="str">
        <f t="shared" si="1"/>
        <v>'6752T'</v>
      </c>
      <c r="D122" s="26" t="s">
        <v>5303</v>
      </c>
      <c r="E122" s="26" t="s">
        <v>5292</v>
      </c>
      <c r="F122" s="26" t="s">
        <v>5219</v>
      </c>
      <c r="G122" s="28">
        <v>1.457E-3</v>
      </c>
    </row>
    <row r="123" spans="1:7" x14ac:dyDescent="0.35">
      <c r="A123" s="27">
        <v>44925</v>
      </c>
      <c r="B123" s="26">
        <v>6753</v>
      </c>
      <c r="C123" s="26" t="str">
        <f t="shared" si="1"/>
        <v>'6753T'</v>
      </c>
      <c r="D123" s="26" t="s">
        <v>5304</v>
      </c>
      <c r="E123" s="26" t="s">
        <v>5292</v>
      </c>
      <c r="F123" s="26" t="s">
        <v>5219</v>
      </c>
      <c r="G123" s="28">
        <v>1.24E-3</v>
      </c>
    </row>
    <row r="124" spans="1:7" x14ac:dyDescent="0.35">
      <c r="A124" s="27">
        <v>44925</v>
      </c>
      <c r="B124" s="26">
        <v>6758</v>
      </c>
      <c r="C124" s="26" t="str">
        <f t="shared" si="1"/>
        <v>'6758T'</v>
      </c>
      <c r="D124" s="26" t="s">
        <v>5305</v>
      </c>
      <c r="E124" s="26" t="s">
        <v>5292</v>
      </c>
      <c r="F124" s="26" t="s">
        <v>5219</v>
      </c>
      <c r="G124" s="28">
        <v>1.3169E-2</v>
      </c>
    </row>
    <row r="125" spans="1:7" x14ac:dyDescent="0.35">
      <c r="A125" s="27">
        <v>44925</v>
      </c>
      <c r="B125" s="26">
        <v>6762</v>
      </c>
      <c r="C125" s="26" t="str">
        <f t="shared" si="1"/>
        <v>'6762T'</v>
      </c>
      <c r="D125" s="26" t="s">
        <v>5306</v>
      </c>
      <c r="E125" s="26" t="s">
        <v>5292</v>
      </c>
      <c r="F125" s="26" t="s">
        <v>5219</v>
      </c>
      <c r="G125" s="28">
        <v>1.7066000000000001E-2</v>
      </c>
    </row>
    <row r="126" spans="1:7" x14ac:dyDescent="0.35">
      <c r="A126" s="27">
        <v>44925</v>
      </c>
      <c r="B126" s="26">
        <v>6770</v>
      </c>
      <c r="C126" s="26" t="str">
        <f t="shared" si="1"/>
        <v>'6770T'</v>
      </c>
      <c r="D126" s="26" t="s">
        <v>5307</v>
      </c>
      <c r="E126" s="26" t="s">
        <v>5292</v>
      </c>
      <c r="F126" s="26" t="s">
        <v>5219</v>
      </c>
      <c r="G126" s="28">
        <v>1.5709999999999999E-3</v>
      </c>
    </row>
    <row r="127" spans="1:7" x14ac:dyDescent="0.35">
      <c r="A127" s="27">
        <v>44925</v>
      </c>
      <c r="B127" s="26">
        <v>6841</v>
      </c>
      <c r="C127" s="26" t="str">
        <f t="shared" si="1"/>
        <v>'6841T'</v>
      </c>
      <c r="D127" s="26" t="s">
        <v>5308</v>
      </c>
      <c r="E127" s="26" t="s">
        <v>5292</v>
      </c>
      <c r="F127" s="26" t="s">
        <v>5219</v>
      </c>
      <c r="G127" s="28">
        <v>2.7620000000000001E-3</v>
      </c>
    </row>
    <row r="128" spans="1:7" x14ac:dyDescent="0.35">
      <c r="A128" s="27">
        <v>44925</v>
      </c>
      <c r="B128" s="26">
        <v>6857</v>
      </c>
      <c r="C128" s="26" t="str">
        <f t="shared" si="1"/>
        <v>'6857T'</v>
      </c>
      <c r="D128" s="26" t="s">
        <v>5309</v>
      </c>
      <c r="E128" s="26" t="s">
        <v>5292</v>
      </c>
      <c r="F128" s="26" t="s">
        <v>5219</v>
      </c>
      <c r="G128" s="28">
        <v>2.2256000000000001E-2</v>
      </c>
    </row>
    <row r="129" spans="1:7" x14ac:dyDescent="0.35">
      <c r="A129" s="27">
        <v>44925</v>
      </c>
      <c r="B129" s="26">
        <v>6861</v>
      </c>
      <c r="C129" s="26" t="str">
        <f t="shared" si="1"/>
        <v>'6861T'</v>
      </c>
      <c r="D129" s="26" t="s">
        <v>5310</v>
      </c>
      <c r="E129" s="26" t="s">
        <v>5292</v>
      </c>
      <c r="F129" s="26" t="s">
        <v>5219</v>
      </c>
      <c r="G129" s="28">
        <v>6.7479999999999997E-3</v>
      </c>
    </row>
    <row r="130" spans="1:7" x14ac:dyDescent="0.35">
      <c r="A130" s="27">
        <v>44925</v>
      </c>
      <c r="B130" s="26">
        <v>6902</v>
      </c>
      <c r="C130" s="26" t="str">
        <f t="shared" si="1"/>
        <v>'6902T'</v>
      </c>
      <c r="D130" s="26" t="s">
        <v>5311</v>
      </c>
      <c r="E130" s="26" t="s">
        <v>5292</v>
      </c>
      <c r="F130" s="26" t="s">
        <v>5219</v>
      </c>
      <c r="G130" s="28">
        <v>8.5769999999999996E-3</v>
      </c>
    </row>
    <row r="131" spans="1:7" x14ac:dyDescent="0.35">
      <c r="A131" s="27">
        <v>44925</v>
      </c>
      <c r="B131" s="26">
        <v>6952</v>
      </c>
      <c r="C131" s="26" t="str">
        <f t="shared" ref="C131:C194" si="2">"'"&amp;B131&amp;"T'"</f>
        <v>'6952T'</v>
      </c>
      <c r="D131" s="26" t="s">
        <v>5312</v>
      </c>
      <c r="E131" s="26" t="s">
        <v>5292</v>
      </c>
      <c r="F131" s="26" t="s">
        <v>5219</v>
      </c>
      <c r="G131" s="28">
        <v>1.7619999999999999E-3</v>
      </c>
    </row>
    <row r="132" spans="1:7" x14ac:dyDescent="0.35">
      <c r="A132" s="27">
        <v>44925</v>
      </c>
      <c r="B132" s="26">
        <v>6954</v>
      </c>
      <c r="C132" s="26" t="str">
        <f t="shared" si="2"/>
        <v>'6954T'</v>
      </c>
      <c r="D132" s="26" t="s">
        <v>5313</v>
      </c>
      <c r="E132" s="26" t="s">
        <v>5292</v>
      </c>
      <c r="F132" s="26" t="s">
        <v>5219</v>
      </c>
      <c r="G132" s="28">
        <v>2.6029E-2</v>
      </c>
    </row>
    <row r="133" spans="1:7" x14ac:dyDescent="0.35">
      <c r="A133" s="27">
        <v>44925</v>
      </c>
      <c r="B133" s="26">
        <v>6971</v>
      </c>
      <c r="C133" s="26" t="str">
        <f t="shared" si="2"/>
        <v>'6971T'</v>
      </c>
      <c r="D133" s="26" t="s">
        <v>5314</v>
      </c>
      <c r="E133" s="26" t="s">
        <v>5292</v>
      </c>
      <c r="F133" s="26" t="s">
        <v>5219</v>
      </c>
      <c r="G133" s="28">
        <v>1.7195999999999999E-2</v>
      </c>
    </row>
    <row r="134" spans="1:7" x14ac:dyDescent="0.35">
      <c r="A134" s="27">
        <v>44925</v>
      </c>
      <c r="B134" s="26">
        <v>6976</v>
      </c>
      <c r="C134" s="26" t="str">
        <f t="shared" si="2"/>
        <v>'6976T'</v>
      </c>
      <c r="D134" s="26" t="s">
        <v>5315</v>
      </c>
      <c r="E134" s="26" t="s">
        <v>5292</v>
      </c>
      <c r="F134" s="26" t="s">
        <v>5219</v>
      </c>
      <c r="G134" s="28">
        <v>5.0260000000000001E-3</v>
      </c>
    </row>
    <row r="135" spans="1:7" x14ac:dyDescent="0.35">
      <c r="A135" s="27">
        <v>44925</v>
      </c>
      <c r="B135" s="26">
        <v>6981</v>
      </c>
      <c r="C135" s="26" t="str">
        <f t="shared" si="2"/>
        <v>'6981T'</v>
      </c>
      <c r="D135" s="26" t="s">
        <v>5316</v>
      </c>
      <c r="E135" s="26" t="s">
        <v>5292</v>
      </c>
      <c r="F135" s="26" t="s">
        <v>5219</v>
      </c>
      <c r="G135" s="28">
        <v>6.9160000000000003E-3</v>
      </c>
    </row>
    <row r="136" spans="1:7" x14ac:dyDescent="0.35">
      <c r="A136" s="27">
        <v>44925</v>
      </c>
      <c r="B136" s="26">
        <v>6988</v>
      </c>
      <c r="C136" s="26" t="str">
        <f t="shared" si="2"/>
        <v>'6988T'</v>
      </c>
      <c r="D136" s="26" t="s">
        <v>5317</v>
      </c>
      <c r="E136" s="26" t="s">
        <v>5202</v>
      </c>
      <c r="F136" s="26" t="s">
        <v>5162</v>
      </c>
      <c r="G136" s="28">
        <v>1.0038999999999999E-2</v>
      </c>
    </row>
    <row r="137" spans="1:7" x14ac:dyDescent="0.35">
      <c r="A137" s="27">
        <v>44925</v>
      </c>
      <c r="B137" s="26">
        <v>7003</v>
      </c>
      <c r="C137" s="26" t="str">
        <f t="shared" si="2"/>
        <v>'7003T'</v>
      </c>
      <c r="D137" s="26" t="s">
        <v>5318</v>
      </c>
      <c r="E137" s="26" t="s">
        <v>5319</v>
      </c>
      <c r="F137" s="26" t="s">
        <v>5165</v>
      </c>
      <c r="G137" s="28">
        <v>5.0000000000000002E-5</v>
      </c>
    </row>
    <row r="138" spans="1:7" x14ac:dyDescent="0.35">
      <c r="A138" s="27">
        <v>44925</v>
      </c>
      <c r="B138" s="26">
        <v>7004</v>
      </c>
      <c r="C138" s="26" t="str">
        <f t="shared" si="2"/>
        <v>'7004T'</v>
      </c>
      <c r="D138" s="26" t="s">
        <v>5320</v>
      </c>
      <c r="E138" s="26" t="s">
        <v>5264</v>
      </c>
      <c r="F138" s="26" t="s">
        <v>5165</v>
      </c>
      <c r="G138" s="28">
        <v>2.1699999999999999E-4</v>
      </c>
    </row>
    <row r="139" spans="1:7" x14ac:dyDescent="0.35">
      <c r="A139" s="27">
        <v>44925</v>
      </c>
      <c r="B139" s="26">
        <v>7011</v>
      </c>
      <c r="C139" s="26" t="str">
        <f t="shared" si="2"/>
        <v>'7011T'</v>
      </c>
      <c r="D139" s="26" t="s">
        <v>5321</v>
      </c>
      <c r="E139" s="26" t="s">
        <v>5264</v>
      </c>
      <c r="F139" s="26" t="s">
        <v>5165</v>
      </c>
      <c r="G139" s="28">
        <v>6.87E-4</v>
      </c>
    </row>
    <row r="140" spans="1:7" x14ac:dyDescent="0.35">
      <c r="A140" s="27">
        <v>44925</v>
      </c>
      <c r="B140" s="26">
        <v>7012</v>
      </c>
      <c r="C140" s="26" t="str">
        <f t="shared" si="2"/>
        <v>'7012T'</v>
      </c>
      <c r="D140" s="26" t="s">
        <v>5322</v>
      </c>
      <c r="E140" s="26" t="s">
        <v>5319</v>
      </c>
      <c r="F140" s="26" t="s">
        <v>5165</v>
      </c>
      <c r="G140" s="28">
        <v>4.0499999999999998E-4</v>
      </c>
    </row>
    <row r="141" spans="1:7" x14ac:dyDescent="0.35">
      <c r="A141" s="27">
        <v>44925</v>
      </c>
      <c r="B141" s="26">
        <v>7013</v>
      </c>
      <c r="C141" s="26" t="str">
        <f t="shared" si="2"/>
        <v>'7013T'</v>
      </c>
      <c r="D141" s="26" t="s">
        <v>5323</v>
      </c>
      <c r="E141" s="26" t="s">
        <v>5264</v>
      </c>
      <c r="F141" s="26" t="s">
        <v>5165</v>
      </c>
      <c r="G141" s="28">
        <v>5.0500000000000002E-4</v>
      </c>
    </row>
    <row r="142" spans="1:7" x14ac:dyDescent="0.35">
      <c r="A142" s="27">
        <v>44925</v>
      </c>
      <c r="B142" s="26">
        <v>7186</v>
      </c>
      <c r="C142" s="26" t="str">
        <f t="shared" si="2"/>
        <v>'7186T'</v>
      </c>
      <c r="D142" s="26" t="s">
        <v>5324</v>
      </c>
      <c r="E142" s="26" t="s">
        <v>5275</v>
      </c>
      <c r="F142" s="26" t="s">
        <v>5276</v>
      </c>
      <c r="G142" s="28">
        <v>7.2199999999999999E-4</v>
      </c>
    </row>
    <row r="143" spans="1:7" x14ac:dyDescent="0.35">
      <c r="A143" s="27">
        <v>44925</v>
      </c>
      <c r="B143" s="26">
        <v>7201</v>
      </c>
      <c r="C143" s="26" t="str">
        <f t="shared" si="2"/>
        <v>'7201T'</v>
      </c>
      <c r="D143" s="26" t="s">
        <v>5325</v>
      </c>
      <c r="E143" s="26" t="s">
        <v>5326</v>
      </c>
      <c r="F143" s="26" t="s">
        <v>5219</v>
      </c>
      <c r="G143" s="28">
        <v>5.4900000000000001E-4</v>
      </c>
    </row>
    <row r="144" spans="1:7" x14ac:dyDescent="0.35">
      <c r="A144" s="27">
        <v>44925</v>
      </c>
      <c r="B144" s="26">
        <v>7202</v>
      </c>
      <c r="C144" s="26" t="str">
        <f t="shared" si="2"/>
        <v>'7202T'</v>
      </c>
      <c r="D144" s="26" t="s">
        <v>5327</v>
      </c>
      <c r="E144" s="26" t="s">
        <v>5326</v>
      </c>
      <c r="F144" s="26" t="s">
        <v>5219</v>
      </c>
      <c r="G144" s="28">
        <v>1.0150000000000001E-3</v>
      </c>
    </row>
    <row r="145" spans="1:7" x14ac:dyDescent="0.35">
      <c r="A145" s="27">
        <v>44925</v>
      </c>
      <c r="B145" s="26">
        <v>7203</v>
      </c>
      <c r="C145" s="26" t="str">
        <f t="shared" si="2"/>
        <v>'7203T'</v>
      </c>
      <c r="D145" s="26" t="s">
        <v>5328</v>
      </c>
      <c r="E145" s="26" t="s">
        <v>5326</v>
      </c>
      <c r="F145" s="26" t="s">
        <v>5219</v>
      </c>
      <c r="G145" s="28">
        <v>1.1892E-2</v>
      </c>
    </row>
    <row r="146" spans="1:7" x14ac:dyDescent="0.35">
      <c r="A146" s="27">
        <v>44925</v>
      </c>
      <c r="B146" s="26">
        <v>7205</v>
      </c>
      <c r="C146" s="26" t="str">
        <f t="shared" si="2"/>
        <v>'7205T'</v>
      </c>
      <c r="D146" s="26" t="s">
        <v>5329</v>
      </c>
      <c r="E146" s="26" t="s">
        <v>5326</v>
      </c>
      <c r="F146" s="26" t="s">
        <v>5219</v>
      </c>
      <c r="G146" s="28">
        <v>6.6E-4</v>
      </c>
    </row>
    <row r="147" spans="1:7" x14ac:dyDescent="0.35">
      <c r="A147" s="27">
        <v>44925</v>
      </c>
      <c r="B147" s="26">
        <v>7211</v>
      </c>
      <c r="C147" s="26" t="str">
        <f t="shared" si="2"/>
        <v>'7211T'</v>
      </c>
      <c r="D147" s="26" t="s">
        <v>5330</v>
      </c>
      <c r="E147" s="26" t="s">
        <v>5326</v>
      </c>
      <c r="F147" s="26" t="s">
        <v>5219</v>
      </c>
      <c r="G147" s="28">
        <v>6.7000000000000002E-5</v>
      </c>
    </row>
    <row r="148" spans="1:7" x14ac:dyDescent="0.35">
      <c r="A148" s="27">
        <v>44925</v>
      </c>
      <c r="B148" s="26">
        <v>7261</v>
      </c>
      <c r="C148" s="26" t="str">
        <f t="shared" si="2"/>
        <v>'7261T'</v>
      </c>
      <c r="D148" s="26" t="s">
        <v>5331</v>
      </c>
      <c r="E148" s="26" t="s">
        <v>5326</v>
      </c>
      <c r="F148" s="26" t="s">
        <v>5219</v>
      </c>
      <c r="G148" s="28">
        <v>2.6400000000000002E-4</v>
      </c>
    </row>
    <row r="149" spans="1:7" x14ac:dyDescent="0.35">
      <c r="A149" s="27">
        <v>44925</v>
      </c>
      <c r="B149" s="26">
        <v>7267</v>
      </c>
      <c r="C149" s="26" t="str">
        <f t="shared" si="2"/>
        <v>'7267T'</v>
      </c>
      <c r="D149" s="26" t="s">
        <v>5332</v>
      </c>
      <c r="E149" s="26" t="s">
        <v>5326</v>
      </c>
      <c r="F149" s="26" t="s">
        <v>5219</v>
      </c>
      <c r="G149" s="28">
        <v>7.9579999999999998E-3</v>
      </c>
    </row>
    <row r="150" spans="1:7" x14ac:dyDescent="0.35">
      <c r="A150" s="27">
        <v>44925</v>
      </c>
      <c r="B150" s="26">
        <v>7269</v>
      </c>
      <c r="C150" s="26" t="str">
        <f t="shared" si="2"/>
        <v>'7269T'</v>
      </c>
      <c r="D150" s="26" t="s">
        <v>5333</v>
      </c>
      <c r="E150" s="26" t="s">
        <v>5326</v>
      </c>
      <c r="F150" s="26" t="s">
        <v>5219</v>
      </c>
      <c r="G150" s="28">
        <v>5.6049999999999997E-3</v>
      </c>
    </row>
    <row r="151" spans="1:7" x14ac:dyDescent="0.35">
      <c r="A151" s="27">
        <v>44925</v>
      </c>
      <c r="B151" s="26">
        <v>7270</v>
      </c>
      <c r="C151" s="26" t="str">
        <f t="shared" si="2"/>
        <v>'7270T'</v>
      </c>
      <c r="D151" s="26" t="s">
        <v>5334</v>
      </c>
      <c r="E151" s="26" t="s">
        <v>5326</v>
      </c>
      <c r="F151" s="26" t="s">
        <v>5219</v>
      </c>
      <c r="G151" s="28">
        <v>2.6610000000000002E-3</v>
      </c>
    </row>
    <row r="152" spans="1:7" x14ac:dyDescent="0.35">
      <c r="A152" s="27">
        <v>44925</v>
      </c>
      <c r="B152" s="26">
        <v>7272</v>
      </c>
      <c r="C152" s="26" t="str">
        <f t="shared" si="2"/>
        <v>'7272T'</v>
      </c>
      <c r="D152" s="26" t="s">
        <v>5335</v>
      </c>
      <c r="E152" s="26" t="s">
        <v>5326</v>
      </c>
      <c r="F152" s="26" t="s">
        <v>5219</v>
      </c>
      <c r="G152" s="28">
        <v>3.9500000000000004E-3</v>
      </c>
    </row>
    <row r="153" spans="1:7" x14ac:dyDescent="0.35">
      <c r="A153" s="27">
        <v>44925</v>
      </c>
      <c r="B153" s="26">
        <v>7731</v>
      </c>
      <c r="C153" s="26" t="str">
        <f t="shared" si="2"/>
        <v>'7731T'</v>
      </c>
      <c r="D153" s="26" t="s">
        <v>5336</v>
      </c>
      <c r="E153" s="26" t="s">
        <v>5232</v>
      </c>
      <c r="F153" s="26" t="s">
        <v>5219</v>
      </c>
      <c r="G153" s="28">
        <v>1.5430000000000001E-3</v>
      </c>
    </row>
    <row r="154" spans="1:7" x14ac:dyDescent="0.35">
      <c r="A154" s="27">
        <v>44925</v>
      </c>
      <c r="B154" s="26">
        <v>7733</v>
      </c>
      <c r="C154" s="26" t="str">
        <f t="shared" si="2"/>
        <v>'7733T'</v>
      </c>
      <c r="D154" s="26" t="s">
        <v>5337</v>
      </c>
      <c r="E154" s="26" t="s">
        <v>5232</v>
      </c>
      <c r="F154" s="26" t="s">
        <v>5219</v>
      </c>
      <c r="G154" s="28">
        <v>1.2345999999999999E-2</v>
      </c>
    </row>
    <row r="155" spans="1:7" x14ac:dyDescent="0.35">
      <c r="A155" s="27">
        <v>44925</v>
      </c>
      <c r="B155" s="26">
        <v>7735</v>
      </c>
      <c r="C155" s="26" t="str">
        <f t="shared" si="2"/>
        <v>'7735T'</v>
      </c>
      <c r="D155" s="26" t="s">
        <v>5338</v>
      </c>
      <c r="E155" s="26" t="s">
        <v>5292</v>
      </c>
      <c r="F155" s="26" t="s">
        <v>5219</v>
      </c>
      <c r="G155" s="28">
        <v>2.2200000000000002E-3</v>
      </c>
    </row>
    <row r="156" spans="1:7" x14ac:dyDescent="0.35">
      <c r="A156" s="27">
        <v>44925</v>
      </c>
      <c r="B156" s="26">
        <v>7741</v>
      </c>
      <c r="C156" s="26" t="str">
        <f t="shared" si="2"/>
        <v>'7741T'</v>
      </c>
      <c r="D156" s="26" t="s">
        <v>5339</v>
      </c>
      <c r="E156" s="26" t="s">
        <v>5232</v>
      </c>
      <c r="F156" s="26" t="s">
        <v>5219</v>
      </c>
      <c r="G156" s="28">
        <v>8.3359999999999997E-3</v>
      </c>
    </row>
    <row r="157" spans="1:7" x14ac:dyDescent="0.35">
      <c r="A157" s="27">
        <v>44925</v>
      </c>
      <c r="B157" s="26">
        <v>7751</v>
      </c>
      <c r="C157" s="26" t="str">
        <f t="shared" si="2"/>
        <v>'7751T'</v>
      </c>
      <c r="D157" s="26" t="s">
        <v>5340</v>
      </c>
      <c r="E157" s="26" t="s">
        <v>5292</v>
      </c>
      <c r="F157" s="26" t="s">
        <v>5219</v>
      </c>
      <c r="G157" s="28">
        <v>5.6210000000000001E-3</v>
      </c>
    </row>
    <row r="158" spans="1:7" x14ac:dyDescent="0.35">
      <c r="A158" s="27">
        <v>44925</v>
      </c>
      <c r="B158" s="26">
        <v>7752</v>
      </c>
      <c r="C158" s="26" t="str">
        <f t="shared" si="2"/>
        <v>'7752T'</v>
      </c>
      <c r="D158" s="26" t="s">
        <v>5341</v>
      </c>
      <c r="E158" s="26" t="s">
        <v>5292</v>
      </c>
      <c r="F158" s="26" t="s">
        <v>5219</v>
      </c>
      <c r="G158" s="28">
        <v>1.3209999999999999E-3</v>
      </c>
    </row>
    <row r="159" spans="1:7" x14ac:dyDescent="0.35">
      <c r="A159" s="27">
        <v>44925</v>
      </c>
      <c r="B159" s="26">
        <v>7762</v>
      </c>
      <c r="C159" s="26" t="str">
        <f t="shared" si="2"/>
        <v>'7762T'</v>
      </c>
      <c r="D159" s="26" t="s">
        <v>5342</v>
      </c>
      <c r="E159" s="26" t="s">
        <v>5232</v>
      </c>
      <c r="F159" s="26" t="s">
        <v>5219</v>
      </c>
      <c r="G159" s="28">
        <v>7.7800000000000005E-4</v>
      </c>
    </row>
    <row r="160" spans="1:7" x14ac:dyDescent="0.35">
      <c r="A160" s="27">
        <v>44925</v>
      </c>
      <c r="B160" s="26">
        <v>7832</v>
      </c>
      <c r="C160" s="26" t="str">
        <f t="shared" si="2"/>
        <v>'7832T'</v>
      </c>
      <c r="D160" s="26" t="s">
        <v>5343</v>
      </c>
      <c r="E160" s="26" t="s">
        <v>5344</v>
      </c>
      <c r="F160" s="26" t="s">
        <v>5165</v>
      </c>
      <c r="G160" s="28">
        <v>1.091E-2</v>
      </c>
    </row>
    <row r="161" spans="1:7" x14ac:dyDescent="0.35">
      <c r="A161" s="27">
        <v>44925</v>
      </c>
      <c r="B161" s="26">
        <v>7911</v>
      </c>
      <c r="C161" s="26" t="str">
        <f t="shared" si="2"/>
        <v>'7911T'</v>
      </c>
      <c r="D161" s="26" t="s">
        <v>5345</v>
      </c>
      <c r="E161" s="26" t="s">
        <v>5344</v>
      </c>
      <c r="F161" s="26" t="s">
        <v>5165</v>
      </c>
      <c r="G161" s="28">
        <v>1.2819999999999999E-3</v>
      </c>
    </row>
    <row r="162" spans="1:7" x14ac:dyDescent="0.35">
      <c r="A162" s="27">
        <v>44925</v>
      </c>
      <c r="B162" s="26">
        <v>7912</v>
      </c>
      <c r="C162" s="26" t="str">
        <f t="shared" si="2"/>
        <v>'7912T'</v>
      </c>
      <c r="D162" s="26" t="s">
        <v>5346</v>
      </c>
      <c r="E162" s="26" t="s">
        <v>5344</v>
      </c>
      <c r="F162" s="26" t="s">
        <v>5165</v>
      </c>
      <c r="G162" s="28">
        <v>1.7390000000000001E-3</v>
      </c>
    </row>
    <row r="163" spans="1:7" x14ac:dyDescent="0.35">
      <c r="A163" s="27">
        <v>44925</v>
      </c>
      <c r="B163" s="26">
        <v>7951</v>
      </c>
      <c r="C163" s="26" t="str">
        <f t="shared" si="2"/>
        <v>'7951T'</v>
      </c>
      <c r="D163" s="26" t="s">
        <v>5347</v>
      </c>
      <c r="E163" s="26" t="s">
        <v>5344</v>
      </c>
      <c r="F163" s="26" t="s">
        <v>5165</v>
      </c>
      <c r="G163" s="28">
        <v>6.4559999999999999E-3</v>
      </c>
    </row>
    <row r="164" spans="1:7" x14ac:dyDescent="0.35">
      <c r="A164" s="27">
        <v>44925</v>
      </c>
      <c r="B164" s="26">
        <v>7974</v>
      </c>
      <c r="C164" s="26" t="str">
        <f t="shared" si="2"/>
        <v>'7974T'</v>
      </c>
      <c r="D164" s="26" t="s">
        <v>5348</v>
      </c>
      <c r="E164" s="26" t="s">
        <v>5179</v>
      </c>
      <c r="F164" s="26" t="s">
        <v>5159</v>
      </c>
      <c r="G164" s="28">
        <v>7.2589999999999998E-3</v>
      </c>
    </row>
    <row r="165" spans="1:7" x14ac:dyDescent="0.35">
      <c r="A165" s="27">
        <v>44925</v>
      </c>
      <c r="B165" s="26">
        <v>8001</v>
      </c>
      <c r="C165" s="26" t="str">
        <f t="shared" si="2"/>
        <v>'8001T'</v>
      </c>
      <c r="D165" s="26" t="s">
        <v>5349</v>
      </c>
      <c r="E165" s="26" t="s">
        <v>5186</v>
      </c>
      <c r="F165" s="26" t="s">
        <v>5162</v>
      </c>
      <c r="G165" s="28">
        <v>5.4409999999999997E-3</v>
      </c>
    </row>
    <row r="166" spans="1:7" x14ac:dyDescent="0.35">
      <c r="A166" s="27">
        <v>44925</v>
      </c>
      <c r="B166" s="26">
        <v>8002</v>
      </c>
      <c r="C166" s="26" t="str">
        <f t="shared" si="2"/>
        <v>'8002T'</v>
      </c>
      <c r="D166" s="26" t="s">
        <v>5350</v>
      </c>
      <c r="E166" s="26" t="s">
        <v>5186</v>
      </c>
      <c r="F166" s="26" t="s">
        <v>5162</v>
      </c>
      <c r="G166" s="28">
        <v>1.9880000000000002E-3</v>
      </c>
    </row>
    <row r="167" spans="1:7" x14ac:dyDescent="0.35">
      <c r="A167" s="27">
        <v>44925</v>
      </c>
      <c r="B167" s="26">
        <v>8015</v>
      </c>
      <c r="C167" s="26" t="str">
        <f t="shared" si="2"/>
        <v>'8015T'</v>
      </c>
      <c r="D167" s="26" t="s">
        <v>5351</v>
      </c>
      <c r="E167" s="26" t="s">
        <v>5186</v>
      </c>
      <c r="F167" s="26" t="s">
        <v>5162</v>
      </c>
      <c r="G167" s="28">
        <v>6.4099999999999999E-3</v>
      </c>
    </row>
    <row r="168" spans="1:7" x14ac:dyDescent="0.35">
      <c r="A168" s="27">
        <v>44925</v>
      </c>
      <c r="B168" s="26">
        <v>8031</v>
      </c>
      <c r="C168" s="26" t="str">
        <f t="shared" si="2"/>
        <v>'8031T'</v>
      </c>
      <c r="D168" s="26" t="s">
        <v>5352</v>
      </c>
      <c r="E168" s="26" t="s">
        <v>5186</v>
      </c>
      <c r="F168" s="26" t="s">
        <v>5162</v>
      </c>
      <c r="G168" s="28">
        <v>5.0559999999999997E-3</v>
      </c>
    </row>
    <row r="169" spans="1:7" x14ac:dyDescent="0.35">
      <c r="A169" s="27">
        <v>44925</v>
      </c>
      <c r="B169" s="26">
        <v>8035</v>
      </c>
      <c r="C169" s="26" t="str">
        <f t="shared" si="2"/>
        <v>'8035T'</v>
      </c>
      <c r="D169" s="26" t="s">
        <v>5353</v>
      </c>
      <c r="E169" s="26" t="s">
        <v>5292</v>
      </c>
      <c r="F169" s="26" t="s">
        <v>5219</v>
      </c>
      <c r="G169" s="28">
        <v>5.1020999999999997E-2</v>
      </c>
    </row>
    <row r="170" spans="1:7" x14ac:dyDescent="0.35">
      <c r="A170" s="27">
        <v>44925</v>
      </c>
      <c r="B170" s="26">
        <v>8053</v>
      </c>
      <c r="C170" s="26" t="str">
        <f t="shared" si="2"/>
        <v>'8053T'</v>
      </c>
      <c r="D170" s="26" t="s">
        <v>5354</v>
      </c>
      <c r="E170" s="26" t="s">
        <v>5186</v>
      </c>
      <c r="F170" s="26" t="s">
        <v>5162</v>
      </c>
      <c r="G170" s="28">
        <v>2.882E-3</v>
      </c>
    </row>
    <row r="171" spans="1:7" x14ac:dyDescent="0.35">
      <c r="A171" s="27">
        <v>44925</v>
      </c>
      <c r="B171" s="26">
        <v>8058</v>
      </c>
      <c r="C171" s="26" t="str">
        <f t="shared" si="2"/>
        <v>'8058T'</v>
      </c>
      <c r="D171" s="26" t="s">
        <v>5355</v>
      </c>
      <c r="E171" s="26" t="s">
        <v>5186</v>
      </c>
      <c r="F171" s="26" t="s">
        <v>5162</v>
      </c>
      <c r="G171" s="28">
        <v>5.62E-3</v>
      </c>
    </row>
    <row r="172" spans="1:7" x14ac:dyDescent="0.35">
      <c r="A172" s="27">
        <v>44925</v>
      </c>
      <c r="B172" s="26">
        <v>8233</v>
      </c>
      <c r="C172" s="26" t="str">
        <f t="shared" si="2"/>
        <v>'8233T'</v>
      </c>
      <c r="D172" s="26" t="s">
        <v>5356</v>
      </c>
      <c r="E172" s="26" t="s">
        <v>5192</v>
      </c>
      <c r="F172" s="26" t="s">
        <v>5159</v>
      </c>
      <c r="G172" s="28">
        <v>1.209E-3</v>
      </c>
    </row>
    <row r="173" spans="1:7" x14ac:dyDescent="0.35">
      <c r="A173" s="27">
        <v>44925</v>
      </c>
      <c r="B173" s="26">
        <v>8252</v>
      </c>
      <c r="C173" s="26" t="str">
        <f t="shared" si="2"/>
        <v>'8252T'</v>
      </c>
      <c r="D173" s="26" t="s">
        <v>5357</v>
      </c>
      <c r="E173" s="26" t="s">
        <v>5192</v>
      </c>
      <c r="F173" s="26" t="s">
        <v>5159</v>
      </c>
      <c r="G173" s="28">
        <v>2.862E-3</v>
      </c>
    </row>
    <row r="174" spans="1:7" x14ac:dyDescent="0.35">
      <c r="A174" s="27">
        <v>44925</v>
      </c>
      <c r="B174" s="26">
        <v>8253</v>
      </c>
      <c r="C174" s="26" t="str">
        <f t="shared" si="2"/>
        <v>'8253T'</v>
      </c>
      <c r="D174" s="26" t="s">
        <v>5358</v>
      </c>
      <c r="E174" s="26" t="s">
        <v>5359</v>
      </c>
      <c r="F174" s="26" t="s">
        <v>5276</v>
      </c>
      <c r="G174" s="28">
        <v>2.232E-3</v>
      </c>
    </row>
    <row r="175" spans="1:7" x14ac:dyDescent="0.35">
      <c r="A175" s="27">
        <v>44925</v>
      </c>
      <c r="B175" s="26">
        <v>8267</v>
      </c>
      <c r="C175" s="26" t="str">
        <f t="shared" si="2"/>
        <v>'8267T'</v>
      </c>
      <c r="D175" s="26" t="s">
        <v>5360</v>
      </c>
      <c r="E175" s="26" t="s">
        <v>5192</v>
      </c>
      <c r="F175" s="26" t="s">
        <v>5159</v>
      </c>
      <c r="G175" s="28">
        <v>3.6519999999999999E-3</v>
      </c>
    </row>
    <row r="176" spans="1:7" x14ac:dyDescent="0.35">
      <c r="A176" s="27">
        <v>44925</v>
      </c>
      <c r="B176" s="26">
        <v>8304</v>
      </c>
      <c r="C176" s="26" t="str">
        <f t="shared" si="2"/>
        <v>'8304T'</v>
      </c>
      <c r="D176" s="26" t="s">
        <v>5361</v>
      </c>
      <c r="E176" s="26" t="s">
        <v>5275</v>
      </c>
      <c r="F176" s="26" t="s">
        <v>5276</v>
      </c>
      <c r="G176" s="28">
        <v>3.4099999999999999E-4</v>
      </c>
    </row>
    <row r="177" spans="1:7" x14ac:dyDescent="0.35">
      <c r="A177" s="27">
        <v>44925</v>
      </c>
      <c r="B177" s="26">
        <v>8306</v>
      </c>
      <c r="C177" s="26" t="str">
        <f t="shared" si="2"/>
        <v>'8306T'</v>
      </c>
      <c r="D177" s="26" t="s">
        <v>5362</v>
      </c>
      <c r="E177" s="26" t="s">
        <v>5275</v>
      </c>
      <c r="F177" s="26" t="s">
        <v>5276</v>
      </c>
      <c r="G177" s="28">
        <v>1.1670000000000001E-3</v>
      </c>
    </row>
    <row r="178" spans="1:7" x14ac:dyDescent="0.35">
      <c r="A178" s="27">
        <v>44925</v>
      </c>
      <c r="B178" s="26">
        <v>8308</v>
      </c>
      <c r="C178" s="26" t="str">
        <f t="shared" si="2"/>
        <v>'8308T'</v>
      </c>
      <c r="D178" s="26" t="s">
        <v>5363</v>
      </c>
      <c r="E178" s="26" t="s">
        <v>5275</v>
      </c>
      <c r="F178" s="26" t="s">
        <v>5276</v>
      </c>
      <c r="G178" s="28">
        <v>9.5000000000000005E-5</v>
      </c>
    </row>
    <row r="179" spans="1:7" x14ac:dyDescent="0.35">
      <c r="A179" s="27">
        <v>44925</v>
      </c>
      <c r="B179" s="26">
        <v>8309</v>
      </c>
      <c r="C179" s="26" t="str">
        <f t="shared" si="2"/>
        <v>'8309T'</v>
      </c>
      <c r="D179" s="26" t="s">
        <v>5364</v>
      </c>
      <c r="E179" s="26" t="s">
        <v>5275</v>
      </c>
      <c r="F179" s="26" t="s">
        <v>5276</v>
      </c>
      <c r="G179" s="28">
        <v>6.02E-4</v>
      </c>
    </row>
    <row r="180" spans="1:7" x14ac:dyDescent="0.35">
      <c r="A180" s="27">
        <v>44925</v>
      </c>
      <c r="B180" s="26">
        <v>8316</v>
      </c>
      <c r="C180" s="26" t="str">
        <f t="shared" si="2"/>
        <v>'8316T'</v>
      </c>
      <c r="D180" s="26" t="s">
        <v>5365</v>
      </c>
      <c r="E180" s="26" t="s">
        <v>5275</v>
      </c>
      <c r="F180" s="26" t="s">
        <v>5276</v>
      </c>
      <c r="G180" s="28">
        <v>6.9499999999999998E-4</v>
      </c>
    </row>
    <row r="181" spans="1:7" x14ac:dyDescent="0.35">
      <c r="A181" s="27">
        <v>44925</v>
      </c>
      <c r="B181" s="26">
        <v>8331</v>
      </c>
      <c r="C181" s="26" t="str">
        <f t="shared" si="2"/>
        <v>'8331T'</v>
      </c>
      <c r="D181" s="26" t="s">
        <v>5366</v>
      </c>
      <c r="E181" s="26" t="s">
        <v>5275</v>
      </c>
      <c r="F181" s="26" t="s">
        <v>5276</v>
      </c>
      <c r="G181" s="28">
        <v>1.2620000000000001E-3</v>
      </c>
    </row>
    <row r="182" spans="1:7" x14ac:dyDescent="0.35">
      <c r="A182" s="27">
        <v>44925</v>
      </c>
      <c r="B182" s="26">
        <v>8354</v>
      </c>
      <c r="C182" s="26" t="str">
        <f t="shared" si="2"/>
        <v>'8354T'</v>
      </c>
      <c r="D182" s="26" t="s">
        <v>5367</v>
      </c>
      <c r="E182" s="26" t="s">
        <v>5275</v>
      </c>
      <c r="F182" s="26" t="s">
        <v>5276</v>
      </c>
      <c r="G182" s="28">
        <v>7.8899999999999999E-4</v>
      </c>
    </row>
    <row r="183" spans="1:7" x14ac:dyDescent="0.35">
      <c r="A183" s="27">
        <v>44925</v>
      </c>
      <c r="B183" s="26">
        <v>8411</v>
      </c>
      <c r="C183" s="26" t="str">
        <f t="shared" si="2"/>
        <v>'8411T'</v>
      </c>
      <c r="D183" s="26" t="s">
        <v>5368</v>
      </c>
      <c r="E183" s="26" t="s">
        <v>5275</v>
      </c>
      <c r="F183" s="26" t="s">
        <v>5276</v>
      </c>
      <c r="G183" s="28">
        <v>2.4399999999999999E-4</v>
      </c>
    </row>
    <row r="184" spans="1:7" x14ac:dyDescent="0.35">
      <c r="A184" s="27">
        <v>44925</v>
      </c>
      <c r="B184" s="26">
        <v>8591</v>
      </c>
      <c r="C184" s="26" t="str">
        <f t="shared" si="2"/>
        <v>'8591T'</v>
      </c>
      <c r="D184" s="26" t="s">
        <v>5369</v>
      </c>
      <c r="E184" s="26" t="s">
        <v>5359</v>
      </c>
      <c r="F184" s="26" t="s">
        <v>5276</v>
      </c>
      <c r="G184" s="28">
        <v>2.7799999999999999E-3</v>
      </c>
    </row>
    <row r="185" spans="1:7" x14ac:dyDescent="0.35">
      <c r="A185" s="27">
        <v>44925</v>
      </c>
      <c r="B185" s="26">
        <v>8601</v>
      </c>
      <c r="C185" s="26" t="str">
        <f t="shared" si="2"/>
        <v>'8601T'</v>
      </c>
      <c r="D185" s="26" t="s">
        <v>5370</v>
      </c>
      <c r="E185" s="26" t="s">
        <v>5371</v>
      </c>
      <c r="F185" s="26" t="s">
        <v>5276</v>
      </c>
      <c r="G185" s="28">
        <v>7.6499999999999995E-4</v>
      </c>
    </row>
    <row r="186" spans="1:7" x14ac:dyDescent="0.35">
      <c r="A186" s="27">
        <v>44925</v>
      </c>
      <c r="B186" s="26">
        <v>8604</v>
      </c>
      <c r="C186" s="26" t="str">
        <f t="shared" si="2"/>
        <v>'8604T'</v>
      </c>
      <c r="D186" s="26" t="s">
        <v>5372</v>
      </c>
      <c r="E186" s="26" t="s">
        <v>5371</v>
      </c>
      <c r="F186" s="26" t="s">
        <v>5276</v>
      </c>
      <c r="G186" s="28">
        <v>6.4099999999999997E-4</v>
      </c>
    </row>
    <row r="187" spans="1:7" x14ac:dyDescent="0.35">
      <c r="A187" s="27">
        <v>44925</v>
      </c>
      <c r="B187" s="26">
        <v>8628</v>
      </c>
      <c r="C187" s="26" t="str">
        <f t="shared" si="2"/>
        <v>'8628T'</v>
      </c>
      <c r="D187" s="26" t="s">
        <v>5373</v>
      </c>
      <c r="E187" s="26" t="s">
        <v>5371</v>
      </c>
      <c r="F187" s="26" t="s">
        <v>5276</v>
      </c>
      <c r="G187" s="28">
        <v>1.0300000000000001E-3</v>
      </c>
    </row>
    <row r="188" spans="1:7" x14ac:dyDescent="0.35">
      <c r="A188" s="27">
        <v>44925</v>
      </c>
      <c r="B188" s="26">
        <v>8630</v>
      </c>
      <c r="C188" s="26" t="str">
        <f t="shared" si="2"/>
        <v>'8630T'</v>
      </c>
      <c r="D188" s="26" t="s">
        <v>5374</v>
      </c>
      <c r="E188" s="26" t="s">
        <v>5375</v>
      </c>
      <c r="F188" s="26" t="s">
        <v>5276</v>
      </c>
      <c r="G188" s="28">
        <v>1.5380000000000001E-3</v>
      </c>
    </row>
    <row r="189" spans="1:7" x14ac:dyDescent="0.35">
      <c r="A189" s="27">
        <v>44925</v>
      </c>
      <c r="B189" s="26">
        <v>8697</v>
      </c>
      <c r="C189" s="26" t="str">
        <f t="shared" si="2"/>
        <v>'8697T'</v>
      </c>
      <c r="D189" s="26" t="s">
        <v>5376</v>
      </c>
      <c r="E189" s="26" t="s">
        <v>5359</v>
      </c>
      <c r="F189" s="26" t="s">
        <v>5276</v>
      </c>
      <c r="G189" s="28">
        <v>2.49E-3</v>
      </c>
    </row>
    <row r="190" spans="1:7" x14ac:dyDescent="0.35">
      <c r="A190" s="27">
        <v>44925</v>
      </c>
      <c r="B190" s="26">
        <v>8725</v>
      </c>
      <c r="C190" s="26" t="str">
        <f t="shared" si="2"/>
        <v>'8725T'</v>
      </c>
      <c r="D190" s="26" t="s">
        <v>5377</v>
      </c>
      <c r="E190" s="26" t="s">
        <v>5375</v>
      </c>
      <c r="F190" s="26" t="s">
        <v>5276</v>
      </c>
      <c r="G190" s="28">
        <v>1.663E-3</v>
      </c>
    </row>
    <row r="191" spans="1:7" x14ac:dyDescent="0.35">
      <c r="A191" s="27">
        <v>44925</v>
      </c>
      <c r="B191" s="26">
        <v>8750</v>
      </c>
      <c r="C191" s="26" t="str">
        <f t="shared" si="2"/>
        <v>'8750T'</v>
      </c>
      <c r="D191" s="26" t="s">
        <v>5378</v>
      </c>
      <c r="E191" s="26" t="s">
        <v>5375</v>
      </c>
      <c r="F191" s="26" t="s">
        <v>5276</v>
      </c>
      <c r="G191" s="28">
        <v>3.9300000000000001E-4</v>
      </c>
    </row>
    <row r="192" spans="1:7" x14ac:dyDescent="0.35">
      <c r="A192" s="27">
        <v>44925</v>
      </c>
      <c r="B192" s="26">
        <v>8766</v>
      </c>
      <c r="C192" s="26" t="str">
        <f t="shared" si="2"/>
        <v>'8766T'</v>
      </c>
      <c r="D192" s="26" t="s">
        <v>5379</v>
      </c>
      <c r="E192" s="26" t="s">
        <v>5375</v>
      </c>
      <c r="F192" s="26" t="s">
        <v>5276</v>
      </c>
      <c r="G192" s="28">
        <v>5.5659999999999998E-3</v>
      </c>
    </row>
    <row r="193" spans="1:7" x14ac:dyDescent="0.35">
      <c r="A193" s="27">
        <v>44925</v>
      </c>
      <c r="B193" s="26">
        <v>8795</v>
      </c>
      <c r="C193" s="26" t="str">
        <f t="shared" si="2"/>
        <v>'8795T'</v>
      </c>
      <c r="D193" s="26" t="s">
        <v>5380</v>
      </c>
      <c r="E193" s="26" t="s">
        <v>5375</v>
      </c>
      <c r="F193" s="26" t="s">
        <v>5276</v>
      </c>
      <c r="G193" s="28">
        <v>4.9899999999999999E-4</v>
      </c>
    </row>
    <row r="194" spans="1:7" x14ac:dyDescent="0.35">
      <c r="A194" s="27">
        <v>44925</v>
      </c>
      <c r="B194" s="26">
        <v>8801</v>
      </c>
      <c r="C194" s="26" t="str">
        <f t="shared" si="2"/>
        <v>'8801T'</v>
      </c>
      <c r="D194" s="26" t="s">
        <v>5381</v>
      </c>
      <c r="E194" s="26" t="s">
        <v>5197</v>
      </c>
      <c r="F194" s="26" t="s">
        <v>5165</v>
      </c>
      <c r="G194" s="28">
        <v>3.1719999999999999E-3</v>
      </c>
    </row>
    <row r="195" spans="1:7" x14ac:dyDescent="0.35">
      <c r="A195" s="27">
        <v>44925</v>
      </c>
      <c r="B195" s="26">
        <v>8802</v>
      </c>
      <c r="C195" s="26" t="str">
        <f t="shared" ref="C195:C226" si="3">"'"&amp;B195&amp;"T'"</f>
        <v>'8802T'</v>
      </c>
      <c r="D195" s="26" t="s">
        <v>5382</v>
      </c>
      <c r="E195" s="26" t="s">
        <v>5197</v>
      </c>
      <c r="F195" s="26" t="s">
        <v>5165</v>
      </c>
      <c r="G195" s="28">
        <v>2.245E-3</v>
      </c>
    </row>
    <row r="196" spans="1:7" x14ac:dyDescent="0.35">
      <c r="A196" s="27">
        <v>44925</v>
      </c>
      <c r="B196" s="26">
        <v>8804</v>
      </c>
      <c r="C196" s="26" t="str">
        <f t="shared" si="3"/>
        <v>'8804T'</v>
      </c>
      <c r="D196" s="26" t="s">
        <v>5383</v>
      </c>
      <c r="E196" s="26" t="s">
        <v>5197</v>
      </c>
      <c r="F196" s="26" t="s">
        <v>5165</v>
      </c>
      <c r="G196" s="28">
        <v>1.049E-3</v>
      </c>
    </row>
    <row r="197" spans="1:7" x14ac:dyDescent="0.35">
      <c r="A197" s="27">
        <v>44925</v>
      </c>
      <c r="B197" s="26">
        <v>8830</v>
      </c>
      <c r="C197" s="26" t="str">
        <f t="shared" si="3"/>
        <v>'8830T'</v>
      </c>
      <c r="D197" s="26" t="s">
        <v>5384</v>
      </c>
      <c r="E197" s="26" t="s">
        <v>5197</v>
      </c>
      <c r="F197" s="26" t="s">
        <v>5165</v>
      </c>
      <c r="G197" s="28">
        <v>4.0959999999999998E-3</v>
      </c>
    </row>
    <row r="198" spans="1:7" x14ac:dyDescent="0.35">
      <c r="A198" s="27">
        <v>44925</v>
      </c>
      <c r="B198" s="26">
        <v>9001</v>
      </c>
      <c r="C198" s="26" t="str">
        <f t="shared" si="3"/>
        <v>'9001T'</v>
      </c>
      <c r="D198" s="26" t="s">
        <v>5385</v>
      </c>
      <c r="E198" s="26" t="s">
        <v>5386</v>
      </c>
      <c r="F198" s="26" t="s">
        <v>5387</v>
      </c>
      <c r="G198" s="28">
        <v>8.0800000000000002E-4</v>
      </c>
    </row>
    <row r="199" spans="1:7" x14ac:dyDescent="0.35">
      <c r="A199" s="27">
        <v>44925</v>
      </c>
      <c r="B199" s="26">
        <v>9005</v>
      </c>
      <c r="C199" s="26" t="str">
        <f t="shared" si="3"/>
        <v>'9005T'</v>
      </c>
      <c r="D199" s="26" t="s">
        <v>5388</v>
      </c>
      <c r="E199" s="26" t="s">
        <v>5386</v>
      </c>
      <c r="F199" s="26" t="s">
        <v>5387</v>
      </c>
      <c r="G199" s="28">
        <v>1.091E-3</v>
      </c>
    </row>
    <row r="200" spans="1:7" x14ac:dyDescent="0.35">
      <c r="A200" s="27">
        <v>44925</v>
      </c>
      <c r="B200" s="26">
        <v>9007</v>
      </c>
      <c r="C200" s="26" t="str">
        <f t="shared" si="3"/>
        <v>'9007T'</v>
      </c>
      <c r="D200" s="26" t="s">
        <v>5389</v>
      </c>
      <c r="E200" s="26" t="s">
        <v>5386</v>
      </c>
      <c r="F200" s="26" t="s">
        <v>5387</v>
      </c>
      <c r="G200" s="28">
        <v>1.1230000000000001E-3</v>
      </c>
    </row>
    <row r="201" spans="1:7" x14ac:dyDescent="0.35">
      <c r="A201" s="27">
        <v>44925</v>
      </c>
      <c r="B201" s="26">
        <v>9008</v>
      </c>
      <c r="C201" s="26" t="str">
        <f t="shared" si="3"/>
        <v>'9008T'</v>
      </c>
      <c r="D201" s="26" t="s">
        <v>5390</v>
      </c>
      <c r="E201" s="26" t="s">
        <v>5386</v>
      </c>
      <c r="F201" s="26" t="s">
        <v>5387</v>
      </c>
      <c r="G201" s="28">
        <v>1.2700000000000001E-3</v>
      </c>
    </row>
    <row r="202" spans="1:7" x14ac:dyDescent="0.35">
      <c r="A202" s="27">
        <v>44925</v>
      </c>
      <c r="B202" s="26">
        <v>9009</v>
      </c>
      <c r="C202" s="26" t="str">
        <f t="shared" si="3"/>
        <v>'9009T'</v>
      </c>
      <c r="D202" s="26" t="s">
        <v>5391</v>
      </c>
      <c r="E202" s="26" t="s">
        <v>5386</v>
      </c>
      <c r="F202" s="26" t="s">
        <v>5387</v>
      </c>
      <c r="G202" s="28">
        <v>2.464E-3</v>
      </c>
    </row>
    <row r="203" spans="1:7" x14ac:dyDescent="0.35">
      <c r="A203" s="27">
        <v>44925</v>
      </c>
      <c r="B203" s="26">
        <v>9020</v>
      </c>
      <c r="C203" s="26" t="str">
        <f t="shared" si="3"/>
        <v>'9020T'</v>
      </c>
      <c r="D203" s="26" t="s">
        <v>5392</v>
      </c>
      <c r="E203" s="26" t="s">
        <v>5386</v>
      </c>
      <c r="F203" s="26" t="s">
        <v>5387</v>
      </c>
      <c r="G203" s="28">
        <v>9.8700000000000003E-4</v>
      </c>
    </row>
    <row r="204" spans="1:7" x14ac:dyDescent="0.35">
      <c r="A204" s="27">
        <v>44925</v>
      </c>
      <c r="B204" s="26">
        <v>9021</v>
      </c>
      <c r="C204" s="26" t="str">
        <f t="shared" si="3"/>
        <v>'9021T'</v>
      </c>
      <c r="D204" s="26" t="s">
        <v>5393</v>
      </c>
      <c r="E204" s="26" t="s">
        <v>5386</v>
      </c>
      <c r="F204" s="26" t="s">
        <v>5387</v>
      </c>
      <c r="G204" s="28">
        <v>7.5199999999999996E-4</v>
      </c>
    </row>
    <row r="205" spans="1:7" x14ac:dyDescent="0.35">
      <c r="A205" s="27">
        <v>44925</v>
      </c>
      <c r="B205" s="26">
        <v>9022</v>
      </c>
      <c r="C205" s="26" t="str">
        <f t="shared" si="3"/>
        <v>'9022T'</v>
      </c>
      <c r="D205" s="26" t="s">
        <v>5394</v>
      </c>
      <c r="E205" s="26" t="s">
        <v>5386</v>
      </c>
      <c r="F205" s="26" t="s">
        <v>5387</v>
      </c>
      <c r="G205" s="28">
        <v>2.127E-3</v>
      </c>
    </row>
    <row r="206" spans="1:7" x14ac:dyDescent="0.35">
      <c r="A206" s="27">
        <v>44925</v>
      </c>
      <c r="B206" s="26">
        <v>9064</v>
      </c>
      <c r="C206" s="26" t="str">
        <f t="shared" si="3"/>
        <v>'9064T'</v>
      </c>
      <c r="D206" s="26" t="s">
        <v>5395</v>
      </c>
      <c r="E206" s="26" t="s">
        <v>5396</v>
      </c>
      <c r="F206" s="26" t="s">
        <v>5387</v>
      </c>
      <c r="G206" s="28">
        <v>2.7390000000000001E-3</v>
      </c>
    </row>
    <row r="207" spans="1:7" x14ac:dyDescent="0.35">
      <c r="A207" s="27">
        <v>44925</v>
      </c>
      <c r="B207" s="26">
        <v>9101</v>
      </c>
      <c r="C207" s="26" t="str">
        <f t="shared" si="3"/>
        <v>'9101T'</v>
      </c>
      <c r="D207" s="26" t="s">
        <v>5397</v>
      </c>
      <c r="E207" s="26" t="s">
        <v>5398</v>
      </c>
      <c r="F207" s="26" t="s">
        <v>5387</v>
      </c>
      <c r="G207" s="28">
        <v>1.224E-3</v>
      </c>
    </row>
    <row r="208" spans="1:7" x14ac:dyDescent="0.35">
      <c r="A208" s="27">
        <v>44925</v>
      </c>
      <c r="B208" s="26">
        <v>9104</v>
      </c>
      <c r="C208" s="26" t="str">
        <f t="shared" si="3"/>
        <v>'9104T'</v>
      </c>
      <c r="D208" s="26" t="s">
        <v>5399</v>
      </c>
      <c r="E208" s="26" t="s">
        <v>5398</v>
      </c>
      <c r="F208" s="26" t="s">
        <v>5387</v>
      </c>
      <c r="G208" s="28">
        <v>1.2949999999999999E-3</v>
      </c>
    </row>
    <row r="209" spans="1:7" x14ac:dyDescent="0.35">
      <c r="A209" s="27">
        <v>44925</v>
      </c>
      <c r="B209" s="26">
        <v>9107</v>
      </c>
      <c r="C209" s="26" t="str">
        <f t="shared" si="3"/>
        <v>'9107T'</v>
      </c>
      <c r="D209" s="26" t="s">
        <v>5400</v>
      </c>
      <c r="E209" s="26" t="s">
        <v>5398</v>
      </c>
      <c r="F209" s="26" t="s">
        <v>5387</v>
      </c>
      <c r="G209" s="28">
        <v>1.0970000000000001E-3</v>
      </c>
    </row>
    <row r="210" spans="1:7" x14ac:dyDescent="0.35">
      <c r="A210" s="27">
        <v>44925</v>
      </c>
      <c r="B210" s="26">
        <v>9147</v>
      </c>
      <c r="C210" s="26" t="str">
        <f t="shared" si="3"/>
        <v>'9147T'</v>
      </c>
      <c r="D210" s="26" t="s">
        <v>5401</v>
      </c>
      <c r="E210" s="26" t="s">
        <v>5396</v>
      </c>
      <c r="F210" s="26" t="s">
        <v>5387</v>
      </c>
      <c r="G210" s="28">
        <v>9.8900000000000008E-4</v>
      </c>
    </row>
    <row r="211" spans="1:7" x14ac:dyDescent="0.35">
      <c r="A211" s="27">
        <v>44925</v>
      </c>
      <c r="B211" s="26">
        <v>9202</v>
      </c>
      <c r="C211" s="26" t="str">
        <f t="shared" si="3"/>
        <v>'9202T'</v>
      </c>
      <c r="D211" s="26" t="s">
        <v>5402</v>
      </c>
      <c r="E211" s="26" t="s">
        <v>5403</v>
      </c>
      <c r="F211" s="26" t="s">
        <v>5387</v>
      </c>
      <c r="G211" s="28">
        <v>3.6699999999999998E-4</v>
      </c>
    </row>
    <row r="212" spans="1:7" x14ac:dyDescent="0.35">
      <c r="A212" s="27">
        <v>44925</v>
      </c>
      <c r="B212" s="26">
        <v>9301</v>
      </c>
      <c r="C212" s="26" t="str">
        <f t="shared" si="3"/>
        <v>'9301T'</v>
      </c>
      <c r="D212" s="26" t="s">
        <v>5404</v>
      </c>
      <c r="E212" s="26" t="s">
        <v>5405</v>
      </c>
      <c r="F212" s="26" t="s">
        <v>5387</v>
      </c>
      <c r="G212" s="28">
        <v>1.9880000000000002E-3</v>
      </c>
    </row>
    <row r="213" spans="1:7" x14ac:dyDescent="0.35">
      <c r="A213" s="27">
        <v>44925</v>
      </c>
      <c r="B213" s="26">
        <v>9432</v>
      </c>
      <c r="C213" s="26" t="str">
        <f t="shared" si="3"/>
        <v>'9432T'</v>
      </c>
      <c r="D213" s="26" t="s">
        <v>5406</v>
      </c>
      <c r="E213" s="26" t="s">
        <v>5407</v>
      </c>
      <c r="F213" s="26" t="s">
        <v>5219</v>
      </c>
      <c r="G213" s="28">
        <v>1.9750000000000002E-3</v>
      </c>
    </row>
    <row r="214" spans="1:7" x14ac:dyDescent="0.35">
      <c r="A214" s="27">
        <v>44925</v>
      </c>
      <c r="B214" s="26">
        <v>9433</v>
      </c>
      <c r="C214" s="26" t="str">
        <f t="shared" si="3"/>
        <v>'9433T'</v>
      </c>
      <c r="D214" s="26" t="s">
        <v>5408</v>
      </c>
      <c r="E214" s="26" t="s">
        <v>5407</v>
      </c>
      <c r="F214" s="26" t="s">
        <v>5219</v>
      </c>
      <c r="G214" s="28">
        <v>3.1352999999999999E-2</v>
      </c>
    </row>
    <row r="215" spans="1:7" x14ac:dyDescent="0.35">
      <c r="A215" s="27">
        <v>44925</v>
      </c>
      <c r="B215" s="26">
        <v>9434</v>
      </c>
      <c r="C215" s="26" t="str">
        <f t="shared" si="3"/>
        <v>'9434T'</v>
      </c>
      <c r="D215" s="26" t="s">
        <v>5409</v>
      </c>
      <c r="E215" s="26" t="s">
        <v>5407</v>
      </c>
      <c r="F215" s="26" t="s">
        <v>5219</v>
      </c>
      <c r="G215" s="28">
        <v>1.9530000000000001E-3</v>
      </c>
    </row>
    <row r="216" spans="1:7" x14ac:dyDescent="0.35">
      <c r="A216" s="27">
        <v>44925</v>
      </c>
      <c r="B216" s="26">
        <v>9501</v>
      </c>
      <c r="C216" s="26" t="str">
        <f t="shared" si="3"/>
        <v>'9501T'</v>
      </c>
      <c r="D216" s="26" t="s">
        <v>5410</v>
      </c>
      <c r="E216" s="26" t="s">
        <v>5411</v>
      </c>
      <c r="F216" s="26" t="s">
        <v>5387</v>
      </c>
      <c r="G216" s="28">
        <v>6.2000000000000003E-5</v>
      </c>
    </row>
    <row r="217" spans="1:7" x14ac:dyDescent="0.35">
      <c r="A217" s="27">
        <v>44925</v>
      </c>
      <c r="B217" s="26">
        <v>9502</v>
      </c>
      <c r="C217" s="26" t="str">
        <f t="shared" si="3"/>
        <v>'9502T'</v>
      </c>
      <c r="D217" s="26" t="s">
        <v>5412</v>
      </c>
      <c r="E217" s="26" t="s">
        <v>5411</v>
      </c>
      <c r="F217" s="26" t="s">
        <v>5387</v>
      </c>
      <c r="G217" s="28">
        <v>1.7899999999999999E-4</v>
      </c>
    </row>
    <row r="218" spans="1:7" x14ac:dyDescent="0.35">
      <c r="A218" s="27">
        <v>44925</v>
      </c>
      <c r="B218" s="26">
        <v>9503</v>
      </c>
      <c r="C218" s="26" t="str">
        <f t="shared" si="3"/>
        <v>'9503T'</v>
      </c>
      <c r="D218" s="26" t="s">
        <v>5413</v>
      </c>
      <c r="E218" s="26" t="s">
        <v>5411</v>
      </c>
      <c r="F218" s="26" t="s">
        <v>5387</v>
      </c>
      <c r="G218" s="28">
        <v>1.6799999999999999E-4</v>
      </c>
    </row>
    <row r="219" spans="1:7" x14ac:dyDescent="0.35">
      <c r="A219" s="27">
        <v>44925</v>
      </c>
      <c r="B219" s="26">
        <v>9531</v>
      </c>
      <c r="C219" s="26" t="str">
        <f t="shared" si="3"/>
        <v>'9531T'</v>
      </c>
      <c r="D219" s="26" t="s">
        <v>5414</v>
      </c>
      <c r="E219" s="26" t="s">
        <v>5415</v>
      </c>
      <c r="F219" s="26" t="s">
        <v>5387</v>
      </c>
      <c r="G219" s="28">
        <v>6.78E-4</v>
      </c>
    </row>
    <row r="220" spans="1:7" x14ac:dyDescent="0.35">
      <c r="A220" s="27">
        <v>44925</v>
      </c>
      <c r="B220" s="26">
        <v>9532</v>
      </c>
      <c r="C220" s="26" t="str">
        <f t="shared" si="3"/>
        <v>'9532T'</v>
      </c>
      <c r="D220" s="26" t="s">
        <v>5416</v>
      </c>
      <c r="E220" s="26" t="s">
        <v>5415</v>
      </c>
      <c r="F220" s="26" t="s">
        <v>5387</v>
      </c>
      <c r="G220" s="28">
        <v>5.5900000000000004E-4</v>
      </c>
    </row>
    <row r="221" spans="1:7" x14ac:dyDescent="0.35">
      <c r="A221" s="27">
        <v>44925</v>
      </c>
      <c r="B221" s="26">
        <v>9602</v>
      </c>
      <c r="C221" s="26" t="str">
        <f t="shared" si="3"/>
        <v>'9602T'</v>
      </c>
      <c r="D221" s="26" t="s">
        <v>5417</v>
      </c>
      <c r="E221" s="26" t="s">
        <v>5179</v>
      </c>
      <c r="F221" s="26" t="s">
        <v>5159</v>
      </c>
      <c r="G221" s="28">
        <v>6.6699999999999995E-4</v>
      </c>
    </row>
    <row r="222" spans="1:7" x14ac:dyDescent="0.35">
      <c r="A222" s="27">
        <v>44925</v>
      </c>
      <c r="B222" s="26">
        <v>9613</v>
      </c>
      <c r="C222" s="26" t="str">
        <f t="shared" si="3"/>
        <v>'9613T'</v>
      </c>
      <c r="D222" s="26" t="s">
        <v>5418</v>
      </c>
      <c r="E222" s="26" t="s">
        <v>5407</v>
      </c>
      <c r="F222" s="26" t="s">
        <v>5219</v>
      </c>
      <c r="G222" s="28">
        <v>1.2677000000000001E-2</v>
      </c>
    </row>
    <row r="223" spans="1:7" x14ac:dyDescent="0.35">
      <c r="A223" s="27">
        <v>44925</v>
      </c>
      <c r="B223" s="26">
        <v>9735</v>
      </c>
      <c r="C223" s="26" t="str">
        <f t="shared" si="3"/>
        <v>'9735T'</v>
      </c>
      <c r="D223" s="26" t="s">
        <v>5419</v>
      </c>
      <c r="E223" s="26" t="s">
        <v>5179</v>
      </c>
      <c r="F223" s="26" t="s">
        <v>5159</v>
      </c>
      <c r="G223" s="28">
        <v>9.8980000000000005E-3</v>
      </c>
    </row>
    <row r="224" spans="1:7" x14ac:dyDescent="0.35">
      <c r="A224" s="27">
        <v>44925</v>
      </c>
      <c r="B224" s="26">
        <v>9766</v>
      </c>
      <c r="C224" s="26" t="str">
        <f t="shared" si="3"/>
        <v>'9766T'</v>
      </c>
      <c r="D224" s="26" t="s">
        <v>5420</v>
      </c>
      <c r="E224" s="26" t="s">
        <v>5179</v>
      </c>
      <c r="F224" s="26" t="s">
        <v>5159</v>
      </c>
      <c r="G224" s="28">
        <v>7.8340000000000007E-3</v>
      </c>
    </row>
    <row r="225" spans="1:7" x14ac:dyDescent="0.35">
      <c r="A225" s="27">
        <v>44925</v>
      </c>
      <c r="B225" s="26">
        <v>9983</v>
      </c>
      <c r="C225" s="26" t="str">
        <f t="shared" si="3"/>
        <v>'9983T'</v>
      </c>
      <c r="D225" s="26" t="s">
        <v>5421</v>
      </c>
      <c r="E225" s="26" t="s">
        <v>5192</v>
      </c>
      <c r="F225" s="26" t="s">
        <v>5159</v>
      </c>
      <c r="G225" s="28">
        <v>0.10567699999999999</v>
      </c>
    </row>
    <row r="226" spans="1:7" x14ac:dyDescent="0.35">
      <c r="A226" s="27">
        <v>44925</v>
      </c>
      <c r="B226" s="26">
        <v>9984</v>
      </c>
      <c r="C226" s="26" t="str">
        <f t="shared" si="3"/>
        <v>'9984T'</v>
      </c>
      <c r="D226" s="26" t="s">
        <v>5422</v>
      </c>
      <c r="E226" s="26" t="s">
        <v>5407</v>
      </c>
      <c r="F226" s="26" t="s">
        <v>5219</v>
      </c>
      <c r="G226" s="28">
        <v>4.4438999999999999E-2</v>
      </c>
    </row>
    <row r="227" spans="1:7" x14ac:dyDescent="0.35">
      <c r="A227" s="26" t="s">
        <v>5423</v>
      </c>
    </row>
    <row r="229" spans="1:7" x14ac:dyDescent="0.35">
      <c r="C229" s="26" t="str">
        <f>ConcatDelim(C2:C226,",")</f>
        <v>'1332T','1605T','1721T','1801T','1802T','1803T','1808T','1812T','1925T','1928T','1963T','2002T','2269T','2282T','2413T','2432T','2501T','2502T','2503T','2531T','2768T','2801T','2802T','2871T','2914T','3086T','3099T','3101T','3289T','3382T','3401T','3402T','3405T','3407T','3436T','3659T','3861T','3863T','4004T','4005T','4021T','4042T','4043T','4061T','4063T','4151T','4183T','4188T','4208T','4324T','4452T','4502T','4503T','4506T','4507T','4519T','4523T','4543T','4568T','4578T','4631T','4689T','4704T','4751T','4755T','4901T','4902T','4911T','5019T','5020T','5101T','5108T','5201T','5202T','5214T','5232T','5233T','5301T','5332T','5333T','5401T','5406T','5411T','5541T','5631T','5703T','5706T','5707T','5711T','5713T','5714T','5801T','5802T','5803T','5831T','6098T','6103T','6113T','6178T','6273T','6301T','6302T','6305T','6326T','6361T','6367T','6471T','6472T','6473T','6479T','6501T','6503T','6504T','6506T','6594T','6645T','6674T','6701T','6702T','6724T','6752T','6753T','6758T','6762T','6770T','6841T','6857T','6861T','6902T','6952T','6954T','6971T','6976T','6981T','6988T','7003T','7004T','7011T','7012T','7013T','7186T','7201T','7202T','7203T','7205T','7211T','7261T','7267T','7269T','7270T','7272T','7731T','7733T','7735T','7741T','7751T','7752T','7762T','7832T','7911T','7912T','7951T','7974T','8001T','8002T','8015T','8031T','8035T','8053T','8058T','8233T','8252T','8253T','8267T','8304T','8306T','8308T','8309T','8316T','8331T','8354T','8411T','8591T','8601T','8604T','8628T','8630T','8697T','8725T','8750T','8766T','8795T','8801T','8802T','8804T','8830T','9001T','9005T','9007T','9008T','9009T','9020T','9021T','9022T','9064T','9101T','9104T','9107T','9147T','9202T','9301T','9432T','9433T','9434T','9501T','9502T','9503T','9531T','9532T','9602T','9613T','9735T','9766T','9983T','9984T'</v>
      </c>
    </row>
    <row r="231" spans="1:7" x14ac:dyDescent="0.35">
      <c r="C231" s="29" t="s">
        <v>5424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outlinePr summaryBelow="0" summaryRight="0"/>
    <pageSetUpPr autoPageBreaks="0"/>
  </sheetPr>
  <dimension ref="A6:M217"/>
  <sheetViews>
    <sheetView topLeftCell="A106" zoomScaleNormal="100" workbookViewId="0">
      <selection activeCell="E215" sqref="E215"/>
    </sheetView>
  </sheetViews>
  <sheetFormatPr defaultRowHeight="10" x14ac:dyDescent="0.2"/>
  <cols>
    <col min="1" max="1" width="25.81640625" customWidth="1"/>
    <col min="2" max="5" width="15.81640625" customWidth="1"/>
    <col min="6" max="7" width="40.81640625" customWidth="1"/>
    <col min="8" max="12" width="25.81640625" customWidth="1"/>
    <col min="13" max="13" width="40.81640625" customWidth="1"/>
  </cols>
  <sheetData>
    <row r="6" spans="1:13" ht="16.5" customHeight="1" x14ac:dyDescent="0.35">
      <c r="A6" s="1" t="s">
        <v>0</v>
      </c>
    </row>
    <row r="8" spans="1:13" ht="79.25" customHeight="1" x14ac:dyDescent="0.55000000000000004">
      <c r="A8" s="3" t="s">
        <v>1</v>
      </c>
      <c r="B8" s="3" t="s">
        <v>2</v>
      </c>
      <c r="C8" s="3"/>
      <c r="D8" s="3"/>
      <c r="E8" s="3"/>
      <c r="F8" s="3" t="s">
        <v>3</v>
      </c>
      <c r="G8" s="3" t="s">
        <v>4</v>
      </c>
      <c r="H8" s="9" t="s">
        <v>5</v>
      </c>
      <c r="I8" s="9" t="s">
        <v>6</v>
      </c>
      <c r="J8" s="9" t="s">
        <v>7</v>
      </c>
      <c r="K8" s="9" t="s">
        <v>8</v>
      </c>
      <c r="L8" s="9" t="s">
        <v>9</v>
      </c>
      <c r="M8" s="3" t="s">
        <v>10</v>
      </c>
    </row>
    <row r="9" spans="1:13" ht="150" x14ac:dyDescent="0.2">
      <c r="A9" s="2" t="s">
        <v>11</v>
      </c>
      <c r="B9" s="2" t="s">
        <v>12</v>
      </c>
      <c r="C9" s="2" t="str">
        <f>RIGHT(B9,SUM(LEN(B9)-LEN(SUBSTITUTE(B9,{"0","1","2","3","4","5","6","7","8","9"},""))))</f>
        <v>6663</v>
      </c>
      <c r="D9" s="2" t="str">
        <f>IF(LEN(C9)=4,C9,IF(LEN(C9)&lt;4,REPT("0",4-LEN(C9))&amp;C9))</f>
        <v>6663</v>
      </c>
      <c r="E9" s="2" t="str">
        <f>"'"&amp;D9&amp;".HK"&amp;"'"</f>
        <v>'6663.HK'</v>
      </c>
      <c r="F9" s="4" t="s">
        <v>13</v>
      </c>
      <c r="G9" s="6" t="s">
        <v>14</v>
      </c>
      <c r="H9" s="7">
        <v>4.66</v>
      </c>
      <c r="I9" s="8">
        <v>-114.7</v>
      </c>
      <c r="J9" s="8">
        <v>512</v>
      </c>
      <c r="K9" s="8">
        <v>20.5</v>
      </c>
      <c r="L9" s="7">
        <v>1.99</v>
      </c>
      <c r="M9" s="11" t="s">
        <v>15</v>
      </c>
    </row>
    <row r="10" spans="1:13" ht="110" x14ac:dyDescent="0.2">
      <c r="A10" s="2" t="s">
        <v>16</v>
      </c>
      <c r="B10" s="2" t="s">
        <v>17</v>
      </c>
      <c r="C10" s="2" t="str">
        <f>RIGHT(B10,SUM(LEN(B10)-LEN(SUBSTITUTE(B10,{"0","1","2","3","4","5","6","7","8","9"},""))))</f>
        <v>1689</v>
      </c>
      <c r="D10" s="2" t="str">
        <f t="shared" ref="D10:D22" si="0">IF(LEN(C10)=4,C10,IF(LEN(C10)&lt;4,REPT("0",4-LEN(C10))&amp;C10))</f>
        <v>1689</v>
      </c>
      <c r="E10" s="2" t="str">
        <f t="shared" ref="E10:E22" si="1">"'"&amp;D10&amp;".HK"&amp;"'"</f>
        <v>'1689.HK'</v>
      </c>
      <c r="F10" s="4" t="s">
        <v>18</v>
      </c>
      <c r="G10" s="6" t="s">
        <v>14</v>
      </c>
      <c r="H10" s="7">
        <v>2.19</v>
      </c>
      <c r="I10" s="8">
        <v>-134.19999999999999</v>
      </c>
      <c r="J10" s="8">
        <v>848.7</v>
      </c>
      <c r="K10" s="8">
        <v>38.5</v>
      </c>
      <c r="L10" s="7">
        <v>1.97</v>
      </c>
      <c r="M10" s="11" t="s">
        <v>19</v>
      </c>
    </row>
    <row r="11" spans="1:13" ht="140" x14ac:dyDescent="0.2">
      <c r="A11" s="2" t="s">
        <v>20</v>
      </c>
      <c r="B11" s="2" t="s">
        <v>21</v>
      </c>
      <c r="C11" s="2" t="str">
        <f>RIGHT(B11,SUM(LEN(B11)-LEN(SUBSTITUTE(B11,{"0","1","2","3","4","5","6","7","8","9"},""))))</f>
        <v>1458</v>
      </c>
      <c r="D11" s="2" t="str">
        <f t="shared" si="0"/>
        <v>1458</v>
      </c>
      <c r="E11" s="2" t="str">
        <f t="shared" si="1"/>
        <v>'1458.HK'</v>
      </c>
      <c r="F11" s="4" t="s">
        <v>22</v>
      </c>
      <c r="G11" s="6" t="s">
        <v>14</v>
      </c>
      <c r="H11" s="7">
        <v>3.84</v>
      </c>
      <c r="I11" s="8">
        <v>-1917.5</v>
      </c>
      <c r="J11" s="8">
        <v>8887.4</v>
      </c>
      <c r="K11" s="8">
        <v>36.6</v>
      </c>
      <c r="L11" s="7">
        <v>1.87</v>
      </c>
      <c r="M11" s="11" t="s">
        <v>23</v>
      </c>
    </row>
    <row r="12" spans="1:13" ht="60" x14ac:dyDescent="0.2">
      <c r="A12" s="2" t="s">
        <v>24</v>
      </c>
      <c r="B12" s="2" t="s">
        <v>25</v>
      </c>
      <c r="C12" s="2" t="str">
        <f>RIGHT(B12,SUM(LEN(B12)-LEN(SUBSTITUTE(B12,{"0","1","2","3","4","5","6","7","8","9"},""))))</f>
        <v>1425</v>
      </c>
      <c r="D12" s="2" t="str">
        <f t="shared" si="0"/>
        <v>1425</v>
      </c>
      <c r="E12" s="2" t="str">
        <f t="shared" si="1"/>
        <v>'1425.HK'</v>
      </c>
      <c r="F12" s="4" t="s">
        <v>26</v>
      </c>
      <c r="G12" s="6" t="s">
        <v>14</v>
      </c>
      <c r="H12" s="7">
        <v>1.54</v>
      </c>
      <c r="I12" s="8">
        <v>-189.1</v>
      </c>
      <c r="J12" s="8">
        <v>825</v>
      </c>
      <c r="K12" s="8">
        <v>30.2</v>
      </c>
      <c r="L12" s="7">
        <v>1.85</v>
      </c>
      <c r="M12" s="11" t="s">
        <v>27</v>
      </c>
    </row>
    <row r="13" spans="1:13" ht="130" x14ac:dyDescent="0.2">
      <c r="A13" s="2" t="s">
        <v>28</v>
      </c>
      <c r="B13" s="2" t="s">
        <v>29</v>
      </c>
      <c r="C13" s="2" t="str">
        <f>RIGHT(B13,SUM(LEN(B13)-LEN(SUBSTITUTE(B13,{"0","1","2","3","4","5","6","7","8","9"},""))))</f>
        <v>1448</v>
      </c>
      <c r="D13" s="2" t="str">
        <f t="shared" si="0"/>
        <v>1448</v>
      </c>
      <c r="E13" s="2" t="str">
        <f t="shared" si="1"/>
        <v>'1448.HK'</v>
      </c>
      <c r="F13" s="4" t="s">
        <v>30</v>
      </c>
      <c r="G13" s="6" t="s">
        <v>14</v>
      </c>
      <c r="H13" s="7">
        <v>2.2799999999999998</v>
      </c>
      <c r="I13" s="8">
        <v>-2747.9</v>
      </c>
      <c r="J13" s="8">
        <v>11244.2</v>
      </c>
      <c r="K13" s="8">
        <v>23.4</v>
      </c>
      <c r="L13" s="7">
        <v>1.85</v>
      </c>
      <c r="M13" s="11" t="s">
        <v>31</v>
      </c>
    </row>
    <row r="14" spans="1:13" ht="40" x14ac:dyDescent="0.2">
      <c r="A14" s="2" t="s">
        <v>32</v>
      </c>
      <c r="B14" s="2" t="s">
        <v>33</v>
      </c>
      <c r="C14" s="2" t="str">
        <f>RIGHT(B14,SUM(LEN(B14)-LEN(SUBSTITUTE(B14,{"0","1","2","3","4","5","6","7","8","9"},""))))</f>
        <v>2150</v>
      </c>
      <c r="D14" s="2" t="str">
        <f t="shared" si="0"/>
        <v>2150</v>
      </c>
      <c r="E14" s="2" t="str">
        <f t="shared" si="1"/>
        <v>'2150.HK'</v>
      </c>
      <c r="F14" s="4" t="s">
        <v>34</v>
      </c>
      <c r="G14" s="6" t="s">
        <v>14</v>
      </c>
      <c r="H14" s="7">
        <v>3.22</v>
      </c>
      <c r="I14" s="8">
        <v>-3247.4</v>
      </c>
      <c r="J14" s="8">
        <v>10513.7</v>
      </c>
      <c r="K14" s="8">
        <v>32.5</v>
      </c>
      <c r="L14" s="7">
        <v>1.82</v>
      </c>
      <c r="M14" s="5" t="s">
        <v>35</v>
      </c>
    </row>
    <row r="15" spans="1:13" ht="30" x14ac:dyDescent="0.2">
      <c r="A15" s="2" t="s">
        <v>36</v>
      </c>
      <c r="B15" s="2" t="s">
        <v>37</v>
      </c>
      <c r="C15" s="2" t="str">
        <f>RIGHT(B15,SUM(LEN(B15)-LEN(SUBSTITUTE(B15,{"0","1","2","3","4","5","6","7","8","9"},""))))</f>
        <v>6616</v>
      </c>
      <c r="D15" s="2" t="str">
        <f t="shared" si="0"/>
        <v>6616</v>
      </c>
      <c r="E15" s="2" t="str">
        <f t="shared" si="1"/>
        <v>'6616.HK'</v>
      </c>
      <c r="F15" s="4" t="s">
        <v>38</v>
      </c>
      <c r="G15" s="6" t="s">
        <v>14</v>
      </c>
      <c r="H15" s="7">
        <v>7.08</v>
      </c>
      <c r="I15" s="8">
        <v>-1726.5</v>
      </c>
      <c r="J15" s="8">
        <v>4814.7</v>
      </c>
      <c r="K15" s="8">
        <v>10</v>
      </c>
      <c r="L15" s="7">
        <v>1.82</v>
      </c>
      <c r="M15" s="5" t="s">
        <v>39</v>
      </c>
    </row>
    <row r="16" spans="1:13" ht="170" x14ac:dyDescent="0.2">
      <c r="A16" s="2" t="s">
        <v>40</v>
      </c>
      <c r="B16" s="2" t="s">
        <v>41</v>
      </c>
      <c r="C16" s="2" t="str">
        <f>RIGHT(B16,SUM(LEN(B16)-LEN(SUBSTITUTE(B16,{"0","1","2","3","4","5","6","7","8","9"},""))))</f>
        <v>1945</v>
      </c>
      <c r="D16" s="2" t="str">
        <f t="shared" si="0"/>
        <v>1945</v>
      </c>
      <c r="E16" s="2" t="str">
        <f t="shared" si="1"/>
        <v>'1945.HK'</v>
      </c>
      <c r="F16" s="4" t="s">
        <v>42</v>
      </c>
      <c r="G16" s="6" t="s">
        <v>14</v>
      </c>
      <c r="H16" s="7">
        <v>4.9000000000000004</v>
      </c>
      <c r="I16" s="8">
        <v>-658.4</v>
      </c>
      <c r="J16" s="8">
        <v>1033.5999999999999</v>
      </c>
      <c r="K16" s="8">
        <v>20.9</v>
      </c>
      <c r="L16" s="7">
        <v>1.76</v>
      </c>
      <c r="M16" s="11" t="s">
        <v>43</v>
      </c>
    </row>
    <row r="17" spans="1:13" ht="130" x14ac:dyDescent="0.2">
      <c r="A17" s="2" t="s">
        <v>44</v>
      </c>
      <c r="B17" s="2" t="s">
        <v>45</v>
      </c>
      <c r="C17" s="2" t="str">
        <f>RIGHT(B17,SUM(LEN(B17)-LEN(SUBSTITUTE(B17,{"0","1","2","3","4","5","6","7","8","9"},""))))</f>
        <v>1475</v>
      </c>
      <c r="D17" s="2" t="str">
        <f t="shared" si="0"/>
        <v>1475</v>
      </c>
      <c r="E17" s="2" t="str">
        <f t="shared" si="1"/>
        <v>'1475.HK'</v>
      </c>
      <c r="F17" s="4" t="s">
        <v>46</v>
      </c>
      <c r="G17" s="6" t="s">
        <v>14</v>
      </c>
      <c r="H17" s="7">
        <v>2.44</v>
      </c>
      <c r="I17" s="8">
        <v>-2033.5</v>
      </c>
      <c r="J17" s="8">
        <v>6689.7</v>
      </c>
      <c r="K17" s="8">
        <v>21.7</v>
      </c>
      <c r="L17" s="7">
        <v>1.75</v>
      </c>
      <c r="M17" s="11" t="s">
        <v>47</v>
      </c>
    </row>
    <row r="18" spans="1:13" ht="180" x14ac:dyDescent="0.2">
      <c r="A18" s="2" t="s">
        <v>48</v>
      </c>
      <c r="B18" s="2" t="s">
        <v>49</v>
      </c>
      <c r="C18" s="2" t="str">
        <f>RIGHT(B18,SUM(LEN(B18)-LEN(SUBSTITUTE(B18,{"0","1","2","3","4","5","6","7","8","9"},""))))</f>
        <v>1586</v>
      </c>
      <c r="D18" s="2" t="str">
        <f t="shared" si="0"/>
        <v>1586</v>
      </c>
      <c r="E18" s="2" t="str">
        <f t="shared" si="1"/>
        <v>'1586.HK'</v>
      </c>
      <c r="F18" s="4" t="s">
        <v>50</v>
      </c>
      <c r="G18" s="6" t="s">
        <v>14</v>
      </c>
      <c r="H18" s="7">
        <v>1.44</v>
      </c>
      <c r="I18" s="8">
        <v>-24.4</v>
      </c>
      <c r="J18" s="8">
        <v>644</v>
      </c>
      <c r="K18" s="8">
        <v>36</v>
      </c>
      <c r="L18" s="7">
        <v>1.7</v>
      </c>
      <c r="M18" s="11" t="s">
        <v>51</v>
      </c>
    </row>
    <row r="19" spans="1:13" ht="130" x14ac:dyDescent="0.2">
      <c r="A19" s="2" t="s">
        <v>52</v>
      </c>
      <c r="B19" s="2" t="s">
        <v>53</v>
      </c>
      <c r="C19" s="2" t="str">
        <f>RIGHT(B19,SUM(LEN(B19)-LEN(SUBSTITUTE(B19,{"0","1","2","3","4","5","6","7","8","9"},""))))</f>
        <v>580</v>
      </c>
      <c r="D19" s="2" t="str">
        <f t="shared" si="0"/>
        <v>0580</v>
      </c>
      <c r="E19" s="2" t="str">
        <f t="shared" si="1"/>
        <v>'0580.HK'</v>
      </c>
      <c r="F19" s="4" t="s">
        <v>54</v>
      </c>
      <c r="G19" s="6" t="s">
        <v>14</v>
      </c>
      <c r="H19" s="7">
        <v>3.54</v>
      </c>
      <c r="I19" s="8">
        <v>-615.9</v>
      </c>
      <c r="J19" s="8">
        <v>3235.2</v>
      </c>
      <c r="K19" s="8">
        <v>24.3</v>
      </c>
      <c r="L19" s="7">
        <v>1.66</v>
      </c>
      <c r="M19" s="11" t="s">
        <v>55</v>
      </c>
    </row>
    <row r="20" spans="1:13" ht="80" x14ac:dyDescent="0.2">
      <c r="A20" s="2" t="s">
        <v>56</v>
      </c>
      <c r="B20" s="2" t="s">
        <v>57</v>
      </c>
      <c r="C20" s="2" t="str">
        <f>RIGHT(B20,SUM(LEN(B20)-LEN(SUBSTITUTE(B20,{"0","1","2","3","4","5","6","7","8","9"},""))))</f>
        <v>1935</v>
      </c>
      <c r="D20" s="2" t="str">
        <f t="shared" si="0"/>
        <v>1935</v>
      </c>
      <c r="E20" s="2" t="str">
        <f t="shared" si="1"/>
        <v>'1935.HK'</v>
      </c>
      <c r="F20" s="4" t="s">
        <v>58</v>
      </c>
      <c r="G20" s="6" t="s">
        <v>14</v>
      </c>
      <c r="H20" s="7">
        <v>2.31</v>
      </c>
      <c r="I20" s="8">
        <v>-1569.5</v>
      </c>
      <c r="J20" s="8">
        <v>3633.9</v>
      </c>
      <c r="K20" s="8">
        <v>19.2</v>
      </c>
      <c r="L20" s="7">
        <v>1.63</v>
      </c>
      <c r="M20" s="11" t="s">
        <v>59</v>
      </c>
    </row>
    <row r="21" spans="1:13" ht="100" x14ac:dyDescent="0.2">
      <c r="A21" s="2" t="s">
        <v>60</v>
      </c>
      <c r="B21" s="2" t="s">
        <v>61</v>
      </c>
      <c r="C21" s="2" t="str">
        <f>RIGHT(B21,SUM(LEN(B21)-LEN(SUBSTITUTE(B21,{"0","1","2","3","4","5","6","7","8","9"},""))))</f>
        <v>9899</v>
      </c>
      <c r="D21" s="2" t="str">
        <f t="shared" si="0"/>
        <v>9899</v>
      </c>
      <c r="E21" s="2" t="str">
        <f t="shared" si="1"/>
        <v>'9899.HK'</v>
      </c>
      <c r="F21" s="4" t="s">
        <v>62</v>
      </c>
      <c r="G21" s="6" t="s">
        <v>14</v>
      </c>
      <c r="H21" s="7">
        <v>3.88</v>
      </c>
      <c r="I21" s="8">
        <v>-8115.5</v>
      </c>
      <c r="J21" s="8">
        <v>17260.099999999999</v>
      </c>
      <c r="K21" s="8">
        <v>21.4</v>
      </c>
      <c r="L21" s="7">
        <v>1.62</v>
      </c>
      <c r="M21" s="11" t="s">
        <v>63</v>
      </c>
    </row>
    <row r="22" spans="1:13" ht="90" x14ac:dyDescent="0.2">
      <c r="A22" s="2" t="s">
        <v>64</v>
      </c>
      <c r="B22" s="2" t="s">
        <v>65</v>
      </c>
      <c r="C22" s="2" t="str">
        <f>RIGHT(B22,SUM(LEN(B22)-LEN(SUBSTITUTE(B22,{"0","1","2","3","4","5","6","7","8","9"},""))))</f>
        <v>9699</v>
      </c>
      <c r="D22" s="2" t="str">
        <f t="shared" si="0"/>
        <v>9699</v>
      </c>
      <c r="E22" s="2" t="str">
        <f t="shared" si="1"/>
        <v>'9699.HK'</v>
      </c>
      <c r="F22" s="4" t="s">
        <v>66</v>
      </c>
      <c r="G22" s="6" t="s">
        <v>14</v>
      </c>
      <c r="H22" s="7">
        <v>4.2699999999999996</v>
      </c>
      <c r="I22" s="8">
        <v>-3475.2</v>
      </c>
      <c r="J22" s="8">
        <v>6114.1</v>
      </c>
      <c r="K22" s="8">
        <v>21.4</v>
      </c>
      <c r="L22" s="7">
        <v>1.61</v>
      </c>
      <c r="M22" s="11" t="s">
        <v>67</v>
      </c>
    </row>
    <row r="23" spans="1:13" ht="190" hidden="1" x14ac:dyDescent="0.2">
      <c r="A23" s="2" t="s">
        <v>68</v>
      </c>
      <c r="B23" s="2" t="s">
        <v>69</v>
      </c>
      <c r="C23" s="2" t="str">
        <f>RIGHT(B23,SUM(LEN(B23)-LEN(SUBSTITUTE(B23,{"0","1","2","3","4","5","6","7","8","9"},""))))</f>
        <v/>
      </c>
      <c r="D23" s="2"/>
      <c r="E23" s="2"/>
      <c r="F23" s="5" t="s">
        <v>14</v>
      </c>
      <c r="G23" s="6" t="s">
        <v>70</v>
      </c>
      <c r="H23" s="7">
        <v>1.81</v>
      </c>
      <c r="I23" s="8">
        <v>-6018.4</v>
      </c>
      <c r="J23" s="8">
        <v>13675.2</v>
      </c>
      <c r="K23" s="8">
        <v>37.700000000000003</v>
      </c>
      <c r="L23" s="7">
        <v>1.59</v>
      </c>
      <c r="M23" s="11" t="s">
        <v>71</v>
      </c>
    </row>
    <row r="24" spans="1:13" ht="90" x14ac:dyDescent="0.2">
      <c r="A24" s="2" t="s">
        <v>72</v>
      </c>
      <c r="B24" s="2" t="s">
        <v>73</v>
      </c>
      <c r="C24" s="2" t="str">
        <f>RIGHT(B24,SUM(LEN(B24)-LEN(SUBSTITUTE(B24,{"0","1","2","3","4","5","6","7","8","9"},""))))</f>
        <v>6820</v>
      </c>
      <c r="D24" s="2" t="str">
        <f t="shared" ref="D24:D87" si="2">IF(LEN(C24)=4,C24,IF(LEN(C24)&lt;4,REPT("0",4-LEN(C24))&amp;C24))</f>
        <v>6820</v>
      </c>
      <c r="E24" s="2" t="str">
        <f t="shared" ref="E24:E80" si="3">"'"&amp;D24&amp;".HK"&amp;"'"</f>
        <v>'6820.HK'</v>
      </c>
      <c r="F24" s="4" t="s">
        <v>74</v>
      </c>
      <c r="G24" s="6" t="s">
        <v>14</v>
      </c>
      <c r="H24" s="7">
        <v>8.1</v>
      </c>
      <c r="I24" s="8">
        <v>-1317.9</v>
      </c>
      <c r="J24" s="8">
        <v>2573.4</v>
      </c>
      <c r="K24" s="7">
        <v>8.8699999999999992</v>
      </c>
      <c r="L24" s="7">
        <v>1.56</v>
      </c>
      <c r="M24" s="11" t="s">
        <v>75</v>
      </c>
    </row>
    <row r="25" spans="1:13" ht="150" x14ac:dyDescent="0.2">
      <c r="A25" s="2" t="s">
        <v>76</v>
      </c>
      <c r="B25" s="2" t="s">
        <v>77</v>
      </c>
      <c r="C25" s="2" t="str">
        <f>RIGHT(B25,SUM(LEN(B25)-LEN(SUBSTITUTE(B25,{"0","1","2","3","4","5","6","7","8","9"},""))))</f>
        <v>8032</v>
      </c>
      <c r="D25" s="2" t="str">
        <f t="shared" si="2"/>
        <v>8032</v>
      </c>
      <c r="E25" s="2" t="str">
        <f t="shared" si="3"/>
        <v>'8032.HK'</v>
      </c>
      <c r="F25" s="4" t="s">
        <v>78</v>
      </c>
      <c r="G25" s="6" t="s">
        <v>14</v>
      </c>
      <c r="H25" s="7">
        <v>3.59</v>
      </c>
      <c r="I25" s="8">
        <v>-2634.8</v>
      </c>
      <c r="J25" s="8">
        <v>11798.3</v>
      </c>
      <c r="K25" s="8">
        <v>14.9</v>
      </c>
      <c r="L25" s="7">
        <v>1.55</v>
      </c>
      <c r="M25" s="11" t="s">
        <v>79</v>
      </c>
    </row>
    <row r="26" spans="1:13" ht="140" x14ac:dyDescent="0.2">
      <c r="A26" s="2" t="s">
        <v>80</v>
      </c>
      <c r="B26" s="2" t="s">
        <v>81</v>
      </c>
      <c r="C26" s="2" t="str">
        <f>RIGHT(B26,SUM(LEN(B26)-LEN(SUBSTITUTE(B26,{"0","1","2","3","4","5","6","7","8","9"},""))))</f>
        <v>265</v>
      </c>
      <c r="D26" s="2" t="str">
        <f t="shared" si="2"/>
        <v>0265</v>
      </c>
      <c r="E26" s="2" t="str">
        <f t="shared" si="3"/>
        <v>'0265.HK'</v>
      </c>
      <c r="F26" s="4" t="s">
        <v>82</v>
      </c>
      <c r="G26" s="6" t="s">
        <v>14</v>
      </c>
      <c r="H26" s="7">
        <v>2.19</v>
      </c>
      <c r="I26" s="8">
        <v>-187.7</v>
      </c>
      <c r="J26" s="8">
        <v>749.5</v>
      </c>
      <c r="K26" s="8">
        <v>27.6</v>
      </c>
      <c r="L26" s="7">
        <v>1.5</v>
      </c>
      <c r="M26" s="11" t="s">
        <v>83</v>
      </c>
    </row>
    <row r="27" spans="1:13" ht="110" x14ac:dyDescent="0.2">
      <c r="A27" s="2" t="s">
        <v>84</v>
      </c>
      <c r="B27" s="2" t="s">
        <v>85</v>
      </c>
      <c r="C27" s="2" t="str">
        <f>RIGHT(B27,SUM(LEN(B27)-LEN(SUBSTITUTE(B27,{"0","1","2","3","4","5","6","7","8","9"},""))))</f>
        <v>1483</v>
      </c>
      <c r="D27" s="2" t="str">
        <f t="shared" si="2"/>
        <v>1483</v>
      </c>
      <c r="E27" s="2" t="str">
        <f t="shared" si="3"/>
        <v>'1483.HK'</v>
      </c>
      <c r="F27" s="4" t="s">
        <v>86</v>
      </c>
      <c r="G27" s="6" t="s">
        <v>14</v>
      </c>
      <c r="H27" s="7">
        <v>3.29</v>
      </c>
      <c r="I27" s="8">
        <v>-329.3</v>
      </c>
      <c r="J27" s="8">
        <v>803</v>
      </c>
      <c r="K27" s="8">
        <v>22.7</v>
      </c>
      <c r="L27" s="7">
        <v>1.5</v>
      </c>
      <c r="M27" s="11" t="s">
        <v>87</v>
      </c>
    </row>
    <row r="28" spans="1:13" ht="140" x14ac:dyDescent="0.2">
      <c r="A28" s="2" t="s">
        <v>88</v>
      </c>
      <c r="B28" s="2" t="s">
        <v>89</v>
      </c>
      <c r="C28" s="2" t="str">
        <f>RIGHT(B28,SUM(LEN(B28)-LEN(SUBSTITUTE(B28,{"0","1","2","3","4","5","6","7","8","9"},""))))</f>
        <v>1995</v>
      </c>
      <c r="D28" s="2" t="str">
        <f t="shared" si="2"/>
        <v>1995</v>
      </c>
      <c r="E28" s="2" t="str">
        <f t="shared" si="3"/>
        <v>'1995.HK'</v>
      </c>
      <c r="F28" s="4" t="s">
        <v>90</v>
      </c>
      <c r="G28" s="6" t="s">
        <v>14</v>
      </c>
      <c r="H28" s="7">
        <v>2.15</v>
      </c>
      <c r="I28" s="8">
        <v>-5441.2</v>
      </c>
      <c r="J28" s="8">
        <v>8326.2999999999993</v>
      </c>
      <c r="K28" s="8">
        <v>35.4</v>
      </c>
      <c r="L28" s="7">
        <v>1.43</v>
      </c>
      <c r="M28" s="11" t="s">
        <v>91</v>
      </c>
    </row>
    <row r="29" spans="1:13" ht="100" x14ac:dyDescent="0.2">
      <c r="A29" s="2" t="s">
        <v>92</v>
      </c>
      <c r="B29" s="2" t="s">
        <v>93</v>
      </c>
      <c r="C29" s="2" t="str">
        <f>RIGHT(B29,SUM(LEN(B29)-LEN(SUBSTITUTE(B29,{"0","1","2","3","4","5","6","7","8","9"},""))))</f>
        <v>9986</v>
      </c>
      <c r="D29" s="2" t="str">
        <f t="shared" si="2"/>
        <v>9986</v>
      </c>
      <c r="E29" s="2" t="str">
        <f t="shared" si="3"/>
        <v>'9986.HK'</v>
      </c>
      <c r="F29" s="4" t="s">
        <v>94</v>
      </c>
      <c r="G29" s="6" t="s">
        <v>14</v>
      </c>
      <c r="H29" s="7">
        <v>4.0599999999999996</v>
      </c>
      <c r="I29" s="8">
        <v>-296.5</v>
      </c>
      <c r="J29" s="8">
        <v>560</v>
      </c>
      <c r="K29" s="8">
        <v>25.1</v>
      </c>
      <c r="L29" s="7">
        <v>1.39</v>
      </c>
      <c r="M29" s="11" t="s">
        <v>95</v>
      </c>
    </row>
    <row r="30" spans="1:13" ht="40" x14ac:dyDescent="0.2">
      <c r="A30" s="2" t="s">
        <v>96</v>
      </c>
      <c r="B30" s="2" t="s">
        <v>97</v>
      </c>
      <c r="C30" s="2" t="str">
        <f>RIGHT(B30,SUM(LEN(B30)-LEN(SUBSTITUTE(B30,{"0","1","2","3","4","5","6","7","8","9"},""))))</f>
        <v>2101</v>
      </c>
      <c r="D30" s="2" t="str">
        <f t="shared" si="2"/>
        <v>2101</v>
      </c>
      <c r="E30" s="2" t="str">
        <f t="shared" si="3"/>
        <v>'2101.HK'</v>
      </c>
      <c r="F30" s="4" t="s">
        <v>98</v>
      </c>
      <c r="G30" s="6" t="s">
        <v>14</v>
      </c>
      <c r="H30" s="7">
        <v>2.96</v>
      </c>
      <c r="I30" s="8">
        <v>-255</v>
      </c>
      <c r="J30" s="8">
        <v>1869.7</v>
      </c>
      <c r="K30" s="8">
        <v>15.5</v>
      </c>
      <c r="L30" s="7">
        <v>1.37</v>
      </c>
      <c r="M30" s="5" t="s">
        <v>99</v>
      </c>
    </row>
    <row r="31" spans="1:13" ht="60" x14ac:dyDescent="0.2">
      <c r="A31" s="2" t="s">
        <v>100</v>
      </c>
      <c r="B31" s="2" t="s">
        <v>101</v>
      </c>
      <c r="C31" s="2" t="str">
        <f>RIGHT(B31,SUM(LEN(B31)-LEN(SUBSTITUTE(B31,{"0","1","2","3","4","5","6","7","8","9"},""))))</f>
        <v>2265</v>
      </c>
      <c r="D31" s="2" t="str">
        <f t="shared" si="2"/>
        <v>2265</v>
      </c>
      <c r="E31" s="2" t="str">
        <f t="shared" si="3"/>
        <v>'2265.HK'</v>
      </c>
      <c r="F31" s="4" t="s">
        <v>102</v>
      </c>
      <c r="G31" s="6" t="s">
        <v>14</v>
      </c>
      <c r="H31" s="7">
        <v>3.51</v>
      </c>
      <c r="I31" s="8">
        <v>-247.9</v>
      </c>
      <c r="J31" s="8">
        <v>660</v>
      </c>
      <c r="K31" s="8">
        <v>37.700000000000003</v>
      </c>
      <c r="L31" s="7">
        <v>1.37</v>
      </c>
      <c r="M31" s="11" t="s">
        <v>103</v>
      </c>
    </row>
    <row r="32" spans="1:13" ht="170" x14ac:dyDescent="0.2">
      <c r="A32" s="2" t="s">
        <v>104</v>
      </c>
      <c r="B32" s="2" t="s">
        <v>105</v>
      </c>
      <c r="C32" s="2" t="str">
        <f>RIGHT(B32,SUM(LEN(B32)-LEN(SUBSTITUTE(B32,{"0","1","2","3","4","5","6","7","8","9"},""))))</f>
        <v>1971</v>
      </c>
      <c r="D32" s="2" t="str">
        <f t="shared" si="2"/>
        <v>1971</v>
      </c>
      <c r="E32" s="2" t="str">
        <f t="shared" si="3"/>
        <v>'1971.HK'</v>
      </c>
      <c r="F32" s="4" t="s">
        <v>106</v>
      </c>
      <c r="G32" s="6" t="s">
        <v>14</v>
      </c>
      <c r="H32" s="7">
        <v>1.84</v>
      </c>
      <c r="I32" s="8">
        <v>-854.6</v>
      </c>
      <c r="J32" s="8">
        <v>1328</v>
      </c>
      <c r="K32" s="8">
        <v>39.5</v>
      </c>
      <c r="L32" s="7">
        <v>1.36</v>
      </c>
      <c r="M32" s="11" t="s">
        <v>107</v>
      </c>
    </row>
    <row r="33" spans="1:13" ht="180" x14ac:dyDescent="0.2">
      <c r="A33" s="2" t="s">
        <v>108</v>
      </c>
      <c r="B33" s="2" t="s">
        <v>109</v>
      </c>
      <c r="C33" s="2" t="str">
        <f>RIGHT(B33,SUM(LEN(B33)-LEN(SUBSTITUTE(B33,{"0","1","2","3","4","5","6","7","8","9"},""))))</f>
        <v>6626</v>
      </c>
      <c r="D33" s="2" t="str">
        <f t="shared" si="2"/>
        <v>6626</v>
      </c>
      <c r="E33" s="2" t="str">
        <f t="shared" si="3"/>
        <v>'6626.HK'</v>
      </c>
      <c r="F33" s="4" t="s">
        <v>110</v>
      </c>
      <c r="G33" s="6" t="s">
        <v>14</v>
      </c>
      <c r="H33" s="7">
        <v>2.89</v>
      </c>
      <c r="I33" s="8">
        <v>-4601.1000000000004</v>
      </c>
      <c r="J33" s="8">
        <v>4961.8</v>
      </c>
      <c r="K33" s="8">
        <v>39.799999999999997</v>
      </c>
      <c r="L33" s="7">
        <v>1.35</v>
      </c>
      <c r="M33" s="11" t="s">
        <v>111</v>
      </c>
    </row>
    <row r="34" spans="1:13" ht="100" x14ac:dyDescent="0.2">
      <c r="A34" s="2" t="s">
        <v>112</v>
      </c>
      <c r="B34" s="2" t="s">
        <v>113</v>
      </c>
      <c r="C34" s="2" t="str">
        <f>RIGHT(B34,SUM(LEN(B34)-LEN(SUBSTITUTE(B34,{"0","1","2","3","4","5","6","7","8","9"},""))))</f>
        <v>6100</v>
      </c>
      <c r="D34" s="2" t="str">
        <f t="shared" si="2"/>
        <v>6100</v>
      </c>
      <c r="E34" s="2" t="str">
        <f t="shared" si="3"/>
        <v>'6100.HK'</v>
      </c>
      <c r="F34" s="4" t="s">
        <v>114</v>
      </c>
      <c r="G34" s="6" t="s">
        <v>14</v>
      </c>
      <c r="H34" s="7">
        <v>1.04</v>
      </c>
      <c r="I34" s="8">
        <v>-1580.3</v>
      </c>
      <c r="J34" s="8">
        <v>4869.3</v>
      </c>
      <c r="K34" s="8">
        <v>34.6</v>
      </c>
      <c r="L34" s="7">
        <v>1.3</v>
      </c>
      <c r="M34" s="11" t="s">
        <v>115</v>
      </c>
    </row>
    <row r="35" spans="1:13" ht="110" x14ac:dyDescent="0.2">
      <c r="A35" s="2" t="s">
        <v>116</v>
      </c>
      <c r="B35" s="2" t="s">
        <v>117</v>
      </c>
      <c r="C35" s="2" t="str">
        <f>RIGHT(B35,SUM(LEN(B35)-LEN(SUBSTITUTE(B35,{"0","1","2","3","4","5","6","7","8","9"},""))))</f>
        <v>1925</v>
      </c>
      <c r="D35" s="2" t="str">
        <f t="shared" si="2"/>
        <v>1925</v>
      </c>
      <c r="E35" s="2" t="str">
        <f t="shared" si="3"/>
        <v>'1925.HK'</v>
      </c>
      <c r="F35" s="4" t="s">
        <v>118</v>
      </c>
      <c r="G35" s="6" t="s">
        <v>14</v>
      </c>
      <c r="H35" s="7">
        <v>2.14</v>
      </c>
      <c r="I35" s="8">
        <v>-154.4</v>
      </c>
      <c r="J35" s="8">
        <v>563</v>
      </c>
      <c r="K35" s="8">
        <v>31.4</v>
      </c>
      <c r="L35" s="7">
        <v>1.24</v>
      </c>
      <c r="M35" s="11" t="s">
        <v>119</v>
      </c>
    </row>
    <row r="36" spans="1:13" ht="80" x14ac:dyDescent="0.2">
      <c r="A36" s="2" t="s">
        <v>120</v>
      </c>
      <c r="B36" s="2" t="s">
        <v>121</v>
      </c>
      <c r="C36" s="2" t="str">
        <f>RIGHT(B36,SUM(LEN(B36)-LEN(SUBSTITUTE(B36,{"0","1","2","3","4","5","6","7","8","9"},""))))</f>
        <v>1543</v>
      </c>
      <c r="D36" s="2" t="str">
        <f t="shared" si="2"/>
        <v>1543</v>
      </c>
      <c r="E36" s="2" t="str">
        <f t="shared" si="3"/>
        <v>'1543.HK'</v>
      </c>
      <c r="F36" s="4" t="s">
        <v>122</v>
      </c>
      <c r="G36" s="6" t="s">
        <v>14</v>
      </c>
      <c r="H36" s="7">
        <v>8.67</v>
      </c>
      <c r="I36" s="8">
        <v>-421.1</v>
      </c>
      <c r="J36" s="8">
        <v>2965.5</v>
      </c>
      <c r="K36" s="8">
        <v>31.2</v>
      </c>
      <c r="L36" s="7">
        <v>1.24</v>
      </c>
      <c r="M36" s="11" t="s">
        <v>123</v>
      </c>
    </row>
    <row r="37" spans="1:13" ht="130" x14ac:dyDescent="0.2">
      <c r="A37" s="2" t="s">
        <v>124</v>
      </c>
      <c r="B37" s="2" t="s">
        <v>125</v>
      </c>
      <c r="C37" s="2" t="str">
        <f>RIGHT(B37,SUM(LEN(B37)-LEN(SUBSTITUTE(B37,{"0","1","2","3","4","5","6","7","8","9"},""))))</f>
        <v>9983</v>
      </c>
      <c r="D37" s="2" t="str">
        <f t="shared" si="2"/>
        <v>9983</v>
      </c>
      <c r="E37" s="2" t="str">
        <f t="shared" si="3"/>
        <v>'9983.HK'</v>
      </c>
      <c r="F37" s="4" t="s">
        <v>126</v>
      </c>
      <c r="G37" s="6" t="s">
        <v>14</v>
      </c>
      <c r="H37" s="7">
        <v>2.5</v>
      </c>
      <c r="I37" s="8">
        <v>-2786</v>
      </c>
      <c r="J37" s="8">
        <v>4083.9</v>
      </c>
      <c r="K37" s="8">
        <v>39.299999999999997</v>
      </c>
      <c r="L37" s="7">
        <v>1.2</v>
      </c>
      <c r="M37" s="11" t="s">
        <v>127</v>
      </c>
    </row>
    <row r="38" spans="1:13" ht="80" x14ac:dyDescent="0.2">
      <c r="A38" s="2" t="s">
        <v>128</v>
      </c>
      <c r="B38" s="2" t="s">
        <v>129</v>
      </c>
      <c r="C38" s="2" t="str">
        <f>RIGHT(B38,SUM(LEN(B38)-LEN(SUBSTITUTE(B38,{"0","1","2","3","4","5","6","7","8","9"},""))))</f>
        <v>6858</v>
      </c>
      <c r="D38" s="2" t="str">
        <f t="shared" si="2"/>
        <v>6858</v>
      </c>
      <c r="E38" s="2" t="str">
        <f t="shared" si="3"/>
        <v>'6858.HK'</v>
      </c>
      <c r="F38" s="4" t="s">
        <v>130</v>
      </c>
      <c r="G38" s="6" t="s">
        <v>14</v>
      </c>
      <c r="H38" s="7">
        <v>1.47</v>
      </c>
      <c r="I38" s="8">
        <v>-309</v>
      </c>
      <c r="J38" s="8">
        <v>1968.3</v>
      </c>
      <c r="K38" s="8">
        <v>38.799999999999997</v>
      </c>
      <c r="L38" s="7">
        <v>1.2</v>
      </c>
      <c r="M38" s="11" t="s">
        <v>131</v>
      </c>
    </row>
    <row r="39" spans="1:13" ht="120" x14ac:dyDescent="0.2">
      <c r="A39" s="2" t="s">
        <v>132</v>
      </c>
      <c r="B39" s="2" t="s">
        <v>133</v>
      </c>
      <c r="C39" s="2" t="str">
        <f>RIGHT(B39,SUM(LEN(B39)-LEN(SUBSTITUTE(B39,{"0","1","2","3","4","5","6","7","8","9"},""))))</f>
        <v>1970</v>
      </c>
      <c r="D39" s="2" t="str">
        <f t="shared" si="2"/>
        <v>1970</v>
      </c>
      <c r="E39" s="2" t="str">
        <f t="shared" si="3"/>
        <v>'1970.HK'</v>
      </c>
      <c r="F39" s="4" t="s">
        <v>134</v>
      </c>
      <c r="G39" s="6" t="s">
        <v>14</v>
      </c>
      <c r="H39" s="7">
        <v>2.86</v>
      </c>
      <c r="I39" s="8">
        <v>-734.2</v>
      </c>
      <c r="J39" s="8">
        <v>2169.5</v>
      </c>
      <c r="K39" s="8">
        <v>27.4</v>
      </c>
      <c r="L39" s="7">
        <v>1.19</v>
      </c>
      <c r="M39" s="11" t="s">
        <v>135</v>
      </c>
    </row>
    <row r="40" spans="1:13" ht="140" x14ac:dyDescent="0.2">
      <c r="A40" s="2" t="s">
        <v>136</v>
      </c>
      <c r="B40" s="2" t="s">
        <v>137</v>
      </c>
      <c r="C40" s="2" t="str">
        <f>RIGHT(B40,SUM(LEN(B40)-LEN(SUBSTITUTE(B40,{"0","1","2","3","4","5","6","7","8","9"},""))))</f>
        <v>799</v>
      </c>
      <c r="D40" s="2" t="str">
        <f t="shared" si="2"/>
        <v>0799</v>
      </c>
      <c r="E40" s="2" t="str">
        <f t="shared" si="3"/>
        <v>'0799.HK'</v>
      </c>
      <c r="F40" s="4" t="s">
        <v>138</v>
      </c>
      <c r="G40" s="6" t="s">
        <v>14</v>
      </c>
      <c r="H40" s="7">
        <v>2.29</v>
      </c>
      <c r="I40" s="8">
        <v>-1797.8</v>
      </c>
      <c r="J40" s="8">
        <v>3651.9</v>
      </c>
      <c r="K40" s="8">
        <v>25.6</v>
      </c>
      <c r="L40" s="7">
        <v>1.19</v>
      </c>
      <c r="M40" s="11" t="s">
        <v>139</v>
      </c>
    </row>
    <row r="41" spans="1:13" ht="80" x14ac:dyDescent="0.2">
      <c r="A41" s="2" t="s">
        <v>140</v>
      </c>
      <c r="B41" s="2" t="s">
        <v>141</v>
      </c>
      <c r="C41" s="2" t="str">
        <f>RIGHT(B41,SUM(LEN(B41)-LEN(SUBSTITUTE(B41,{"0","1","2","3","4","5","6","7","8","9"},""))))</f>
        <v>6668</v>
      </c>
      <c r="D41" s="2" t="str">
        <f t="shared" si="2"/>
        <v>6668</v>
      </c>
      <c r="E41" s="2" t="str">
        <f t="shared" si="3"/>
        <v>'6668.HK'</v>
      </c>
      <c r="F41" s="4" t="s">
        <v>142</v>
      </c>
      <c r="G41" s="6" t="s">
        <v>14</v>
      </c>
      <c r="H41" s="7">
        <v>5.68</v>
      </c>
      <c r="I41" s="8">
        <v>-1481.7</v>
      </c>
      <c r="J41" s="8">
        <v>1550.2</v>
      </c>
      <c r="K41" s="8">
        <v>20.5</v>
      </c>
      <c r="L41" s="7">
        <v>1.19</v>
      </c>
      <c r="M41" s="11" t="s">
        <v>143</v>
      </c>
    </row>
    <row r="42" spans="1:13" ht="140" x14ac:dyDescent="0.2">
      <c r="A42" s="2" t="s">
        <v>144</v>
      </c>
      <c r="B42" s="2" t="s">
        <v>145</v>
      </c>
      <c r="C42" s="2" t="str">
        <f>RIGHT(B42,SUM(LEN(B42)-LEN(SUBSTITUTE(B42,{"0","1","2","3","4","5","6","7","8","9"},""))))</f>
        <v>189</v>
      </c>
      <c r="D42" s="2" t="str">
        <f t="shared" si="2"/>
        <v>0189</v>
      </c>
      <c r="E42" s="2" t="str">
        <f t="shared" si="3"/>
        <v>'0189.HK'</v>
      </c>
      <c r="F42" s="4" t="s">
        <v>146</v>
      </c>
      <c r="G42" s="6" t="s">
        <v>14</v>
      </c>
      <c r="H42" s="7">
        <v>1.46</v>
      </c>
      <c r="I42" s="8">
        <v>-5631.2</v>
      </c>
      <c r="J42" s="8">
        <v>19178.8</v>
      </c>
      <c r="K42" s="8">
        <v>27.6</v>
      </c>
      <c r="L42" s="7">
        <v>1.18</v>
      </c>
      <c r="M42" s="11" t="s">
        <v>147</v>
      </c>
    </row>
    <row r="43" spans="1:13" ht="50" x14ac:dyDescent="0.2">
      <c r="A43" s="2" t="s">
        <v>148</v>
      </c>
      <c r="B43" s="2" t="s">
        <v>149</v>
      </c>
      <c r="C43" s="2" t="str">
        <f>RIGHT(B43,SUM(LEN(B43)-LEN(SUBSTITUTE(B43,{"0","1","2","3","4","5","6","7","8","9"},""))))</f>
        <v>606</v>
      </c>
      <c r="D43" s="2" t="str">
        <f t="shared" si="2"/>
        <v>0606</v>
      </c>
      <c r="E43" s="2" t="str">
        <f t="shared" si="3"/>
        <v>'0606.HK'</v>
      </c>
      <c r="F43" s="4" t="s">
        <v>150</v>
      </c>
      <c r="G43" s="6" t="s">
        <v>14</v>
      </c>
      <c r="H43" s="7">
        <v>4.91</v>
      </c>
      <c r="I43" s="8">
        <v>-3545</v>
      </c>
      <c r="J43" s="8">
        <v>3589.7</v>
      </c>
      <c r="K43" s="8">
        <v>20.100000000000001</v>
      </c>
      <c r="L43" s="7">
        <v>1.18</v>
      </c>
      <c r="M43" s="12" t="s">
        <v>151</v>
      </c>
    </row>
    <row r="44" spans="1:13" ht="100" x14ac:dyDescent="0.2">
      <c r="A44" s="2" t="s">
        <v>152</v>
      </c>
      <c r="B44" s="2" t="s">
        <v>153</v>
      </c>
      <c r="C44" s="2" t="str">
        <f>RIGHT(B44,SUM(LEN(B44)-LEN(SUBSTITUTE(B44,{"0","1","2","3","4","5","6","7","8","9"},""))))</f>
        <v>709</v>
      </c>
      <c r="D44" s="2" t="str">
        <f t="shared" si="2"/>
        <v>0709</v>
      </c>
      <c r="E44" s="2" t="str">
        <f t="shared" si="3"/>
        <v>'0709.HK'</v>
      </c>
      <c r="F44" s="4" t="s">
        <v>154</v>
      </c>
      <c r="G44" s="6" t="s">
        <v>14</v>
      </c>
      <c r="H44" s="7">
        <v>1.31</v>
      </c>
      <c r="I44" s="8">
        <v>-238</v>
      </c>
      <c r="J44" s="8">
        <v>2859.5</v>
      </c>
      <c r="K44" s="8">
        <v>39.1</v>
      </c>
      <c r="L44" s="7">
        <v>1.17</v>
      </c>
      <c r="M44" s="11" t="s">
        <v>155</v>
      </c>
    </row>
    <row r="45" spans="1:13" ht="150" x14ac:dyDescent="0.2">
      <c r="A45" s="2" t="s">
        <v>156</v>
      </c>
      <c r="B45" s="2" t="s">
        <v>157</v>
      </c>
      <c r="C45" s="2" t="str">
        <f>RIGHT(B45,SUM(LEN(B45)-LEN(SUBSTITUTE(B45,{"0","1","2","3","4","5","6","7","8","9"},""))))</f>
        <v>543</v>
      </c>
      <c r="D45" s="2" t="str">
        <f t="shared" si="2"/>
        <v>0543</v>
      </c>
      <c r="E45" s="2" t="str">
        <f t="shared" si="3"/>
        <v>'0543.HK'</v>
      </c>
      <c r="F45" s="4" t="s">
        <v>158</v>
      </c>
      <c r="G45" s="6" t="s">
        <v>14</v>
      </c>
      <c r="H45" s="7">
        <v>2.54</v>
      </c>
      <c r="I45" s="8">
        <v>-590.70000000000005</v>
      </c>
      <c r="J45" s="8">
        <v>1109</v>
      </c>
      <c r="K45" s="8">
        <v>26.5</v>
      </c>
      <c r="L45" s="7">
        <v>1.1299999999999999</v>
      </c>
      <c r="M45" s="11" t="s">
        <v>159</v>
      </c>
    </row>
    <row r="46" spans="1:13" ht="170" x14ac:dyDescent="0.2">
      <c r="A46" s="2" t="s">
        <v>160</v>
      </c>
      <c r="B46" s="2" t="s">
        <v>161</v>
      </c>
      <c r="C46" s="2" t="str">
        <f>RIGHT(B46,SUM(LEN(B46)-LEN(SUBSTITUTE(B46,{"0","1","2","3","4","5","6","7","8","9"},""))))</f>
        <v>3658</v>
      </c>
      <c r="D46" s="2" t="str">
        <f t="shared" si="2"/>
        <v>3658</v>
      </c>
      <c r="E46" s="2" t="str">
        <f t="shared" si="3"/>
        <v>'3658.HK'</v>
      </c>
      <c r="F46" s="4" t="s">
        <v>162</v>
      </c>
      <c r="G46" s="6" t="s">
        <v>14</v>
      </c>
      <c r="H46" s="7">
        <v>2.83</v>
      </c>
      <c r="I46" s="8">
        <v>-1276.8</v>
      </c>
      <c r="J46" s="8">
        <v>1302.5999999999999</v>
      </c>
      <c r="K46" s="8">
        <v>36</v>
      </c>
      <c r="L46" s="7">
        <v>1.1200000000000001</v>
      </c>
      <c r="M46" s="11" t="s">
        <v>163</v>
      </c>
    </row>
    <row r="47" spans="1:13" ht="150" x14ac:dyDescent="0.2">
      <c r="A47" s="2" t="s">
        <v>164</v>
      </c>
      <c r="B47" s="2" t="s">
        <v>165</v>
      </c>
      <c r="C47" s="2" t="str">
        <f>RIGHT(B47,SUM(LEN(B47)-LEN(SUBSTITUTE(B47,{"0","1","2","3","4","5","6","7","8","9"},""))))</f>
        <v>1303</v>
      </c>
      <c r="D47" s="2" t="str">
        <f t="shared" si="2"/>
        <v>1303</v>
      </c>
      <c r="E47" s="2" t="str">
        <f t="shared" si="3"/>
        <v>'1303.HK'</v>
      </c>
      <c r="F47" s="4" t="s">
        <v>166</v>
      </c>
      <c r="G47" s="6" t="s">
        <v>14</v>
      </c>
      <c r="H47" s="7">
        <v>1.78</v>
      </c>
      <c r="I47" s="8">
        <v>-287.2</v>
      </c>
      <c r="J47" s="8">
        <v>550.79999999999995</v>
      </c>
      <c r="K47" s="8">
        <v>29.8</v>
      </c>
      <c r="L47" s="7">
        <v>1.1100000000000001</v>
      </c>
      <c r="M47" s="11" t="s">
        <v>167</v>
      </c>
    </row>
    <row r="48" spans="1:13" ht="40" x14ac:dyDescent="0.2">
      <c r="A48" s="2" t="s">
        <v>168</v>
      </c>
      <c r="B48" s="2" t="s">
        <v>169</v>
      </c>
      <c r="C48" s="2" t="str">
        <f>RIGHT(B48,SUM(LEN(B48)-LEN(SUBSTITUTE(B48,{"0","1","2","3","4","5","6","7","8","9"},""))))</f>
        <v>1651</v>
      </c>
      <c r="D48" s="2" t="str">
        <f t="shared" si="2"/>
        <v>1651</v>
      </c>
      <c r="E48" s="2" t="str">
        <f t="shared" si="3"/>
        <v>'1651.HK'</v>
      </c>
      <c r="F48" s="4" t="s">
        <v>170</v>
      </c>
      <c r="G48" s="6" t="s">
        <v>14</v>
      </c>
      <c r="H48" s="7">
        <v>1.47</v>
      </c>
      <c r="I48" s="8">
        <v>-655.5</v>
      </c>
      <c r="J48" s="8">
        <v>3031.2</v>
      </c>
      <c r="K48" s="8">
        <v>36.799999999999997</v>
      </c>
      <c r="L48" s="7">
        <v>1.1100000000000001</v>
      </c>
      <c r="M48" s="5" t="s">
        <v>171</v>
      </c>
    </row>
    <row r="49" spans="1:13" ht="60" x14ac:dyDescent="0.2">
      <c r="A49" s="2" t="s">
        <v>172</v>
      </c>
      <c r="B49" s="2" t="s">
        <v>173</v>
      </c>
      <c r="C49" s="2" t="str">
        <f>RIGHT(B49,SUM(LEN(B49)-LEN(SUBSTITUTE(B49,{"0","1","2","3","4","5","6","7","8","9"},""))))</f>
        <v>8479</v>
      </c>
      <c r="D49" s="2" t="str">
        <f t="shared" si="2"/>
        <v>8479</v>
      </c>
      <c r="E49" s="2" t="str">
        <f t="shared" si="3"/>
        <v>'8479.HK'</v>
      </c>
      <c r="F49" s="4" t="s">
        <v>174</v>
      </c>
      <c r="G49" s="6" t="s">
        <v>14</v>
      </c>
      <c r="H49" s="7">
        <v>2.69</v>
      </c>
      <c r="I49" s="7">
        <v>-5.21</v>
      </c>
      <c r="J49" s="8">
        <v>530.1</v>
      </c>
      <c r="K49" s="8">
        <v>35.200000000000003</v>
      </c>
      <c r="L49" s="7">
        <v>1.1000000000000001</v>
      </c>
      <c r="M49" s="11" t="s">
        <v>175</v>
      </c>
    </row>
    <row r="50" spans="1:13" ht="60" x14ac:dyDescent="0.2">
      <c r="A50" s="2" t="s">
        <v>176</v>
      </c>
      <c r="B50" s="2" t="s">
        <v>177</v>
      </c>
      <c r="C50" s="2" t="str">
        <f>RIGHT(B50,SUM(LEN(B50)-LEN(SUBSTITUTE(B50,{"0","1","2","3","4","5","6","7","8","9"},""))))</f>
        <v>2180</v>
      </c>
      <c r="D50" s="2" t="str">
        <f t="shared" si="2"/>
        <v>2180</v>
      </c>
      <c r="E50" s="2" t="str">
        <f t="shared" si="3"/>
        <v>'2180.HK'</v>
      </c>
      <c r="F50" s="4" t="s">
        <v>178</v>
      </c>
      <c r="G50" s="6" t="s">
        <v>14</v>
      </c>
      <c r="H50" s="7">
        <v>2.79</v>
      </c>
      <c r="I50" s="8">
        <v>-1272.3</v>
      </c>
      <c r="J50" s="8">
        <v>1649.7</v>
      </c>
      <c r="K50" s="8">
        <v>33.200000000000003</v>
      </c>
      <c r="L50" s="7">
        <v>1.1000000000000001</v>
      </c>
      <c r="M50" s="11" t="s">
        <v>179</v>
      </c>
    </row>
    <row r="51" spans="1:13" ht="130" x14ac:dyDescent="0.2">
      <c r="A51" s="2" t="s">
        <v>180</v>
      </c>
      <c r="B51" s="2" t="s">
        <v>181</v>
      </c>
      <c r="C51" s="2" t="str">
        <f>RIGHT(B51,SUM(LEN(B51)-LEN(SUBSTITUTE(B51,{"0","1","2","3","4","5","6","7","8","9"},""))))</f>
        <v>1357</v>
      </c>
      <c r="D51" s="2" t="str">
        <f t="shared" si="2"/>
        <v>1357</v>
      </c>
      <c r="E51" s="2" t="str">
        <f t="shared" si="3"/>
        <v>'1357.HK'</v>
      </c>
      <c r="F51" s="4" t="s">
        <v>182</v>
      </c>
      <c r="G51" s="6" t="s">
        <v>14</v>
      </c>
      <c r="H51" s="7">
        <v>2.1800000000000002</v>
      </c>
      <c r="I51" s="8">
        <v>-1448</v>
      </c>
      <c r="J51" s="8">
        <v>4368.2</v>
      </c>
      <c r="K51" s="8">
        <v>25.9</v>
      </c>
      <c r="L51" s="7">
        <v>1.07</v>
      </c>
      <c r="M51" s="11" t="s">
        <v>183</v>
      </c>
    </row>
    <row r="52" spans="1:13" ht="140" x14ac:dyDescent="0.2">
      <c r="A52" s="2" t="s">
        <v>184</v>
      </c>
      <c r="B52" s="2" t="s">
        <v>185</v>
      </c>
      <c r="C52" s="2" t="str">
        <f>RIGHT(B52,SUM(LEN(B52)-LEN(SUBSTITUTE(B52,{"0","1","2","3","4","5","6","7","8","9"},""))))</f>
        <v>2119</v>
      </c>
      <c r="D52" s="2" t="str">
        <f t="shared" si="2"/>
        <v>2119</v>
      </c>
      <c r="E52" s="2" t="str">
        <f t="shared" si="3"/>
        <v>'2119.HK'</v>
      </c>
      <c r="F52" s="4" t="s">
        <v>186</v>
      </c>
      <c r="G52" s="6" t="s">
        <v>14</v>
      </c>
      <c r="H52" s="7">
        <v>2.6</v>
      </c>
      <c r="I52" s="8">
        <v>-243</v>
      </c>
      <c r="J52" s="8">
        <v>598.20000000000005</v>
      </c>
      <c r="K52" s="8">
        <v>22.8</v>
      </c>
      <c r="L52" s="7">
        <v>1.06</v>
      </c>
      <c r="M52" s="11" t="s">
        <v>187</v>
      </c>
    </row>
    <row r="53" spans="1:13" ht="100" x14ac:dyDescent="0.2">
      <c r="A53" s="2" t="s">
        <v>188</v>
      </c>
      <c r="B53" s="2" t="s">
        <v>189</v>
      </c>
      <c r="C53" s="2" t="str">
        <f>RIGHT(B53,SUM(LEN(B53)-LEN(SUBSTITUTE(B53,{"0","1","2","3","4","5","6","7","8","9"},""))))</f>
        <v>6822</v>
      </c>
      <c r="D53" s="2" t="str">
        <f t="shared" si="2"/>
        <v>6822</v>
      </c>
      <c r="E53" s="2" t="str">
        <f t="shared" si="3"/>
        <v>'6822.HK'</v>
      </c>
      <c r="F53" s="4" t="s">
        <v>190</v>
      </c>
      <c r="G53" s="6" t="s">
        <v>14</v>
      </c>
      <c r="H53" s="7">
        <v>3.2</v>
      </c>
      <c r="I53" s="8">
        <v>-178.8</v>
      </c>
      <c r="J53" s="8">
        <v>630</v>
      </c>
      <c r="K53" s="8">
        <v>18.3</v>
      </c>
      <c r="L53" s="7">
        <v>1.06</v>
      </c>
      <c r="M53" s="11" t="s">
        <v>191</v>
      </c>
    </row>
    <row r="54" spans="1:13" ht="90" x14ac:dyDescent="0.2">
      <c r="A54" s="2" t="s">
        <v>192</v>
      </c>
      <c r="B54" s="2" t="s">
        <v>193</v>
      </c>
      <c r="C54" s="2" t="str">
        <f>RIGHT(B54,SUM(LEN(B54)-LEN(SUBSTITUTE(B54,{"0","1","2","3","4","5","6","7","8","9"},""))))</f>
        <v>398</v>
      </c>
      <c r="D54" s="2" t="str">
        <f t="shared" si="2"/>
        <v>0398</v>
      </c>
      <c r="E54" s="2" t="str">
        <f t="shared" si="3"/>
        <v>'0398.HK'</v>
      </c>
      <c r="F54" s="4" t="s">
        <v>194</v>
      </c>
      <c r="G54" s="6" t="s">
        <v>14</v>
      </c>
      <c r="H54" s="7">
        <v>3.06</v>
      </c>
      <c r="I54" s="8">
        <v>-824.9</v>
      </c>
      <c r="J54" s="8">
        <v>2154.1</v>
      </c>
      <c r="K54" s="8">
        <v>29.3</v>
      </c>
      <c r="L54" s="7">
        <v>1.06</v>
      </c>
      <c r="M54" s="11" t="s">
        <v>195</v>
      </c>
    </row>
    <row r="55" spans="1:13" ht="170" x14ac:dyDescent="0.2">
      <c r="A55" s="2" t="s">
        <v>196</v>
      </c>
      <c r="B55" s="2" t="s">
        <v>197</v>
      </c>
      <c r="C55" s="2" t="str">
        <f>RIGHT(B55,SUM(LEN(B55)-LEN(SUBSTITUTE(B55,{"0","1","2","3","4","5","6","7","8","9"},""))))</f>
        <v>837</v>
      </c>
      <c r="D55" s="2" t="str">
        <f t="shared" si="2"/>
        <v>0837</v>
      </c>
      <c r="E55" s="2" t="str">
        <f t="shared" si="3"/>
        <v>'0837.HK'</v>
      </c>
      <c r="F55" s="4" t="s">
        <v>198</v>
      </c>
      <c r="G55" s="6" t="s">
        <v>14</v>
      </c>
      <c r="H55" s="7">
        <v>4.74</v>
      </c>
      <c r="I55" s="8">
        <v>-416.9</v>
      </c>
      <c r="J55" s="8">
        <v>800.9</v>
      </c>
      <c r="K55" s="8">
        <v>14.3</v>
      </c>
      <c r="L55" s="7">
        <v>1.03</v>
      </c>
      <c r="M55" s="11" t="s">
        <v>199</v>
      </c>
    </row>
    <row r="56" spans="1:13" ht="180" x14ac:dyDescent="0.2">
      <c r="A56" s="2" t="s">
        <v>200</v>
      </c>
      <c r="B56" s="2" t="s">
        <v>201</v>
      </c>
      <c r="C56" s="2" t="str">
        <f>RIGHT(B56,SUM(LEN(B56)-LEN(SUBSTITUTE(B56,{"0","1","2","3","4","5","6","7","8","9"},""))))</f>
        <v>777</v>
      </c>
      <c r="D56" s="2" t="str">
        <f t="shared" si="2"/>
        <v>0777</v>
      </c>
      <c r="E56" s="2" t="str">
        <f t="shared" si="3"/>
        <v>'0777.HK'</v>
      </c>
      <c r="F56" s="4" t="s">
        <v>202</v>
      </c>
      <c r="G56" s="6" t="s">
        <v>14</v>
      </c>
      <c r="H56" s="7">
        <v>2.23</v>
      </c>
      <c r="I56" s="8">
        <v>-3317.1</v>
      </c>
      <c r="J56" s="8">
        <v>8165.6</v>
      </c>
      <c r="K56" s="8">
        <v>35</v>
      </c>
      <c r="L56" s="7">
        <v>1.01</v>
      </c>
      <c r="M56" s="11" t="s">
        <v>203</v>
      </c>
    </row>
    <row r="57" spans="1:13" ht="130" x14ac:dyDescent="0.2">
      <c r="A57" s="2" t="s">
        <v>204</v>
      </c>
      <c r="B57" s="2" t="s">
        <v>205</v>
      </c>
      <c r="C57" s="2" t="str">
        <f>RIGHT(B57,SUM(LEN(B57)-LEN(SUBSTITUTE(B57,{"0","1","2","3","4","5","6","7","8","9"},""))))</f>
        <v>2327</v>
      </c>
      <c r="D57" s="2" t="str">
        <f t="shared" si="2"/>
        <v>2327</v>
      </c>
      <c r="E57" s="2" t="str">
        <f t="shared" si="3"/>
        <v>'2327.HK'</v>
      </c>
      <c r="F57" s="4" t="s">
        <v>206</v>
      </c>
      <c r="G57" s="6" t="s">
        <v>14</v>
      </c>
      <c r="H57" s="7">
        <v>4.26</v>
      </c>
      <c r="I57" s="8">
        <v>-210</v>
      </c>
      <c r="J57" s="8">
        <v>1310.3</v>
      </c>
      <c r="K57" s="8">
        <v>17.600000000000001</v>
      </c>
      <c r="L57" s="10">
        <v>0.99199999999999999</v>
      </c>
      <c r="M57" s="11" t="s">
        <v>207</v>
      </c>
    </row>
    <row r="58" spans="1:13" ht="80" x14ac:dyDescent="0.2">
      <c r="A58" s="2" t="s">
        <v>208</v>
      </c>
      <c r="B58" s="2" t="s">
        <v>209</v>
      </c>
      <c r="C58" s="2" t="str">
        <f>RIGHT(B58,SUM(LEN(B58)-LEN(SUBSTITUTE(B58,{"0","1","2","3","4","5","6","7","8","9"},""))))</f>
        <v>6677</v>
      </c>
      <c r="D58" s="2" t="str">
        <f t="shared" si="2"/>
        <v>6677</v>
      </c>
      <c r="E58" s="2" t="str">
        <f t="shared" si="3"/>
        <v>'6677.HK'</v>
      </c>
      <c r="F58" s="4" t="s">
        <v>210</v>
      </c>
      <c r="G58" s="6" t="s">
        <v>14</v>
      </c>
      <c r="H58" s="7">
        <v>2.37</v>
      </c>
      <c r="I58" s="8">
        <v>-3099.7</v>
      </c>
      <c r="J58" s="8">
        <v>2888.9</v>
      </c>
      <c r="K58" s="8">
        <v>36.4</v>
      </c>
      <c r="L58" s="10">
        <v>0.98</v>
      </c>
      <c r="M58" s="11" t="s">
        <v>211</v>
      </c>
    </row>
    <row r="59" spans="1:13" ht="160" x14ac:dyDescent="0.2">
      <c r="A59" s="2" t="s">
        <v>212</v>
      </c>
      <c r="B59" s="2" t="s">
        <v>213</v>
      </c>
      <c r="C59" s="2" t="str">
        <f>RIGHT(B59,SUM(LEN(B59)-LEN(SUBSTITUTE(B59,{"0","1","2","3","4","5","6","7","8","9"},""))))</f>
        <v>6989</v>
      </c>
      <c r="D59" s="2" t="str">
        <f t="shared" si="2"/>
        <v>6989</v>
      </c>
      <c r="E59" s="2" t="str">
        <f t="shared" si="3"/>
        <v>'6989.HK'</v>
      </c>
      <c r="F59" s="4" t="s">
        <v>214</v>
      </c>
      <c r="G59" s="6" t="s">
        <v>14</v>
      </c>
      <c r="H59" s="7">
        <v>2.82</v>
      </c>
      <c r="I59" s="8">
        <v>-3552</v>
      </c>
      <c r="J59" s="8">
        <v>4124.8</v>
      </c>
      <c r="K59" s="8">
        <v>31.7</v>
      </c>
      <c r="L59" s="10">
        <v>0.97399999999999998</v>
      </c>
      <c r="M59" s="11" t="s">
        <v>215</v>
      </c>
    </row>
    <row r="60" spans="1:13" ht="80" x14ac:dyDescent="0.2">
      <c r="A60" s="2" t="s">
        <v>216</v>
      </c>
      <c r="B60" s="2" t="s">
        <v>217</v>
      </c>
      <c r="C60" s="2" t="str">
        <f>RIGHT(B60,SUM(LEN(B60)-LEN(SUBSTITUTE(B60,{"0","1","2","3","4","5","6","7","8","9"},""))))</f>
        <v>1234</v>
      </c>
      <c r="D60" s="2" t="str">
        <f t="shared" si="2"/>
        <v>1234</v>
      </c>
      <c r="E60" s="2" t="str">
        <f t="shared" si="3"/>
        <v>'1234.HK'</v>
      </c>
      <c r="F60" s="4" t="s">
        <v>218</v>
      </c>
      <c r="G60" s="6" t="s">
        <v>14</v>
      </c>
      <c r="H60" s="7">
        <v>1.63</v>
      </c>
      <c r="I60" s="8">
        <v>-1642.1</v>
      </c>
      <c r="J60" s="8">
        <v>4167.2</v>
      </c>
      <c r="K60" s="8">
        <v>26.6</v>
      </c>
      <c r="L60" s="10">
        <v>0.96399999999999997</v>
      </c>
      <c r="M60" s="11" t="s">
        <v>219</v>
      </c>
    </row>
    <row r="61" spans="1:13" ht="60" x14ac:dyDescent="0.2">
      <c r="A61" s="2" t="s">
        <v>220</v>
      </c>
      <c r="B61" s="2" t="s">
        <v>221</v>
      </c>
      <c r="C61" s="2" t="str">
        <f>RIGHT(B61,SUM(LEN(B61)-LEN(SUBSTITUTE(B61,{"0","1","2","3","4","5","6","7","8","9"},""))))</f>
        <v>609</v>
      </c>
      <c r="D61" s="2" t="str">
        <f t="shared" si="2"/>
        <v>0609</v>
      </c>
      <c r="E61" s="2" t="str">
        <f t="shared" si="3"/>
        <v>'0609.HK'</v>
      </c>
      <c r="F61" s="4" t="s">
        <v>222</v>
      </c>
      <c r="G61" s="6" t="s">
        <v>14</v>
      </c>
      <c r="H61" s="7">
        <v>1.5</v>
      </c>
      <c r="I61" s="8">
        <v>-81.5</v>
      </c>
      <c r="J61" s="8">
        <v>2287</v>
      </c>
      <c r="K61" s="8">
        <v>24.3</v>
      </c>
      <c r="L61" s="10">
        <v>0.96299999999999997</v>
      </c>
      <c r="M61" s="11" t="s">
        <v>223</v>
      </c>
    </row>
    <row r="62" spans="1:13" ht="60" x14ac:dyDescent="0.2">
      <c r="A62" s="2" t="s">
        <v>224</v>
      </c>
      <c r="B62" s="2" t="s">
        <v>225</v>
      </c>
      <c r="C62" s="2" t="str">
        <f>RIGHT(B62,SUM(LEN(B62)-LEN(SUBSTITUTE(B62,{"0","1","2","3","4","5","6","7","8","9"},""))))</f>
        <v>2175</v>
      </c>
      <c r="D62" s="2" t="str">
        <f t="shared" si="2"/>
        <v>2175</v>
      </c>
      <c r="E62" s="2" t="str">
        <f t="shared" si="3"/>
        <v>'2175.HK'</v>
      </c>
      <c r="F62" s="4" t="s">
        <v>226</v>
      </c>
      <c r="G62" s="6" t="s">
        <v>14</v>
      </c>
      <c r="H62" s="7">
        <v>3.48</v>
      </c>
      <c r="I62" s="8">
        <v>-1285.5</v>
      </c>
      <c r="J62" s="8">
        <v>1905.8</v>
      </c>
      <c r="K62" s="8">
        <v>16.5</v>
      </c>
      <c r="L62" s="10">
        <v>0.95699999999999996</v>
      </c>
      <c r="M62" s="11" t="s">
        <v>227</v>
      </c>
    </row>
    <row r="63" spans="1:13" ht="110" x14ac:dyDescent="0.2">
      <c r="A63" s="2" t="s">
        <v>228</v>
      </c>
      <c r="B63" s="2" t="s">
        <v>229</v>
      </c>
      <c r="C63" s="2" t="str">
        <f>RIGHT(B63,SUM(LEN(B63)-LEN(SUBSTITUTE(B63,{"0","1","2","3","4","5","6","7","8","9"},""))))</f>
        <v>9836</v>
      </c>
      <c r="D63" s="2" t="str">
        <f t="shared" si="2"/>
        <v>9836</v>
      </c>
      <c r="E63" s="2" t="str">
        <f t="shared" si="3"/>
        <v>'9836.HK'</v>
      </c>
      <c r="F63" s="4" t="s">
        <v>230</v>
      </c>
      <c r="G63" s="6" t="s">
        <v>231</v>
      </c>
      <c r="H63" s="8">
        <v>30.1</v>
      </c>
      <c r="I63" s="8">
        <v>-755.8</v>
      </c>
      <c r="J63" s="8">
        <v>726.3</v>
      </c>
      <c r="K63" s="7">
        <v>3.44</v>
      </c>
      <c r="L63" s="10">
        <v>0.95599999999999996</v>
      </c>
      <c r="M63" s="5" t="s">
        <v>232</v>
      </c>
    </row>
    <row r="64" spans="1:13" ht="150" x14ac:dyDescent="0.2">
      <c r="A64" s="2" t="s">
        <v>233</v>
      </c>
      <c r="B64" s="2" t="s">
        <v>234</v>
      </c>
      <c r="C64" s="2" t="str">
        <f>RIGHT(B64,SUM(LEN(B64)-LEN(SUBSTITUTE(B64,{"0","1","2","3","4","5","6","7","8","9"},""))))</f>
        <v>29</v>
      </c>
      <c r="D64" s="2" t="str">
        <f t="shared" si="2"/>
        <v>0029</v>
      </c>
      <c r="E64" s="2" t="str">
        <f t="shared" si="3"/>
        <v>'0029.HK'</v>
      </c>
      <c r="F64" s="4" t="s">
        <v>235</v>
      </c>
      <c r="G64" s="6" t="s">
        <v>14</v>
      </c>
      <c r="H64" s="7">
        <v>1.42</v>
      </c>
      <c r="I64" s="8">
        <v>-108.2</v>
      </c>
      <c r="J64" s="8">
        <v>2115.6</v>
      </c>
      <c r="K64" s="8">
        <v>20.3</v>
      </c>
      <c r="L64" s="10">
        <v>0.94</v>
      </c>
      <c r="M64" s="11" t="s">
        <v>236</v>
      </c>
    </row>
    <row r="65" spans="1:13" ht="50" x14ac:dyDescent="0.2">
      <c r="A65" s="2" t="s">
        <v>237</v>
      </c>
      <c r="B65" s="2" t="s">
        <v>238</v>
      </c>
      <c r="C65" s="2" t="str">
        <f>RIGHT(B65,SUM(LEN(B65)-LEN(SUBSTITUTE(B65,{"0","1","2","3","4","5","6","7","8","9"},""))))</f>
        <v>166</v>
      </c>
      <c r="D65" s="2" t="str">
        <f t="shared" si="2"/>
        <v>0166</v>
      </c>
      <c r="E65" s="2" t="str">
        <f t="shared" si="3"/>
        <v>'0166.HK'</v>
      </c>
      <c r="F65" s="4" t="s">
        <v>239</v>
      </c>
      <c r="G65" s="6" t="s">
        <v>14</v>
      </c>
      <c r="H65" s="7">
        <v>4.21</v>
      </c>
      <c r="I65" s="8">
        <v>-611.6</v>
      </c>
      <c r="J65" s="8">
        <v>1233.2</v>
      </c>
      <c r="K65" s="8">
        <v>36.6</v>
      </c>
      <c r="L65" s="10">
        <v>0.93899999999999995</v>
      </c>
      <c r="M65" s="5" t="s">
        <v>240</v>
      </c>
    </row>
    <row r="66" spans="1:13" ht="50" x14ac:dyDescent="0.2">
      <c r="A66" s="2" t="s">
        <v>241</v>
      </c>
      <c r="B66" s="2" t="s">
        <v>242</v>
      </c>
      <c r="C66" s="2" t="str">
        <f>RIGHT(B66,SUM(LEN(B66)-LEN(SUBSTITUTE(B66,{"0","1","2","3","4","5","6","7","8","9"},""))))</f>
        <v>6988</v>
      </c>
      <c r="D66" s="2" t="str">
        <f t="shared" si="2"/>
        <v>6988</v>
      </c>
      <c r="E66" s="2" t="str">
        <f t="shared" si="3"/>
        <v>'6988.HK'</v>
      </c>
      <c r="F66" s="4" t="s">
        <v>243</v>
      </c>
      <c r="G66" s="6" t="s">
        <v>14</v>
      </c>
      <c r="H66" s="7">
        <v>7.74</v>
      </c>
      <c r="I66" s="8">
        <v>-607.20000000000005</v>
      </c>
      <c r="J66" s="8">
        <v>2714</v>
      </c>
      <c r="K66" s="7">
        <v>5.77</v>
      </c>
      <c r="L66" s="10">
        <v>0.92600000000000005</v>
      </c>
      <c r="M66" s="5" t="s">
        <v>244</v>
      </c>
    </row>
    <row r="67" spans="1:13" ht="60" x14ac:dyDescent="0.2">
      <c r="A67" s="2" t="s">
        <v>245</v>
      </c>
      <c r="B67" s="2" t="s">
        <v>246</v>
      </c>
      <c r="C67" s="2" t="str">
        <f>RIGHT(B67,SUM(LEN(B67)-LEN(SUBSTITUTE(B67,{"0","1","2","3","4","5","6","7","8","9"},""))))</f>
        <v>1516</v>
      </c>
      <c r="D67" s="2" t="str">
        <f t="shared" si="2"/>
        <v>1516</v>
      </c>
      <c r="E67" s="2" t="str">
        <f t="shared" si="3"/>
        <v>'1516.HK'</v>
      </c>
      <c r="F67" s="4" t="s">
        <v>247</v>
      </c>
      <c r="G67" s="6" t="s">
        <v>14</v>
      </c>
      <c r="H67" s="7">
        <v>2.2200000000000002</v>
      </c>
      <c r="I67" s="8">
        <v>-6900.4</v>
      </c>
      <c r="J67" s="8">
        <v>8039.5</v>
      </c>
      <c r="K67" s="8">
        <v>35.6</v>
      </c>
      <c r="L67" s="10">
        <v>0.92500000000000004</v>
      </c>
      <c r="M67" s="11" t="s">
        <v>248</v>
      </c>
    </row>
    <row r="68" spans="1:13" ht="110" x14ac:dyDescent="0.2">
      <c r="A68" s="2" t="s">
        <v>249</v>
      </c>
      <c r="B68" s="2" t="s">
        <v>250</v>
      </c>
      <c r="C68" s="2" t="str">
        <f>RIGHT(B68,SUM(LEN(B68)-LEN(SUBSTITUTE(B68,{"0","1","2","3","4","5","6","7","8","9"},""))))</f>
        <v>1277</v>
      </c>
      <c r="D68" s="2" t="str">
        <f t="shared" si="2"/>
        <v>1277</v>
      </c>
      <c r="E68" s="2" t="str">
        <f t="shared" si="3"/>
        <v>'1277.HK'</v>
      </c>
      <c r="F68" s="4" t="s">
        <v>251</v>
      </c>
      <c r="G68" s="6" t="s">
        <v>14</v>
      </c>
      <c r="H68" s="7">
        <v>2.0099999999999998</v>
      </c>
      <c r="I68" s="8">
        <v>-2919.8</v>
      </c>
      <c r="J68" s="8">
        <v>5901</v>
      </c>
      <c r="K68" s="8">
        <v>24.3</v>
      </c>
      <c r="L68" s="10">
        <v>0.92200000000000004</v>
      </c>
      <c r="M68" s="11" t="s">
        <v>252</v>
      </c>
    </row>
    <row r="69" spans="1:13" ht="70" x14ac:dyDescent="0.2">
      <c r="A69" s="2" t="s">
        <v>253</v>
      </c>
      <c r="B69" s="2" t="s">
        <v>254</v>
      </c>
      <c r="C69" s="2" t="str">
        <f>RIGHT(B69,SUM(LEN(B69)-LEN(SUBSTITUTE(B69,{"0","1","2","3","4","5","6","7","8","9"},""))))</f>
        <v>1316</v>
      </c>
      <c r="D69" s="2" t="str">
        <f t="shared" si="2"/>
        <v>1316</v>
      </c>
      <c r="E69" s="2" t="str">
        <f t="shared" si="3"/>
        <v>'1316.HK'</v>
      </c>
      <c r="F69" s="4" t="s">
        <v>255</v>
      </c>
      <c r="G69" s="6" t="s">
        <v>14</v>
      </c>
      <c r="H69" s="7">
        <v>1.1399999999999999</v>
      </c>
      <c r="I69" s="8">
        <v>-1401.6</v>
      </c>
      <c r="J69" s="8">
        <v>12549.1</v>
      </c>
      <c r="K69" s="8">
        <v>37.5</v>
      </c>
      <c r="L69" s="10">
        <v>0.92</v>
      </c>
      <c r="M69" s="11" t="s">
        <v>256</v>
      </c>
    </row>
    <row r="70" spans="1:13" ht="220" x14ac:dyDescent="0.2">
      <c r="A70" s="2" t="s">
        <v>257</v>
      </c>
      <c r="B70" s="2" t="s">
        <v>258</v>
      </c>
      <c r="C70" s="2" t="str">
        <f>RIGHT(B70,SUM(LEN(B70)-LEN(SUBSTITUTE(B70,{"0","1","2","3","4","5","6","7","8","9"},""))))</f>
        <v>1060</v>
      </c>
      <c r="D70" s="2" t="str">
        <f t="shared" si="2"/>
        <v>1060</v>
      </c>
      <c r="E70" s="2" t="str">
        <f t="shared" si="3"/>
        <v>'1060.HK'</v>
      </c>
      <c r="F70" s="4" t="s">
        <v>259</v>
      </c>
      <c r="G70" s="6" t="s">
        <v>14</v>
      </c>
      <c r="H70" s="7">
        <v>4.2699999999999996</v>
      </c>
      <c r="I70" s="8">
        <v>-4152</v>
      </c>
      <c r="J70" s="8">
        <v>15915.6</v>
      </c>
      <c r="K70" s="7">
        <v>9.85</v>
      </c>
      <c r="L70" s="10">
        <v>0.91900000000000004</v>
      </c>
      <c r="M70" s="11" t="s">
        <v>260</v>
      </c>
    </row>
    <row r="71" spans="1:13" ht="40" x14ac:dyDescent="0.2">
      <c r="A71" s="2" t="s">
        <v>261</v>
      </c>
      <c r="B71" s="2" t="s">
        <v>262</v>
      </c>
      <c r="C71" s="2" t="str">
        <f>RIGHT(B71,SUM(LEN(B71)-LEN(SUBSTITUTE(B71,{"0","1","2","3","4","5","6","7","8","9"},""))))</f>
        <v>3798</v>
      </c>
      <c r="D71" s="2" t="str">
        <f t="shared" si="2"/>
        <v>3798</v>
      </c>
      <c r="E71" s="2" t="str">
        <f t="shared" si="3"/>
        <v>'3798.HK'</v>
      </c>
      <c r="F71" s="4" t="s">
        <v>263</v>
      </c>
      <c r="G71" s="6" t="s">
        <v>14</v>
      </c>
      <c r="H71" s="7">
        <v>5.56</v>
      </c>
      <c r="I71" s="8">
        <v>-1343.4</v>
      </c>
      <c r="J71" s="8">
        <v>2008.9</v>
      </c>
      <c r="K71" s="8">
        <v>16.7</v>
      </c>
      <c r="L71" s="10">
        <v>0.91900000000000004</v>
      </c>
      <c r="M71" s="5" t="s">
        <v>264</v>
      </c>
    </row>
    <row r="72" spans="1:13" ht="170" x14ac:dyDescent="0.2">
      <c r="A72" s="2" t="s">
        <v>265</v>
      </c>
      <c r="B72" s="2" t="s">
        <v>266</v>
      </c>
      <c r="C72" s="2" t="str">
        <f>RIGHT(B72,SUM(LEN(B72)-LEN(SUBSTITUTE(B72,{"0","1","2","3","4","5","6","7","8","9"},""))))</f>
        <v>1412</v>
      </c>
      <c r="D72" s="2" t="str">
        <f t="shared" si="2"/>
        <v>1412</v>
      </c>
      <c r="E72" s="2" t="str">
        <f t="shared" si="3"/>
        <v>'1412.HK'</v>
      </c>
      <c r="F72" s="4" t="s">
        <v>267</v>
      </c>
      <c r="G72" s="6" t="s">
        <v>14</v>
      </c>
      <c r="H72" s="7">
        <v>1.17</v>
      </c>
      <c r="I72" s="8">
        <v>-69.900000000000006</v>
      </c>
      <c r="J72" s="8">
        <v>744.8</v>
      </c>
      <c r="K72" s="8">
        <v>30.6</v>
      </c>
      <c r="L72" s="10">
        <v>0.91800000000000004</v>
      </c>
      <c r="M72" s="11" t="s">
        <v>268</v>
      </c>
    </row>
    <row r="73" spans="1:13" ht="40" x14ac:dyDescent="0.2">
      <c r="A73" s="2" t="s">
        <v>269</v>
      </c>
      <c r="B73" s="2" t="s">
        <v>270</v>
      </c>
      <c r="C73" s="2" t="str">
        <f>RIGHT(B73,SUM(LEN(B73)-LEN(SUBSTITUTE(B73,{"0","1","2","3","4","5","6","7","8","9"},""))))</f>
        <v>1022</v>
      </c>
      <c r="D73" s="2" t="str">
        <f t="shared" si="2"/>
        <v>1022</v>
      </c>
      <c r="E73" s="2" t="str">
        <f t="shared" si="3"/>
        <v>'1022.HK'</v>
      </c>
      <c r="F73" s="4" t="s">
        <v>271</v>
      </c>
      <c r="G73" s="6" t="s">
        <v>14</v>
      </c>
      <c r="H73" s="7">
        <v>1.87</v>
      </c>
      <c r="I73" s="8">
        <v>-59.1</v>
      </c>
      <c r="J73" s="8">
        <v>532.79999999999995</v>
      </c>
      <c r="K73" s="8">
        <v>26.1</v>
      </c>
      <c r="L73" s="10">
        <v>0.91500000000000004</v>
      </c>
      <c r="M73" s="5" t="s">
        <v>264</v>
      </c>
    </row>
    <row r="74" spans="1:13" ht="40" x14ac:dyDescent="0.2">
      <c r="A74" s="2" t="s">
        <v>272</v>
      </c>
      <c r="B74" s="2" t="s">
        <v>273</v>
      </c>
      <c r="C74" s="2" t="str">
        <f>RIGHT(B74,SUM(LEN(B74)-LEN(SUBSTITUTE(B74,{"0","1","2","3","4","5","6","7","8","9"},""))))</f>
        <v>9982</v>
      </c>
      <c r="D74" s="2" t="str">
        <f t="shared" si="2"/>
        <v>9982</v>
      </c>
      <c r="E74" s="2" t="str">
        <f t="shared" si="3"/>
        <v>'9982.HK'</v>
      </c>
      <c r="F74" s="4" t="s">
        <v>274</v>
      </c>
      <c r="G74" s="6" t="s">
        <v>14</v>
      </c>
      <c r="H74" s="7">
        <v>4.96</v>
      </c>
      <c r="I74" s="8">
        <v>-2423.5</v>
      </c>
      <c r="J74" s="8">
        <v>2397.3000000000002</v>
      </c>
      <c r="K74" s="8">
        <v>19.899999999999999</v>
      </c>
      <c r="L74" s="10">
        <v>0.90900000000000003</v>
      </c>
      <c r="M74" s="5" t="s">
        <v>275</v>
      </c>
    </row>
    <row r="75" spans="1:13" ht="30" x14ac:dyDescent="0.2">
      <c r="A75" s="2" t="s">
        <v>276</v>
      </c>
      <c r="B75" s="2" t="s">
        <v>277</v>
      </c>
      <c r="C75" s="2" t="str">
        <f>RIGHT(B75,SUM(LEN(B75)-LEN(SUBSTITUTE(B75,{"0","1","2","3","4","5","6","7","8","9"},""))))</f>
        <v>806</v>
      </c>
      <c r="D75" s="2" t="str">
        <f t="shared" si="2"/>
        <v>0806</v>
      </c>
      <c r="E75" s="2" t="str">
        <f t="shared" si="3"/>
        <v>'0806.HK'</v>
      </c>
      <c r="F75" s="4" t="s">
        <v>278</v>
      </c>
      <c r="G75" s="6" t="s">
        <v>14</v>
      </c>
      <c r="H75" s="7">
        <v>6.79</v>
      </c>
      <c r="I75" s="8">
        <v>-1563.3</v>
      </c>
      <c r="J75" s="8">
        <v>4171.2</v>
      </c>
      <c r="K75" s="7">
        <v>7.15</v>
      </c>
      <c r="L75" s="10">
        <v>0.89700000000000002</v>
      </c>
      <c r="M75" s="5" t="s">
        <v>279</v>
      </c>
    </row>
    <row r="76" spans="1:13" ht="120" x14ac:dyDescent="0.2">
      <c r="A76" s="2" t="s">
        <v>280</v>
      </c>
      <c r="B76" s="2" t="s">
        <v>281</v>
      </c>
      <c r="C76" s="2" t="str">
        <f>RIGHT(B76,SUM(LEN(B76)-LEN(SUBSTITUTE(B76,{"0","1","2","3","4","5","6","7","8","9"},""))))</f>
        <v>1361</v>
      </c>
      <c r="D76" s="2" t="str">
        <f t="shared" si="2"/>
        <v>1361</v>
      </c>
      <c r="E76" s="2" t="str">
        <f t="shared" si="3"/>
        <v>'1361.HK'</v>
      </c>
      <c r="F76" s="4" t="s">
        <v>282</v>
      </c>
      <c r="G76" s="6" t="s">
        <v>14</v>
      </c>
      <c r="H76" s="7">
        <v>3.01</v>
      </c>
      <c r="I76" s="8">
        <v>-6297.3</v>
      </c>
      <c r="J76" s="8">
        <v>7960.2</v>
      </c>
      <c r="K76" s="8">
        <v>23.9</v>
      </c>
      <c r="L76" s="10">
        <v>0.88700000000000001</v>
      </c>
      <c r="M76" s="11" t="s">
        <v>283</v>
      </c>
    </row>
    <row r="77" spans="1:13" ht="40" x14ac:dyDescent="0.2">
      <c r="A77" s="2" t="s">
        <v>284</v>
      </c>
      <c r="B77" s="2" t="s">
        <v>285</v>
      </c>
      <c r="C77" s="2" t="str">
        <f>RIGHT(B77,SUM(LEN(B77)-LEN(SUBSTITUTE(B77,{"0","1","2","3","4","5","6","7","8","9"},""))))</f>
        <v>2660</v>
      </c>
      <c r="D77" s="2" t="str">
        <f t="shared" si="2"/>
        <v>2660</v>
      </c>
      <c r="E77" s="2" t="str">
        <f t="shared" si="3"/>
        <v>'2660.HK'</v>
      </c>
      <c r="F77" s="4" t="s">
        <v>286</v>
      </c>
      <c r="G77" s="6" t="s">
        <v>14</v>
      </c>
      <c r="H77" s="7">
        <v>5.85</v>
      </c>
      <c r="I77" s="8">
        <v>-1445.9</v>
      </c>
      <c r="J77" s="8">
        <v>1589.5</v>
      </c>
      <c r="K77" s="8">
        <v>17.7</v>
      </c>
      <c r="L77" s="10">
        <v>0.88700000000000001</v>
      </c>
      <c r="M77" s="5" t="s">
        <v>264</v>
      </c>
    </row>
    <row r="78" spans="1:13" ht="80" x14ac:dyDescent="0.2">
      <c r="A78" s="2" t="s">
        <v>287</v>
      </c>
      <c r="B78" s="2" t="s">
        <v>288</v>
      </c>
      <c r="C78" s="2" t="str">
        <f>RIGHT(B78,SUM(LEN(B78)-LEN(SUBSTITUTE(B78,{"0","1","2","3","4","5","6","7","8","9"},""))))</f>
        <v>1230</v>
      </c>
      <c r="D78" s="2" t="str">
        <f t="shared" si="2"/>
        <v>1230</v>
      </c>
      <c r="E78" s="2" t="str">
        <f t="shared" si="3"/>
        <v>'1230.HK'</v>
      </c>
      <c r="F78" s="4" t="s">
        <v>289</v>
      </c>
      <c r="G78" s="6" t="s">
        <v>14</v>
      </c>
      <c r="H78" s="7">
        <v>1.5</v>
      </c>
      <c r="I78" s="8">
        <v>-2199</v>
      </c>
      <c r="J78" s="8">
        <v>5552.3</v>
      </c>
      <c r="K78" s="8">
        <v>24.1</v>
      </c>
      <c r="L78" s="10">
        <v>0.88200000000000001</v>
      </c>
      <c r="M78" s="11" t="s">
        <v>290</v>
      </c>
    </row>
    <row r="79" spans="1:13" ht="110" x14ac:dyDescent="0.2">
      <c r="A79" s="2" t="s">
        <v>291</v>
      </c>
      <c r="B79" s="2" t="s">
        <v>292</v>
      </c>
      <c r="C79" s="2" t="str">
        <f>RIGHT(B79,SUM(LEN(B79)-LEN(SUBSTITUTE(B79,{"0","1","2","3","4","5","6","7","8","9"},""))))</f>
        <v>6608</v>
      </c>
      <c r="D79" s="2" t="str">
        <f t="shared" si="2"/>
        <v>6608</v>
      </c>
      <c r="E79" s="2" t="str">
        <f t="shared" si="3"/>
        <v>'6608.HK'</v>
      </c>
      <c r="F79" s="4" t="s">
        <v>293</v>
      </c>
      <c r="G79" s="6" t="s">
        <v>14</v>
      </c>
      <c r="H79" s="7">
        <v>6.49</v>
      </c>
      <c r="I79" s="8">
        <v>-4559.5</v>
      </c>
      <c r="J79" s="8">
        <v>4443.1000000000004</v>
      </c>
      <c r="K79" s="8">
        <v>14.7</v>
      </c>
      <c r="L79" s="10">
        <v>0.88200000000000001</v>
      </c>
      <c r="M79" s="11" t="s">
        <v>294</v>
      </c>
    </row>
    <row r="80" spans="1:13" ht="100" x14ac:dyDescent="0.2">
      <c r="A80" s="2" t="s">
        <v>295</v>
      </c>
      <c r="B80" s="2" t="s">
        <v>296</v>
      </c>
      <c r="C80" s="2" t="str">
        <f>RIGHT(B80,SUM(LEN(B80)-LEN(SUBSTITUTE(B80,{"0","1","2","3","4","5","6","7","8","9"},""))))</f>
        <v>1328</v>
      </c>
      <c r="D80" s="2" t="str">
        <f t="shared" si="2"/>
        <v>1328</v>
      </c>
      <c r="E80" s="2" t="str">
        <f t="shared" si="3"/>
        <v>'1328.HK'</v>
      </c>
      <c r="F80" s="4" t="s">
        <v>297</v>
      </c>
      <c r="G80" s="6" t="s">
        <v>14</v>
      </c>
      <c r="H80" s="7">
        <v>1.63</v>
      </c>
      <c r="I80" s="8">
        <v>-212.1</v>
      </c>
      <c r="J80" s="8">
        <v>655.20000000000005</v>
      </c>
      <c r="K80" s="8">
        <v>29.5</v>
      </c>
      <c r="L80" s="10">
        <v>0.877</v>
      </c>
      <c r="M80" s="11" t="s">
        <v>298</v>
      </c>
    </row>
    <row r="81" spans="1:13" ht="150" hidden="1" x14ac:dyDescent="0.2">
      <c r="A81" s="2" t="s">
        <v>299</v>
      </c>
      <c r="B81" s="2" t="s">
        <v>300</v>
      </c>
      <c r="C81" s="2" t="str">
        <f>RIGHT(B81,SUM(LEN(B81)-LEN(SUBSTITUTE(B81,{"0","1","2","3","4","5","6","7","8","9"},""))))</f>
        <v/>
      </c>
      <c r="D81" s="2"/>
      <c r="E81" s="2"/>
      <c r="F81" s="5" t="s">
        <v>14</v>
      </c>
      <c r="G81" s="6" t="s">
        <v>301</v>
      </c>
      <c r="H81" s="7">
        <v>4.3099999999999996</v>
      </c>
      <c r="I81" s="8">
        <v>-8702.4</v>
      </c>
      <c r="J81" s="8">
        <v>5888.5</v>
      </c>
      <c r="K81" s="8">
        <v>23.5</v>
      </c>
      <c r="L81" s="10">
        <v>0.872</v>
      </c>
      <c r="M81" s="11" t="s">
        <v>302</v>
      </c>
    </row>
    <row r="82" spans="1:13" ht="100" x14ac:dyDescent="0.2">
      <c r="A82" s="2" t="s">
        <v>303</v>
      </c>
      <c r="B82" s="2" t="s">
        <v>304</v>
      </c>
      <c r="C82" s="2" t="str">
        <f>RIGHT(B82,SUM(LEN(B82)-LEN(SUBSTITUTE(B82,{"0","1","2","3","4","5","6","7","8","9"},""))))</f>
        <v>2218</v>
      </c>
      <c r="D82" s="2" t="str">
        <f t="shared" si="2"/>
        <v>2218</v>
      </c>
      <c r="E82" s="2" t="str">
        <f t="shared" ref="E82:E98" si="4">"'"&amp;D82&amp;".HK"&amp;"'"</f>
        <v>'2218.HK'</v>
      </c>
      <c r="F82" s="4" t="s">
        <v>305</v>
      </c>
      <c r="G82" s="6" t="s">
        <v>14</v>
      </c>
      <c r="H82" s="7">
        <v>4.3099999999999996</v>
      </c>
      <c r="I82" s="8">
        <v>-880</v>
      </c>
      <c r="J82" s="8">
        <v>7975.3</v>
      </c>
      <c r="K82" s="7">
        <v>9.68</v>
      </c>
      <c r="L82" s="10">
        <v>0.871</v>
      </c>
      <c r="M82" s="11" t="s">
        <v>306</v>
      </c>
    </row>
    <row r="83" spans="1:13" ht="50" x14ac:dyDescent="0.2">
      <c r="A83" s="2" t="s">
        <v>307</v>
      </c>
      <c r="B83" s="2" t="s">
        <v>308</v>
      </c>
      <c r="C83" s="2" t="str">
        <f>RIGHT(B83,SUM(LEN(B83)-LEN(SUBSTITUTE(B83,{"0","1","2","3","4","5","6","7","8","9"},""))))</f>
        <v>6896</v>
      </c>
      <c r="D83" s="2" t="str">
        <f t="shared" si="2"/>
        <v>6896</v>
      </c>
      <c r="E83" s="2" t="str">
        <f t="shared" si="4"/>
        <v>'6896.HK'</v>
      </c>
      <c r="F83" s="4" t="s">
        <v>309</v>
      </c>
      <c r="G83" s="6" t="s">
        <v>14</v>
      </c>
      <c r="H83" s="7">
        <v>2.13</v>
      </c>
      <c r="I83" s="8">
        <v>-697</v>
      </c>
      <c r="J83" s="8">
        <v>1330.7</v>
      </c>
      <c r="K83" s="8">
        <v>30.1</v>
      </c>
      <c r="L83" s="10">
        <v>0.86399999999999999</v>
      </c>
      <c r="M83" s="12" t="s">
        <v>310</v>
      </c>
    </row>
    <row r="84" spans="1:13" ht="100" x14ac:dyDescent="0.2">
      <c r="A84" s="2" t="s">
        <v>311</v>
      </c>
      <c r="B84" s="2" t="s">
        <v>312</v>
      </c>
      <c r="C84" s="2" t="str">
        <f>RIGHT(B84,SUM(LEN(B84)-LEN(SUBSTITUTE(B84,{"0","1","2","3","4","5","6","7","8","9"},""))))</f>
        <v>697</v>
      </c>
      <c r="D84" s="2" t="str">
        <f t="shared" si="2"/>
        <v>0697</v>
      </c>
      <c r="E84" s="2" t="str">
        <f t="shared" si="4"/>
        <v>'0697.HK'</v>
      </c>
      <c r="F84" s="4" t="s">
        <v>313</v>
      </c>
      <c r="G84" s="6" t="s">
        <v>14</v>
      </c>
      <c r="H84" s="7">
        <v>4.5</v>
      </c>
      <c r="I84" s="8">
        <v>-1854.4</v>
      </c>
      <c r="J84" s="8">
        <v>8954.7999999999993</v>
      </c>
      <c r="K84" s="8">
        <v>23.6</v>
      </c>
      <c r="L84" s="10">
        <v>0.84799999999999998</v>
      </c>
      <c r="M84" s="11" t="s">
        <v>314</v>
      </c>
    </row>
    <row r="85" spans="1:13" ht="30" x14ac:dyDescent="0.2">
      <c r="A85" s="2" t="s">
        <v>315</v>
      </c>
      <c r="B85" s="2" t="s">
        <v>316</v>
      </c>
      <c r="C85" s="2" t="str">
        <f>RIGHT(B85,SUM(LEN(B85)-LEN(SUBSTITUTE(B85,{"0","1","2","3","4","5","6","7","8","9"},""))))</f>
        <v>721</v>
      </c>
      <c r="D85" s="2" t="str">
        <f t="shared" si="2"/>
        <v>0721</v>
      </c>
      <c r="E85" s="2" t="str">
        <f t="shared" si="4"/>
        <v>'0721.HK'</v>
      </c>
      <c r="F85" s="4" t="s">
        <v>317</v>
      </c>
      <c r="G85" s="6" t="s">
        <v>14</v>
      </c>
      <c r="H85" s="7">
        <v>3.09</v>
      </c>
      <c r="I85" s="8">
        <v>-51.7</v>
      </c>
      <c r="J85" s="8">
        <v>603.4</v>
      </c>
      <c r="K85" s="7">
        <v>4.18</v>
      </c>
      <c r="L85" s="10">
        <v>0.84299999999999997</v>
      </c>
      <c r="M85" s="5" t="s">
        <v>279</v>
      </c>
    </row>
    <row r="86" spans="1:13" ht="90" x14ac:dyDescent="0.2">
      <c r="A86" s="2" t="s">
        <v>318</v>
      </c>
      <c r="B86" s="2" t="s">
        <v>319</v>
      </c>
      <c r="C86" s="2" t="str">
        <f>RIGHT(B86,SUM(LEN(B86)-LEN(SUBSTITUTE(B86,{"0","1","2","3","4","5","6","7","8","9"},""))))</f>
        <v>1301</v>
      </c>
      <c r="D86" s="2" t="str">
        <f t="shared" si="2"/>
        <v>1301</v>
      </c>
      <c r="E86" s="2" t="str">
        <f t="shared" si="4"/>
        <v>'1301.HK'</v>
      </c>
      <c r="F86" s="4" t="s">
        <v>320</v>
      </c>
      <c r="G86" s="6" t="s">
        <v>14</v>
      </c>
      <c r="H86" s="7">
        <v>1.67</v>
      </c>
      <c r="I86" s="8">
        <v>-218.1</v>
      </c>
      <c r="J86" s="8">
        <v>652.20000000000005</v>
      </c>
      <c r="K86" s="8">
        <v>27.5</v>
      </c>
      <c r="L86" s="10">
        <v>0.84199999999999997</v>
      </c>
      <c r="M86" s="11" t="s">
        <v>321</v>
      </c>
    </row>
    <row r="87" spans="1:13" ht="40" x14ac:dyDescent="0.2">
      <c r="A87" s="2" t="s">
        <v>322</v>
      </c>
      <c r="B87" s="2" t="s">
        <v>323</v>
      </c>
      <c r="C87" s="2" t="str">
        <f>RIGHT(B87,SUM(LEN(B87)-LEN(SUBSTITUTE(B87,{"0","1","2","3","4","5","6","7","8","9"},""))))</f>
        <v>6913</v>
      </c>
      <c r="D87" s="2" t="str">
        <f t="shared" si="2"/>
        <v>6913</v>
      </c>
      <c r="E87" s="2" t="str">
        <f t="shared" si="4"/>
        <v>'6913.HK'</v>
      </c>
      <c r="F87" s="4" t="s">
        <v>324</v>
      </c>
      <c r="G87" s="6" t="s">
        <v>14</v>
      </c>
      <c r="H87" s="7">
        <v>1.47</v>
      </c>
      <c r="I87" s="8">
        <v>-168.6</v>
      </c>
      <c r="J87" s="8">
        <v>1454.1</v>
      </c>
      <c r="K87" s="8">
        <v>36.1</v>
      </c>
      <c r="L87" s="10">
        <v>0.84199999999999997</v>
      </c>
      <c r="M87" s="5" t="s">
        <v>325</v>
      </c>
    </row>
    <row r="88" spans="1:13" ht="210" x14ac:dyDescent="0.2">
      <c r="A88" s="2" t="s">
        <v>326</v>
      </c>
      <c r="B88" s="2" t="s">
        <v>327</v>
      </c>
      <c r="C88" s="2" t="str">
        <f>RIGHT(B88,SUM(LEN(B88)-LEN(SUBSTITUTE(B88,{"0","1","2","3","4","5","6","7","8","9"},""))))</f>
        <v>3319</v>
      </c>
      <c r="D88" s="2" t="str">
        <f t="shared" ref="D88:D98" si="5">IF(LEN(C88)=4,C88,IF(LEN(C88)&lt;4,REPT("0",4-LEN(C88))&amp;C88))</f>
        <v>3319</v>
      </c>
      <c r="E88" s="2" t="str">
        <f t="shared" si="4"/>
        <v>'3319.HK'</v>
      </c>
      <c r="F88" s="4" t="s">
        <v>328</v>
      </c>
      <c r="G88" s="6" t="s">
        <v>14</v>
      </c>
      <c r="H88" s="7">
        <v>1.46</v>
      </c>
      <c r="I88" s="8">
        <v>-5712.8</v>
      </c>
      <c r="J88" s="8">
        <v>11558.8</v>
      </c>
      <c r="K88" s="8">
        <v>36</v>
      </c>
      <c r="L88" s="10">
        <v>0.82299999999999995</v>
      </c>
      <c r="M88" s="11" t="s">
        <v>329</v>
      </c>
    </row>
    <row r="89" spans="1:13" ht="100" x14ac:dyDescent="0.2">
      <c r="A89" s="2" t="s">
        <v>330</v>
      </c>
      <c r="B89" s="2" t="s">
        <v>331</v>
      </c>
      <c r="C89" s="2" t="str">
        <f>RIGHT(B89,SUM(LEN(B89)-LEN(SUBSTITUTE(B89,{"0","1","2","3","4","5","6","7","8","9"},""))))</f>
        <v>336</v>
      </c>
      <c r="D89" s="2" t="str">
        <f t="shared" si="5"/>
        <v>0336</v>
      </c>
      <c r="E89" s="2" t="str">
        <f t="shared" si="4"/>
        <v>'0336.HK'</v>
      </c>
      <c r="F89" s="4" t="s">
        <v>332</v>
      </c>
      <c r="G89" s="6" t="s">
        <v>14</v>
      </c>
      <c r="H89" s="7">
        <v>3.63</v>
      </c>
      <c r="I89" s="8">
        <v>-7216.2</v>
      </c>
      <c r="J89" s="8">
        <v>12693.6</v>
      </c>
      <c r="K89" s="8">
        <v>12.8</v>
      </c>
      <c r="L89" s="10">
        <v>0.82199999999999995</v>
      </c>
      <c r="M89" s="11" t="s">
        <v>333</v>
      </c>
    </row>
    <row r="90" spans="1:13" ht="140" x14ac:dyDescent="0.2">
      <c r="A90" s="2" t="s">
        <v>334</v>
      </c>
      <c r="B90" s="2" t="s">
        <v>335</v>
      </c>
      <c r="C90" s="2" t="str">
        <f>RIGHT(B90,SUM(LEN(B90)-LEN(SUBSTITUTE(B90,{"0","1","2","3","4","5","6","7","8","9"},""))))</f>
        <v>1836</v>
      </c>
      <c r="D90" s="2" t="str">
        <f t="shared" si="5"/>
        <v>1836</v>
      </c>
      <c r="E90" s="2" t="str">
        <f t="shared" si="4"/>
        <v>'1836.HK'</v>
      </c>
      <c r="F90" s="4" t="s">
        <v>336</v>
      </c>
      <c r="G90" s="6" t="s">
        <v>14</v>
      </c>
      <c r="H90" s="7">
        <v>1.97</v>
      </c>
      <c r="I90" s="8">
        <v>-831.9</v>
      </c>
      <c r="J90" s="8">
        <v>6337.6</v>
      </c>
      <c r="K90" s="8">
        <v>21.7</v>
      </c>
      <c r="L90" s="10">
        <v>0.81</v>
      </c>
      <c r="M90" s="11" t="s">
        <v>337</v>
      </c>
    </row>
    <row r="91" spans="1:13" ht="50" x14ac:dyDescent="0.2">
      <c r="A91" s="2" t="s">
        <v>338</v>
      </c>
      <c r="B91" s="2" t="s">
        <v>339</v>
      </c>
      <c r="C91" s="2" t="str">
        <f>RIGHT(B91,SUM(LEN(B91)-LEN(SUBSTITUTE(B91,{"0","1","2","3","4","5","6","7","8","9"},""))))</f>
        <v>1837</v>
      </c>
      <c r="D91" s="2" t="str">
        <f t="shared" si="5"/>
        <v>1837</v>
      </c>
      <c r="E91" s="2" t="str">
        <f t="shared" si="4"/>
        <v>'1837.HK'</v>
      </c>
      <c r="F91" s="4" t="s">
        <v>340</v>
      </c>
      <c r="G91" s="6" t="s">
        <v>14</v>
      </c>
      <c r="H91" s="7">
        <v>3.36</v>
      </c>
      <c r="I91" s="8">
        <v>-778.3</v>
      </c>
      <c r="J91" s="8">
        <v>1116.0999999999999</v>
      </c>
      <c r="K91" s="8">
        <v>19.600000000000001</v>
      </c>
      <c r="L91" s="10">
        <v>0.80800000000000005</v>
      </c>
      <c r="M91" s="12" t="s">
        <v>341</v>
      </c>
    </row>
    <row r="92" spans="1:13" ht="30" x14ac:dyDescent="0.2">
      <c r="A92" s="2" t="s">
        <v>342</v>
      </c>
      <c r="B92" s="2" t="s">
        <v>343</v>
      </c>
      <c r="C92" s="2" t="str">
        <f>RIGHT(B92,SUM(LEN(B92)-LEN(SUBSTITUTE(B92,{"0","1","2","3","4","5","6","7","8","9"},""))))</f>
        <v>2801</v>
      </c>
      <c r="D92" s="2" t="str">
        <f t="shared" si="5"/>
        <v>2801</v>
      </c>
      <c r="E92" s="2" t="str">
        <f t="shared" si="4"/>
        <v>'2801.HK'</v>
      </c>
      <c r="F92" s="4" t="s">
        <v>344</v>
      </c>
      <c r="G92" s="6" t="s">
        <v>14</v>
      </c>
      <c r="H92" s="8">
        <v>103.6</v>
      </c>
      <c r="I92" s="8">
        <v>-4450.8999999999996</v>
      </c>
      <c r="J92" s="8">
        <v>3432.2</v>
      </c>
      <c r="K92" s="10">
        <v>0.96499999999999997</v>
      </c>
      <c r="L92" s="10">
        <v>0.80800000000000005</v>
      </c>
      <c r="M92" s="5" t="s">
        <v>232</v>
      </c>
    </row>
    <row r="93" spans="1:13" ht="120" x14ac:dyDescent="0.2">
      <c r="A93" s="2" t="s">
        <v>345</v>
      </c>
      <c r="B93" s="2" t="s">
        <v>346</v>
      </c>
      <c r="C93" s="2" t="str">
        <f>RIGHT(B93,SUM(LEN(B93)-LEN(SUBSTITUTE(B93,{"0","1","2","3","4","5","6","7","8","9"},""))))</f>
        <v>18</v>
      </c>
      <c r="D93" s="2" t="str">
        <f t="shared" si="5"/>
        <v>0018</v>
      </c>
      <c r="E93" s="2" t="str">
        <f t="shared" si="4"/>
        <v>'0018.HK'</v>
      </c>
      <c r="F93" s="4" t="s">
        <v>347</v>
      </c>
      <c r="G93" s="6" t="s">
        <v>14</v>
      </c>
      <c r="H93" s="7">
        <v>5.78</v>
      </c>
      <c r="I93" s="8">
        <v>-632.4</v>
      </c>
      <c r="J93" s="8">
        <v>1462.7</v>
      </c>
      <c r="K93" s="7">
        <v>9.42</v>
      </c>
      <c r="L93" s="10">
        <v>0.80100000000000005</v>
      </c>
      <c r="M93" s="11" t="s">
        <v>348</v>
      </c>
    </row>
    <row r="94" spans="1:13" ht="210" x14ac:dyDescent="0.2">
      <c r="A94" s="2" t="s">
        <v>349</v>
      </c>
      <c r="B94" s="2" t="s">
        <v>350</v>
      </c>
      <c r="C94" s="2" t="str">
        <f>RIGHT(B94,SUM(LEN(B94)-LEN(SUBSTITUTE(B94,{"0","1","2","3","4","5","6","7","8","9"},""))))</f>
        <v>687</v>
      </c>
      <c r="D94" s="2" t="str">
        <f t="shared" si="5"/>
        <v>0687</v>
      </c>
      <c r="E94" s="2" t="str">
        <f t="shared" si="4"/>
        <v>'0687.HK'</v>
      </c>
      <c r="F94" s="4" t="s">
        <v>351</v>
      </c>
      <c r="G94" s="6" t="s">
        <v>14</v>
      </c>
      <c r="H94" s="7">
        <v>2.65</v>
      </c>
      <c r="I94" s="8">
        <v>-571</v>
      </c>
      <c r="J94" s="8">
        <v>1094</v>
      </c>
      <c r="K94" s="8">
        <v>32</v>
      </c>
      <c r="L94" s="10">
        <v>0.80100000000000005</v>
      </c>
      <c r="M94" s="11" t="s">
        <v>352</v>
      </c>
    </row>
    <row r="95" spans="1:13" ht="40" x14ac:dyDescent="0.2">
      <c r="A95" s="2" t="s">
        <v>353</v>
      </c>
      <c r="B95" s="2" t="s">
        <v>354</v>
      </c>
      <c r="C95" s="2" t="str">
        <f>RIGHT(B95,SUM(LEN(B95)-LEN(SUBSTITUTE(B95,{"0","1","2","3","4","5","6","7","8","9"},""))))</f>
        <v>195</v>
      </c>
      <c r="D95" s="2" t="str">
        <f t="shared" si="5"/>
        <v>0195</v>
      </c>
      <c r="E95" s="2" t="str">
        <f t="shared" si="4"/>
        <v>'0195.HK'</v>
      </c>
      <c r="F95" s="4" t="s">
        <v>355</v>
      </c>
      <c r="G95" s="6" t="s">
        <v>14</v>
      </c>
      <c r="H95" s="7">
        <v>1.1499999999999999</v>
      </c>
      <c r="I95" s="8">
        <v>-178.4</v>
      </c>
      <c r="J95" s="8">
        <v>751.3</v>
      </c>
      <c r="K95" s="8">
        <v>39.6</v>
      </c>
      <c r="L95" s="10">
        <v>0.8</v>
      </c>
      <c r="M95" s="5" t="s">
        <v>356</v>
      </c>
    </row>
    <row r="96" spans="1:13" ht="40" x14ac:dyDescent="0.2">
      <c r="A96" s="2" t="s">
        <v>357</v>
      </c>
      <c r="B96" s="2" t="s">
        <v>358</v>
      </c>
      <c r="C96" s="2" t="str">
        <f>RIGHT(B96,SUM(LEN(B96)-LEN(SUBSTITUTE(B96,{"0","1","2","3","4","5","6","7","8","9"},""))))</f>
        <v>255</v>
      </c>
      <c r="D96" s="2" t="str">
        <f t="shared" si="5"/>
        <v>0255</v>
      </c>
      <c r="E96" s="2" t="str">
        <f t="shared" si="4"/>
        <v>'0255.HK'</v>
      </c>
      <c r="F96" s="4" t="s">
        <v>359</v>
      </c>
      <c r="G96" s="6" t="s">
        <v>14</v>
      </c>
      <c r="H96" s="7">
        <v>3.27</v>
      </c>
      <c r="I96" s="8">
        <v>-942.5</v>
      </c>
      <c r="J96" s="8">
        <v>1642.4</v>
      </c>
      <c r="K96" s="8">
        <v>17.3</v>
      </c>
      <c r="L96" s="10">
        <v>0.79500000000000004</v>
      </c>
      <c r="M96" s="5" t="s">
        <v>360</v>
      </c>
    </row>
    <row r="97" spans="1:13" ht="240" x14ac:dyDescent="0.2">
      <c r="A97" s="2" t="s">
        <v>361</v>
      </c>
      <c r="B97" s="2" t="s">
        <v>362</v>
      </c>
      <c r="C97" s="2" t="str">
        <f>RIGHT(B97,SUM(LEN(B97)-LEN(SUBSTITUTE(B97,{"0","1","2","3","4","5","6","7","8","9"},""))))</f>
        <v>411</v>
      </c>
      <c r="D97" s="2" t="str">
        <f t="shared" si="5"/>
        <v>0411</v>
      </c>
      <c r="E97" s="2" t="str">
        <f t="shared" si="4"/>
        <v>'0411.HK'</v>
      </c>
      <c r="F97" s="4" t="s">
        <v>363</v>
      </c>
      <c r="G97" s="6" t="s">
        <v>14</v>
      </c>
      <c r="H97" s="7">
        <v>2.36</v>
      </c>
      <c r="I97" s="8">
        <v>-1537</v>
      </c>
      <c r="J97" s="8">
        <v>2331.6</v>
      </c>
      <c r="K97" s="8">
        <v>22.1</v>
      </c>
      <c r="L97" s="10">
        <v>0.78700000000000003</v>
      </c>
      <c r="M97" s="11" t="s">
        <v>364</v>
      </c>
    </row>
    <row r="98" spans="1:13" ht="40" x14ac:dyDescent="0.2">
      <c r="A98" s="2" t="s">
        <v>365</v>
      </c>
      <c r="B98" s="2" t="s">
        <v>366</v>
      </c>
      <c r="C98" s="2" t="str">
        <f>RIGHT(B98,SUM(LEN(B98)-LEN(SUBSTITUTE(B98,{"0","1","2","3","4","5","6","7","8","9"},""))))</f>
        <v>639</v>
      </c>
      <c r="D98" s="2" t="str">
        <f t="shared" si="5"/>
        <v>0639</v>
      </c>
      <c r="E98" s="2" t="str">
        <f t="shared" si="4"/>
        <v>'0639.HK'</v>
      </c>
      <c r="F98" s="4" t="s">
        <v>367</v>
      </c>
      <c r="G98" s="6" t="s">
        <v>14</v>
      </c>
      <c r="H98" s="7">
        <v>2.5299999999999998</v>
      </c>
      <c r="I98" s="8">
        <v>-6528.5</v>
      </c>
      <c r="J98" s="8">
        <v>13488.4</v>
      </c>
      <c r="K98" s="8">
        <v>22.7</v>
      </c>
      <c r="L98" s="10">
        <v>0.77100000000000002</v>
      </c>
      <c r="M98" s="5" t="s">
        <v>368</v>
      </c>
    </row>
    <row r="99" spans="1:13" ht="40" hidden="1" x14ac:dyDescent="0.2">
      <c r="A99" s="2" t="s">
        <v>369</v>
      </c>
      <c r="B99" s="2" t="s">
        <v>370</v>
      </c>
      <c r="C99" s="2" t="str">
        <f>RIGHT(B99,SUM(LEN(B99)-LEN(SUBSTITUTE(B99,{"0","1","2","3","4","5","6","7","8","9"},""))))</f>
        <v/>
      </c>
      <c r="D99" s="2"/>
      <c r="E99" s="2"/>
      <c r="F99" s="5" t="s">
        <v>14</v>
      </c>
      <c r="G99" s="6" t="s">
        <v>371</v>
      </c>
      <c r="H99" s="7">
        <v>2.06</v>
      </c>
      <c r="I99" s="8">
        <v>-4006.9</v>
      </c>
      <c r="J99" s="8">
        <v>7827.8</v>
      </c>
      <c r="K99" s="8">
        <v>25.2</v>
      </c>
      <c r="L99" s="10">
        <v>0.76900000000000002</v>
      </c>
      <c r="M99" s="5" t="s">
        <v>279</v>
      </c>
    </row>
    <row r="100" spans="1:13" ht="250" x14ac:dyDescent="0.2">
      <c r="A100" s="2" t="s">
        <v>372</v>
      </c>
      <c r="B100" s="2" t="s">
        <v>373</v>
      </c>
      <c r="C100" s="2" t="str">
        <f>RIGHT(B100,SUM(LEN(B100)-LEN(SUBSTITUTE(B100,{"0","1","2","3","4","5","6","7","8","9"},""))))</f>
        <v>3686</v>
      </c>
      <c r="D100" s="2" t="str">
        <f t="shared" ref="D100:D163" si="6">IF(LEN(C100)=4,C100,IF(LEN(C100)&lt;4,REPT("0",4-LEN(C100))&amp;C100))</f>
        <v>3686</v>
      </c>
      <c r="E100" s="2" t="str">
        <f t="shared" ref="E100:E163" si="7">"'"&amp;D100&amp;".HK"&amp;"'"</f>
        <v>'3686.HK'</v>
      </c>
      <c r="F100" s="4" t="s">
        <v>374</v>
      </c>
      <c r="G100" s="6" t="s">
        <v>14</v>
      </c>
      <c r="H100" s="7">
        <v>3.75</v>
      </c>
      <c r="I100" s="8">
        <v>-430.6</v>
      </c>
      <c r="J100" s="8">
        <v>538.29999999999995</v>
      </c>
      <c r="K100" s="8">
        <v>26.3</v>
      </c>
      <c r="L100" s="10">
        <v>0.76800000000000002</v>
      </c>
      <c r="M100" s="11" t="s">
        <v>375</v>
      </c>
    </row>
    <row r="101" spans="1:13" ht="80" x14ac:dyDescent="0.2">
      <c r="A101" s="2" t="s">
        <v>376</v>
      </c>
      <c r="B101" s="2" t="s">
        <v>377</v>
      </c>
      <c r="C101" s="2" t="str">
        <f>RIGHT(B101,SUM(LEN(B101)-LEN(SUBSTITUTE(B101,{"0","1","2","3","4","5","6","7","8","9"},""))))</f>
        <v>302</v>
      </c>
      <c r="D101" s="2" t="str">
        <f t="shared" si="6"/>
        <v>0302</v>
      </c>
      <c r="E101" s="2" t="str">
        <f t="shared" si="7"/>
        <v>'0302.HK'</v>
      </c>
      <c r="F101" s="4" t="s">
        <v>378</v>
      </c>
      <c r="G101" s="6" t="s">
        <v>14</v>
      </c>
      <c r="H101" s="7">
        <v>1.26</v>
      </c>
      <c r="I101" s="8">
        <v>-495.4</v>
      </c>
      <c r="J101" s="8">
        <v>5093.2</v>
      </c>
      <c r="K101" s="8">
        <v>26.1</v>
      </c>
      <c r="L101" s="10">
        <v>0.76700000000000002</v>
      </c>
      <c r="M101" s="11" t="s">
        <v>379</v>
      </c>
    </row>
    <row r="102" spans="1:13" ht="40" x14ac:dyDescent="0.2">
      <c r="A102" s="2" t="s">
        <v>380</v>
      </c>
      <c r="B102" s="2" t="s">
        <v>381</v>
      </c>
      <c r="C102" s="2" t="str">
        <f>RIGHT(B102,SUM(LEN(B102)-LEN(SUBSTITUTE(B102,{"0","1","2","3","4","5","6","7","8","9"},""))))</f>
        <v>1057</v>
      </c>
      <c r="D102" s="2" t="str">
        <f t="shared" si="6"/>
        <v>1057</v>
      </c>
      <c r="E102" s="2" t="str">
        <f t="shared" si="7"/>
        <v>'1057.HK'</v>
      </c>
      <c r="F102" s="4" t="s">
        <v>382</v>
      </c>
      <c r="G102" s="6" t="s">
        <v>14</v>
      </c>
      <c r="H102" s="7">
        <v>1.1399999999999999</v>
      </c>
      <c r="I102" s="8">
        <v>-115.8</v>
      </c>
      <c r="J102" s="8">
        <v>6370.4</v>
      </c>
      <c r="K102" s="8">
        <v>34.700000000000003</v>
      </c>
      <c r="L102" s="10">
        <v>0.75800000000000001</v>
      </c>
      <c r="M102" s="5" t="s">
        <v>383</v>
      </c>
    </row>
    <row r="103" spans="1:13" ht="110" x14ac:dyDescent="0.2">
      <c r="A103" s="2" t="s">
        <v>384</v>
      </c>
      <c r="B103" s="2" t="s">
        <v>385</v>
      </c>
      <c r="C103" s="2" t="str">
        <f>RIGHT(B103,SUM(LEN(B103)-LEN(SUBSTITUTE(B103,{"0","1","2","3","4","5","6","7","8","9"},""))))</f>
        <v>1731</v>
      </c>
      <c r="D103" s="2" t="str">
        <f t="shared" si="6"/>
        <v>1731</v>
      </c>
      <c r="E103" s="2" t="str">
        <f t="shared" si="7"/>
        <v>'1731.HK'</v>
      </c>
      <c r="F103" s="4" t="s">
        <v>386</v>
      </c>
      <c r="G103" s="6" t="s">
        <v>14</v>
      </c>
      <c r="H103" s="7">
        <v>2.0299999999999998</v>
      </c>
      <c r="I103" s="8">
        <v>-359.8</v>
      </c>
      <c r="J103" s="8">
        <v>806.4</v>
      </c>
      <c r="K103" s="8">
        <v>26.9</v>
      </c>
      <c r="L103" s="10">
        <v>0.75600000000000001</v>
      </c>
      <c r="M103" s="11" t="s">
        <v>387</v>
      </c>
    </row>
    <row r="104" spans="1:13" ht="130" x14ac:dyDescent="0.2">
      <c r="A104" s="2" t="s">
        <v>388</v>
      </c>
      <c r="B104" s="2" t="s">
        <v>389</v>
      </c>
      <c r="C104" s="2" t="str">
        <f>RIGHT(B104,SUM(LEN(B104)-LEN(SUBSTITUTE(B104,{"0","1","2","3","4","5","6","7","8","9"},""))))</f>
        <v>206</v>
      </c>
      <c r="D104" s="2" t="str">
        <f t="shared" si="6"/>
        <v>0206</v>
      </c>
      <c r="E104" s="2" t="str">
        <f t="shared" si="7"/>
        <v>'0206.HK'</v>
      </c>
      <c r="F104" s="4" t="s">
        <v>390</v>
      </c>
      <c r="G104" s="6" t="s">
        <v>14</v>
      </c>
      <c r="H104" s="7">
        <v>1.49</v>
      </c>
      <c r="I104" s="8">
        <v>-99.9</v>
      </c>
      <c r="J104" s="8">
        <v>859.5</v>
      </c>
      <c r="K104" s="8">
        <v>35.4</v>
      </c>
      <c r="L104" s="10">
        <v>0.746</v>
      </c>
      <c r="M104" s="11" t="s">
        <v>391</v>
      </c>
    </row>
    <row r="105" spans="1:13" ht="50" x14ac:dyDescent="0.2">
      <c r="A105" s="2" t="s">
        <v>392</v>
      </c>
      <c r="B105" s="2" t="s">
        <v>393</v>
      </c>
      <c r="C105" s="2" t="str">
        <f>RIGHT(B105,SUM(LEN(B105)-LEN(SUBSTITUTE(B105,{"0","1","2","3","4","5","6","7","8","9"},""))))</f>
        <v>869</v>
      </c>
      <c r="D105" s="2" t="str">
        <f t="shared" si="6"/>
        <v>0869</v>
      </c>
      <c r="E105" s="2" t="str">
        <f t="shared" si="7"/>
        <v>'0869.HK'</v>
      </c>
      <c r="F105" s="4" t="s">
        <v>394</v>
      </c>
      <c r="G105" s="6" t="s">
        <v>14</v>
      </c>
      <c r="H105" s="7">
        <v>4.3600000000000003</v>
      </c>
      <c r="I105" s="8">
        <v>-942.9</v>
      </c>
      <c r="J105" s="8">
        <v>708</v>
      </c>
      <c r="K105" s="8">
        <v>21</v>
      </c>
      <c r="L105" s="10">
        <v>0.73</v>
      </c>
      <c r="M105" s="5" t="s">
        <v>395</v>
      </c>
    </row>
    <row r="106" spans="1:13" ht="180" x14ac:dyDescent="0.2">
      <c r="A106" s="2" t="s">
        <v>396</v>
      </c>
      <c r="B106" s="2" t="s">
        <v>397</v>
      </c>
      <c r="C106" s="2" t="str">
        <f>RIGHT(B106,SUM(LEN(B106)-LEN(SUBSTITUTE(B106,{"0","1","2","3","4","5","6","7","8","9"},""))))</f>
        <v>1896</v>
      </c>
      <c r="D106" s="2" t="str">
        <f t="shared" si="6"/>
        <v>1896</v>
      </c>
      <c r="E106" s="2" t="str">
        <f t="shared" si="7"/>
        <v>'1896.HK'</v>
      </c>
      <c r="F106" s="4" t="s">
        <v>398</v>
      </c>
      <c r="G106" s="6" t="s">
        <v>14</v>
      </c>
      <c r="H106" s="7">
        <v>1.23</v>
      </c>
      <c r="I106" s="8">
        <v>-2525.1999999999998</v>
      </c>
      <c r="J106" s="8">
        <v>6862</v>
      </c>
      <c r="K106" s="8">
        <v>27.6</v>
      </c>
      <c r="L106" s="10">
        <v>0.72799999999999998</v>
      </c>
      <c r="M106" s="11" t="s">
        <v>399</v>
      </c>
    </row>
    <row r="107" spans="1:13" ht="110" x14ac:dyDescent="0.2">
      <c r="A107" s="2" t="s">
        <v>400</v>
      </c>
      <c r="B107" s="2" t="s">
        <v>401</v>
      </c>
      <c r="C107" s="2" t="str">
        <f>RIGHT(B107,SUM(LEN(B107)-LEN(SUBSTITUTE(B107,{"0","1","2","3","4","5","6","7","8","9"},""))))</f>
        <v>128</v>
      </c>
      <c r="D107" s="2" t="str">
        <f t="shared" si="6"/>
        <v>0128</v>
      </c>
      <c r="E107" s="2" t="str">
        <f t="shared" si="7"/>
        <v>'0128.HK'</v>
      </c>
      <c r="F107" s="4" t="s">
        <v>402</v>
      </c>
      <c r="G107" s="6" t="s">
        <v>14</v>
      </c>
      <c r="H107" s="8">
        <v>17.5</v>
      </c>
      <c r="I107" s="8">
        <v>-688</v>
      </c>
      <c r="J107" s="8">
        <v>858.3</v>
      </c>
      <c r="K107" s="7">
        <v>3.81</v>
      </c>
      <c r="L107" s="10">
        <v>0.72699999999999998</v>
      </c>
      <c r="M107" s="11" t="s">
        <v>403</v>
      </c>
    </row>
    <row r="108" spans="1:13" ht="90" x14ac:dyDescent="0.2">
      <c r="A108" s="2" t="s">
        <v>404</v>
      </c>
      <c r="B108" s="2" t="s">
        <v>405</v>
      </c>
      <c r="C108" s="2" t="str">
        <f>RIGHT(B108,SUM(LEN(B108)-LEN(SUBSTITUTE(B108,{"0","1","2","3","4","5","6","7","8","9"},""))))</f>
        <v>2232</v>
      </c>
      <c r="D108" s="2" t="str">
        <f t="shared" si="6"/>
        <v>2232</v>
      </c>
      <c r="E108" s="2" t="str">
        <f t="shared" si="7"/>
        <v>'2232.HK'</v>
      </c>
      <c r="F108" s="4" t="s">
        <v>406</v>
      </c>
      <c r="G108" s="6" t="s">
        <v>14</v>
      </c>
      <c r="H108" s="7">
        <v>1.21</v>
      </c>
      <c r="I108" s="8">
        <v>-1581.7</v>
      </c>
      <c r="J108" s="8">
        <v>7331.7</v>
      </c>
      <c r="K108" s="8">
        <v>34</v>
      </c>
      <c r="L108" s="10">
        <v>0.72499999999999998</v>
      </c>
      <c r="M108" s="11" t="s">
        <v>407</v>
      </c>
    </row>
    <row r="109" spans="1:13" ht="50" x14ac:dyDescent="0.2">
      <c r="A109" s="2" t="s">
        <v>408</v>
      </c>
      <c r="B109" s="2" t="s">
        <v>409</v>
      </c>
      <c r="C109" s="2" t="str">
        <f>RIGHT(B109,SUM(LEN(B109)-LEN(SUBSTITUTE(B109,{"0","1","2","3","4","5","6","7","8","9"},""))))</f>
        <v>2205</v>
      </c>
      <c r="D109" s="2" t="str">
        <f t="shared" si="6"/>
        <v>2205</v>
      </c>
      <c r="E109" s="2" t="str">
        <f t="shared" si="7"/>
        <v>'2205.HK'</v>
      </c>
      <c r="F109" s="4" t="s">
        <v>410</v>
      </c>
      <c r="G109" s="6" t="s">
        <v>14</v>
      </c>
      <c r="H109" s="7">
        <v>2.36</v>
      </c>
      <c r="I109" s="8">
        <v>-682</v>
      </c>
      <c r="J109" s="8">
        <v>588</v>
      </c>
      <c r="K109" s="8">
        <v>38.200000000000003</v>
      </c>
      <c r="L109" s="10">
        <v>0.72399999999999998</v>
      </c>
      <c r="M109" s="12" t="s">
        <v>151</v>
      </c>
    </row>
    <row r="110" spans="1:13" ht="100" x14ac:dyDescent="0.2">
      <c r="A110" s="2" t="s">
        <v>411</v>
      </c>
      <c r="B110" s="2" t="s">
        <v>412</v>
      </c>
      <c r="C110" s="2" t="str">
        <f>RIGHT(B110,SUM(LEN(B110)-LEN(SUBSTITUTE(B110,{"0","1","2","3","4","5","6","7","8","9"},""))))</f>
        <v>1502</v>
      </c>
      <c r="D110" s="2" t="str">
        <f t="shared" si="6"/>
        <v>1502</v>
      </c>
      <c r="E110" s="2" t="str">
        <f t="shared" si="7"/>
        <v>'1502.HK'</v>
      </c>
      <c r="F110" s="4" t="s">
        <v>413</v>
      </c>
      <c r="G110" s="6" t="s">
        <v>14</v>
      </c>
      <c r="H110" s="7">
        <v>2.4300000000000002</v>
      </c>
      <c r="I110" s="8">
        <v>-1684.8</v>
      </c>
      <c r="J110" s="8">
        <v>959.9</v>
      </c>
      <c r="K110" s="8">
        <v>38.1</v>
      </c>
      <c r="L110" s="10">
        <v>0.72299999999999998</v>
      </c>
      <c r="M110" s="11" t="s">
        <v>414</v>
      </c>
    </row>
    <row r="111" spans="1:13" ht="140" x14ac:dyDescent="0.2">
      <c r="A111" s="2" t="s">
        <v>415</v>
      </c>
      <c r="B111" s="2" t="s">
        <v>416</v>
      </c>
      <c r="C111" s="2" t="str">
        <f>RIGHT(B111,SUM(LEN(B111)-LEN(SUBSTITUTE(B111,{"0","1","2","3","4","5","6","7","8","9"},""))))</f>
        <v>1126</v>
      </c>
      <c r="D111" s="2" t="str">
        <f t="shared" si="6"/>
        <v>1126</v>
      </c>
      <c r="E111" s="2" t="str">
        <f t="shared" si="7"/>
        <v>'1126.HK'</v>
      </c>
      <c r="F111" s="4" t="s">
        <v>417</v>
      </c>
      <c r="G111" s="6" t="s">
        <v>14</v>
      </c>
      <c r="H111" s="7">
        <v>1.24</v>
      </c>
      <c r="I111" s="8">
        <v>-302.8</v>
      </c>
      <c r="J111" s="8">
        <v>1976.4</v>
      </c>
      <c r="K111" s="8">
        <v>36.299999999999997</v>
      </c>
      <c r="L111" s="10">
        <v>0.70599999999999996</v>
      </c>
      <c r="M111" s="11" t="s">
        <v>418</v>
      </c>
    </row>
    <row r="112" spans="1:13" ht="90" x14ac:dyDescent="0.2">
      <c r="A112" s="2" t="s">
        <v>419</v>
      </c>
      <c r="B112" s="2" t="s">
        <v>420</v>
      </c>
      <c r="C112" s="2" t="str">
        <f>RIGHT(B112,SUM(LEN(B112)-LEN(SUBSTITUTE(B112,{"0","1","2","3","4","5","6","7","8","9"},""))))</f>
        <v>6909</v>
      </c>
      <c r="D112" s="2" t="str">
        <f t="shared" si="6"/>
        <v>6909</v>
      </c>
      <c r="E112" s="2" t="str">
        <f t="shared" si="7"/>
        <v>'6909.HK'</v>
      </c>
      <c r="F112" s="4" t="s">
        <v>421</v>
      </c>
      <c r="G112" s="6" t="s">
        <v>14</v>
      </c>
      <c r="H112" s="7">
        <v>1.81</v>
      </c>
      <c r="I112" s="8">
        <v>-1225.2</v>
      </c>
      <c r="J112" s="8">
        <v>2178.8000000000002</v>
      </c>
      <c r="K112" s="8">
        <v>32.5</v>
      </c>
      <c r="L112" s="10">
        <v>0.69899999999999995</v>
      </c>
      <c r="M112" s="11" t="s">
        <v>422</v>
      </c>
    </row>
    <row r="113" spans="1:13" ht="100" x14ac:dyDescent="0.2">
      <c r="A113" s="2" t="s">
        <v>423</v>
      </c>
      <c r="B113" s="2" t="s">
        <v>424</v>
      </c>
      <c r="C113" s="2" t="str">
        <f>RIGHT(B113,SUM(LEN(B113)-LEN(SUBSTITUTE(B113,{"0","1","2","3","4","5","6","7","8","9"},""))))</f>
        <v>6601</v>
      </c>
      <c r="D113" s="2" t="str">
        <f t="shared" si="6"/>
        <v>6601</v>
      </c>
      <c r="E113" s="2" t="str">
        <f t="shared" si="7"/>
        <v>'6601.HK'</v>
      </c>
      <c r="F113" s="4" t="s">
        <v>425</v>
      </c>
      <c r="G113" s="6" t="s">
        <v>14</v>
      </c>
      <c r="H113" s="7">
        <v>4.05</v>
      </c>
      <c r="I113" s="8">
        <v>-3256.8</v>
      </c>
      <c r="J113" s="8">
        <v>2333.3000000000002</v>
      </c>
      <c r="K113" s="8">
        <v>20.100000000000001</v>
      </c>
      <c r="L113" s="10">
        <v>0.69799999999999995</v>
      </c>
      <c r="M113" s="11" t="s">
        <v>426</v>
      </c>
    </row>
    <row r="114" spans="1:13" ht="160" x14ac:dyDescent="0.2">
      <c r="A114" s="2" t="s">
        <v>427</v>
      </c>
      <c r="B114" s="2" t="s">
        <v>428</v>
      </c>
      <c r="C114" s="2" t="str">
        <f>RIGHT(B114,SUM(LEN(B114)-LEN(SUBSTITUTE(B114,{"0","1","2","3","4","5","6","7","8","9"},""))))</f>
        <v>677</v>
      </c>
      <c r="D114" s="2" t="str">
        <f t="shared" si="6"/>
        <v>0677</v>
      </c>
      <c r="E114" s="2" t="str">
        <f t="shared" si="7"/>
        <v>'0677.HK'</v>
      </c>
      <c r="F114" s="4" t="s">
        <v>429</v>
      </c>
      <c r="G114" s="6" t="s">
        <v>14</v>
      </c>
      <c r="H114" s="7">
        <v>1.98</v>
      </c>
      <c r="I114" s="8">
        <v>-271.8</v>
      </c>
      <c r="J114" s="8">
        <v>789.3</v>
      </c>
      <c r="K114" s="8">
        <v>34.700000000000003</v>
      </c>
      <c r="L114" s="10">
        <v>0.69</v>
      </c>
      <c r="M114" s="11" t="s">
        <v>430</v>
      </c>
    </row>
    <row r="115" spans="1:13" ht="200" x14ac:dyDescent="0.2">
      <c r="A115" s="2" t="s">
        <v>431</v>
      </c>
      <c r="B115" s="2" t="s">
        <v>432</v>
      </c>
      <c r="C115" s="2" t="str">
        <f>RIGHT(B115,SUM(LEN(B115)-LEN(SUBSTITUTE(B115,{"0","1","2","3","4","5","6","7","8","9"},""))))</f>
        <v>9666</v>
      </c>
      <c r="D115" s="2" t="str">
        <f t="shared" si="6"/>
        <v>9666</v>
      </c>
      <c r="E115" s="2" t="str">
        <f t="shared" si="7"/>
        <v>'9666.HK'</v>
      </c>
      <c r="F115" s="4" t="s">
        <v>433</v>
      </c>
      <c r="G115" s="6" t="s">
        <v>14</v>
      </c>
      <c r="H115" s="7">
        <v>3.51</v>
      </c>
      <c r="I115" s="8">
        <v>-6097.1</v>
      </c>
      <c r="J115" s="8">
        <v>5888.7</v>
      </c>
      <c r="K115" s="8">
        <v>26</v>
      </c>
      <c r="L115" s="10">
        <v>0.66900000000000004</v>
      </c>
      <c r="M115" s="11" t="s">
        <v>434</v>
      </c>
    </row>
    <row r="116" spans="1:13" ht="160" x14ac:dyDescent="0.2">
      <c r="A116" s="2" t="s">
        <v>435</v>
      </c>
      <c r="B116" s="2" t="s">
        <v>436</v>
      </c>
      <c r="C116" s="2" t="str">
        <f>RIGHT(B116,SUM(LEN(B116)-LEN(SUBSTITUTE(B116,{"0","1","2","3","4","5","6","7","8","9"},""))))</f>
        <v>335</v>
      </c>
      <c r="D116" s="2" t="str">
        <f t="shared" si="6"/>
        <v>0335</v>
      </c>
      <c r="E116" s="2" t="str">
        <f t="shared" si="7"/>
        <v>'0335.HK'</v>
      </c>
      <c r="F116" s="4" t="s">
        <v>437</v>
      </c>
      <c r="G116" s="6" t="s">
        <v>14</v>
      </c>
      <c r="H116" s="7">
        <v>2.63</v>
      </c>
      <c r="I116" s="8">
        <v>-333.8</v>
      </c>
      <c r="J116" s="8">
        <v>1797.1</v>
      </c>
      <c r="K116" s="8">
        <v>17.399999999999999</v>
      </c>
      <c r="L116" s="10">
        <v>0.66100000000000003</v>
      </c>
      <c r="M116" s="11" t="s">
        <v>438</v>
      </c>
    </row>
    <row r="117" spans="1:13" ht="40" x14ac:dyDescent="0.2">
      <c r="A117" s="2" t="s">
        <v>439</v>
      </c>
      <c r="B117" s="2" t="s">
        <v>440</v>
      </c>
      <c r="C117" s="2" t="str">
        <f>RIGHT(B117,SUM(LEN(B117)-LEN(SUBSTITUTE(B117,{"0","1","2","3","4","5","6","7","8","9"},""))))</f>
        <v>9990</v>
      </c>
      <c r="D117" s="2" t="str">
        <f t="shared" si="6"/>
        <v>9990</v>
      </c>
      <c r="E117" s="2" t="str">
        <f t="shared" si="7"/>
        <v>'9990.HK'</v>
      </c>
      <c r="F117" s="4" t="s">
        <v>441</v>
      </c>
      <c r="G117" s="6" t="s">
        <v>14</v>
      </c>
      <c r="H117" s="8">
        <v>12.1</v>
      </c>
      <c r="I117" s="8">
        <v>-3153.3</v>
      </c>
      <c r="J117" s="8">
        <v>2594.6</v>
      </c>
      <c r="K117" s="7">
        <v>10</v>
      </c>
      <c r="L117" s="10">
        <v>0.65900000000000003</v>
      </c>
      <c r="M117" s="5" t="s">
        <v>264</v>
      </c>
    </row>
    <row r="118" spans="1:13" ht="30" x14ac:dyDescent="0.2">
      <c r="A118" s="2" t="s">
        <v>442</v>
      </c>
      <c r="B118" s="2" t="s">
        <v>443</v>
      </c>
      <c r="C118" s="2" t="str">
        <f>RIGHT(B118,SUM(LEN(B118)-LEN(SUBSTITUTE(B118,{"0","1","2","3","4","5","6","7","8","9"},""))))</f>
        <v>2686</v>
      </c>
      <c r="D118" s="2" t="str">
        <f t="shared" si="6"/>
        <v>2686</v>
      </c>
      <c r="E118" s="2" t="str">
        <f t="shared" si="7"/>
        <v>'2686.HK'</v>
      </c>
      <c r="F118" s="4" t="s">
        <v>444</v>
      </c>
      <c r="G118" s="6" t="s">
        <v>14</v>
      </c>
      <c r="H118" s="7">
        <v>3.08</v>
      </c>
      <c r="I118" s="8">
        <v>-2181.6</v>
      </c>
      <c r="J118" s="8">
        <v>5058.7</v>
      </c>
      <c r="K118" s="8">
        <v>20.5</v>
      </c>
      <c r="L118" s="10">
        <v>0.63500000000000001</v>
      </c>
      <c r="M118" s="5" t="s">
        <v>445</v>
      </c>
    </row>
    <row r="119" spans="1:13" ht="70" x14ac:dyDescent="0.2">
      <c r="A119" s="2" t="s">
        <v>446</v>
      </c>
      <c r="B119" s="2" t="s">
        <v>447</v>
      </c>
      <c r="C119" s="2" t="str">
        <f>RIGHT(B119,SUM(LEN(B119)-LEN(SUBSTITUTE(B119,{"0","1","2","3","4","5","6","7","8","9"},""))))</f>
        <v>1981</v>
      </c>
      <c r="D119" s="2" t="str">
        <f t="shared" si="6"/>
        <v>1981</v>
      </c>
      <c r="E119" s="2" t="str">
        <f t="shared" si="7"/>
        <v>'1981.HK'</v>
      </c>
      <c r="F119" s="4" t="s">
        <v>448</v>
      </c>
      <c r="G119" s="6" t="s">
        <v>449</v>
      </c>
      <c r="H119" s="7">
        <v>1.29</v>
      </c>
      <c r="I119" s="8">
        <v>-1016.3</v>
      </c>
      <c r="J119" s="8">
        <v>1952.8</v>
      </c>
      <c r="K119" s="8">
        <v>26.7</v>
      </c>
      <c r="L119" s="10">
        <v>0.624</v>
      </c>
      <c r="M119" s="11" t="s">
        <v>450</v>
      </c>
    </row>
    <row r="120" spans="1:13" ht="60" x14ac:dyDescent="0.2">
      <c r="A120" s="2" t="s">
        <v>451</v>
      </c>
      <c r="B120" s="2" t="s">
        <v>452</v>
      </c>
      <c r="C120" s="2" t="str">
        <f>RIGHT(B120,SUM(LEN(B120)-LEN(SUBSTITUTE(B120,{"0","1","2","3","4","5","6","7","8","9"},""))))</f>
        <v>3913</v>
      </c>
      <c r="D120" s="2" t="str">
        <f t="shared" si="6"/>
        <v>3913</v>
      </c>
      <c r="E120" s="2" t="str">
        <f t="shared" si="7"/>
        <v>'3913.HK'</v>
      </c>
      <c r="F120" s="4" t="s">
        <v>453</v>
      </c>
      <c r="G120" s="6" t="s">
        <v>14</v>
      </c>
      <c r="H120" s="7">
        <v>1.82</v>
      </c>
      <c r="I120" s="8">
        <v>-1539.5</v>
      </c>
      <c r="J120" s="8">
        <v>2734.9</v>
      </c>
      <c r="K120" s="8">
        <v>29.7</v>
      </c>
      <c r="L120" s="10">
        <v>0.61599999999999999</v>
      </c>
      <c r="M120" s="11" t="s">
        <v>248</v>
      </c>
    </row>
    <row r="121" spans="1:13" ht="150" x14ac:dyDescent="0.2">
      <c r="A121" s="2" t="s">
        <v>454</v>
      </c>
      <c r="B121" s="2" t="s">
        <v>455</v>
      </c>
      <c r="C121" s="2" t="str">
        <f>RIGHT(B121,SUM(LEN(B121)-LEN(SUBSTITUTE(B121,{"0","1","2","3","4","5","6","7","8","9"},""))))</f>
        <v>800</v>
      </c>
      <c r="D121" s="2" t="str">
        <f t="shared" si="6"/>
        <v>0800</v>
      </c>
      <c r="E121" s="2" t="str">
        <f t="shared" si="7"/>
        <v>'0800.HK'</v>
      </c>
      <c r="F121" s="4" t="s">
        <v>456</v>
      </c>
      <c r="G121" s="6" t="s">
        <v>14</v>
      </c>
      <c r="H121" s="7">
        <v>7.21</v>
      </c>
      <c r="I121" s="8">
        <v>-683.7</v>
      </c>
      <c r="J121" s="8">
        <v>1087.9000000000001</v>
      </c>
      <c r="K121" s="8">
        <v>11</v>
      </c>
      <c r="L121" s="10">
        <v>0.60899999999999999</v>
      </c>
      <c r="M121" s="11" t="s">
        <v>457</v>
      </c>
    </row>
    <row r="122" spans="1:13" ht="70" x14ac:dyDescent="0.2">
      <c r="A122" s="2" t="s">
        <v>458</v>
      </c>
      <c r="B122" s="2" t="s">
        <v>459</v>
      </c>
      <c r="C122" s="2" t="str">
        <f>RIGHT(B122,SUM(LEN(B122)-LEN(SUBSTITUTE(B122,{"0","1","2","3","4","5","6","7","8","9"},""))))</f>
        <v>93</v>
      </c>
      <c r="D122" s="2" t="str">
        <f t="shared" si="6"/>
        <v>0093</v>
      </c>
      <c r="E122" s="2" t="str">
        <f t="shared" si="7"/>
        <v>'0093.HK'</v>
      </c>
      <c r="F122" s="4" t="s">
        <v>460</v>
      </c>
      <c r="G122" s="6" t="s">
        <v>14</v>
      </c>
      <c r="H122" s="7">
        <v>2.93</v>
      </c>
      <c r="I122" s="8">
        <v>-180.3</v>
      </c>
      <c r="J122" s="8">
        <v>666.9</v>
      </c>
      <c r="K122" s="8">
        <v>15.9</v>
      </c>
      <c r="L122" s="10">
        <v>0.59799999999999998</v>
      </c>
      <c r="M122" s="11" t="s">
        <v>461</v>
      </c>
    </row>
    <row r="123" spans="1:13" ht="60" x14ac:dyDescent="0.2">
      <c r="A123" s="2" t="s">
        <v>462</v>
      </c>
      <c r="B123" s="2" t="s">
        <v>463</v>
      </c>
      <c r="C123" s="2" t="str">
        <f>RIGHT(B123,SUM(LEN(B123)-LEN(SUBSTITUTE(B123,{"0","1","2","3","4","5","6","7","8","9"},""))))</f>
        <v>8137</v>
      </c>
      <c r="D123" s="2" t="str">
        <f t="shared" si="6"/>
        <v>8137</v>
      </c>
      <c r="E123" s="2" t="str">
        <f t="shared" si="7"/>
        <v>'8137.HK'</v>
      </c>
      <c r="F123" s="4" t="s">
        <v>464</v>
      </c>
      <c r="G123" s="6" t="s">
        <v>14</v>
      </c>
      <c r="H123" s="7">
        <v>2.54</v>
      </c>
      <c r="I123" s="8">
        <v>-259.3</v>
      </c>
      <c r="J123" s="8">
        <v>2872.5</v>
      </c>
      <c r="K123" s="8">
        <v>35.9</v>
      </c>
      <c r="L123" s="10">
        <v>0.58899999999999997</v>
      </c>
      <c r="M123" s="11" t="s">
        <v>465</v>
      </c>
    </row>
    <row r="124" spans="1:13" ht="90" x14ac:dyDescent="0.2">
      <c r="A124" s="2" t="s">
        <v>466</v>
      </c>
      <c r="B124" s="2" t="s">
        <v>467</v>
      </c>
      <c r="C124" s="2" t="str">
        <f>RIGHT(B124,SUM(LEN(B124)-LEN(SUBSTITUTE(B124,{"0","1","2","3","4","5","6","7","8","9"},""))))</f>
        <v>468</v>
      </c>
      <c r="D124" s="2" t="str">
        <f t="shared" si="6"/>
        <v>0468</v>
      </c>
      <c r="E124" s="2" t="str">
        <f t="shared" si="7"/>
        <v>'0468.HK'</v>
      </c>
      <c r="F124" s="4" t="s">
        <v>468</v>
      </c>
      <c r="G124" s="6" t="s">
        <v>14</v>
      </c>
      <c r="H124" s="7">
        <v>1.01</v>
      </c>
      <c r="I124" s="8">
        <v>-140</v>
      </c>
      <c r="J124" s="8">
        <v>1844.5</v>
      </c>
      <c r="K124" s="8">
        <v>33.9</v>
      </c>
      <c r="L124" s="10">
        <v>0.58699999999999997</v>
      </c>
      <c r="M124" s="11" t="s">
        <v>469</v>
      </c>
    </row>
    <row r="125" spans="1:13" ht="70" x14ac:dyDescent="0.2">
      <c r="A125" s="2" t="s">
        <v>470</v>
      </c>
      <c r="B125" s="2" t="s">
        <v>471</v>
      </c>
      <c r="C125" s="2" t="str">
        <f>RIGHT(B125,SUM(LEN(B125)-LEN(SUBSTITUTE(B125,{"0","1","2","3","4","5","6","7","8","9"},""))))</f>
        <v>1868</v>
      </c>
      <c r="D125" s="2" t="str">
        <f t="shared" si="6"/>
        <v>1868</v>
      </c>
      <c r="E125" s="2" t="str">
        <f t="shared" si="7"/>
        <v>'1868.HK'</v>
      </c>
      <c r="F125" s="4" t="s">
        <v>472</v>
      </c>
      <c r="G125" s="6" t="s">
        <v>14</v>
      </c>
      <c r="H125" s="7">
        <v>3.66</v>
      </c>
      <c r="I125" s="8">
        <v>-775.8</v>
      </c>
      <c r="J125" s="8">
        <v>963.5</v>
      </c>
      <c r="K125" s="8">
        <v>16.7</v>
      </c>
      <c r="L125" s="10">
        <v>0.57999999999999996</v>
      </c>
      <c r="M125" s="11" t="s">
        <v>473</v>
      </c>
    </row>
    <row r="126" spans="1:13" ht="180" x14ac:dyDescent="0.2">
      <c r="A126" s="2" t="s">
        <v>474</v>
      </c>
      <c r="B126" s="2" t="s">
        <v>475</v>
      </c>
      <c r="C126" s="2" t="str">
        <f>RIGHT(B126,SUM(LEN(B126)-LEN(SUBSTITUTE(B126,{"0","1","2","3","4","5","6","7","8","9"},""))))</f>
        <v>423</v>
      </c>
      <c r="D126" s="2" t="str">
        <f t="shared" si="6"/>
        <v>0423</v>
      </c>
      <c r="E126" s="2" t="str">
        <f t="shared" si="7"/>
        <v>'0423.HK'</v>
      </c>
      <c r="F126" s="4" t="s">
        <v>476</v>
      </c>
      <c r="G126" s="6" t="s">
        <v>14</v>
      </c>
      <c r="H126" s="7">
        <v>2.42</v>
      </c>
      <c r="I126" s="8">
        <v>-473.5</v>
      </c>
      <c r="J126" s="8">
        <v>505</v>
      </c>
      <c r="K126" s="8">
        <v>24.4</v>
      </c>
      <c r="L126" s="10">
        <v>0.56499999999999995</v>
      </c>
      <c r="M126" s="11" t="s">
        <v>477</v>
      </c>
    </row>
    <row r="127" spans="1:13" ht="60" x14ac:dyDescent="0.2">
      <c r="A127" s="2" t="s">
        <v>478</v>
      </c>
      <c r="B127" s="2" t="s">
        <v>479</v>
      </c>
      <c r="C127" s="2" t="str">
        <f>RIGHT(B127,SUM(LEN(B127)-LEN(SUBSTITUTE(B127,{"0","1","2","3","4","5","6","7","8","9"},""))))</f>
        <v>1753</v>
      </c>
      <c r="D127" s="2" t="str">
        <f t="shared" si="6"/>
        <v>1753</v>
      </c>
      <c r="E127" s="2" t="str">
        <f t="shared" si="7"/>
        <v>'1753.HK'</v>
      </c>
      <c r="F127" s="4" t="s">
        <v>480</v>
      </c>
      <c r="G127" s="6" t="s">
        <v>14</v>
      </c>
      <c r="H127" s="7">
        <v>4.68</v>
      </c>
      <c r="I127" s="8">
        <v>-1498.3</v>
      </c>
      <c r="J127" s="8">
        <v>850.7</v>
      </c>
      <c r="K127" s="8">
        <v>17.8</v>
      </c>
      <c r="L127" s="10">
        <v>0.56200000000000006</v>
      </c>
      <c r="M127" s="11" t="s">
        <v>481</v>
      </c>
    </row>
    <row r="128" spans="1:13" ht="170" x14ac:dyDescent="0.2">
      <c r="A128" s="2" t="s">
        <v>482</v>
      </c>
      <c r="B128" s="2" t="s">
        <v>483</v>
      </c>
      <c r="C128" s="2" t="str">
        <f>RIGHT(B128,SUM(LEN(B128)-LEN(SUBSTITUTE(B128,{"0","1","2","3","4","5","6","7","8","9"},""))))</f>
        <v>32</v>
      </c>
      <c r="D128" s="2" t="str">
        <f t="shared" si="6"/>
        <v>0032</v>
      </c>
      <c r="E128" s="2" t="str">
        <f t="shared" si="7"/>
        <v>'0032.HK'</v>
      </c>
      <c r="F128" s="4" t="s">
        <v>484</v>
      </c>
      <c r="G128" s="6" t="s">
        <v>14</v>
      </c>
      <c r="H128" s="7">
        <v>5.35</v>
      </c>
      <c r="I128" s="8">
        <v>-4070.1</v>
      </c>
      <c r="J128" s="8">
        <v>3913.2</v>
      </c>
      <c r="K128" s="7">
        <v>9.92</v>
      </c>
      <c r="L128" s="10">
        <v>0.55800000000000005</v>
      </c>
      <c r="M128" s="11" t="s">
        <v>485</v>
      </c>
    </row>
    <row r="129" spans="1:13" ht="90" x14ac:dyDescent="0.2">
      <c r="A129" s="2" t="s">
        <v>486</v>
      </c>
      <c r="B129" s="2" t="s">
        <v>487</v>
      </c>
      <c r="C129" s="2" t="str">
        <f>RIGHT(B129,SUM(LEN(B129)-LEN(SUBSTITUTE(B129,{"0","1","2","3","4","5","6","7","8","9"},""))))</f>
        <v>2125</v>
      </c>
      <c r="D129" s="2" t="str">
        <f t="shared" si="6"/>
        <v>2125</v>
      </c>
      <c r="E129" s="2" t="str">
        <f t="shared" si="7"/>
        <v>'2125.HK'</v>
      </c>
      <c r="F129" s="4" t="s">
        <v>488</v>
      </c>
      <c r="G129" s="6" t="s">
        <v>14</v>
      </c>
      <c r="H129" s="7">
        <v>1.07</v>
      </c>
      <c r="I129" s="8">
        <v>-52.4</v>
      </c>
      <c r="J129" s="8">
        <v>1198.2</v>
      </c>
      <c r="K129" s="8">
        <v>37.6</v>
      </c>
      <c r="L129" s="10">
        <v>0.55500000000000005</v>
      </c>
      <c r="M129" s="11" t="s">
        <v>489</v>
      </c>
    </row>
    <row r="130" spans="1:13" ht="110" x14ac:dyDescent="0.2">
      <c r="A130" s="2" t="s">
        <v>490</v>
      </c>
      <c r="B130" s="2" t="s">
        <v>491</v>
      </c>
      <c r="C130" s="2" t="str">
        <f>RIGHT(B130,SUM(LEN(B130)-LEN(SUBSTITUTE(B130,{"0","1","2","3","4","5","6","7","8","9"},""))))</f>
        <v>3339</v>
      </c>
      <c r="D130" s="2" t="str">
        <f t="shared" si="6"/>
        <v>3339</v>
      </c>
      <c r="E130" s="2" t="str">
        <f t="shared" si="7"/>
        <v>'3339.HK'</v>
      </c>
      <c r="F130" s="4" t="s">
        <v>492</v>
      </c>
      <c r="G130" s="6" t="s">
        <v>14</v>
      </c>
      <c r="H130" s="7">
        <v>1.31</v>
      </c>
      <c r="I130" s="8">
        <v>-4206.3999999999996</v>
      </c>
      <c r="J130" s="8">
        <v>5435.7</v>
      </c>
      <c r="K130" s="8">
        <v>38.5</v>
      </c>
      <c r="L130" s="10">
        <v>0.54400000000000004</v>
      </c>
      <c r="M130" s="11" t="s">
        <v>493</v>
      </c>
    </row>
    <row r="131" spans="1:13" ht="90" x14ac:dyDescent="0.2">
      <c r="A131" s="2" t="s">
        <v>494</v>
      </c>
      <c r="B131" s="2" t="s">
        <v>495</v>
      </c>
      <c r="C131" s="2" t="str">
        <f>RIGHT(B131,SUM(LEN(B131)-LEN(SUBSTITUTE(B131,{"0","1","2","3","4","5","6","7","8","9"},""))))</f>
        <v>1170</v>
      </c>
      <c r="D131" s="2" t="str">
        <f t="shared" si="6"/>
        <v>1170</v>
      </c>
      <c r="E131" s="2" t="str">
        <f t="shared" si="7"/>
        <v>'1170.HK'</v>
      </c>
      <c r="F131" s="4" t="s">
        <v>496</v>
      </c>
      <c r="G131" s="6" t="s">
        <v>14</v>
      </c>
      <c r="H131" s="7">
        <v>1.8</v>
      </c>
      <c r="I131" s="8">
        <v>-285.60000000000002</v>
      </c>
      <c r="J131" s="8">
        <v>652.29999999999995</v>
      </c>
      <c r="K131" s="8">
        <v>26.4</v>
      </c>
      <c r="L131" s="10">
        <v>0.53900000000000003</v>
      </c>
      <c r="M131" s="11" t="s">
        <v>497</v>
      </c>
    </row>
    <row r="132" spans="1:13" ht="100" x14ac:dyDescent="0.2">
      <c r="A132" s="2" t="s">
        <v>498</v>
      </c>
      <c r="B132" s="2" t="s">
        <v>499</v>
      </c>
      <c r="C132" s="2" t="str">
        <f>RIGHT(B132,SUM(LEN(B132)-LEN(SUBSTITUTE(B132,{"0","1","2","3","4","5","6","7","8","9"},""))))</f>
        <v>1221</v>
      </c>
      <c r="D132" s="2" t="str">
        <f t="shared" si="6"/>
        <v>1221</v>
      </c>
      <c r="E132" s="2" t="str">
        <f t="shared" si="7"/>
        <v>'1221.HK'</v>
      </c>
      <c r="F132" s="4" t="s">
        <v>500</v>
      </c>
      <c r="G132" s="6" t="s">
        <v>14</v>
      </c>
      <c r="H132" s="8">
        <v>58.1</v>
      </c>
      <c r="I132" s="8">
        <v>-837.8</v>
      </c>
      <c r="J132" s="8">
        <v>2171</v>
      </c>
      <c r="K132" s="10">
        <v>0.35</v>
      </c>
      <c r="L132" s="10">
        <v>0.53200000000000003</v>
      </c>
      <c r="M132" s="11" t="s">
        <v>501</v>
      </c>
    </row>
    <row r="133" spans="1:13" ht="100" x14ac:dyDescent="0.2">
      <c r="A133" s="2" t="s">
        <v>502</v>
      </c>
      <c r="B133" s="2" t="s">
        <v>503</v>
      </c>
      <c r="C133" s="2" t="str">
        <f>RIGHT(B133,SUM(LEN(B133)-LEN(SUBSTITUTE(B133,{"0","1","2","3","4","5","6","7","8","9"},""))))</f>
        <v>215</v>
      </c>
      <c r="D133" s="2" t="str">
        <f t="shared" si="6"/>
        <v>0215</v>
      </c>
      <c r="E133" s="2" t="str">
        <f t="shared" si="7"/>
        <v>'0215.HK'</v>
      </c>
      <c r="F133" s="4" t="s">
        <v>504</v>
      </c>
      <c r="G133" s="6" t="s">
        <v>14</v>
      </c>
      <c r="H133" s="7">
        <v>2.09</v>
      </c>
      <c r="I133" s="8">
        <v>-3558</v>
      </c>
      <c r="J133" s="8">
        <v>5541.9</v>
      </c>
      <c r="K133" s="8">
        <v>30</v>
      </c>
      <c r="L133" s="10">
        <v>0.52900000000000003</v>
      </c>
      <c r="M133" s="11" t="s">
        <v>505</v>
      </c>
    </row>
    <row r="134" spans="1:13" ht="70" x14ac:dyDescent="0.2">
      <c r="A134" s="2" t="s">
        <v>506</v>
      </c>
      <c r="B134" s="2" t="s">
        <v>507</v>
      </c>
      <c r="C134" s="2" t="str">
        <f>RIGHT(B134,SUM(LEN(B134)-LEN(SUBSTITUTE(B134,{"0","1","2","3","4","5","6","7","8","9"},""))))</f>
        <v>6919</v>
      </c>
      <c r="D134" s="2" t="str">
        <f t="shared" si="6"/>
        <v>6919</v>
      </c>
      <c r="E134" s="2" t="str">
        <f t="shared" si="7"/>
        <v>'6919.HK'</v>
      </c>
      <c r="F134" s="4" t="s">
        <v>508</v>
      </c>
      <c r="G134" s="6" t="s">
        <v>14</v>
      </c>
      <c r="H134" s="7">
        <v>2.4700000000000002</v>
      </c>
      <c r="I134" s="8">
        <v>-951.8</v>
      </c>
      <c r="J134" s="8">
        <v>744.3</v>
      </c>
      <c r="K134" s="8">
        <v>35.9</v>
      </c>
      <c r="L134" s="10">
        <v>0.51400000000000001</v>
      </c>
      <c r="M134" s="11" t="s">
        <v>509</v>
      </c>
    </row>
    <row r="135" spans="1:13" ht="110" x14ac:dyDescent="0.2">
      <c r="A135" s="2" t="s">
        <v>510</v>
      </c>
      <c r="B135" s="2" t="s">
        <v>511</v>
      </c>
      <c r="C135" s="2" t="str">
        <f>RIGHT(B135,SUM(LEN(B135)-LEN(SUBSTITUTE(B135,{"0","1","2","3","4","5","6","7","8","9"},""))))</f>
        <v>2100</v>
      </c>
      <c r="D135" s="2" t="str">
        <f t="shared" si="6"/>
        <v>2100</v>
      </c>
      <c r="E135" s="2" t="str">
        <f t="shared" si="7"/>
        <v>'2100.HK'</v>
      </c>
      <c r="F135" s="4" t="s">
        <v>512</v>
      </c>
      <c r="G135" s="6" t="s">
        <v>14</v>
      </c>
      <c r="H135" s="7">
        <v>6.14</v>
      </c>
      <c r="I135" s="8">
        <v>-1733.7</v>
      </c>
      <c r="J135" s="8">
        <v>1044.4000000000001</v>
      </c>
      <c r="K135" s="8">
        <v>15.6</v>
      </c>
      <c r="L135" s="10">
        <v>0.51100000000000001</v>
      </c>
      <c r="M135" s="11" t="s">
        <v>513</v>
      </c>
    </row>
    <row r="136" spans="1:13" ht="100" x14ac:dyDescent="0.2">
      <c r="A136" s="2" t="s">
        <v>514</v>
      </c>
      <c r="B136" s="2" t="s">
        <v>515</v>
      </c>
      <c r="C136" s="2" t="str">
        <f>RIGHT(B136,SUM(LEN(B136)-LEN(SUBSTITUTE(B136,{"0","1","2","3","4","5","6","7","8","9"},""))))</f>
        <v>1127</v>
      </c>
      <c r="D136" s="2" t="str">
        <f t="shared" si="6"/>
        <v>1127</v>
      </c>
      <c r="E136" s="2" t="str">
        <f t="shared" si="7"/>
        <v>'1127.HK'</v>
      </c>
      <c r="F136" s="4" t="s">
        <v>516</v>
      </c>
      <c r="G136" s="6" t="s">
        <v>14</v>
      </c>
      <c r="H136" s="7">
        <v>1.52</v>
      </c>
      <c r="I136" s="8">
        <v>-112.8</v>
      </c>
      <c r="J136" s="8">
        <v>677.6</v>
      </c>
      <c r="K136" s="8">
        <v>33.6</v>
      </c>
      <c r="L136" s="10">
        <v>0.502</v>
      </c>
      <c r="M136" s="11" t="s">
        <v>517</v>
      </c>
    </row>
    <row r="137" spans="1:13" ht="200" x14ac:dyDescent="0.2">
      <c r="A137" s="2" t="s">
        <v>518</v>
      </c>
      <c r="B137" s="2" t="s">
        <v>519</v>
      </c>
      <c r="C137" s="2" t="str">
        <f>RIGHT(B137,SUM(LEN(B137)-LEN(SUBSTITUTE(B137,{"0","1","2","3","4","5","6","7","8","9"},""))))</f>
        <v>701</v>
      </c>
      <c r="D137" s="2" t="str">
        <f t="shared" si="6"/>
        <v>0701</v>
      </c>
      <c r="E137" s="2" t="str">
        <f t="shared" si="7"/>
        <v>'0701.HK'</v>
      </c>
      <c r="F137" s="4" t="s">
        <v>520</v>
      </c>
      <c r="G137" s="6" t="s">
        <v>14</v>
      </c>
      <c r="H137" s="7">
        <v>1.37</v>
      </c>
      <c r="I137" s="8">
        <v>-267</v>
      </c>
      <c r="J137" s="8">
        <v>713.9</v>
      </c>
      <c r="K137" s="8">
        <v>31.1</v>
      </c>
      <c r="L137" s="10">
        <v>0.5</v>
      </c>
      <c r="M137" s="11" t="s">
        <v>521</v>
      </c>
    </row>
    <row r="138" spans="1:13" ht="110" x14ac:dyDescent="0.2">
      <c r="A138" s="2" t="s">
        <v>522</v>
      </c>
      <c r="B138" s="2" t="s">
        <v>523</v>
      </c>
      <c r="C138" s="2" t="str">
        <f>RIGHT(B138,SUM(LEN(B138)-LEN(SUBSTITUTE(B138,{"0","1","2","3","4","5","6","7","8","9"},""))))</f>
        <v>3700</v>
      </c>
      <c r="D138" s="2" t="str">
        <f t="shared" si="6"/>
        <v>3700</v>
      </c>
      <c r="E138" s="2" t="str">
        <f t="shared" si="7"/>
        <v>'3700.HK'</v>
      </c>
      <c r="F138" s="4" t="s">
        <v>524</v>
      </c>
      <c r="G138" s="6" t="s">
        <v>14</v>
      </c>
      <c r="H138" s="7">
        <v>2.62</v>
      </c>
      <c r="I138" s="8">
        <v>-3328.5</v>
      </c>
      <c r="J138" s="8">
        <v>2287.1999999999998</v>
      </c>
      <c r="K138" s="8">
        <v>25</v>
      </c>
      <c r="L138" s="10">
        <v>0.48699999999999999</v>
      </c>
      <c r="M138" s="11" t="s">
        <v>525</v>
      </c>
    </row>
    <row r="139" spans="1:13" ht="80" x14ac:dyDescent="0.2">
      <c r="A139" s="2" t="s">
        <v>526</v>
      </c>
      <c r="B139" s="2" t="s">
        <v>527</v>
      </c>
      <c r="C139" s="2" t="str">
        <f>RIGHT(B139,SUM(LEN(B139)-LEN(SUBSTITUTE(B139,{"0","1","2","3","4","5","6","7","8","9"},""))))</f>
        <v>556</v>
      </c>
      <c r="D139" s="2" t="str">
        <f t="shared" si="6"/>
        <v>0556</v>
      </c>
      <c r="E139" s="2" t="str">
        <f t="shared" si="7"/>
        <v>'0556.HK'</v>
      </c>
      <c r="F139" s="4" t="s">
        <v>528</v>
      </c>
      <c r="G139" s="6" t="s">
        <v>14</v>
      </c>
      <c r="H139" s="8">
        <v>15.1</v>
      </c>
      <c r="I139" s="8">
        <v>-1444.4</v>
      </c>
      <c r="J139" s="8">
        <v>613.20000000000005</v>
      </c>
      <c r="K139" s="7">
        <v>8.17</v>
      </c>
      <c r="L139" s="10">
        <v>0.47899999999999998</v>
      </c>
      <c r="M139" s="11" t="s">
        <v>529</v>
      </c>
    </row>
    <row r="140" spans="1:13" ht="250" x14ac:dyDescent="0.2">
      <c r="A140" s="2" t="s">
        <v>530</v>
      </c>
      <c r="B140" s="2" t="s">
        <v>531</v>
      </c>
      <c r="C140" s="2" t="str">
        <f>RIGHT(B140,SUM(LEN(B140)-LEN(SUBSTITUTE(B140,{"0","1","2","3","4","5","6","7","8","9"},""))))</f>
        <v>393</v>
      </c>
      <c r="D140" s="2" t="str">
        <f t="shared" si="6"/>
        <v>0393</v>
      </c>
      <c r="E140" s="2" t="str">
        <f t="shared" si="7"/>
        <v>'0393.HK'</v>
      </c>
      <c r="F140" s="4" t="s">
        <v>532</v>
      </c>
      <c r="G140" s="6" t="s">
        <v>14</v>
      </c>
      <c r="H140" s="7">
        <v>3.6</v>
      </c>
      <c r="I140" s="8">
        <v>-2359</v>
      </c>
      <c r="J140" s="8">
        <v>1130.7</v>
      </c>
      <c r="K140" s="8">
        <v>24.5</v>
      </c>
      <c r="L140" s="10">
        <v>0.47</v>
      </c>
      <c r="M140" s="11" t="s">
        <v>533</v>
      </c>
    </row>
    <row r="141" spans="1:13" ht="120" x14ac:dyDescent="0.2">
      <c r="A141" s="2" t="s">
        <v>534</v>
      </c>
      <c r="B141" s="2" t="s">
        <v>535</v>
      </c>
      <c r="C141" s="2" t="str">
        <f>RIGHT(B141,SUM(LEN(B141)-LEN(SUBSTITUTE(B141,{"0","1","2","3","4","5","6","7","8","9"},""))))</f>
        <v>3983</v>
      </c>
      <c r="D141" s="2" t="str">
        <f t="shared" si="6"/>
        <v>3983</v>
      </c>
      <c r="E141" s="2" t="str">
        <f t="shared" si="7"/>
        <v>'3983.HK'</v>
      </c>
      <c r="F141" s="4" t="s">
        <v>536</v>
      </c>
      <c r="G141" s="6" t="s">
        <v>14</v>
      </c>
      <c r="H141" s="7">
        <v>3.52</v>
      </c>
      <c r="I141" s="8">
        <v>-12788.9</v>
      </c>
      <c r="J141" s="8">
        <v>8897.2999999999993</v>
      </c>
      <c r="K141" s="8">
        <v>21.1</v>
      </c>
      <c r="L141" s="10">
        <v>0.46300000000000002</v>
      </c>
      <c r="M141" s="11" t="s">
        <v>537</v>
      </c>
    </row>
    <row r="142" spans="1:13" ht="80" x14ac:dyDescent="0.2">
      <c r="A142" s="2" t="s">
        <v>538</v>
      </c>
      <c r="B142" s="2" t="s">
        <v>539</v>
      </c>
      <c r="C142" s="2" t="str">
        <f>RIGHT(B142,SUM(LEN(B142)-LEN(SUBSTITUTE(B142,{"0","1","2","3","4","5","6","7","8","9"},""))))</f>
        <v>105</v>
      </c>
      <c r="D142" s="2" t="str">
        <f t="shared" si="6"/>
        <v>0105</v>
      </c>
      <c r="E142" s="2" t="str">
        <f t="shared" si="7"/>
        <v>'0105.HK'</v>
      </c>
      <c r="F142" s="4" t="s">
        <v>540</v>
      </c>
      <c r="G142" s="6" t="s">
        <v>14</v>
      </c>
      <c r="H142" s="7">
        <v>3.36</v>
      </c>
      <c r="I142" s="8">
        <v>-240.8</v>
      </c>
      <c r="J142" s="8">
        <v>4320</v>
      </c>
      <c r="K142" s="7">
        <v>4.93</v>
      </c>
      <c r="L142" s="10">
        <v>0.45500000000000002</v>
      </c>
      <c r="M142" s="11" t="s">
        <v>541</v>
      </c>
    </row>
    <row r="143" spans="1:13" ht="260" x14ac:dyDescent="0.2">
      <c r="A143" s="2" t="s">
        <v>542</v>
      </c>
      <c r="B143" s="2" t="s">
        <v>543</v>
      </c>
      <c r="C143" s="2" t="str">
        <f>RIGHT(B143,SUM(LEN(B143)-LEN(SUBSTITUTE(B143,{"0","1","2","3","4","5","6","7","8","9"},""))))</f>
        <v>2008</v>
      </c>
      <c r="D143" s="2" t="str">
        <f t="shared" si="6"/>
        <v>2008</v>
      </c>
      <c r="E143" s="2" t="str">
        <f t="shared" si="7"/>
        <v>'2008.HK'</v>
      </c>
      <c r="F143" s="4" t="s">
        <v>544</v>
      </c>
      <c r="G143" s="6" t="s">
        <v>14</v>
      </c>
      <c r="H143" s="7">
        <v>1.85</v>
      </c>
      <c r="I143" s="8">
        <v>-1658.5</v>
      </c>
      <c r="J143" s="8">
        <v>1647.9</v>
      </c>
      <c r="K143" s="8">
        <v>38.4</v>
      </c>
      <c r="L143" s="10">
        <v>0.45500000000000002</v>
      </c>
      <c r="M143" s="11" t="s">
        <v>545</v>
      </c>
    </row>
    <row r="144" spans="1:13" ht="80" x14ac:dyDescent="0.2">
      <c r="A144" s="2" t="s">
        <v>546</v>
      </c>
      <c r="B144" s="2" t="s">
        <v>547</v>
      </c>
      <c r="C144" s="2" t="str">
        <f>RIGHT(B144,SUM(LEN(B144)-LEN(SUBSTITUTE(B144,{"0","1","2","3","4","5","6","7","8","9"},""))))</f>
        <v>26</v>
      </c>
      <c r="D144" s="2" t="str">
        <f t="shared" si="6"/>
        <v>0026</v>
      </c>
      <c r="E144" s="2" t="str">
        <f t="shared" si="7"/>
        <v>'0026.HK'</v>
      </c>
      <c r="F144" s="4" t="s">
        <v>548</v>
      </c>
      <c r="G144" s="6" t="s">
        <v>14</v>
      </c>
      <c r="H144" s="8">
        <v>23.1</v>
      </c>
      <c r="I144" s="8">
        <v>-1121.4000000000001</v>
      </c>
      <c r="J144" s="8">
        <v>3556.7</v>
      </c>
      <c r="K144" s="7">
        <v>1.17</v>
      </c>
      <c r="L144" s="10">
        <v>0.44500000000000001</v>
      </c>
      <c r="M144" s="11" t="s">
        <v>549</v>
      </c>
    </row>
    <row r="145" spans="1:13" ht="80" x14ac:dyDescent="0.2">
      <c r="A145" s="2" t="s">
        <v>550</v>
      </c>
      <c r="B145" s="2" t="s">
        <v>551</v>
      </c>
      <c r="C145" s="2" t="str">
        <f>RIGHT(B145,SUM(LEN(B145)-LEN(SUBSTITUTE(B145,{"0","1","2","3","4","5","6","7","8","9"},""))))</f>
        <v>439</v>
      </c>
      <c r="D145" s="2" t="str">
        <f t="shared" si="6"/>
        <v>0439</v>
      </c>
      <c r="E145" s="2" t="str">
        <f t="shared" si="7"/>
        <v>'0439.HK'</v>
      </c>
      <c r="F145" s="4" t="s">
        <v>552</v>
      </c>
      <c r="G145" s="6" t="s">
        <v>14</v>
      </c>
      <c r="H145" s="7">
        <v>2.2799999999999998</v>
      </c>
      <c r="I145" s="8">
        <v>-164.7</v>
      </c>
      <c r="J145" s="8">
        <v>763.5</v>
      </c>
      <c r="K145" s="8">
        <v>19.7</v>
      </c>
      <c r="L145" s="10">
        <v>0.44500000000000001</v>
      </c>
      <c r="M145" s="11" t="s">
        <v>553</v>
      </c>
    </row>
    <row r="146" spans="1:13" ht="130" x14ac:dyDescent="0.2">
      <c r="A146" s="2" t="s">
        <v>554</v>
      </c>
      <c r="B146" s="2" t="s">
        <v>555</v>
      </c>
      <c r="C146" s="2" t="str">
        <f>RIGHT(B146,SUM(LEN(B146)-LEN(SUBSTITUTE(B146,{"0","1","2","3","4","5","6","7","8","9"},""))))</f>
        <v>71</v>
      </c>
      <c r="D146" s="2" t="str">
        <f t="shared" si="6"/>
        <v>0071</v>
      </c>
      <c r="E146" s="2" t="str">
        <f t="shared" si="7"/>
        <v>'0071.HK'</v>
      </c>
      <c r="F146" s="4" t="s">
        <v>556</v>
      </c>
      <c r="G146" s="6" t="s">
        <v>14</v>
      </c>
      <c r="H146" s="8">
        <v>10.4</v>
      </c>
      <c r="I146" s="8">
        <v>-5223.8</v>
      </c>
      <c r="J146" s="8">
        <v>8968.6</v>
      </c>
      <c r="K146" s="7">
        <v>4.93</v>
      </c>
      <c r="L146" s="10">
        <v>0.443</v>
      </c>
      <c r="M146" s="11" t="s">
        <v>557</v>
      </c>
    </row>
    <row r="147" spans="1:13" ht="90" x14ac:dyDescent="0.2">
      <c r="A147" s="2" t="s">
        <v>558</v>
      </c>
      <c r="B147" s="2" t="s">
        <v>559</v>
      </c>
      <c r="C147" s="2" t="str">
        <f>RIGHT(B147,SUM(LEN(B147)-LEN(SUBSTITUTE(B147,{"0","1","2","3","4","5","6","7","8","9"},""))))</f>
        <v>1469</v>
      </c>
      <c r="D147" s="2" t="str">
        <f t="shared" si="6"/>
        <v>1469</v>
      </c>
      <c r="E147" s="2" t="str">
        <f t="shared" si="7"/>
        <v>'1469.HK'</v>
      </c>
      <c r="F147" s="4" t="s">
        <v>560</v>
      </c>
      <c r="G147" s="6" t="s">
        <v>14</v>
      </c>
      <c r="H147" s="7">
        <v>8.5500000000000007</v>
      </c>
      <c r="I147" s="8">
        <v>-1692.7</v>
      </c>
      <c r="J147" s="8">
        <v>1775</v>
      </c>
      <c r="K147" s="8">
        <v>11.1</v>
      </c>
      <c r="L147" s="10">
        <v>0.438</v>
      </c>
      <c r="M147" s="11" t="s">
        <v>561</v>
      </c>
    </row>
    <row r="148" spans="1:13" ht="100" x14ac:dyDescent="0.2">
      <c r="A148" s="2" t="s">
        <v>562</v>
      </c>
      <c r="B148" s="2" t="s">
        <v>563</v>
      </c>
      <c r="C148" s="2" t="str">
        <f>RIGHT(B148,SUM(LEN(B148)-LEN(SUBSTITUTE(B148,{"0","1","2","3","4","5","6","7","8","9"},""))))</f>
        <v>278</v>
      </c>
      <c r="D148" s="2" t="str">
        <f t="shared" si="6"/>
        <v>0278</v>
      </c>
      <c r="E148" s="2" t="str">
        <f t="shared" si="7"/>
        <v>'0278.HK'</v>
      </c>
      <c r="F148" s="4" t="s">
        <v>564</v>
      </c>
      <c r="G148" s="6" t="s">
        <v>14</v>
      </c>
      <c r="H148" s="7">
        <v>3.03</v>
      </c>
      <c r="I148" s="8">
        <v>-279.10000000000002</v>
      </c>
      <c r="J148" s="8">
        <v>532.20000000000005</v>
      </c>
      <c r="K148" s="7">
        <v>7.76</v>
      </c>
      <c r="L148" s="10">
        <v>0.42299999999999999</v>
      </c>
      <c r="M148" s="11" t="s">
        <v>565</v>
      </c>
    </row>
    <row r="149" spans="1:13" ht="120" x14ac:dyDescent="0.2">
      <c r="A149" s="2" t="s">
        <v>566</v>
      </c>
      <c r="B149" s="2" t="s">
        <v>567</v>
      </c>
      <c r="C149" s="2" t="str">
        <f>RIGHT(B149,SUM(LEN(B149)-LEN(SUBSTITUTE(B149,{"0","1","2","3","4","5","6","7","8","9"},""))))</f>
        <v>2779</v>
      </c>
      <c r="D149" s="2" t="str">
        <f t="shared" si="6"/>
        <v>2779</v>
      </c>
      <c r="E149" s="2" t="str">
        <f t="shared" si="7"/>
        <v>'2779.HK'</v>
      </c>
      <c r="F149" s="4" t="s">
        <v>568</v>
      </c>
      <c r="G149" s="6" t="s">
        <v>14</v>
      </c>
      <c r="H149" s="7">
        <v>1.4</v>
      </c>
      <c r="I149" s="8">
        <v>-23.5</v>
      </c>
      <c r="J149" s="8">
        <v>1656.8</v>
      </c>
      <c r="K149" s="8">
        <v>22.6</v>
      </c>
      <c r="L149" s="10">
        <v>0.41799999999999998</v>
      </c>
      <c r="M149" s="11" t="s">
        <v>569</v>
      </c>
    </row>
    <row r="150" spans="1:13" ht="150" x14ac:dyDescent="0.2">
      <c r="A150" s="2" t="s">
        <v>570</v>
      </c>
      <c r="B150" s="2" t="s">
        <v>571</v>
      </c>
      <c r="C150" s="2" t="str">
        <f>RIGHT(B150,SUM(LEN(B150)-LEN(SUBSTITUTE(B150,{"0","1","2","3","4","5","6","7","8","9"},""))))</f>
        <v>517</v>
      </c>
      <c r="D150" s="2" t="str">
        <f t="shared" si="6"/>
        <v>0517</v>
      </c>
      <c r="E150" s="2" t="str">
        <f t="shared" si="7"/>
        <v>'0517.HK'</v>
      </c>
      <c r="F150" s="4" t="s">
        <v>572</v>
      </c>
      <c r="G150" s="6" t="s">
        <v>14</v>
      </c>
      <c r="H150" s="7">
        <v>5.74</v>
      </c>
      <c r="I150" s="8">
        <v>-6161.3</v>
      </c>
      <c r="J150" s="8">
        <v>3234.5</v>
      </c>
      <c r="K150" s="8">
        <v>13.8</v>
      </c>
      <c r="L150" s="10">
        <v>0.40300000000000002</v>
      </c>
      <c r="M150" s="11" t="s">
        <v>573</v>
      </c>
    </row>
    <row r="151" spans="1:13" ht="180" x14ac:dyDescent="0.2">
      <c r="A151" s="2" t="s">
        <v>574</v>
      </c>
      <c r="B151" s="2" t="s">
        <v>575</v>
      </c>
      <c r="C151" s="2" t="str">
        <f>RIGHT(B151,SUM(LEN(B151)-LEN(SUBSTITUTE(B151,{"0","1","2","3","4","5","6","7","8","9"},""))))</f>
        <v>50</v>
      </c>
      <c r="D151" s="2" t="str">
        <f t="shared" si="6"/>
        <v>0050</v>
      </c>
      <c r="E151" s="2" t="str">
        <f t="shared" si="7"/>
        <v>'0050.HK'</v>
      </c>
      <c r="F151" s="4" t="s">
        <v>576</v>
      </c>
      <c r="G151" s="6" t="s">
        <v>14</v>
      </c>
      <c r="H151" s="8">
        <v>10.5</v>
      </c>
      <c r="I151" s="8">
        <v>-1678.9</v>
      </c>
      <c r="J151" s="8">
        <v>2426.1999999999998</v>
      </c>
      <c r="K151" s="7">
        <v>4.22</v>
      </c>
      <c r="L151" s="10">
        <v>0.4</v>
      </c>
      <c r="M151" s="11" t="s">
        <v>577</v>
      </c>
    </row>
    <row r="152" spans="1:13" ht="70" x14ac:dyDescent="0.2">
      <c r="A152" s="2" t="s">
        <v>578</v>
      </c>
      <c r="B152" s="2" t="s">
        <v>579</v>
      </c>
      <c r="C152" s="2" t="str">
        <f>RIGHT(B152,SUM(LEN(B152)-LEN(SUBSTITUTE(B152,{"0","1","2","3","4","5","6","7","8","9"},""))))</f>
        <v>934</v>
      </c>
      <c r="D152" s="2" t="str">
        <f t="shared" si="6"/>
        <v>0934</v>
      </c>
      <c r="E152" s="2" t="str">
        <f t="shared" si="7"/>
        <v>'0934.HK'</v>
      </c>
      <c r="F152" s="4" t="s">
        <v>580</v>
      </c>
      <c r="G152" s="6" t="s">
        <v>14</v>
      </c>
      <c r="H152" s="8">
        <v>24.3</v>
      </c>
      <c r="I152" s="8">
        <v>-4174.7</v>
      </c>
      <c r="J152" s="8">
        <v>5867.3</v>
      </c>
      <c r="K152" s="7">
        <v>2.82</v>
      </c>
      <c r="L152" s="10">
        <v>0.39600000000000002</v>
      </c>
      <c r="M152" s="11" t="s">
        <v>581</v>
      </c>
    </row>
    <row r="153" spans="1:13" ht="120" x14ac:dyDescent="0.2">
      <c r="A153" s="2" t="s">
        <v>582</v>
      </c>
      <c r="B153" s="2" t="s">
        <v>583</v>
      </c>
      <c r="C153" s="2" t="str">
        <f>RIGHT(B153,SUM(LEN(B153)-LEN(SUBSTITUTE(B153,{"0","1","2","3","4","5","6","7","8","9"},""))))</f>
        <v>88</v>
      </c>
      <c r="D153" s="2" t="str">
        <f t="shared" si="6"/>
        <v>0088</v>
      </c>
      <c r="E153" s="2" t="str">
        <f t="shared" si="7"/>
        <v>'0088.HK'</v>
      </c>
      <c r="F153" s="4" t="s">
        <v>584</v>
      </c>
      <c r="G153" s="6" t="s">
        <v>14</v>
      </c>
      <c r="H153" s="8">
        <v>10.7</v>
      </c>
      <c r="I153" s="8">
        <v>-1647.3</v>
      </c>
      <c r="J153" s="8">
        <v>2636.8</v>
      </c>
      <c r="K153" s="7">
        <v>4.28</v>
      </c>
      <c r="L153" s="10">
        <v>0.39600000000000002</v>
      </c>
      <c r="M153" s="11" t="s">
        <v>585</v>
      </c>
    </row>
    <row r="154" spans="1:13" ht="50" x14ac:dyDescent="0.2">
      <c r="A154" s="2" t="s">
        <v>586</v>
      </c>
      <c r="B154" s="2" t="s">
        <v>587</v>
      </c>
      <c r="C154" s="2" t="str">
        <f>RIGHT(B154,SUM(LEN(B154)-LEN(SUBSTITUTE(B154,{"0","1","2","3","4","5","6","7","8","9"},""))))</f>
        <v>158</v>
      </c>
      <c r="D154" s="2" t="str">
        <f t="shared" si="6"/>
        <v>0158</v>
      </c>
      <c r="E154" s="2" t="str">
        <f t="shared" si="7"/>
        <v>'0158.HK'</v>
      </c>
      <c r="F154" s="4" t="s">
        <v>588</v>
      </c>
      <c r="G154" s="6" t="s">
        <v>14</v>
      </c>
      <c r="H154" s="7">
        <v>4.5599999999999996</v>
      </c>
      <c r="I154" s="8">
        <v>-250.1</v>
      </c>
      <c r="J154" s="8">
        <v>3075</v>
      </c>
      <c r="K154" s="10">
        <v>0.93300000000000005</v>
      </c>
      <c r="L154" s="10">
        <v>0.39500000000000002</v>
      </c>
      <c r="M154" s="5" t="s">
        <v>589</v>
      </c>
    </row>
    <row r="155" spans="1:13" ht="130" x14ac:dyDescent="0.2">
      <c r="A155" s="2" t="s">
        <v>590</v>
      </c>
      <c r="B155" s="2" t="s">
        <v>591</v>
      </c>
      <c r="C155" s="2" t="str">
        <f>RIGHT(B155,SUM(LEN(B155)-LEN(SUBSTITUTE(B155,{"0","1","2","3","4","5","6","7","8","9"},""))))</f>
        <v>929</v>
      </c>
      <c r="D155" s="2" t="str">
        <f t="shared" si="6"/>
        <v>0929</v>
      </c>
      <c r="E155" s="2" t="str">
        <f t="shared" si="7"/>
        <v>'0929.HK'</v>
      </c>
      <c r="F155" s="4" t="s">
        <v>592</v>
      </c>
      <c r="G155" s="6" t="s">
        <v>14</v>
      </c>
      <c r="H155" s="7">
        <v>3.3</v>
      </c>
      <c r="I155" s="8">
        <v>-720.7</v>
      </c>
      <c r="J155" s="8">
        <v>757.6</v>
      </c>
      <c r="K155" s="8">
        <v>16.100000000000001</v>
      </c>
      <c r="L155" s="10">
        <v>0.39100000000000001</v>
      </c>
      <c r="M155" s="11" t="s">
        <v>593</v>
      </c>
    </row>
    <row r="156" spans="1:13" ht="130" x14ac:dyDescent="0.2">
      <c r="A156" s="2" t="s">
        <v>594</v>
      </c>
      <c r="B156" s="2" t="s">
        <v>595</v>
      </c>
      <c r="C156" s="2" t="str">
        <f>RIGHT(B156,SUM(LEN(B156)-LEN(SUBSTITUTE(B156,{"0","1","2","3","4","5","6","7","8","9"},""))))</f>
        <v>730</v>
      </c>
      <c r="D156" s="2" t="str">
        <f t="shared" si="6"/>
        <v>0730</v>
      </c>
      <c r="E156" s="2" t="str">
        <f t="shared" si="7"/>
        <v>'0730.HK'</v>
      </c>
      <c r="F156" s="4" t="s">
        <v>596</v>
      </c>
      <c r="G156" s="6" t="s">
        <v>14</v>
      </c>
      <c r="H156" s="7">
        <v>6.24</v>
      </c>
      <c r="I156" s="8">
        <v>-78.900000000000006</v>
      </c>
      <c r="J156" s="8">
        <v>557.79999999999995</v>
      </c>
      <c r="K156" s="8">
        <v>18.7</v>
      </c>
      <c r="L156" s="10">
        <v>0.376</v>
      </c>
      <c r="M156" s="11" t="s">
        <v>597</v>
      </c>
    </row>
    <row r="157" spans="1:13" ht="130" x14ac:dyDescent="0.2">
      <c r="A157" s="2" t="s">
        <v>598</v>
      </c>
      <c r="B157" s="2" t="s">
        <v>599</v>
      </c>
      <c r="C157" s="2" t="str">
        <f>RIGHT(B157,SUM(LEN(B157)-LEN(SUBSTITUTE(B157,{"0","1","2","3","4","5","6","7","8","9"},""))))</f>
        <v>57</v>
      </c>
      <c r="D157" s="2" t="str">
        <f t="shared" si="6"/>
        <v>0057</v>
      </c>
      <c r="E157" s="2" t="str">
        <f t="shared" si="7"/>
        <v>'0057.HK'</v>
      </c>
      <c r="F157" s="4" t="s">
        <v>600</v>
      </c>
      <c r="G157" s="6" t="s">
        <v>14</v>
      </c>
      <c r="H157" s="7">
        <v>1.86</v>
      </c>
      <c r="I157" s="8">
        <v>-764.9</v>
      </c>
      <c r="J157" s="8">
        <v>1198</v>
      </c>
      <c r="K157" s="8">
        <v>27.1</v>
      </c>
      <c r="L157" s="10">
        <v>0.375</v>
      </c>
      <c r="M157" s="11" t="s">
        <v>601</v>
      </c>
    </row>
    <row r="158" spans="1:13" ht="50" x14ac:dyDescent="0.2">
      <c r="A158" s="2" t="s">
        <v>602</v>
      </c>
      <c r="B158" s="2" t="s">
        <v>603</v>
      </c>
      <c r="C158" s="2" t="str">
        <f>RIGHT(B158,SUM(LEN(B158)-LEN(SUBSTITUTE(B158,{"0","1","2","3","4","5","6","7","8","9"},""))))</f>
        <v>266</v>
      </c>
      <c r="D158" s="2" t="str">
        <f t="shared" si="6"/>
        <v>0266</v>
      </c>
      <c r="E158" s="2" t="str">
        <f t="shared" si="7"/>
        <v>'0266.HK'</v>
      </c>
      <c r="F158" s="4" t="s">
        <v>604</v>
      </c>
      <c r="G158" s="6" t="s">
        <v>14</v>
      </c>
      <c r="H158" s="7">
        <v>3.48</v>
      </c>
      <c r="I158" s="8">
        <v>-291.3</v>
      </c>
      <c r="J158" s="8">
        <v>1851.4</v>
      </c>
      <c r="K158" s="7">
        <v>4.84</v>
      </c>
      <c r="L158" s="10">
        <v>0.36699999999999999</v>
      </c>
      <c r="M158" s="5" t="s">
        <v>589</v>
      </c>
    </row>
    <row r="159" spans="1:13" ht="60" x14ac:dyDescent="0.2">
      <c r="A159" s="2" t="s">
        <v>605</v>
      </c>
      <c r="B159" s="2" t="s">
        <v>606</v>
      </c>
      <c r="C159" s="2" t="str">
        <f>RIGHT(B159,SUM(LEN(B159)-LEN(SUBSTITUTE(B159,{"0","1","2","3","4","5","6","7","8","9"},""))))</f>
        <v>769</v>
      </c>
      <c r="D159" s="2" t="str">
        <f t="shared" si="6"/>
        <v>0769</v>
      </c>
      <c r="E159" s="2" t="str">
        <f t="shared" si="7"/>
        <v>'0769.HK'</v>
      </c>
      <c r="F159" s="4" t="s">
        <v>607</v>
      </c>
      <c r="G159" s="6" t="s">
        <v>14</v>
      </c>
      <c r="H159" s="8">
        <v>15.3</v>
      </c>
      <c r="I159" s="8">
        <v>-1818.1</v>
      </c>
      <c r="J159" s="8">
        <v>995.2</v>
      </c>
      <c r="K159" s="7">
        <v>5.15</v>
      </c>
      <c r="L159" s="10">
        <v>0.36299999999999999</v>
      </c>
      <c r="M159" s="11" t="s">
        <v>608</v>
      </c>
    </row>
    <row r="160" spans="1:13" ht="110" x14ac:dyDescent="0.2">
      <c r="A160" s="2" t="s">
        <v>609</v>
      </c>
      <c r="B160" s="2" t="s">
        <v>610</v>
      </c>
      <c r="C160" s="2" t="str">
        <f>RIGHT(B160,SUM(LEN(B160)-LEN(SUBSTITUTE(B160,{"0","1","2","3","4","5","6","7","8","9"},""))))</f>
        <v>829</v>
      </c>
      <c r="D160" s="2" t="str">
        <f t="shared" si="6"/>
        <v>0829</v>
      </c>
      <c r="E160" s="2" t="str">
        <f t="shared" si="7"/>
        <v>'0829.HK'</v>
      </c>
      <c r="F160" s="4" t="s">
        <v>611</v>
      </c>
      <c r="G160" s="6" t="s">
        <v>14</v>
      </c>
      <c r="H160" s="7">
        <v>1.92</v>
      </c>
      <c r="I160" s="8">
        <v>-700.7</v>
      </c>
      <c r="J160" s="8">
        <v>1049.9000000000001</v>
      </c>
      <c r="K160" s="8">
        <v>19.8</v>
      </c>
      <c r="L160" s="10">
        <v>0.35699999999999998</v>
      </c>
      <c r="M160" s="11" t="s">
        <v>612</v>
      </c>
    </row>
    <row r="161" spans="1:13" ht="110" x14ac:dyDescent="0.2">
      <c r="A161" s="2" t="s">
        <v>613</v>
      </c>
      <c r="B161" s="2" t="s">
        <v>614</v>
      </c>
      <c r="C161" s="2" t="str">
        <f>RIGHT(B161,SUM(LEN(B161)-LEN(SUBSTITUTE(B161,{"0","1","2","3","4","5","6","7","8","9"},""))))</f>
        <v>1265</v>
      </c>
      <c r="D161" s="2" t="str">
        <f t="shared" si="6"/>
        <v>1265</v>
      </c>
      <c r="E161" s="2" t="str">
        <f t="shared" si="7"/>
        <v>'1265.HK'</v>
      </c>
      <c r="F161" s="4" t="s">
        <v>615</v>
      </c>
      <c r="G161" s="6" t="s">
        <v>14</v>
      </c>
      <c r="H161" s="7">
        <v>2.2999999999999998</v>
      </c>
      <c r="I161" s="8">
        <v>-1412.8</v>
      </c>
      <c r="J161" s="8">
        <v>689.7</v>
      </c>
      <c r="K161" s="8">
        <v>29.5</v>
      </c>
      <c r="L161" s="10">
        <v>0.35499999999999998</v>
      </c>
      <c r="M161" s="11" t="s">
        <v>616</v>
      </c>
    </row>
    <row r="162" spans="1:13" ht="100" x14ac:dyDescent="0.2">
      <c r="A162" s="2" t="s">
        <v>617</v>
      </c>
      <c r="B162" s="2" t="s">
        <v>618</v>
      </c>
      <c r="C162" s="2" t="str">
        <f>RIGHT(B162,SUM(LEN(B162)-LEN(SUBSTITUTE(B162,{"0","1","2","3","4","5","6","7","8","9"},""))))</f>
        <v>420</v>
      </c>
      <c r="D162" s="2" t="str">
        <f t="shared" si="6"/>
        <v>0420</v>
      </c>
      <c r="E162" s="2" t="str">
        <f t="shared" si="7"/>
        <v>'0420.HK'</v>
      </c>
      <c r="F162" s="4" t="s">
        <v>619</v>
      </c>
      <c r="G162" s="6" t="s">
        <v>14</v>
      </c>
      <c r="H162" s="7">
        <v>1.3</v>
      </c>
      <c r="I162" s="8">
        <v>-406.5</v>
      </c>
      <c r="J162" s="8">
        <v>1237.3</v>
      </c>
      <c r="K162" s="8">
        <v>34.6</v>
      </c>
      <c r="L162" s="10">
        <v>0.35499999999999998</v>
      </c>
      <c r="M162" s="11" t="s">
        <v>620</v>
      </c>
    </row>
    <row r="163" spans="1:13" ht="140" x14ac:dyDescent="0.2">
      <c r="A163" s="2" t="s">
        <v>621</v>
      </c>
      <c r="B163" s="2" t="s">
        <v>622</v>
      </c>
      <c r="C163" s="2" t="str">
        <f>RIGHT(B163,SUM(LEN(B163)-LEN(SUBSTITUTE(B163,{"0","1","2","3","4","5","6","7","8","9"},""))))</f>
        <v>716</v>
      </c>
      <c r="D163" s="2" t="str">
        <f t="shared" si="6"/>
        <v>0716</v>
      </c>
      <c r="E163" s="2" t="str">
        <f t="shared" si="7"/>
        <v>'0716.HK'</v>
      </c>
      <c r="F163" s="4" t="s">
        <v>623</v>
      </c>
      <c r="G163" s="6" t="s">
        <v>14</v>
      </c>
      <c r="H163" s="7">
        <v>2.13</v>
      </c>
      <c r="I163" s="8">
        <v>-3375.7</v>
      </c>
      <c r="J163" s="8">
        <v>1716</v>
      </c>
      <c r="K163" s="8">
        <v>26.2</v>
      </c>
      <c r="L163" s="10">
        <v>0.35199999999999998</v>
      </c>
      <c r="M163" s="11" t="s">
        <v>624</v>
      </c>
    </row>
    <row r="164" spans="1:13" ht="50" x14ac:dyDescent="0.2">
      <c r="A164" s="2" t="s">
        <v>625</v>
      </c>
      <c r="B164" s="2" t="s">
        <v>626</v>
      </c>
      <c r="C164" s="2" t="str">
        <f>RIGHT(B164,SUM(LEN(B164)-LEN(SUBSTITUTE(B164,{"0","1","2","3","4","5","6","7","8","9"},""))))</f>
        <v>3838</v>
      </c>
      <c r="D164" s="2" t="str">
        <f t="shared" ref="D164:D213" si="8">IF(LEN(C164)=4,C164,IF(LEN(C164)&lt;4,REPT("0",4-LEN(C164))&amp;C164))</f>
        <v>3838</v>
      </c>
      <c r="E164" s="2" t="str">
        <f t="shared" ref="E164:E213" si="9">"'"&amp;D164&amp;".HK"&amp;"'"</f>
        <v>'3838.HK'</v>
      </c>
      <c r="F164" s="4" t="s">
        <v>627</v>
      </c>
      <c r="G164" s="6" t="s">
        <v>14</v>
      </c>
      <c r="H164" s="7">
        <v>1.52</v>
      </c>
      <c r="I164" s="8">
        <v>-1091.7</v>
      </c>
      <c r="J164" s="8">
        <v>1474.6</v>
      </c>
      <c r="K164" s="8">
        <v>26</v>
      </c>
      <c r="L164" s="10">
        <v>0.34699999999999998</v>
      </c>
      <c r="M164" s="12" t="s">
        <v>628</v>
      </c>
    </row>
    <row r="165" spans="1:13" ht="150" x14ac:dyDescent="0.2">
      <c r="A165" s="2" t="s">
        <v>629</v>
      </c>
      <c r="B165" s="2" t="s">
        <v>630</v>
      </c>
      <c r="C165" s="2" t="str">
        <f>RIGHT(B165,SUM(LEN(B165)-LEN(SUBSTITUTE(B165,{"0","1","2","3","4","5","6","7","8","9"},""))))</f>
        <v>1045</v>
      </c>
      <c r="D165" s="2" t="str">
        <f t="shared" si="8"/>
        <v>1045</v>
      </c>
      <c r="E165" s="2" t="str">
        <f t="shared" si="9"/>
        <v>'1045.HK'</v>
      </c>
      <c r="F165" s="4" t="s">
        <v>631</v>
      </c>
      <c r="G165" s="6" t="s">
        <v>14</v>
      </c>
      <c r="H165" s="7">
        <v>6.59</v>
      </c>
      <c r="I165" s="8">
        <v>-1186.3</v>
      </c>
      <c r="J165" s="8">
        <v>2070.6999999999998</v>
      </c>
      <c r="K165" s="8">
        <v>15.9</v>
      </c>
      <c r="L165" s="10">
        <v>0.34699999999999998</v>
      </c>
      <c r="M165" s="11" t="s">
        <v>632</v>
      </c>
    </row>
    <row r="166" spans="1:13" ht="110" x14ac:dyDescent="0.2">
      <c r="A166" s="2" t="s">
        <v>633</v>
      </c>
      <c r="B166" s="2" t="s">
        <v>634</v>
      </c>
      <c r="C166" s="2" t="str">
        <f>RIGHT(B166,SUM(LEN(B166)-LEN(SUBSTITUTE(B166,{"0","1","2","3","4","5","6","7","8","9"},""))))</f>
        <v>472</v>
      </c>
      <c r="D166" s="2" t="str">
        <f t="shared" si="8"/>
        <v>0472</v>
      </c>
      <c r="E166" s="2" t="str">
        <f t="shared" si="9"/>
        <v>'0472.HK'</v>
      </c>
      <c r="F166" s="4" t="s">
        <v>635</v>
      </c>
      <c r="G166" s="6" t="s">
        <v>14</v>
      </c>
      <c r="H166" s="7">
        <v>1.32</v>
      </c>
      <c r="I166" s="8">
        <v>-408.6</v>
      </c>
      <c r="J166" s="8">
        <v>545.29999999999995</v>
      </c>
      <c r="K166" s="8">
        <v>22.6</v>
      </c>
      <c r="L166" s="10">
        <v>0.33800000000000002</v>
      </c>
      <c r="M166" s="11" t="s">
        <v>636</v>
      </c>
    </row>
    <row r="167" spans="1:13" ht="180" x14ac:dyDescent="0.2">
      <c r="A167" s="2" t="s">
        <v>637</v>
      </c>
      <c r="B167" s="2" t="s">
        <v>638</v>
      </c>
      <c r="C167" s="2" t="str">
        <f>RIGHT(B167,SUM(LEN(B167)-LEN(SUBSTITUTE(B167,{"0","1","2","3","4","5","6","7","8","9"},""))))</f>
        <v>2033</v>
      </c>
      <c r="D167" s="2" t="str">
        <f t="shared" si="8"/>
        <v>2033</v>
      </c>
      <c r="E167" s="2" t="str">
        <f t="shared" si="9"/>
        <v>'2033.HK'</v>
      </c>
      <c r="F167" s="4" t="s">
        <v>639</v>
      </c>
      <c r="G167" s="6" t="s">
        <v>14</v>
      </c>
      <c r="H167" s="7">
        <v>4.2699999999999996</v>
      </c>
      <c r="I167" s="8">
        <v>-1006.8</v>
      </c>
      <c r="J167" s="8">
        <v>895.3</v>
      </c>
      <c r="K167" s="8">
        <v>14.4</v>
      </c>
      <c r="L167" s="10">
        <v>0.33400000000000002</v>
      </c>
      <c r="M167" s="11" t="s">
        <v>640</v>
      </c>
    </row>
    <row r="168" spans="1:13" ht="80" x14ac:dyDescent="0.2">
      <c r="A168" s="2" t="s">
        <v>641</v>
      </c>
      <c r="B168" s="2" t="s">
        <v>642</v>
      </c>
      <c r="C168" s="2" t="str">
        <f>RIGHT(B168,SUM(LEN(B168)-LEN(SUBSTITUTE(B168,{"0","1","2","3","4","5","6","7","8","9"},""))))</f>
        <v>1104</v>
      </c>
      <c r="D168" s="2" t="str">
        <f t="shared" si="8"/>
        <v>1104</v>
      </c>
      <c r="E168" s="2" t="str">
        <f t="shared" si="9"/>
        <v>'1104.HK'</v>
      </c>
      <c r="F168" s="4" t="s">
        <v>643</v>
      </c>
      <c r="G168" s="6" t="s">
        <v>14</v>
      </c>
      <c r="H168" s="8">
        <v>16.8</v>
      </c>
      <c r="I168" s="8">
        <v>-1644.9</v>
      </c>
      <c r="J168" s="8">
        <v>1445.6</v>
      </c>
      <c r="K168" s="7">
        <v>2.31</v>
      </c>
      <c r="L168" s="10">
        <v>0.33100000000000002</v>
      </c>
      <c r="M168" s="11" t="s">
        <v>644</v>
      </c>
    </row>
    <row r="169" spans="1:13" ht="30" x14ac:dyDescent="0.2">
      <c r="A169" s="2" t="s">
        <v>645</v>
      </c>
      <c r="B169" s="2" t="s">
        <v>646</v>
      </c>
      <c r="C169" s="2" t="str">
        <f>RIGHT(B169,SUM(LEN(B169)-LEN(SUBSTITUTE(B169,{"0","1","2","3","4","5","6","7","8","9"},""))))</f>
        <v>1140</v>
      </c>
      <c r="D169" s="2" t="str">
        <f t="shared" si="8"/>
        <v>1140</v>
      </c>
      <c r="E169" s="2" t="str">
        <f t="shared" si="9"/>
        <v>'1140.HK'</v>
      </c>
      <c r="F169" s="4" t="s">
        <v>647</v>
      </c>
      <c r="G169" s="6" t="s">
        <v>14</v>
      </c>
      <c r="H169" s="7">
        <v>1.08</v>
      </c>
      <c r="I169" s="8">
        <v>-56.4</v>
      </c>
      <c r="J169" s="8">
        <v>3531.3</v>
      </c>
      <c r="K169" s="8">
        <v>25.7</v>
      </c>
      <c r="L169" s="10">
        <v>0.32700000000000001</v>
      </c>
      <c r="M169" s="5" t="s">
        <v>279</v>
      </c>
    </row>
    <row r="170" spans="1:13" ht="90" x14ac:dyDescent="0.2">
      <c r="A170" s="2" t="s">
        <v>648</v>
      </c>
      <c r="B170" s="2" t="s">
        <v>649</v>
      </c>
      <c r="C170" s="2" t="str">
        <f>RIGHT(B170,SUM(LEN(B170)-LEN(SUBSTITUTE(B170,{"0","1","2","3","4","5","6","7","8","9"},""))))</f>
        <v>1122</v>
      </c>
      <c r="D170" s="2" t="str">
        <f t="shared" si="8"/>
        <v>1122</v>
      </c>
      <c r="E170" s="2" t="str">
        <f t="shared" si="9"/>
        <v>'1122.HK'</v>
      </c>
      <c r="F170" s="4" t="s">
        <v>650</v>
      </c>
      <c r="G170" s="6" t="s">
        <v>14</v>
      </c>
      <c r="H170" s="7">
        <v>1.68</v>
      </c>
      <c r="I170" s="8">
        <v>-2759.8</v>
      </c>
      <c r="J170" s="8">
        <v>2780.1</v>
      </c>
      <c r="K170" s="8">
        <v>26</v>
      </c>
      <c r="L170" s="10">
        <v>0.32500000000000001</v>
      </c>
      <c r="M170" s="11" t="s">
        <v>651</v>
      </c>
    </row>
    <row r="171" spans="1:13" ht="80" x14ac:dyDescent="0.2">
      <c r="A171" s="2" t="s">
        <v>652</v>
      </c>
      <c r="B171" s="2" t="s">
        <v>653</v>
      </c>
      <c r="C171" s="2" t="str">
        <f>RIGHT(B171,SUM(LEN(B171)-LEN(SUBSTITUTE(B171,{"0","1","2","3","4","5","6","7","8","9"},""))))</f>
        <v>232</v>
      </c>
      <c r="D171" s="2" t="str">
        <f t="shared" si="8"/>
        <v>0232</v>
      </c>
      <c r="E171" s="2" t="str">
        <f t="shared" si="9"/>
        <v>'0232.HK'</v>
      </c>
      <c r="F171" s="4" t="s">
        <v>654</v>
      </c>
      <c r="G171" s="6" t="s">
        <v>14</v>
      </c>
      <c r="H171" s="7">
        <v>1.98</v>
      </c>
      <c r="I171" s="8">
        <v>-293.60000000000002</v>
      </c>
      <c r="J171" s="8">
        <v>902.4</v>
      </c>
      <c r="K171" s="8">
        <v>26</v>
      </c>
      <c r="L171" s="10">
        <v>0.32200000000000001</v>
      </c>
      <c r="M171" s="11" t="s">
        <v>655</v>
      </c>
    </row>
    <row r="172" spans="1:13" ht="130" x14ac:dyDescent="0.2">
      <c r="A172" s="2" t="s">
        <v>656</v>
      </c>
      <c r="B172" s="2" t="s">
        <v>657</v>
      </c>
      <c r="C172" s="2" t="str">
        <f>RIGHT(B172,SUM(LEN(B172)-LEN(SUBSTITUTE(B172,{"0","1","2","3","4","5","6","7","8","9"},""))))</f>
        <v>622</v>
      </c>
      <c r="D172" s="2" t="str">
        <f t="shared" si="8"/>
        <v>0622</v>
      </c>
      <c r="E172" s="2" t="str">
        <f t="shared" si="9"/>
        <v>'0622.HK'</v>
      </c>
      <c r="F172" s="4" t="s">
        <v>658</v>
      </c>
      <c r="G172" s="6" t="s">
        <v>14</v>
      </c>
      <c r="H172" s="7">
        <v>5.62</v>
      </c>
      <c r="I172" s="8">
        <v>-1118.5</v>
      </c>
      <c r="J172" s="8">
        <v>1741.1</v>
      </c>
      <c r="K172" s="7">
        <v>9.01</v>
      </c>
      <c r="L172" s="10">
        <v>0.32200000000000001</v>
      </c>
      <c r="M172" s="11" t="s">
        <v>659</v>
      </c>
    </row>
    <row r="173" spans="1:13" ht="220" x14ac:dyDescent="0.2">
      <c r="A173" s="2" t="s">
        <v>660</v>
      </c>
      <c r="B173" s="2" t="s">
        <v>661</v>
      </c>
      <c r="C173" s="2" t="str">
        <f>RIGHT(B173,SUM(LEN(B173)-LEN(SUBSTITUTE(B173,{"0","1","2","3","4","5","6","7","8","9"},""))))</f>
        <v>156</v>
      </c>
      <c r="D173" s="2" t="str">
        <f t="shared" si="8"/>
        <v>0156</v>
      </c>
      <c r="E173" s="2" t="str">
        <f t="shared" si="9"/>
        <v>'0156.HK'</v>
      </c>
      <c r="F173" s="4" t="s">
        <v>662</v>
      </c>
      <c r="G173" s="6" t="s">
        <v>14</v>
      </c>
      <c r="H173" s="7">
        <v>1.96</v>
      </c>
      <c r="I173" s="8">
        <v>-178.8</v>
      </c>
      <c r="J173" s="8">
        <v>964.6</v>
      </c>
      <c r="K173" s="8">
        <v>30.8</v>
      </c>
      <c r="L173" s="10">
        <v>0.32</v>
      </c>
      <c r="M173" s="11" t="s">
        <v>663</v>
      </c>
    </row>
    <row r="174" spans="1:13" ht="120" x14ac:dyDescent="0.2">
      <c r="A174" s="2" t="s">
        <v>664</v>
      </c>
      <c r="B174" s="2" t="s">
        <v>665</v>
      </c>
      <c r="C174" s="2" t="str">
        <f>RIGHT(B174,SUM(LEN(B174)-LEN(SUBSTITUTE(B174,{"0","1","2","3","4","5","6","7","8","9"},""))))</f>
        <v>662</v>
      </c>
      <c r="D174" s="2" t="str">
        <f t="shared" si="8"/>
        <v>0662</v>
      </c>
      <c r="E174" s="2" t="str">
        <f t="shared" si="9"/>
        <v>'0662.HK'</v>
      </c>
      <c r="F174" s="4" t="s">
        <v>666</v>
      </c>
      <c r="G174" s="6" t="s">
        <v>14</v>
      </c>
      <c r="H174" s="7">
        <v>1.99</v>
      </c>
      <c r="I174" s="8">
        <v>-2634.2</v>
      </c>
      <c r="J174" s="8">
        <v>3122.4</v>
      </c>
      <c r="K174" s="8">
        <v>32.6</v>
      </c>
      <c r="L174" s="10">
        <v>0.32</v>
      </c>
      <c r="M174" s="11" t="s">
        <v>667</v>
      </c>
    </row>
    <row r="175" spans="1:13" ht="190" x14ac:dyDescent="0.2">
      <c r="A175" s="2" t="s">
        <v>668</v>
      </c>
      <c r="B175" s="2" t="s">
        <v>669</v>
      </c>
      <c r="C175" s="2" t="str">
        <f>RIGHT(B175,SUM(LEN(B175)-LEN(SUBSTITUTE(B175,{"0","1","2","3","4","5","6","7","8","9"},""))))</f>
        <v>560</v>
      </c>
      <c r="D175" s="2" t="str">
        <f t="shared" si="8"/>
        <v>0560</v>
      </c>
      <c r="E175" s="2" t="str">
        <f t="shared" si="9"/>
        <v>'0560.HK'</v>
      </c>
      <c r="F175" s="4" t="s">
        <v>670</v>
      </c>
      <c r="G175" s="6" t="s">
        <v>14</v>
      </c>
      <c r="H175" s="7">
        <v>1.75</v>
      </c>
      <c r="I175" s="8">
        <v>-444.8</v>
      </c>
      <c r="J175" s="8">
        <v>975.4</v>
      </c>
      <c r="K175" s="8">
        <v>24.4</v>
      </c>
      <c r="L175" s="10">
        <v>0.317</v>
      </c>
      <c r="M175" s="11" t="s">
        <v>671</v>
      </c>
    </row>
    <row r="176" spans="1:13" ht="50" x14ac:dyDescent="0.2">
      <c r="A176" s="2" t="s">
        <v>672</v>
      </c>
      <c r="B176" s="2" t="s">
        <v>673</v>
      </c>
      <c r="C176" s="2" t="str">
        <f>RIGHT(B176,SUM(LEN(B176)-LEN(SUBSTITUTE(B176,{"0","1","2","3","4","5","6","7","8","9"},""))))</f>
        <v>743</v>
      </c>
      <c r="D176" s="2" t="str">
        <f t="shared" si="8"/>
        <v>0743</v>
      </c>
      <c r="E176" s="2" t="str">
        <f t="shared" si="9"/>
        <v>'0743.HK'</v>
      </c>
      <c r="F176" s="4" t="s">
        <v>674</v>
      </c>
      <c r="G176" s="6" t="s">
        <v>14</v>
      </c>
      <c r="H176" s="7">
        <v>2.94</v>
      </c>
      <c r="I176" s="8">
        <v>-7353.3</v>
      </c>
      <c r="J176" s="8">
        <v>6157.7</v>
      </c>
      <c r="K176" s="8">
        <v>17.5</v>
      </c>
      <c r="L176" s="10">
        <v>0.316</v>
      </c>
      <c r="M176" s="11" t="s">
        <v>675</v>
      </c>
    </row>
    <row r="177" spans="1:13" ht="160" x14ac:dyDescent="0.2">
      <c r="A177" s="2" t="s">
        <v>676</v>
      </c>
      <c r="B177" s="2" t="s">
        <v>677</v>
      </c>
      <c r="C177" s="2" t="str">
        <f>RIGHT(B177,SUM(LEN(B177)-LEN(SUBSTITUTE(B177,{"0","1","2","3","4","5","6","7","8","9"},""))))</f>
        <v>321</v>
      </c>
      <c r="D177" s="2" t="str">
        <f t="shared" si="8"/>
        <v>0321</v>
      </c>
      <c r="E177" s="2" t="str">
        <f t="shared" si="9"/>
        <v>'0321.HK'</v>
      </c>
      <c r="F177" s="4" t="s">
        <v>678</v>
      </c>
      <c r="G177" s="6" t="s">
        <v>14</v>
      </c>
      <c r="H177" s="7">
        <v>1.18</v>
      </c>
      <c r="I177" s="8">
        <v>-559.79999999999995</v>
      </c>
      <c r="J177" s="8">
        <v>1699.5</v>
      </c>
      <c r="K177" s="8">
        <v>39.5</v>
      </c>
      <c r="L177" s="10">
        <v>0.315</v>
      </c>
      <c r="M177" s="11" t="s">
        <v>679</v>
      </c>
    </row>
    <row r="178" spans="1:13" ht="160" x14ac:dyDescent="0.2">
      <c r="A178" s="2" t="s">
        <v>680</v>
      </c>
      <c r="B178" s="2" t="s">
        <v>681</v>
      </c>
      <c r="C178" s="2" t="str">
        <f>RIGHT(B178,SUM(LEN(B178)-LEN(SUBSTITUTE(B178,{"0","1","2","3","4","5","6","7","8","9"},""))))</f>
        <v>450</v>
      </c>
      <c r="D178" s="2" t="str">
        <f t="shared" si="8"/>
        <v>0450</v>
      </c>
      <c r="E178" s="2" t="str">
        <f t="shared" si="9"/>
        <v>'0450.HK'</v>
      </c>
      <c r="F178" s="4" t="s">
        <v>682</v>
      </c>
      <c r="G178" s="6" t="s">
        <v>14</v>
      </c>
      <c r="H178" s="7">
        <v>2.86</v>
      </c>
      <c r="I178" s="8">
        <v>-873.3</v>
      </c>
      <c r="J178" s="8">
        <v>915.6</v>
      </c>
      <c r="K178" s="8">
        <v>22.2</v>
      </c>
      <c r="L178" s="10">
        <v>0.309</v>
      </c>
      <c r="M178" s="11" t="s">
        <v>683</v>
      </c>
    </row>
    <row r="179" spans="1:13" ht="60" x14ac:dyDescent="0.2">
      <c r="A179" s="2" t="s">
        <v>684</v>
      </c>
      <c r="B179" s="2" t="s">
        <v>685</v>
      </c>
      <c r="C179" s="2" t="str">
        <f>RIGHT(B179,SUM(LEN(B179)-LEN(SUBSTITUTE(B179,{"0","1","2","3","4","5","6","7","8","9"},""))))</f>
        <v>1028</v>
      </c>
      <c r="D179" s="2" t="str">
        <f t="shared" si="8"/>
        <v>1028</v>
      </c>
      <c r="E179" s="2" t="str">
        <f t="shared" si="9"/>
        <v>'1028.HK'</v>
      </c>
      <c r="F179" s="4" t="s">
        <v>686</v>
      </c>
      <c r="G179" s="6" t="s">
        <v>14</v>
      </c>
      <c r="H179" s="7">
        <v>2.4500000000000002</v>
      </c>
      <c r="I179" s="8">
        <v>-476.5</v>
      </c>
      <c r="J179" s="8">
        <v>506.8</v>
      </c>
      <c r="K179" s="8">
        <v>22.4</v>
      </c>
      <c r="L179" s="10">
        <v>0.30599999999999999</v>
      </c>
      <c r="M179" s="11" t="s">
        <v>687</v>
      </c>
    </row>
    <row r="180" spans="1:13" ht="80" x14ac:dyDescent="0.2">
      <c r="A180" s="2" t="s">
        <v>688</v>
      </c>
      <c r="B180" s="2" t="s">
        <v>689</v>
      </c>
      <c r="C180" s="2" t="str">
        <f>RIGHT(B180,SUM(LEN(B180)-LEN(SUBSTITUTE(B180,{"0","1","2","3","4","5","6","7","8","9"},""))))</f>
        <v>1761</v>
      </c>
      <c r="D180" s="2" t="str">
        <f t="shared" si="8"/>
        <v>1761</v>
      </c>
      <c r="E180" s="2" t="str">
        <f t="shared" si="9"/>
        <v>'1761.HK'</v>
      </c>
      <c r="F180" s="4" t="s">
        <v>690</v>
      </c>
      <c r="G180" s="6" t="s">
        <v>14</v>
      </c>
      <c r="H180" s="8">
        <v>11.3</v>
      </c>
      <c r="I180" s="8">
        <v>-1677</v>
      </c>
      <c r="J180" s="8">
        <v>614.5</v>
      </c>
      <c r="K180" s="7">
        <v>7.94</v>
      </c>
      <c r="L180" s="10">
        <v>0.30499999999999999</v>
      </c>
      <c r="M180" s="11" t="s">
        <v>691</v>
      </c>
    </row>
    <row r="181" spans="1:13" ht="190" x14ac:dyDescent="0.2">
      <c r="A181" s="2" t="s">
        <v>692</v>
      </c>
      <c r="B181" s="2" t="s">
        <v>693</v>
      </c>
      <c r="C181" s="2" t="str">
        <f>RIGHT(B181,SUM(LEN(B181)-LEN(SUBSTITUTE(B181,{"0","1","2","3","4","5","6","7","8","9"},""))))</f>
        <v>273</v>
      </c>
      <c r="D181" s="2" t="str">
        <f t="shared" si="8"/>
        <v>0273</v>
      </c>
      <c r="E181" s="2" t="str">
        <f t="shared" si="9"/>
        <v>'0273.HK'</v>
      </c>
      <c r="F181" s="4" t="s">
        <v>694</v>
      </c>
      <c r="G181" s="6" t="s">
        <v>14</v>
      </c>
      <c r="H181" s="7">
        <v>7.89</v>
      </c>
      <c r="I181" s="8">
        <v>-1981.1</v>
      </c>
      <c r="J181" s="8">
        <v>1197.8</v>
      </c>
      <c r="K181" s="7">
        <v>8.17</v>
      </c>
      <c r="L181" s="10">
        <v>0.29899999999999999</v>
      </c>
      <c r="M181" s="11" t="s">
        <v>695</v>
      </c>
    </row>
    <row r="182" spans="1:13" ht="80" x14ac:dyDescent="0.2">
      <c r="A182" s="2" t="s">
        <v>696</v>
      </c>
      <c r="B182" s="2" t="s">
        <v>697</v>
      </c>
      <c r="C182" s="2" t="str">
        <f>RIGHT(B182,SUM(LEN(B182)-LEN(SUBSTITUTE(B182,{"0","1","2","3","4","5","6","7","8","9"},""))))</f>
        <v>3389</v>
      </c>
      <c r="D182" s="2" t="str">
        <f t="shared" si="8"/>
        <v>3389</v>
      </c>
      <c r="E182" s="2" t="str">
        <f t="shared" si="9"/>
        <v>'3389.HK'</v>
      </c>
      <c r="F182" s="4" t="s">
        <v>698</v>
      </c>
      <c r="G182" s="6" t="s">
        <v>14</v>
      </c>
      <c r="H182" s="7">
        <v>6.21</v>
      </c>
      <c r="I182" s="8">
        <v>-1041.7</v>
      </c>
      <c r="J182" s="8">
        <v>1123</v>
      </c>
      <c r="K182" s="7">
        <v>7.33</v>
      </c>
      <c r="L182" s="10">
        <v>0.29799999999999999</v>
      </c>
      <c r="M182" s="11" t="s">
        <v>699</v>
      </c>
    </row>
    <row r="183" spans="1:13" ht="80" x14ac:dyDescent="0.2">
      <c r="A183" s="2" t="s">
        <v>700</v>
      </c>
      <c r="B183" s="2" t="s">
        <v>701</v>
      </c>
      <c r="C183" s="2" t="str">
        <f>RIGHT(B183,SUM(LEN(B183)-LEN(SUBSTITUTE(B183,{"0","1","2","3","4","5","6","7","8","9"},""))))</f>
        <v>271</v>
      </c>
      <c r="D183" s="2" t="str">
        <f t="shared" si="8"/>
        <v>0271</v>
      </c>
      <c r="E183" s="2" t="str">
        <f t="shared" si="9"/>
        <v>'0271.HK'</v>
      </c>
      <c r="F183" s="4" t="s">
        <v>702</v>
      </c>
      <c r="G183" s="6" t="s">
        <v>14</v>
      </c>
      <c r="H183" s="7">
        <v>9.1300000000000008</v>
      </c>
      <c r="I183" s="8">
        <v>-162.69999999999999</v>
      </c>
      <c r="J183" s="8">
        <v>502.5</v>
      </c>
      <c r="K183" s="8">
        <v>10.4</v>
      </c>
      <c r="L183" s="10">
        <v>0.29499999999999998</v>
      </c>
      <c r="M183" s="11" t="s">
        <v>703</v>
      </c>
    </row>
    <row r="184" spans="1:13" ht="50" x14ac:dyDescent="0.2">
      <c r="A184" s="2" t="s">
        <v>704</v>
      </c>
      <c r="B184" s="2" t="s">
        <v>705</v>
      </c>
      <c r="C184" s="2" t="str">
        <f>RIGHT(B184,SUM(LEN(B184)-LEN(SUBSTITUTE(B184,{"0","1","2","3","4","5","6","7","8","9"},""))))</f>
        <v>6117</v>
      </c>
      <c r="D184" s="2" t="str">
        <f t="shared" si="8"/>
        <v>6117</v>
      </c>
      <c r="E184" s="2" t="str">
        <f t="shared" si="9"/>
        <v>'6117.HK'</v>
      </c>
      <c r="F184" s="4" t="s">
        <v>706</v>
      </c>
      <c r="G184" s="6" t="s">
        <v>14</v>
      </c>
      <c r="H184" s="7">
        <v>7.46</v>
      </c>
      <c r="I184" s="8">
        <v>-425.3</v>
      </c>
      <c r="J184" s="8">
        <v>863.2</v>
      </c>
      <c r="K184" s="8">
        <v>12.4</v>
      </c>
      <c r="L184" s="10">
        <v>0.29399999999999998</v>
      </c>
      <c r="M184" s="5" t="s">
        <v>707</v>
      </c>
    </row>
    <row r="185" spans="1:13" ht="110" x14ac:dyDescent="0.2">
      <c r="A185" s="2" t="s">
        <v>708</v>
      </c>
      <c r="B185" s="2" t="s">
        <v>709</v>
      </c>
      <c r="C185" s="2" t="str">
        <f>RIGHT(B185,SUM(LEN(B185)-LEN(SUBSTITUTE(B185,{"0","1","2","3","4","5","6","7","8","9"},""))))</f>
        <v>237</v>
      </c>
      <c r="D185" s="2" t="str">
        <f t="shared" si="8"/>
        <v>0237</v>
      </c>
      <c r="E185" s="2" t="str">
        <f t="shared" si="9"/>
        <v>'0237.HK'</v>
      </c>
      <c r="F185" s="4" t="s">
        <v>710</v>
      </c>
      <c r="G185" s="6" t="s">
        <v>14</v>
      </c>
      <c r="H185" s="7">
        <v>9.4</v>
      </c>
      <c r="I185" s="8">
        <v>-471.7</v>
      </c>
      <c r="J185" s="8">
        <v>1158.3</v>
      </c>
      <c r="K185" s="7">
        <v>3.54</v>
      </c>
      <c r="L185" s="10">
        <v>0.29199999999999998</v>
      </c>
      <c r="M185" s="11" t="s">
        <v>711</v>
      </c>
    </row>
    <row r="186" spans="1:13" ht="160" x14ac:dyDescent="0.2">
      <c r="A186" s="2" t="s">
        <v>712</v>
      </c>
      <c r="B186" s="2" t="s">
        <v>713</v>
      </c>
      <c r="C186" s="2" t="str">
        <f>RIGHT(B186,SUM(LEN(B186)-LEN(SUBSTITUTE(B186,{"0","1","2","3","4","5","6","7","8","9"},""))))</f>
        <v>64</v>
      </c>
      <c r="D186" s="2" t="str">
        <f t="shared" si="8"/>
        <v>0064</v>
      </c>
      <c r="E186" s="2" t="str">
        <f t="shared" si="9"/>
        <v>'0064.HK'</v>
      </c>
      <c r="F186" s="4" t="s">
        <v>714</v>
      </c>
      <c r="G186" s="6" t="s">
        <v>14</v>
      </c>
      <c r="H186" s="7">
        <v>6.06</v>
      </c>
      <c r="I186" s="8">
        <v>-2221.1999999999998</v>
      </c>
      <c r="J186" s="8">
        <v>1526.7</v>
      </c>
      <c r="K186" s="8">
        <v>11.8</v>
      </c>
      <c r="L186" s="10">
        <v>0.26700000000000002</v>
      </c>
      <c r="M186" s="11" t="s">
        <v>715</v>
      </c>
    </row>
    <row r="187" spans="1:13" ht="170" x14ac:dyDescent="0.2">
      <c r="A187" s="2" t="s">
        <v>716</v>
      </c>
      <c r="B187" s="2" t="s">
        <v>717</v>
      </c>
      <c r="C187" s="2" t="str">
        <f>RIGHT(B187,SUM(LEN(B187)-LEN(SUBSTITUTE(B187,{"0","1","2","3","4","5","6","7","8","9"},""))))</f>
        <v>533</v>
      </c>
      <c r="D187" s="2" t="str">
        <f t="shared" si="8"/>
        <v>0533</v>
      </c>
      <c r="E187" s="2" t="str">
        <f t="shared" si="9"/>
        <v>'0533.HK'</v>
      </c>
      <c r="F187" s="4" t="s">
        <v>718</v>
      </c>
      <c r="G187" s="6" t="s">
        <v>14</v>
      </c>
      <c r="H187" s="7">
        <v>2.29</v>
      </c>
      <c r="I187" s="8">
        <v>-1305.4000000000001</v>
      </c>
      <c r="J187" s="8">
        <v>1178.5</v>
      </c>
      <c r="K187" s="8">
        <v>20.100000000000001</v>
      </c>
      <c r="L187" s="10">
        <v>0.26100000000000001</v>
      </c>
      <c r="M187" s="11" t="s">
        <v>719</v>
      </c>
    </row>
    <row r="188" spans="1:13" ht="150" x14ac:dyDescent="0.2">
      <c r="A188" s="2" t="s">
        <v>720</v>
      </c>
      <c r="B188" s="2" t="s">
        <v>721</v>
      </c>
      <c r="C188" s="2" t="str">
        <f>RIGHT(B188,SUM(LEN(B188)-LEN(SUBSTITUTE(B188,{"0","1","2","3","4","5","6","7","8","9"},""))))</f>
        <v>235</v>
      </c>
      <c r="D188" s="2" t="str">
        <f t="shared" si="8"/>
        <v>0235</v>
      </c>
      <c r="E188" s="2" t="str">
        <f t="shared" si="9"/>
        <v>'0235.HK'</v>
      </c>
      <c r="F188" s="4" t="s">
        <v>722</v>
      </c>
      <c r="G188" s="6" t="s">
        <v>14</v>
      </c>
      <c r="H188" s="7">
        <v>2.42</v>
      </c>
      <c r="I188" s="8">
        <v>-844</v>
      </c>
      <c r="J188" s="8">
        <v>591.20000000000005</v>
      </c>
      <c r="K188" s="8">
        <v>23.6</v>
      </c>
      <c r="L188" s="10">
        <v>0.25800000000000001</v>
      </c>
      <c r="M188" s="11" t="s">
        <v>723</v>
      </c>
    </row>
    <row r="189" spans="1:13" ht="40" x14ac:dyDescent="0.2">
      <c r="A189" s="2" t="s">
        <v>724</v>
      </c>
      <c r="B189" s="2" t="s">
        <v>725</v>
      </c>
      <c r="C189" s="2" t="str">
        <f>RIGHT(B189,SUM(LEN(B189)-LEN(SUBSTITUTE(B189,{"0","1","2","3","4","5","6","7","8","9"},""))))</f>
        <v>133</v>
      </c>
      <c r="D189" s="2" t="str">
        <f t="shared" si="8"/>
        <v>0133</v>
      </c>
      <c r="E189" s="2" t="str">
        <f t="shared" si="9"/>
        <v>'0133.HK'</v>
      </c>
      <c r="F189" s="4" t="s">
        <v>726</v>
      </c>
      <c r="G189" s="6" t="s">
        <v>14</v>
      </c>
      <c r="H189" s="7">
        <v>3.2</v>
      </c>
      <c r="I189" s="8">
        <v>-785.1</v>
      </c>
      <c r="J189" s="8">
        <v>1357.3</v>
      </c>
      <c r="K189" s="8">
        <v>20.8</v>
      </c>
      <c r="L189" s="10">
        <v>0.25600000000000001</v>
      </c>
      <c r="M189" s="5" t="s">
        <v>727</v>
      </c>
    </row>
    <row r="190" spans="1:13" ht="200" x14ac:dyDescent="0.2">
      <c r="A190" s="2" t="s">
        <v>728</v>
      </c>
      <c r="B190" s="2" t="s">
        <v>729</v>
      </c>
      <c r="C190" s="2" t="str">
        <f>RIGHT(B190,SUM(LEN(B190)-LEN(SUBSTITUTE(B190,{"0","1","2","3","4","5","6","7","8","9"},""))))</f>
        <v>8005</v>
      </c>
      <c r="D190" s="2" t="str">
        <f t="shared" si="8"/>
        <v>8005</v>
      </c>
      <c r="E190" s="2" t="str">
        <f t="shared" si="9"/>
        <v>'8005.HK'</v>
      </c>
      <c r="F190" s="4" t="s">
        <v>730</v>
      </c>
      <c r="G190" s="6" t="s">
        <v>14</v>
      </c>
      <c r="H190" s="7">
        <v>1.8</v>
      </c>
      <c r="I190" s="8">
        <v>-428.3</v>
      </c>
      <c r="J190" s="8">
        <v>500</v>
      </c>
      <c r="K190" s="8">
        <v>16.600000000000001</v>
      </c>
      <c r="L190" s="10">
        <v>0.248</v>
      </c>
      <c r="M190" s="11" t="s">
        <v>731</v>
      </c>
    </row>
    <row r="191" spans="1:13" ht="130" x14ac:dyDescent="0.2">
      <c r="A191" s="2" t="s">
        <v>732</v>
      </c>
      <c r="B191" s="2" t="s">
        <v>733</v>
      </c>
      <c r="C191" s="2" t="str">
        <f>RIGHT(B191,SUM(LEN(B191)-LEN(SUBSTITUTE(B191,{"0","1","2","3","4","5","6","7","8","9"},""))))</f>
        <v>102</v>
      </c>
      <c r="D191" s="2" t="str">
        <f t="shared" si="8"/>
        <v>0102</v>
      </c>
      <c r="E191" s="2" t="str">
        <f t="shared" si="9"/>
        <v>'0102.HK'</v>
      </c>
      <c r="F191" s="4" t="s">
        <v>734</v>
      </c>
      <c r="G191" s="6" t="s">
        <v>14</v>
      </c>
      <c r="H191" s="8">
        <v>11.4</v>
      </c>
      <c r="I191" s="8">
        <v>-436.1</v>
      </c>
      <c r="J191" s="8">
        <v>784.6</v>
      </c>
      <c r="K191" s="7">
        <v>6.97</v>
      </c>
      <c r="L191" s="10">
        <v>0.24399999999999999</v>
      </c>
      <c r="M191" s="11" t="s">
        <v>735</v>
      </c>
    </row>
    <row r="192" spans="1:13" ht="140" x14ac:dyDescent="0.2">
      <c r="A192" s="2" t="s">
        <v>736</v>
      </c>
      <c r="B192" s="2" t="s">
        <v>737</v>
      </c>
      <c r="C192" s="2" t="str">
        <f>RIGHT(B192,SUM(LEN(B192)-LEN(SUBSTITUTE(B192,{"0","1","2","3","4","5","6","7","8","9"},""))))</f>
        <v>1980</v>
      </c>
      <c r="D192" s="2" t="str">
        <f t="shared" si="8"/>
        <v>1980</v>
      </c>
      <c r="E192" s="2" t="str">
        <f t="shared" si="9"/>
        <v>'1980.HK'</v>
      </c>
      <c r="F192" s="4" t="s">
        <v>738</v>
      </c>
      <c r="G192" s="6" t="s">
        <v>14</v>
      </c>
      <c r="H192" s="7">
        <v>3.88</v>
      </c>
      <c r="I192" s="8">
        <v>-1699.4</v>
      </c>
      <c r="J192" s="8">
        <v>811.5</v>
      </c>
      <c r="K192" s="8">
        <v>13.1</v>
      </c>
      <c r="L192" s="10">
        <v>0.24099999999999999</v>
      </c>
      <c r="M192" s="11" t="s">
        <v>739</v>
      </c>
    </row>
    <row r="193" spans="1:13" ht="150" x14ac:dyDescent="0.2">
      <c r="A193" s="2" t="s">
        <v>740</v>
      </c>
      <c r="B193" s="2" t="s">
        <v>741</v>
      </c>
      <c r="C193" s="2" t="str">
        <f>RIGHT(B193,SUM(LEN(B193)-LEN(SUBSTITUTE(B193,{"0","1","2","3","4","5","6","7","8","9"},""))))</f>
        <v>3398</v>
      </c>
      <c r="D193" s="2" t="str">
        <f t="shared" si="8"/>
        <v>3398</v>
      </c>
      <c r="E193" s="2" t="str">
        <f t="shared" si="9"/>
        <v>'3398.HK'</v>
      </c>
      <c r="F193" s="4" t="s">
        <v>742</v>
      </c>
      <c r="G193" s="6" t="s">
        <v>14</v>
      </c>
      <c r="H193" s="7">
        <v>1.1299999999999999</v>
      </c>
      <c r="I193" s="8">
        <v>-604.29999999999995</v>
      </c>
      <c r="J193" s="8">
        <v>598.4</v>
      </c>
      <c r="K193" s="8">
        <v>31.9</v>
      </c>
      <c r="L193" s="10">
        <v>0.23899999999999999</v>
      </c>
      <c r="M193" s="11" t="s">
        <v>743</v>
      </c>
    </row>
    <row r="194" spans="1:13" ht="110" x14ac:dyDescent="0.2">
      <c r="A194" s="2" t="s">
        <v>744</v>
      </c>
      <c r="B194" s="2" t="s">
        <v>745</v>
      </c>
      <c r="C194" s="2" t="str">
        <f>RIGHT(B194,SUM(LEN(B194)-LEN(SUBSTITUTE(B194,{"0","1","2","3","4","5","6","7","8","9"},""))))</f>
        <v>635</v>
      </c>
      <c r="D194" s="2" t="str">
        <f t="shared" si="8"/>
        <v>0635</v>
      </c>
      <c r="E194" s="2" t="str">
        <f t="shared" si="9"/>
        <v>'0635.HK'</v>
      </c>
      <c r="F194" s="4" t="s">
        <v>746</v>
      </c>
      <c r="G194" s="6" t="s">
        <v>14</v>
      </c>
      <c r="H194" s="7">
        <v>2.0299999999999998</v>
      </c>
      <c r="I194" s="8">
        <v>-826.7</v>
      </c>
      <c r="J194" s="8">
        <v>1371.6</v>
      </c>
      <c r="K194" s="8">
        <v>15</v>
      </c>
      <c r="L194" s="10">
        <v>0.23499999999999999</v>
      </c>
      <c r="M194" s="11" t="s">
        <v>747</v>
      </c>
    </row>
    <row r="195" spans="1:13" ht="130" x14ac:dyDescent="0.2">
      <c r="A195" s="2" t="s">
        <v>748</v>
      </c>
      <c r="B195" s="2" t="s">
        <v>749</v>
      </c>
      <c r="C195" s="2" t="str">
        <f>RIGHT(B195,SUM(LEN(B195)-LEN(SUBSTITUTE(B195,{"0","1","2","3","4","5","6","7","8","9"},""))))</f>
        <v>538</v>
      </c>
      <c r="D195" s="2" t="str">
        <f t="shared" si="8"/>
        <v>0538</v>
      </c>
      <c r="E195" s="2" t="str">
        <f t="shared" si="9"/>
        <v>'0538.HK'</v>
      </c>
      <c r="F195" s="4" t="s">
        <v>750</v>
      </c>
      <c r="G195" s="6" t="s">
        <v>14</v>
      </c>
      <c r="H195" s="7">
        <v>2.72</v>
      </c>
      <c r="I195" s="8">
        <v>-1030</v>
      </c>
      <c r="J195" s="8">
        <v>785.9</v>
      </c>
      <c r="K195" s="8">
        <v>27.6</v>
      </c>
      <c r="L195" s="10">
        <v>0.23200000000000001</v>
      </c>
      <c r="M195" s="11" t="s">
        <v>751</v>
      </c>
    </row>
    <row r="196" spans="1:13" ht="150" x14ac:dyDescent="0.2">
      <c r="A196" s="2" t="s">
        <v>752</v>
      </c>
      <c r="B196" s="2" t="s">
        <v>753</v>
      </c>
      <c r="C196" s="2" t="str">
        <f>RIGHT(B196,SUM(LEN(B196)-LEN(SUBSTITUTE(B196,{"0","1","2","3","4","5","6","7","8","9"},""))))</f>
        <v>289</v>
      </c>
      <c r="D196" s="2" t="str">
        <f t="shared" si="8"/>
        <v>0289</v>
      </c>
      <c r="E196" s="2" t="str">
        <f t="shared" si="9"/>
        <v>'0289.HK'</v>
      </c>
      <c r="F196" s="4" t="s">
        <v>754</v>
      </c>
      <c r="G196" s="6" t="s">
        <v>14</v>
      </c>
      <c r="H196" s="7">
        <v>9.39</v>
      </c>
      <c r="I196" s="8">
        <v>-4057.6</v>
      </c>
      <c r="J196" s="8">
        <v>4365.3999999999996</v>
      </c>
      <c r="K196" s="7">
        <v>6.74</v>
      </c>
      <c r="L196" s="10">
        <v>0.23200000000000001</v>
      </c>
      <c r="M196" s="11" t="s">
        <v>755</v>
      </c>
    </row>
    <row r="197" spans="1:13" ht="110" x14ac:dyDescent="0.2">
      <c r="A197" s="2" t="s">
        <v>756</v>
      </c>
      <c r="B197" s="2" t="s">
        <v>757</v>
      </c>
      <c r="C197" s="2" t="str">
        <f>RIGHT(B197,SUM(LEN(B197)-LEN(SUBSTITUTE(B197,{"0","1","2","3","4","5","6","7","8","9"},""))))</f>
        <v>2127</v>
      </c>
      <c r="D197" s="2" t="str">
        <f t="shared" si="8"/>
        <v>2127</v>
      </c>
      <c r="E197" s="2" t="str">
        <f t="shared" si="9"/>
        <v>'2127.HK'</v>
      </c>
      <c r="F197" s="4" t="s">
        <v>758</v>
      </c>
      <c r="G197" s="6" t="s">
        <v>14</v>
      </c>
      <c r="H197" s="7">
        <v>5.27</v>
      </c>
      <c r="I197" s="8">
        <v>-3242.7</v>
      </c>
      <c r="J197" s="8">
        <v>1196.9000000000001</v>
      </c>
      <c r="K197" s="8">
        <v>17.100000000000001</v>
      </c>
      <c r="L197" s="10">
        <v>0.22700000000000001</v>
      </c>
      <c r="M197" s="11" t="s">
        <v>759</v>
      </c>
    </row>
    <row r="198" spans="1:13" ht="180" x14ac:dyDescent="0.2">
      <c r="A198" s="2" t="s">
        <v>760</v>
      </c>
      <c r="B198" s="2" t="s">
        <v>761</v>
      </c>
      <c r="C198" s="2" t="str">
        <f>RIGHT(B198,SUM(LEN(B198)-LEN(SUBSTITUTE(B198,{"0","1","2","3","4","5","6","7","8","9"},""))))</f>
        <v>1203</v>
      </c>
      <c r="D198" s="2" t="str">
        <f t="shared" si="8"/>
        <v>1203</v>
      </c>
      <c r="E198" s="2" t="str">
        <f t="shared" si="9"/>
        <v>'1203.HK'</v>
      </c>
      <c r="F198" s="4" t="s">
        <v>762</v>
      </c>
      <c r="G198" s="6" t="s">
        <v>14</v>
      </c>
      <c r="H198" s="7">
        <v>1.55</v>
      </c>
      <c r="I198" s="8">
        <v>-596.20000000000005</v>
      </c>
      <c r="J198" s="8">
        <v>580.9</v>
      </c>
      <c r="K198" s="8">
        <v>31.6</v>
      </c>
      <c r="L198" s="10">
        <v>0.219</v>
      </c>
      <c r="M198" s="11" t="s">
        <v>763</v>
      </c>
    </row>
    <row r="199" spans="1:13" ht="160" x14ac:dyDescent="0.2">
      <c r="A199" s="2" t="s">
        <v>764</v>
      </c>
      <c r="B199" s="2" t="s">
        <v>765</v>
      </c>
      <c r="C199" s="2" t="str">
        <f>RIGHT(B199,SUM(LEN(B199)-LEN(SUBSTITUTE(B199,{"0","1","2","3","4","5","6","7","8","9"},""))))</f>
        <v>3999</v>
      </c>
      <c r="D199" s="2" t="str">
        <f t="shared" si="8"/>
        <v>3999</v>
      </c>
      <c r="E199" s="2" t="str">
        <f t="shared" si="9"/>
        <v>'3999.HK'</v>
      </c>
      <c r="F199" s="4" t="s">
        <v>766</v>
      </c>
      <c r="G199" s="6" t="s">
        <v>14</v>
      </c>
      <c r="H199" s="7">
        <v>1.4</v>
      </c>
      <c r="I199" s="8">
        <v>-432.8</v>
      </c>
      <c r="J199" s="8">
        <v>518.29999999999995</v>
      </c>
      <c r="K199" s="8">
        <v>34</v>
      </c>
      <c r="L199" s="10">
        <v>0.219</v>
      </c>
      <c r="M199" s="11" t="s">
        <v>767</v>
      </c>
    </row>
    <row r="200" spans="1:13" ht="180" x14ac:dyDescent="0.2">
      <c r="A200" s="2" t="s">
        <v>768</v>
      </c>
      <c r="B200" s="2" t="s">
        <v>769</v>
      </c>
      <c r="C200" s="2" t="str">
        <f>RIGHT(B200,SUM(LEN(B200)-LEN(SUBSTITUTE(B200,{"0","1","2","3","4","5","6","7","8","9"},""))))</f>
        <v>366</v>
      </c>
      <c r="D200" s="2" t="str">
        <f t="shared" si="8"/>
        <v>0366</v>
      </c>
      <c r="E200" s="2" t="str">
        <f t="shared" si="9"/>
        <v>'0366.HK'</v>
      </c>
      <c r="F200" s="4" t="s">
        <v>770</v>
      </c>
      <c r="G200" s="6" t="s">
        <v>14</v>
      </c>
      <c r="H200" s="7">
        <v>1.91</v>
      </c>
      <c r="I200" s="8">
        <v>-311.10000000000002</v>
      </c>
      <c r="J200" s="8">
        <v>547.79999999999995</v>
      </c>
      <c r="K200" s="8">
        <v>16.7</v>
      </c>
      <c r="L200" s="10">
        <v>0.217</v>
      </c>
      <c r="M200" s="11" t="s">
        <v>771</v>
      </c>
    </row>
    <row r="201" spans="1:13" ht="250" x14ac:dyDescent="0.2">
      <c r="A201" s="2" t="s">
        <v>772</v>
      </c>
      <c r="B201" s="2" t="s">
        <v>773</v>
      </c>
      <c r="C201" s="2" t="str">
        <f>RIGHT(B201,SUM(LEN(B201)-LEN(SUBSTITUTE(B201,{"0","1","2","3","4","5","6","7","8","9"},""))))</f>
        <v>610</v>
      </c>
      <c r="D201" s="2" t="str">
        <f t="shared" si="8"/>
        <v>0610</v>
      </c>
      <c r="E201" s="2" t="str">
        <f t="shared" si="9"/>
        <v>'0610.HK'</v>
      </c>
      <c r="F201" s="4" t="s">
        <v>774</v>
      </c>
      <c r="G201" s="6" t="s">
        <v>14</v>
      </c>
      <c r="H201" s="7">
        <v>1.2</v>
      </c>
      <c r="I201" s="8">
        <v>-685.5</v>
      </c>
      <c r="J201" s="8">
        <v>2181.1</v>
      </c>
      <c r="K201" s="8">
        <v>37.700000000000003</v>
      </c>
      <c r="L201" s="10">
        <v>0.20799999999999999</v>
      </c>
      <c r="M201" s="11" t="s">
        <v>775</v>
      </c>
    </row>
    <row r="202" spans="1:13" ht="180" x14ac:dyDescent="0.2">
      <c r="A202" s="2" t="s">
        <v>776</v>
      </c>
      <c r="B202" s="2" t="s">
        <v>777</v>
      </c>
      <c r="C202" s="2" t="str">
        <f>RIGHT(B202,SUM(LEN(B202)-LEN(SUBSTITUTE(B202,{"0","1","2","3","4","5","6","7","8","9"},""))))</f>
        <v>194</v>
      </c>
      <c r="D202" s="2" t="str">
        <f t="shared" si="8"/>
        <v>0194</v>
      </c>
      <c r="E202" s="2" t="str">
        <f t="shared" si="9"/>
        <v>'0194.HK'</v>
      </c>
      <c r="F202" s="4" t="s">
        <v>778</v>
      </c>
      <c r="G202" s="6" t="s">
        <v>14</v>
      </c>
      <c r="H202" s="7">
        <v>1.76</v>
      </c>
      <c r="I202" s="8">
        <v>-160.5</v>
      </c>
      <c r="J202" s="8">
        <v>2631.1</v>
      </c>
      <c r="K202" s="8">
        <v>18.2</v>
      </c>
      <c r="L202" s="10">
        <v>0.20499999999999999</v>
      </c>
      <c r="M202" s="11" t="s">
        <v>779</v>
      </c>
    </row>
    <row r="203" spans="1:13" ht="110" x14ac:dyDescent="0.2">
      <c r="A203" s="2" t="s">
        <v>780</v>
      </c>
      <c r="B203" s="2" t="s">
        <v>781</v>
      </c>
      <c r="C203" s="2" t="str">
        <f>RIGHT(B203,SUM(LEN(B203)-LEN(SUBSTITUTE(B203,{"0","1","2","3","4","5","6","7","8","9"},""))))</f>
        <v>212</v>
      </c>
      <c r="D203" s="2" t="str">
        <f t="shared" si="8"/>
        <v>0212</v>
      </c>
      <c r="E203" s="2" t="str">
        <f t="shared" si="9"/>
        <v>'0212.HK'</v>
      </c>
      <c r="F203" s="4" t="s">
        <v>782</v>
      </c>
      <c r="G203" s="6" t="s">
        <v>14</v>
      </c>
      <c r="H203" s="7">
        <v>7.4</v>
      </c>
      <c r="I203" s="8">
        <v>-416.4</v>
      </c>
      <c r="J203" s="8">
        <v>1120.9000000000001</v>
      </c>
      <c r="K203" s="7">
        <v>1.56</v>
      </c>
      <c r="L203" s="10">
        <v>0.20300000000000001</v>
      </c>
      <c r="M203" s="11" t="s">
        <v>783</v>
      </c>
    </row>
    <row r="204" spans="1:13" ht="60" x14ac:dyDescent="0.2">
      <c r="A204" s="2" t="s">
        <v>784</v>
      </c>
      <c r="B204" s="2" t="s">
        <v>785</v>
      </c>
      <c r="C204" s="2" t="str">
        <f>RIGHT(B204,SUM(LEN(B204)-LEN(SUBSTITUTE(B204,{"0","1","2","3","4","5","6","7","8","9"},""))))</f>
        <v>887</v>
      </c>
      <c r="D204" s="2" t="str">
        <f t="shared" si="8"/>
        <v>0887</v>
      </c>
      <c r="E204" s="2" t="str">
        <f t="shared" si="9"/>
        <v>'0887.HK'</v>
      </c>
      <c r="F204" s="4" t="s">
        <v>786</v>
      </c>
      <c r="G204" s="6" t="s">
        <v>14</v>
      </c>
      <c r="H204" s="7">
        <v>1.33</v>
      </c>
      <c r="I204" s="8">
        <v>-139.4</v>
      </c>
      <c r="J204" s="8">
        <v>894.9</v>
      </c>
      <c r="K204" s="8">
        <v>11.8</v>
      </c>
      <c r="L204" s="10">
        <v>0.188</v>
      </c>
      <c r="M204" s="11" t="s">
        <v>787</v>
      </c>
    </row>
    <row r="205" spans="1:13" ht="190" x14ac:dyDescent="0.2">
      <c r="A205" s="2" t="s">
        <v>788</v>
      </c>
      <c r="B205" s="2" t="s">
        <v>789</v>
      </c>
      <c r="C205" s="2" t="str">
        <f>RIGHT(B205,SUM(LEN(B205)-LEN(SUBSTITUTE(B205,{"0","1","2","3","4","5","6","7","8","9"},""))))</f>
        <v>3818</v>
      </c>
      <c r="D205" s="2" t="str">
        <f t="shared" si="8"/>
        <v>3818</v>
      </c>
      <c r="E205" s="2" t="str">
        <f t="shared" si="9"/>
        <v>'3818.HK'</v>
      </c>
      <c r="F205" s="4" t="s">
        <v>790</v>
      </c>
      <c r="G205" s="6" t="s">
        <v>14</v>
      </c>
      <c r="H205" s="7">
        <v>5.0999999999999996</v>
      </c>
      <c r="I205" s="8">
        <v>-4442.3999999999996</v>
      </c>
      <c r="J205" s="8">
        <v>2023.2</v>
      </c>
      <c r="K205" s="8">
        <v>10.8</v>
      </c>
      <c r="L205" s="10">
        <v>0.17299999999999999</v>
      </c>
      <c r="M205" s="11" t="s">
        <v>791</v>
      </c>
    </row>
    <row r="206" spans="1:13" ht="40" x14ac:dyDescent="0.2">
      <c r="A206" s="2" t="s">
        <v>792</v>
      </c>
      <c r="B206" s="2" t="s">
        <v>793</v>
      </c>
      <c r="C206" s="2" t="str">
        <f>RIGHT(B206,SUM(LEN(B206)-LEN(SUBSTITUTE(B206,{"0","1","2","3","4","5","6","7","8","9"},""))))</f>
        <v>1431</v>
      </c>
      <c r="D206" s="2" t="str">
        <f t="shared" si="8"/>
        <v>1431</v>
      </c>
      <c r="E206" s="2" t="str">
        <f t="shared" si="9"/>
        <v>'1431.HK'</v>
      </c>
      <c r="F206" s="4" t="s">
        <v>794</v>
      </c>
      <c r="G206" s="6" t="s">
        <v>14</v>
      </c>
      <c r="H206" s="7">
        <v>1.04</v>
      </c>
      <c r="I206" s="8">
        <v>-847.9</v>
      </c>
      <c r="J206" s="8">
        <v>1027.2</v>
      </c>
      <c r="K206" s="8">
        <v>24.5</v>
      </c>
      <c r="L206" s="10">
        <v>0.17199999999999999</v>
      </c>
      <c r="M206" s="5" t="s">
        <v>795</v>
      </c>
    </row>
    <row r="207" spans="1:13" ht="100" x14ac:dyDescent="0.2">
      <c r="A207" s="2" t="s">
        <v>796</v>
      </c>
      <c r="B207" s="2" t="s">
        <v>797</v>
      </c>
      <c r="C207" s="2" t="str">
        <f>RIGHT(B207,SUM(LEN(B207)-LEN(SUBSTITUTE(B207,{"0","1","2","3","4","5","6","7","8","9"},""))))</f>
        <v>296</v>
      </c>
      <c r="D207" s="2" t="str">
        <f t="shared" si="8"/>
        <v>0296</v>
      </c>
      <c r="E207" s="2" t="str">
        <f t="shared" si="9"/>
        <v>'0296.HK'</v>
      </c>
      <c r="F207" s="4" t="s">
        <v>798</v>
      </c>
      <c r="G207" s="6" t="s">
        <v>14</v>
      </c>
      <c r="H207" s="7">
        <v>3.45</v>
      </c>
      <c r="I207" s="8">
        <v>-914.6</v>
      </c>
      <c r="J207" s="8">
        <v>631.79999999999995</v>
      </c>
      <c r="K207" s="7">
        <v>7.73</v>
      </c>
      <c r="L207" s="10">
        <v>0.16700000000000001</v>
      </c>
      <c r="M207" s="11" t="s">
        <v>799</v>
      </c>
    </row>
    <row r="208" spans="1:13" ht="190" x14ac:dyDescent="0.2">
      <c r="A208" s="2" t="s">
        <v>800</v>
      </c>
      <c r="B208" s="2" t="s">
        <v>801</v>
      </c>
      <c r="C208" s="2" t="str">
        <f>RIGHT(B208,SUM(LEN(B208)-LEN(SUBSTITUTE(B208,{"0","1","2","3","4","5","6","7","8","9"},""))))</f>
        <v>298</v>
      </c>
      <c r="D208" s="2" t="str">
        <f t="shared" si="8"/>
        <v>0298</v>
      </c>
      <c r="E208" s="2" t="str">
        <f t="shared" si="9"/>
        <v>'0298.HK'</v>
      </c>
      <c r="F208" s="4" t="s">
        <v>802</v>
      </c>
      <c r="G208" s="6" t="s">
        <v>14</v>
      </c>
      <c r="H208" s="7">
        <v>2.72</v>
      </c>
      <c r="I208" s="8">
        <v>-786.5</v>
      </c>
      <c r="J208" s="8">
        <v>727.6</v>
      </c>
      <c r="K208" s="8">
        <v>30</v>
      </c>
      <c r="L208" s="10">
        <v>0.157</v>
      </c>
      <c r="M208" s="11" t="s">
        <v>803</v>
      </c>
    </row>
    <row r="209" spans="1:13" ht="130" x14ac:dyDescent="0.2">
      <c r="A209" s="2" t="s">
        <v>804</v>
      </c>
      <c r="B209" s="2" t="s">
        <v>805</v>
      </c>
      <c r="C209" s="2" t="str">
        <f>RIGHT(B209,SUM(LEN(B209)-LEN(SUBSTITUTE(B209,{"0","1","2","3","4","5","6","7","8","9"},""))))</f>
        <v>1278</v>
      </c>
      <c r="D209" s="2" t="str">
        <f t="shared" si="8"/>
        <v>1278</v>
      </c>
      <c r="E209" s="2" t="str">
        <f t="shared" si="9"/>
        <v>'1278.HK'</v>
      </c>
      <c r="F209" s="4" t="s">
        <v>806</v>
      </c>
      <c r="G209" s="6" t="s">
        <v>14</v>
      </c>
      <c r="H209" s="7">
        <v>1.44</v>
      </c>
      <c r="I209" s="8">
        <v>-782.9</v>
      </c>
      <c r="J209" s="8">
        <v>729.5</v>
      </c>
      <c r="K209" s="8">
        <v>32.4</v>
      </c>
      <c r="L209" s="10">
        <v>0.151</v>
      </c>
      <c r="M209" s="11" t="s">
        <v>807</v>
      </c>
    </row>
    <row r="210" spans="1:13" ht="110" x14ac:dyDescent="0.2">
      <c r="A210" s="2" t="s">
        <v>808</v>
      </c>
      <c r="B210" s="2" t="s">
        <v>809</v>
      </c>
      <c r="C210" s="2" t="str">
        <f>RIGHT(B210,SUM(LEN(B210)-LEN(SUBSTITUTE(B210,{"0","1","2","3","4","5","6","7","8","9"},""))))</f>
        <v>1786</v>
      </c>
      <c r="D210" s="2" t="str">
        <f t="shared" si="8"/>
        <v>1786</v>
      </c>
      <c r="E210" s="2" t="str">
        <f t="shared" si="9"/>
        <v>'1786.HK'</v>
      </c>
      <c r="F210" s="4" t="s">
        <v>810</v>
      </c>
      <c r="G210" s="6" t="s">
        <v>14</v>
      </c>
      <c r="H210" s="7">
        <v>1.51</v>
      </c>
      <c r="I210" s="8">
        <v>-1446.6</v>
      </c>
      <c r="J210" s="8">
        <v>1003.1</v>
      </c>
      <c r="K210" s="8">
        <v>28.9</v>
      </c>
      <c r="L210" s="10">
        <v>0.14599999999999999</v>
      </c>
      <c r="M210" s="11" t="s">
        <v>811</v>
      </c>
    </row>
    <row r="211" spans="1:13" ht="250" x14ac:dyDescent="0.2">
      <c r="A211" s="2" t="s">
        <v>812</v>
      </c>
      <c r="B211" s="2" t="s">
        <v>813</v>
      </c>
      <c r="C211" s="2" t="str">
        <f>RIGHT(B211,SUM(LEN(B211)-LEN(SUBSTITUTE(B211,{"0","1","2","3","4","5","6","7","8","9"},""))))</f>
        <v>882</v>
      </c>
      <c r="D211" s="2" t="str">
        <f t="shared" si="8"/>
        <v>0882</v>
      </c>
      <c r="E211" s="2" t="str">
        <f t="shared" si="9"/>
        <v>'0882.HK'</v>
      </c>
      <c r="F211" s="4" t="s">
        <v>814</v>
      </c>
      <c r="G211" s="6" t="s">
        <v>14</v>
      </c>
      <c r="H211" s="7">
        <v>1.78</v>
      </c>
      <c r="I211" s="8">
        <v>-4928.5</v>
      </c>
      <c r="J211" s="8">
        <v>1695</v>
      </c>
      <c r="K211" s="8">
        <v>23.8</v>
      </c>
      <c r="L211" s="10">
        <v>0.13700000000000001</v>
      </c>
      <c r="M211" s="11" t="s">
        <v>815</v>
      </c>
    </row>
    <row r="212" spans="1:13" ht="80" x14ac:dyDescent="0.2">
      <c r="A212" s="2" t="s">
        <v>816</v>
      </c>
      <c r="B212" s="2" t="s">
        <v>817</v>
      </c>
      <c r="C212" s="2" t="str">
        <f>RIGHT(B212,SUM(LEN(B212)-LEN(SUBSTITUTE(B212,{"0","1","2","3","4","5","6","7","8","9"},""))))</f>
        <v>2698</v>
      </c>
      <c r="D212" s="2" t="str">
        <f t="shared" si="8"/>
        <v>2698</v>
      </c>
      <c r="E212" s="2" t="str">
        <f t="shared" si="9"/>
        <v>'2698.HK'</v>
      </c>
      <c r="F212" s="4" t="s">
        <v>818</v>
      </c>
      <c r="G212" s="6" t="s">
        <v>14</v>
      </c>
      <c r="H212" s="7">
        <v>2.27</v>
      </c>
      <c r="I212" s="8">
        <v>-10747.8</v>
      </c>
      <c r="J212" s="8">
        <v>1612.4</v>
      </c>
      <c r="K212" s="8">
        <v>24.3</v>
      </c>
      <c r="L212" s="10">
        <v>7.8E-2</v>
      </c>
      <c r="M212" s="11" t="s">
        <v>819</v>
      </c>
    </row>
    <row r="213" spans="1:13" ht="90" x14ac:dyDescent="0.2">
      <c r="A213" s="2" t="s">
        <v>820</v>
      </c>
      <c r="B213" s="2" t="s">
        <v>821</v>
      </c>
      <c r="C213" s="2" t="str">
        <f>RIGHT(B213,SUM(LEN(B213)-LEN(SUBSTITUTE(B213,{"0","1","2","3","4","5","6","7","8","9"},""))))</f>
        <v>1051</v>
      </c>
      <c r="D213" s="2" t="str">
        <f t="shared" si="8"/>
        <v>1051</v>
      </c>
      <c r="E213" s="2" t="str">
        <f t="shared" si="9"/>
        <v>'1051.HK'</v>
      </c>
      <c r="F213" s="4" t="s">
        <v>822</v>
      </c>
      <c r="G213" s="6" t="s">
        <v>14</v>
      </c>
      <c r="H213" s="8">
        <v>18</v>
      </c>
      <c r="I213" s="8">
        <v>-7253.9</v>
      </c>
      <c r="J213" s="8">
        <v>816</v>
      </c>
      <c r="K213" s="7">
        <v>3.14</v>
      </c>
      <c r="L213" s="10">
        <v>6.7000000000000004E-2</v>
      </c>
      <c r="M213" s="11" t="s">
        <v>823</v>
      </c>
    </row>
    <row r="215" spans="1:13" x14ac:dyDescent="0.2">
      <c r="E215" t="str">
        <f>ConcatDelim(E9:E213,",")</f>
        <v>'6663.HK','1689.HK','1458.HK','1425.HK','1448.HK','2150.HK','6616.HK','1945.HK','1475.HK','1586.HK','0580.HK','1935.HK','9899.HK','9699.HK',,'6820.HK','8032.HK','0265.HK','1483.HK','1995.HK','9986.HK','2101.HK','2265.HK','1971.HK','6626.HK','6100.HK','1925.HK','1543.HK','9983.HK','6858.HK','1970.HK','0799.HK','6668.HK','0189.HK','0606.HK','0709.HK','0543.HK','3658.HK','1303.HK','1651.HK','8479.HK','2180.HK','1357.HK','2119.HK','6822.HK','0398.HK','0837.HK','0777.HK','2327.HK','6677.HK','6989.HK','1234.HK','0609.HK','2175.HK','9836.HK','0029.HK','0166.HK','6988.HK','1516.HK','1277.HK','1316.HK','1060.HK','3798.HK','1412.HK','1022.HK','9982.HK','0806.HK','1361.HK','2660.HK','1230.HK','6608.HK','1328.HK',,'2218.HK','6896.HK','0697.HK','0721.HK','1301.HK','6913.HK','3319.HK','0336.HK','1836.HK','1837.HK','2801.HK','0018.HK','0687.HK','0195.HK','0255.HK','0411.HK','0639.HK',,'3686.HK','0302.HK','1057.HK','1731.HK','0206.HK','0869.HK','1896.HK','0128.HK','2232.HK','2205.HK','1502.HK','1126.HK','6909.HK','6601.HK','0677.HK','9666.HK','0335.HK','9990.HK','2686.HK','1981.HK','3913.HK','0800.HK','0093.HK','8137.HK','0468.HK','1868.HK','0423.HK','1753.HK','0032.HK','2125.HK','3339.HK','1170.HK','1221.HK','0215.HK','6919.HK','2100.HK','1127.HK','0701.HK','3700.HK','0556.HK','0393.HK','3983.HK','0105.HK','2008.HK','0026.HK','0439.HK','0071.HK','1469.HK','0278.HK','2779.HK','0517.HK','0050.HK','0934.HK','0088.HK','0158.HK','0929.HK','0730.HK','0057.HK','0266.HK','0769.HK','0829.HK','1265.HK','0420.HK','0716.HK','3838.HK','1045.HK','0472.HK','2033.HK','1104.HK','1140.HK','1122.HK','0232.HK','0622.HK','0156.HK','0662.HK','0560.HK','0743.HK','0321.HK','0450.HK','1028.HK','1761.HK','0273.HK','3389.HK','0271.HK','6117.HK','0237.HK','0064.HK','0533.HK','0235.HK','0133.HK','8005.HK','0102.HK','1980.HK','3398.HK','0635.HK','0538.HK','0289.HK','2127.HK','1203.HK','3999.HK','0366.HK','0610.HK','0194.HK','0212.HK','0887.HK','3818.HK','1431.HK','0296.HK','0298.HK','1278.HK','1786.HK','0882.HK','2698.HK','1051.HK'</v>
      </c>
    </row>
    <row r="217" spans="1:13" x14ac:dyDescent="0.2">
      <c r="E217" t="s">
        <v>843</v>
      </c>
    </row>
  </sheetData>
  <autoFilter ref="A8:M213" xr:uid="{00000000-0009-0000-0000-000000000000}">
    <filterColumn colId="5">
      <filters>
        <filter val="The Stock Exchange of Hong Kong Ltd. (SEHK)"/>
      </filters>
    </filterColumn>
  </autoFilter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autoPageBreaks="0"/>
  </sheetPr>
  <dimension ref="A6:IU32"/>
  <sheetViews>
    <sheetView zoomScaleNormal="100" workbookViewId="0">
      <selection activeCell="D34" sqref="D34"/>
    </sheetView>
  </sheetViews>
  <sheetFormatPr defaultRowHeight="10" x14ac:dyDescent="0.2"/>
  <cols>
    <col min="1" max="1" width="26.81640625" customWidth="1"/>
    <col min="2" max="6" width="20.81640625" customWidth="1"/>
  </cols>
  <sheetData>
    <row r="6" spans="1:255" ht="16.5" customHeight="1" x14ac:dyDescent="0.35">
      <c r="A6" s="1" t="s">
        <v>824</v>
      </c>
    </row>
    <row r="8" spans="1:255" x14ac:dyDescent="0.2">
      <c r="A8" s="13" t="s">
        <v>825</v>
      </c>
      <c r="B8" s="14"/>
      <c r="C8" s="14"/>
      <c r="D8" s="14"/>
      <c r="E8" s="14"/>
      <c r="F8" s="14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</row>
    <row r="9" spans="1:255" ht="40.5" x14ac:dyDescent="0.55000000000000004">
      <c r="A9" s="15" t="s">
        <v>826</v>
      </c>
      <c r="B9" s="15" t="s">
        <v>5</v>
      </c>
      <c r="C9" s="15" t="s">
        <v>6</v>
      </c>
      <c r="D9" s="15" t="s">
        <v>7</v>
      </c>
      <c r="E9" s="15" t="s">
        <v>8</v>
      </c>
      <c r="F9" s="15" t="s">
        <v>9</v>
      </c>
    </row>
    <row r="10" spans="1:255" ht="10.5" x14ac:dyDescent="0.25">
      <c r="A10" s="16" t="s">
        <v>827</v>
      </c>
      <c r="B10" s="17">
        <v>977</v>
      </c>
      <c r="C10" s="17">
        <v>-354507</v>
      </c>
      <c r="D10" s="17">
        <v>604033.19999999995</v>
      </c>
      <c r="E10" s="17">
        <v>4624.2</v>
      </c>
      <c r="F10" s="17">
        <v>152.4</v>
      </c>
    </row>
    <row r="11" spans="1:255" ht="10.5" x14ac:dyDescent="0.25">
      <c r="A11" s="16" t="s">
        <v>828</v>
      </c>
      <c r="B11" s="17">
        <v>4.7699999999999996</v>
      </c>
      <c r="C11" s="17">
        <v>-1729.3</v>
      </c>
      <c r="D11" s="17">
        <v>2946.5</v>
      </c>
      <c r="E11" s="17">
        <v>22.6</v>
      </c>
      <c r="F11" s="17">
        <v>0.74399999999999999</v>
      </c>
    </row>
    <row r="12" spans="1:255" ht="10.5" x14ac:dyDescent="0.25">
      <c r="A12" s="16" t="s">
        <v>829</v>
      </c>
      <c r="B12" s="17">
        <v>1.01</v>
      </c>
      <c r="C12" s="17">
        <v>-12788.9</v>
      </c>
      <c r="D12" s="17">
        <v>500</v>
      </c>
      <c r="E12" s="17">
        <v>0.35</v>
      </c>
      <c r="F12" s="17">
        <v>6.7000000000000004E-2</v>
      </c>
    </row>
    <row r="13" spans="1:255" ht="10.5" x14ac:dyDescent="0.25">
      <c r="A13" s="16" t="s">
        <v>830</v>
      </c>
      <c r="B13" s="17">
        <v>103.6</v>
      </c>
      <c r="C13" s="17">
        <v>-5.21</v>
      </c>
      <c r="D13" s="17">
        <v>19178.8</v>
      </c>
      <c r="E13" s="17">
        <v>39.799999999999997</v>
      </c>
      <c r="F13" s="17">
        <v>1.99</v>
      </c>
    </row>
    <row r="14" spans="1:255" ht="10.5" x14ac:dyDescent="0.25">
      <c r="A14" s="16" t="s">
        <v>831</v>
      </c>
      <c r="B14" s="17">
        <v>8.89</v>
      </c>
      <c r="C14" s="17">
        <v>2078.1</v>
      </c>
      <c r="D14" s="17">
        <v>3347.2</v>
      </c>
      <c r="E14" s="17">
        <v>10.7</v>
      </c>
      <c r="F14" s="17">
        <v>0.45100000000000001</v>
      </c>
    </row>
    <row r="15" spans="1:255" ht="10.5" x14ac:dyDescent="0.25">
      <c r="A15" s="16" t="s">
        <v>832</v>
      </c>
      <c r="B15" s="17">
        <v>4.4800000000000004</v>
      </c>
      <c r="C15" s="17">
        <v>-3171.3</v>
      </c>
      <c r="D15" s="18" t="s">
        <v>833</v>
      </c>
      <c r="E15" s="17">
        <v>23.3</v>
      </c>
      <c r="F15" s="17">
        <v>0.91600000000000004</v>
      </c>
    </row>
    <row r="22" spans="1:1" ht="17" x14ac:dyDescent="0.35">
      <c r="A22" s="1" t="s">
        <v>0</v>
      </c>
    </row>
    <row r="24" spans="1:1" ht="13.5" x14ac:dyDescent="0.55000000000000004">
      <c r="A24" s="19" t="s">
        <v>834</v>
      </c>
    </row>
    <row r="25" spans="1:1" ht="10.5" x14ac:dyDescent="0.2">
      <c r="A25" s="20" t="s">
        <v>835</v>
      </c>
    </row>
    <row r="26" spans="1:1" ht="10.5" x14ac:dyDescent="0.2">
      <c r="A26" s="20" t="s">
        <v>836</v>
      </c>
    </row>
    <row r="27" spans="1:1" ht="10.5" x14ac:dyDescent="0.2">
      <c r="A27" s="20" t="s">
        <v>837</v>
      </c>
    </row>
    <row r="28" spans="1:1" ht="10.5" x14ac:dyDescent="0.2">
      <c r="A28" s="20" t="s">
        <v>838</v>
      </c>
    </row>
    <row r="29" spans="1:1" ht="10.5" x14ac:dyDescent="0.2">
      <c r="A29" s="20" t="s">
        <v>839</v>
      </c>
    </row>
    <row r="30" spans="1:1" ht="10.5" x14ac:dyDescent="0.2">
      <c r="A30" s="20" t="s">
        <v>840</v>
      </c>
    </row>
    <row r="31" spans="1:1" ht="10.5" x14ac:dyDescent="0.2">
      <c r="A31" s="20" t="s">
        <v>841</v>
      </c>
    </row>
    <row r="32" spans="1:1" ht="10.5" x14ac:dyDescent="0.2">
      <c r="A32" s="20" t="s">
        <v>842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HK</vt:lpstr>
      <vt:lpstr>CN</vt:lpstr>
      <vt:lpstr>NASDAQ</vt:lpstr>
      <vt:lpstr>NYSE</vt:lpstr>
      <vt:lpstr>AMEX</vt:lpstr>
      <vt:lpstr>JP</vt:lpstr>
      <vt:lpstr>Screening</vt:lpstr>
      <vt:lpstr>Screen Criteria</vt:lpstr>
      <vt:lpstr>'Screen Criteria'!Print_Titles</vt:lpstr>
      <vt:lpstr>Screening!Print_Titles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2004-07-20T21:40:42Z</dcterms:created>
  <dcterms:modified xsi:type="dcterms:W3CDTF">2023-02-02T01:55:36Z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</Properties>
</file>